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"/>
    </mc:Choice>
  </mc:AlternateContent>
  <xr:revisionPtr revIDLastSave="0" documentId="13_ncr:1_{E3A650C6-46F9-2546-81F1-9DBA34E09F95}" xr6:coauthVersionLast="47" xr6:coauthVersionMax="47" xr10:uidLastSave="{00000000-0000-0000-0000-000000000000}"/>
  <bookViews>
    <workbookView xWindow="0" yWindow="0" windowWidth="40960" windowHeight="23040" activeTab="3" xr2:uid="{00000000-000D-0000-FFFF-FFFF00000000}"/>
  </bookViews>
  <sheets>
    <sheet name="pop XmR " sheetId="14" r:id="rId1"/>
    <sheet name="change XmR " sheetId="17" r:id="rId2"/>
    <sheet name="pct_change XmR " sheetId="20" r:id="rId3"/>
    <sheet name="RAW-pop-2010-2024" sheetId="1" r:id="rId4"/>
  </sheets>
  <definedNames>
    <definedName name="_xlnm.Print_Area" localSheetId="1">'change XmR '!$C$1:$R$36</definedName>
    <definedName name="_xlnm.Print_Area" localSheetId="2">'pct_change XmR '!$C$1:$R$36</definedName>
    <definedName name="_xlnm.Print_Area" localSheetId="0">'pop XmR '!$C$1:$T$36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J3" i="20"/>
  <c r="K4" i="20" s="1"/>
  <c r="J4" i="20"/>
  <c r="K5" i="20" s="1"/>
  <c r="J5" i="20"/>
  <c r="K6" i="20" s="1"/>
  <c r="J6" i="20"/>
  <c r="K7" i="20" s="1"/>
  <c r="J7" i="20"/>
  <c r="K8" i="20" s="1"/>
  <c r="J8" i="20"/>
  <c r="K9" i="20" s="1"/>
  <c r="J9" i="20"/>
  <c r="K10" i="20" s="1"/>
  <c r="J10" i="20"/>
  <c r="K11" i="20" s="1"/>
  <c r="J11" i="20"/>
  <c r="K12" i="20" s="1"/>
  <c r="J12" i="20"/>
  <c r="K13" i="20" s="1"/>
  <c r="J13" i="20"/>
  <c r="K14" i="20" s="1"/>
  <c r="J14" i="20"/>
  <c r="K15" i="20" s="1"/>
  <c r="J15" i="20"/>
  <c r="K16" i="20" s="1"/>
  <c r="J16" i="20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2" i="20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J3" i="17"/>
  <c r="K4" i="17" s="1"/>
  <c r="J4" i="17"/>
  <c r="K5" i="17" s="1"/>
  <c r="J5" i="17"/>
  <c r="K6" i="17" s="1"/>
  <c r="J6" i="17"/>
  <c r="K7" i="17" s="1"/>
  <c r="J7" i="17"/>
  <c r="K8" i="17" s="1"/>
  <c r="J8" i="17"/>
  <c r="K9" i="17" s="1"/>
  <c r="J9" i="17"/>
  <c r="K10" i="17" s="1"/>
  <c r="J10" i="17"/>
  <c r="K11" i="17" s="1"/>
  <c r="J11" i="17"/>
  <c r="K12" i="17" s="1"/>
  <c r="J12" i="17"/>
  <c r="K13" i="17" s="1"/>
  <c r="J13" i="17"/>
  <c r="K14" i="17" s="1"/>
  <c r="J14" i="17"/>
  <c r="K15" i="17" s="1"/>
  <c r="J15" i="17"/>
  <c r="K16" i="17" s="1"/>
  <c r="J16" i="17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2" i="17"/>
  <c r="Z1" i="14"/>
  <c r="X1" i="14"/>
  <c r="V1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S3" i="14"/>
  <c r="S4" i="14"/>
  <c r="S5" i="14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K3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J3" i="14"/>
  <c r="K4" i="14" s="1"/>
  <c r="J4" i="14"/>
  <c r="K5" i="14" s="1"/>
  <c r="J5" i="14"/>
  <c r="K6" i="14" s="1"/>
  <c r="J6" i="14"/>
  <c r="K7" i="14" s="1"/>
  <c r="J7" i="14"/>
  <c r="K8" i="14" s="1"/>
  <c r="J8" i="14"/>
  <c r="K9" i="14" s="1"/>
  <c r="J9" i="14"/>
  <c r="K10" i="14" s="1"/>
  <c r="J10" i="14"/>
  <c r="K11" i="14" s="1"/>
  <c r="J11" i="14"/>
  <c r="K12" i="14" s="1"/>
  <c r="J12" i="14"/>
  <c r="K13" i="14" s="1"/>
  <c r="J13" i="14"/>
  <c r="K14" i="14" s="1"/>
  <c r="J14" i="14"/>
  <c r="K15" i="14" s="1"/>
  <c r="J15" i="14"/>
  <c r="K16" i="14" s="1"/>
  <c r="J16" i="14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2" i="14"/>
  <c r="O2" i="20" l="1"/>
  <c r="O31" i="20"/>
  <c r="O25" i="20"/>
  <c r="O19" i="20"/>
  <c r="O13" i="20"/>
  <c r="O7" i="20"/>
  <c r="O36" i="20"/>
  <c r="O30" i="20"/>
  <c r="O24" i="20"/>
  <c r="O18" i="20"/>
  <c r="O12" i="20"/>
  <c r="O6" i="20"/>
  <c r="O35" i="20"/>
  <c r="O29" i="20"/>
  <c r="O23" i="20"/>
  <c r="O17" i="20"/>
  <c r="O11" i="20"/>
  <c r="O5" i="20"/>
  <c r="O34" i="20"/>
  <c r="O28" i="20"/>
  <c r="O22" i="20"/>
  <c r="O16" i="20"/>
  <c r="O10" i="20"/>
  <c r="O4" i="20"/>
  <c r="O33" i="20"/>
  <c r="O27" i="20"/>
  <c r="O21" i="20"/>
  <c r="O15" i="20"/>
  <c r="O9" i="20"/>
  <c r="O3" i="20"/>
  <c r="O32" i="20"/>
  <c r="O26" i="20"/>
  <c r="O20" i="20"/>
  <c r="O14" i="20"/>
  <c r="O8" i="20"/>
  <c r="O2" i="17"/>
  <c r="O31" i="17"/>
  <c r="O25" i="17"/>
  <c r="O19" i="17"/>
  <c r="O13" i="17"/>
  <c r="O7" i="17"/>
  <c r="O36" i="17"/>
  <c r="O30" i="17"/>
  <c r="O24" i="17"/>
  <c r="O18" i="17"/>
  <c r="O12" i="17"/>
  <c r="O6" i="17"/>
  <c r="O35" i="17"/>
  <c r="O29" i="17"/>
  <c r="O23" i="17"/>
  <c r="O17" i="17"/>
  <c r="O11" i="17"/>
  <c r="O5" i="17"/>
  <c r="O34" i="17"/>
  <c r="O28" i="17"/>
  <c r="O22" i="17"/>
  <c r="O16" i="17"/>
  <c r="O10" i="17"/>
  <c r="O4" i="17"/>
  <c r="O33" i="17"/>
  <c r="O27" i="17"/>
  <c r="O21" i="17"/>
  <c r="O15" i="17"/>
  <c r="O9" i="17"/>
  <c r="O3" i="17"/>
  <c r="O32" i="17"/>
  <c r="O26" i="17"/>
  <c r="O20" i="17"/>
  <c r="O14" i="17"/>
  <c r="O8" i="17"/>
  <c r="O2" i="14"/>
  <c r="O31" i="14"/>
  <c r="O25" i="14"/>
  <c r="O19" i="14"/>
  <c r="O13" i="14"/>
  <c r="O7" i="14"/>
  <c r="O36" i="14"/>
  <c r="O30" i="14"/>
  <c r="O24" i="14"/>
  <c r="O18" i="14"/>
  <c r="O12" i="14"/>
  <c r="O6" i="14"/>
  <c r="O35" i="14"/>
  <c r="O29" i="14"/>
  <c r="O23" i="14"/>
  <c r="O17" i="14"/>
  <c r="O11" i="14"/>
  <c r="O5" i="14"/>
  <c r="O34" i="14"/>
  <c r="O28" i="14"/>
  <c r="O22" i="14"/>
  <c r="O16" i="14"/>
  <c r="O10" i="14"/>
  <c r="O4" i="14"/>
  <c r="O33" i="14"/>
  <c r="O27" i="14"/>
  <c r="O21" i="14"/>
  <c r="O15" i="14"/>
  <c r="O9" i="14"/>
  <c r="O3" i="14"/>
  <c r="O32" i="14"/>
  <c r="O26" i="14"/>
  <c r="O20" i="14"/>
  <c r="O14" i="14"/>
  <c r="O8" i="14"/>
  <c r="H3" i="20" l="1"/>
  <c r="I3" i="20"/>
  <c r="H4" i="20"/>
  <c r="I4" i="20"/>
  <c r="H5" i="20"/>
  <c r="I5" i="20"/>
  <c r="H6" i="20"/>
  <c r="I6" i="20"/>
  <c r="H7" i="20"/>
  <c r="I7" i="20"/>
  <c r="H8" i="20"/>
  <c r="I8" i="20"/>
  <c r="H9" i="20"/>
  <c r="I9" i="20"/>
  <c r="H10" i="20"/>
  <c r="I10" i="20"/>
  <c r="H11" i="20"/>
  <c r="I11" i="20"/>
  <c r="H12" i="20"/>
  <c r="I12" i="20"/>
  <c r="H13" i="20"/>
  <c r="I13" i="20"/>
  <c r="H14" i="20"/>
  <c r="I14" i="20"/>
  <c r="H15" i="20"/>
  <c r="I15" i="20"/>
  <c r="H16" i="20"/>
  <c r="I16" i="20"/>
  <c r="H17" i="20"/>
  <c r="I17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H26" i="20"/>
  <c r="I26" i="20"/>
  <c r="H27" i="20"/>
  <c r="I27" i="20"/>
  <c r="H28" i="20"/>
  <c r="I28" i="20"/>
  <c r="H29" i="20"/>
  <c r="I29" i="20"/>
  <c r="H30" i="20"/>
  <c r="I30" i="20"/>
  <c r="H31" i="20"/>
  <c r="I31" i="20"/>
  <c r="H32" i="20"/>
  <c r="I32" i="20"/>
  <c r="H33" i="20"/>
  <c r="I33" i="20"/>
  <c r="H34" i="20"/>
  <c r="I34" i="20"/>
  <c r="H35" i="20"/>
  <c r="I35" i="20"/>
  <c r="H36" i="20"/>
  <c r="I36" i="20"/>
  <c r="H2" i="20"/>
  <c r="I2" i="20"/>
  <c r="E3" i="20"/>
  <c r="G3" i="20"/>
  <c r="E4" i="20"/>
  <c r="G4" i="20"/>
  <c r="E5" i="20"/>
  <c r="G5" i="20"/>
  <c r="E6" i="20"/>
  <c r="G6" i="20"/>
  <c r="E7" i="20"/>
  <c r="G7" i="20"/>
  <c r="E8" i="20"/>
  <c r="G8" i="20"/>
  <c r="E9" i="20"/>
  <c r="G9" i="20"/>
  <c r="E10" i="20"/>
  <c r="G10" i="20"/>
  <c r="E11" i="20"/>
  <c r="G11" i="20"/>
  <c r="E12" i="20"/>
  <c r="G12" i="20"/>
  <c r="E13" i="20"/>
  <c r="G13" i="20"/>
  <c r="E14" i="20"/>
  <c r="G14" i="20"/>
  <c r="E15" i="20"/>
  <c r="G15" i="20"/>
  <c r="E16" i="20"/>
  <c r="G16" i="20"/>
  <c r="E17" i="20"/>
  <c r="G17" i="20"/>
  <c r="E18" i="20"/>
  <c r="G18" i="20"/>
  <c r="E19" i="20"/>
  <c r="G19" i="20"/>
  <c r="E20" i="20"/>
  <c r="G20" i="20"/>
  <c r="E21" i="20"/>
  <c r="G21" i="20"/>
  <c r="E22" i="20"/>
  <c r="G22" i="20"/>
  <c r="E23" i="20"/>
  <c r="G23" i="20"/>
  <c r="E24" i="20"/>
  <c r="G24" i="20"/>
  <c r="E25" i="20"/>
  <c r="G25" i="20"/>
  <c r="E26" i="20"/>
  <c r="G26" i="20"/>
  <c r="E27" i="20"/>
  <c r="G27" i="20"/>
  <c r="E28" i="20"/>
  <c r="G28" i="20"/>
  <c r="E29" i="20"/>
  <c r="G29" i="20"/>
  <c r="E30" i="20"/>
  <c r="G30" i="20"/>
  <c r="E31" i="20"/>
  <c r="G31" i="20"/>
  <c r="E32" i="20"/>
  <c r="G32" i="20"/>
  <c r="E33" i="20"/>
  <c r="G33" i="20"/>
  <c r="E34" i="20"/>
  <c r="G34" i="20"/>
  <c r="E35" i="20"/>
  <c r="G35" i="20"/>
  <c r="E36" i="20"/>
  <c r="G36" i="20"/>
  <c r="E2" i="20"/>
  <c r="G2" i="20"/>
  <c r="C3" i="20"/>
  <c r="D3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26" i="20"/>
  <c r="D26" i="20"/>
  <c r="C27" i="20"/>
  <c r="D27" i="20"/>
  <c r="C28" i="20"/>
  <c r="D28" i="20"/>
  <c r="C29" i="20"/>
  <c r="D29" i="20"/>
  <c r="C30" i="20"/>
  <c r="D30" i="20"/>
  <c r="C31" i="20"/>
  <c r="D31" i="20"/>
  <c r="C32" i="20"/>
  <c r="D32" i="20"/>
  <c r="C33" i="20"/>
  <c r="D33" i="20"/>
  <c r="C34" i="20"/>
  <c r="D34" i="20"/>
  <c r="C35" i="20"/>
  <c r="D35" i="20"/>
  <c r="C36" i="20"/>
  <c r="D36" i="20"/>
  <c r="C2" i="20"/>
  <c r="D2" i="20"/>
  <c r="L3" i="20"/>
  <c r="Q3" i="20" s="1"/>
  <c r="L4" i="20"/>
  <c r="Q4" i="20" s="1"/>
  <c r="L5" i="20"/>
  <c r="M5" i="20" s="1"/>
  <c r="L6" i="20"/>
  <c r="N6" i="20" s="1"/>
  <c r="L7" i="20"/>
  <c r="Q7" i="20" s="1"/>
  <c r="L8" i="20"/>
  <c r="M8" i="20" s="1"/>
  <c r="L9" i="20"/>
  <c r="Q9" i="20" s="1"/>
  <c r="L10" i="20"/>
  <c r="Q10" i="20" s="1"/>
  <c r="L11" i="20"/>
  <c r="M11" i="20" s="1"/>
  <c r="L12" i="20"/>
  <c r="Q12" i="20" s="1"/>
  <c r="L13" i="20"/>
  <c r="Q13" i="20" s="1"/>
  <c r="L14" i="20"/>
  <c r="M14" i="20" s="1"/>
  <c r="L15" i="20"/>
  <c r="Q15" i="20" s="1"/>
  <c r="L16" i="20"/>
  <c r="Q16" i="20" s="1"/>
  <c r="L17" i="20"/>
  <c r="M17" i="20" s="1"/>
  <c r="L18" i="20"/>
  <c r="M18" i="20" s="1"/>
  <c r="L19" i="20"/>
  <c r="P19" i="20" s="1"/>
  <c r="L20" i="20"/>
  <c r="M20" i="20" s="1"/>
  <c r="L21" i="20"/>
  <c r="Q21" i="20" s="1"/>
  <c r="L22" i="20"/>
  <c r="Q22" i="20" s="1"/>
  <c r="L23" i="20"/>
  <c r="M23" i="20" s="1"/>
  <c r="L24" i="20"/>
  <c r="N24" i="20" s="1"/>
  <c r="L25" i="20"/>
  <c r="Q25" i="20" s="1"/>
  <c r="L26" i="20"/>
  <c r="M26" i="20" s="1"/>
  <c r="L27" i="20"/>
  <c r="Q27" i="20" s="1"/>
  <c r="L28" i="20"/>
  <c r="Q28" i="20" s="1"/>
  <c r="L29" i="20"/>
  <c r="M29" i="20" s="1"/>
  <c r="L30" i="20"/>
  <c r="Q30" i="20" s="1"/>
  <c r="L31" i="20"/>
  <c r="Q31" i="20" s="1"/>
  <c r="L32" i="20"/>
  <c r="M32" i="20" s="1"/>
  <c r="L33" i="20"/>
  <c r="Q33" i="20" s="1"/>
  <c r="L34" i="20"/>
  <c r="Q34" i="20" s="1"/>
  <c r="L35" i="20"/>
  <c r="M35" i="20" s="1"/>
  <c r="L36" i="20"/>
  <c r="M36" i="20" s="1"/>
  <c r="H3" i="17"/>
  <c r="I3" i="17"/>
  <c r="H4" i="17"/>
  <c r="I4" i="17"/>
  <c r="H5" i="17"/>
  <c r="I5" i="17"/>
  <c r="H6" i="17"/>
  <c r="I6" i="17"/>
  <c r="H7" i="17"/>
  <c r="I7" i="17"/>
  <c r="H8" i="17"/>
  <c r="I8" i="17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H21" i="17"/>
  <c r="I21" i="17"/>
  <c r="H22" i="17"/>
  <c r="I22" i="17"/>
  <c r="H23" i="17"/>
  <c r="I23" i="17"/>
  <c r="H24" i="17"/>
  <c r="I24" i="17"/>
  <c r="H25" i="17"/>
  <c r="I25" i="17"/>
  <c r="H26" i="17"/>
  <c r="I26" i="17"/>
  <c r="H27" i="17"/>
  <c r="I27" i="17"/>
  <c r="H28" i="17"/>
  <c r="I28" i="17"/>
  <c r="H29" i="17"/>
  <c r="I29" i="17"/>
  <c r="H30" i="17"/>
  <c r="I30" i="17"/>
  <c r="H31" i="17"/>
  <c r="I31" i="17"/>
  <c r="H32" i="17"/>
  <c r="I32" i="17"/>
  <c r="H33" i="17"/>
  <c r="I33" i="17"/>
  <c r="H34" i="17"/>
  <c r="I34" i="17"/>
  <c r="H35" i="17"/>
  <c r="I35" i="17"/>
  <c r="H36" i="17"/>
  <c r="I36" i="17"/>
  <c r="H2" i="17"/>
  <c r="I2" i="17"/>
  <c r="E3" i="17"/>
  <c r="G3" i="17"/>
  <c r="E4" i="17"/>
  <c r="G4" i="17"/>
  <c r="E5" i="17"/>
  <c r="G5" i="17"/>
  <c r="E6" i="17"/>
  <c r="G6" i="17"/>
  <c r="E7" i="17"/>
  <c r="G7" i="17"/>
  <c r="E8" i="17"/>
  <c r="G8" i="17"/>
  <c r="E9" i="17"/>
  <c r="G9" i="17"/>
  <c r="E10" i="17"/>
  <c r="G10" i="17"/>
  <c r="E11" i="17"/>
  <c r="G11" i="17"/>
  <c r="E12" i="17"/>
  <c r="G12" i="17"/>
  <c r="E13" i="17"/>
  <c r="G13" i="17"/>
  <c r="E14" i="17"/>
  <c r="G14" i="17"/>
  <c r="E15" i="17"/>
  <c r="G15" i="17"/>
  <c r="E16" i="17"/>
  <c r="G16" i="17"/>
  <c r="E17" i="17"/>
  <c r="G17" i="17"/>
  <c r="E18" i="17"/>
  <c r="G18" i="17"/>
  <c r="E19" i="17"/>
  <c r="G19" i="17"/>
  <c r="E20" i="17"/>
  <c r="G20" i="17"/>
  <c r="E21" i="17"/>
  <c r="G21" i="17"/>
  <c r="E22" i="17"/>
  <c r="G22" i="17"/>
  <c r="E23" i="17"/>
  <c r="G23" i="17"/>
  <c r="E24" i="17"/>
  <c r="G24" i="17"/>
  <c r="E25" i="17"/>
  <c r="G25" i="17"/>
  <c r="E26" i="17"/>
  <c r="G26" i="17"/>
  <c r="E27" i="17"/>
  <c r="G27" i="17"/>
  <c r="E28" i="17"/>
  <c r="G28" i="17"/>
  <c r="E29" i="17"/>
  <c r="G29" i="17"/>
  <c r="E30" i="17"/>
  <c r="G30" i="17"/>
  <c r="E31" i="17"/>
  <c r="G31" i="17"/>
  <c r="E32" i="17"/>
  <c r="G32" i="17"/>
  <c r="E33" i="17"/>
  <c r="G33" i="17"/>
  <c r="E34" i="17"/>
  <c r="G34" i="17"/>
  <c r="E35" i="17"/>
  <c r="G35" i="17"/>
  <c r="E36" i="17"/>
  <c r="G36" i="17"/>
  <c r="E2" i="17"/>
  <c r="G2" i="17"/>
  <c r="C3" i="17"/>
  <c r="D3" i="17"/>
  <c r="C4" i="17"/>
  <c r="D4" i="17"/>
  <c r="C5" i="17"/>
  <c r="D5" i="17"/>
  <c r="C6" i="17"/>
  <c r="D6" i="17"/>
  <c r="C7" i="17"/>
  <c r="D7" i="17"/>
  <c r="C8" i="17"/>
  <c r="D8" i="17"/>
  <c r="C9" i="17"/>
  <c r="D9" i="17"/>
  <c r="C10" i="17"/>
  <c r="D10" i="17"/>
  <c r="C11" i="17"/>
  <c r="D11" i="17"/>
  <c r="C12" i="17"/>
  <c r="D12" i="17"/>
  <c r="C13" i="17"/>
  <c r="D13" i="17"/>
  <c r="C14" i="17"/>
  <c r="D14" i="17"/>
  <c r="C15" i="17"/>
  <c r="D15" i="17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C29" i="17"/>
  <c r="D29" i="17"/>
  <c r="C30" i="17"/>
  <c r="D30" i="17"/>
  <c r="C31" i="17"/>
  <c r="D31" i="17"/>
  <c r="C32" i="17"/>
  <c r="D32" i="17"/>
  <c r="C33" i="17"/>
  <c r="D33" i="17"/>
  <c r="C34" i="17"/>
  <c r="D34" i="17"/>
  <c r="C35" i="17"/>
  <c r="D35" i="17"/>
  <c r="C36" i="17"/>
  <c r="D36" i="17"/>
  <c r="C2" i="17"/>
  <c r="D2" i="17"/>
  <c r="L3" i="17"/>
  <c r="Q3" i="17" s="1"/>
  <c r="L4" i="17"/>
  <c r="Q4" i="17" s="1"/>
  <c r="L5" i="17"/>
  <c r="M5" i="17" s="1"/>
  <c r="L6" i="17"/>
  <c r="Q6" i="17" s="1"/>
  <c r="L7" i="17"/>
  <c r="Q7" i="17" s="1"/>
  <c r="L8" i="17"/>
  <c r="M8" i="17" s="1"/>
  <c r="L9" i="17"/>
  <c r="Q9" i="17" s="1"/>
  <c r="L10" i="17"/>
  <c r="P10" i="17" s="1"/>
  <c r="L11" i="17"/>
  <c r="M11" i="17" s="1"/>
  <c r="L12" i="17"/>
  <c r="Q12" i="17" s="1"/>
  <c r="L13" i="17"/>
  <c r="P13" i="17" s="1"/>
  <c r="L14" i="17"/>
  <c r="M14" i="17" s="1"/>
  <c r="L15" i="17"/>
  <c r="Q15" i="17" s="1"/>
  <c r="L16" i="17"/>
  <c r="Q16" i="17" s="1"/>
  <c r="L17" i="17"/>
  <c r="M17" i="17" s="1"/>
  <c r="L18" i="17"/>
  <c r="N18" i="17" s="1"/>
  <c r="L19" i="17"/>
  <c r="N19" i="17" s="1"/>
  <c r="L20" i="17"/>
  <c r="M20" i="17" s="1"/>
  <c r="L21" i="17"/>
  <c r="Q21" i="17" s="1"/>
  <c r="L22" i="17"/>
  <c r="Q22" i="17" s="1"/>
  <c r="L23" i="17"/>
  <c r="M23" i="17" s="1"/>
  <c r="L24" i="17"/>
  <c r="Q24" i="17" s="1"/>
  <c r="L25" i="17"/>
  <c r="Q25" i="17" s="1"/>
  <c r="L26" i="17"/>
  <c r="M26" i="17" s="1"/>
  <c r="L27" i="17"/>
  <c r="Q27" i="17" s="1"/>
  <c r="L28" i="17"/>
  <c r="Q28" i="17" s="1"/>
  <c r="L29" i="17"/>
  <c r="M29" i="17" s="1"/>
  <c r="L30" i="17"/>
  <c r="Q30" i="17" s="1"/>
  <c r="L31" i="17"/>
  <c r="P31" i="17" s="1"/>
  <c r="L32" i="17"/>
  <c r="M32" i="17" s="1"/>
  <c r="L33" i="17"/>
  <c r="Q33" i="17" s="1"/>
  <c r="L34" i="17"/>
  <c r="N34" i="17" s="1"/>
  <c r="L35" i="17"/>
  <c r="M35" i="17" s="1"/>
  <c r="L36" i="17"/>
  <c r="N36" i="17" s="1"/>
  <c r="H3" i="14"/>
  <c r="I3" i="14"/>
  <c r="H4" i="14"/>
  <c r="I4" i="14"/>
  <c r="H5" i="14"/>
  <c r="I5" i="14"/>
  <c r="H6" i="14"/>
  <c r="I6" i="14"/>
  <c r="H7" i="14"/>
  <c r="I7" i="14"/>
  <c r="H8" i="14"/>
  <c r="I8" i="14"/>
  <c r="H9" i="14"/>
  <c r="I9" i="14"/>
  <c r="H10" i="14"/>
  <c r="I10" i="14"/>
  <c r="H11" i="14"/>
  <c r="I11" i="14"/>
  <c r="H12" i="14"/>
  <c r="I12" i="14"/>
  <c r="H13" i="14"/>
  <c r="I13" i="14"/>
  <c r="H14" i="14"/>
  <c r="I14" i="14"/>
  <c r="H15" i="14"/>
  <c r="I15" i="14"/>
  <c r="H16" i="14"/>
  <c r="I16" i="14"/>
  <c r="H17" i="14"/>
  <c r="I17" i="14"/>
  <c r="H18" i="14"/>
  <c r="I18" i="14"/>
  <c r="H19" i="14"/>
  <c r="I19" i="14"/>
  <c r="H20" i="14"/>
  <c r="I20" i="14"/>
  <c r="H21" i="14"/>
  <c r="I21" i="14"/>
  <c r="H22" i="14"/>
  <c r="I22" i="14"/>
  <c r="H23" i="14"/>
  <c r="I23" i="14"/>
  <c r="H24" i="14"/>
  <c r="I24" i="14"/>
  <c r="H25" i="14"/>
  <c r="I25" i="14"/>
  <c r="H26" i="14"/>
  <c r="I26" i="14"/>
  <c r="H27" i="14"/>
  <c r="I27" i="14"/>
  <c r="H28" i="14"/>
  <c r="I28" i="14"/>
  <c r="H29" i="14"/>
  <c r="I29" i="14"/>
  <c r="H30" i="14"/>
  <c r="I30" i="14"/>
  <c r="H31" i="14"/>
  <c r="I31" i="14"/>
  <c r="H32" i="14"/>
  <c r="I32" i="14"/>
  <c r="H33" i="14"/>
  <c r="I33" i="14"/>
  <c r="H34" i="14"/>
  <c r="I34" i="14"/>
  <c r="H35" i="14"/>
  <c r="I35" i="14"/>
  <c r="H36" i="14"/>
  <c r="I36" i="14"/>
  <c r="H2" i="14"/>
  <c r="I2" i="14"/>
  <c r="E3" i="14"/>
  <c r="G3" i="14"/>
  <c r="E7" i="14"/>
  <c r="G7" i="14"/>
  <c r="E5" i="14"/>
  <c r="G5" i="14"/>
  <c r="E6" i="14"/>
  <c r="G6" i="14"/>
  <c r="E8" i="14"/>
  <c r="G8" i="14"/>
  <c r="E9" i="14"/>
  <c r="G9" i="14"/>
  <c r="E10" i="14"/>
  <c r="G10" i="14"/>
  <c r="E14" i="14"/>
  <c r="G14" i="14"/>
  <c r="E15" i="14"/>
  <c r="G15" i="14"/>
  <c r="E16" i="14"/>
  <c r="G16" i="14"/>
  <c r="E17" i="14"/>
  <c r="G17" i="14"/>
  <c r="E18" i="14"/>
  <c r="G18" i="14"/>
  <c r="E19" i="14"/>
  <c r="G19" i="14"/>
  <c r="E13" i="14"/>
  <c r="G13" i="14"/>
  <c r="E20" i="14"/>
  <c r="G20" i="14"/>
  <c r="E21" i="14"/>
  <c r="G21" i="14"/>
  <c r="E22" i="14"/>
  <c r="G22" i="14"/>
  <c r="E23" i="14"/>
  <c r="G23" i="14"/>
  <c r="E24" i="14"/>
  <c r="G24" i="14"/>
  <c r="E25" i="14"/>
  <c r="G25" i="14"/>
  <c r="E4" i="14"/>
  <c r="G4" i="14"/>
  <c r="E11" i="14"/>
  <c r="G11" i="14"/>
  <c r="E26" i="14"/>
  <c r="G26" i="14"/>
  <c r="E27" i="14"/>
  <c r="G27" i="14"/>
  <c r="E28" i="14"/>
  <c r="G28" i="14"/>
  <c r="E29" i="14"/>
  <c r="G29" i="14"/>
  <c r="E30" i="14"/>
  <c r="G30" i="14"/>
  <c r="E31" i="14"/>
  <c r="G31" i="14"/>
  <c r="E12" i="14"/>
  <c r="G12" i="14"/>
  <c r="E32" i="14"/>
  <c r="G32" i="14"/>
  <c r="E33" i="14"/>
  <c r="G33" i="14"/>
  <c r="E34" i="14"/>
  <c r="G34" i="14"/>
  <c r="E35" i="14"/>
  <c r="G35" i="14"/>
  <c r="E36" i="14"/>
  <c r="G36" i="14"/>
  <c r="E2" i="14"/>
  <c r="G2" i="14"/>
  <c r="C3" i="14"/>
  <c r="D3" i="14"/>
  <c r="C4" i="14"/>
  <c r="D4" i="14"/>
  <c r="C5" i="14"/>
  <c r="D5" i="14"/>
  <c r="C6" i="14"/>
  <c r="D6" i="14"/>
  <c r="C7" i="14"/>
  <c r="D7" i="14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C34" i="14"/>
  <c r="D34" i="14"/>
  <c r="C35" i="14"/>
  <c r="D35" i="14"/>
  <c r="C36" i="14"/>
  <c r="D36" i="14"/>
  <c r="C2" i="14"/>
  <c r="D2" i="14"/>
  <c r="L3" i="14"/>
  <c r="Q3" i="14" s="1"/>
  <c r="L4" i="14"/>
  <c r="Q4" i="14" s="1"/>
  <c r="L5" i="14"/>
  <c r="M5" i="14" s="1"/>
  <c r="L6" i="14"/>
  <c r="N6" i="14" s="1"/>
  <c r="L7" i="14"/>
  <c r="P7" i="14" s="1"/>
  <c r="L8" i="14"/>
  <c r="M8" i="14" s="1"/>
  <c r="L9" i="14"/>
  <c r="Q9" i="14" s="1"/>
  <c r="L10" i="14"/>
  <c r="N10" i="14" s="1"/>
  <c r="L11" i="14"/>
  <c r="M11" i="14" s="1"/>
  <c r="L12" i="14"/>
  <c r="Q12" i="14" s="1"/>
  <c r="L13" i="14"/>
  <c r="Q13" i="14" s="1"/>
  <c r="L14" i="14"/>
  <c r="M14" i="14" s="1"/>
  <c r="L15" i="14"/>
  <c r="Q15" i="14" s="1"/>
  <c r="L16" i="14"/>
  <c r="Q16" i="14" s="1"/>
  <c r="L17" i="14"/>
  <c r="M17" i="14" s="1"/>
  <c r="L18" i="14"/>
  <c r="P18" i="14" s="1"/>
  <c r="L19" i="14"/>
  <c r="N19" i="14" s="1"/>
  <c r="L20" i="14"/>
  <c r="M20" i="14" s="1"/>
  <c r="L21" i="14"/>
  <c r="Q21" i="14" s="1"/>
  <c r="L22" i="14"/>
  <c r="Q22" i="14" s="1"/>
  <c r="L23" i="14"/>
  <c r="M23" i="14" s="1"/>
  <c r="L24" i="14"/>
  <c r="N24" i="14" s="1"/>
  <c r="L25" i="14"/>
  <c r="P25" i="14" s="1"/>
  <c r="L26" i="14"/>
  <c r="M26" i="14" s="1"/>
  <c r="L27" i="14"/>
  <c r="Q27" i="14" s="1"/>
  <c r="L28" i="14"/>
  <c r="N28" i="14" s="1"/>
  <c r="L29" i="14"/>
  <c r="M29" i="14" s="1"/>
  <c r="L30" i="14"/>
  <c r="P30" i="14" s="1"/>
  <c r="L31" i="14"/>
  <c r="Q31" i="14" s="1"/>
  <c r="L32" i="14"/>
  <c r="M32" i="14" s="1"/>
  <c r="L33" i="14"/>
  <c r="Q33" i="14" s="1"/>
  <c r="L34" i="14"/>
  <c r="Q34" i="14" s="1"/>
  <c r="L35" i="14"/>
  <c r="M35" i="14" s="1"/>
  <c r="L36" i="14"/>
  <c r="P36" i="14" s="1"/>
  <c r="P9" i="20" l="1"/>
  <c r="P11" i="20"/>
  <c r="M6" i="20"/>
  <c r="P30" i="20"/>
  <c r="P18" i="20"/>
  <c r="P3" i="20"/>
  <c r="M4" i="20"/>
  <c r="P20" i="20"/>
  <c r="P36" i="20"/>
  <c r="P32" i="20"/>
  <c r="N33" i="20"/>
  <c r="N5" i="20"/>
  <c r="P33" i="20"/>
  <c r="P14" i="20"/>
  <c r="P5" i="20"/>
  <c r="N26" i="20"/>
  <c r="N20" i="20"/>
  <c r="N14" i="20"/>
  <c r="P26" i="20"/>
  <c r="P12" i="20"/>
  <c r="N23" i="20"/>
  <c r="P29" i="20"/>
  <c r="P21" i="20"/>
  <c r="N11" i="20"/>
  <c r="P27" i="20"/>
  <c r="P23" i="20"/>
  <c r="P15" i="20"/>
  <c r="P8" i="20"/>
  <c r="N31" i="20"/>
  <c r="M30" i="20"/>
  <c r="N29" i="20"/>
  <c r="N9" i="20"/>
  <c r="P35" i="20"/>
  <c r="P24" i="20"/>
  <c r="P17" i="20"/>
  <c r="P6" i="20"/>
  <c r="M31" i="20"/>
  <c r="N25" i="20"/>
  <c r="N19" i="20"/>
  <c r="N13" i="20"/>
  <c r="N7" i="20"/>
  <c r="N34" i="20"/>
  <c r="M25" i="20"/>
  <c r="M19" i="20"/>
  <c r="M13" i="20"/>
  <c r="M7" i="20"/>
  <c r="M34" i="20"/>
  <c r="N16" i="20"/>
  <c r="Q20" i="20"/>
  <c r="N28" i="20"/>
  <c r="N22" i="20"/>
  <c r="M16" i="20"/>
  <c r="N10" i="20"/>
  <c r="Q19" i="20"/>
  <c r="N32" i="20"/>
  <c r="M28" i="20"/>
  <c r="M22" i="20"/>
  <c r="N15" i="20"/>
  <c r="M10" i="20"/>
  <c r="N4" i="20"/>
  <c r="P34" i="20"/>
  <c r="P31" i="20"/>
  <c r="P28" i="20"/>
  <c r="P25" i="20"/>
  <c r="P22" i="20"/>
  <c r="P16" i="20"/>
  <c r="P13" i="20"/>
  <c r="P10" i="20"/>
  <c r="P7" i="20"/>
  <c r="P4" i="20"/>
  <c r="Q32" i="20"/>
  <c r="Q14" i="20"/>
  <c r="M24" i="20"/>
  <c r="N27" i="20"/>
  <c r="N12" i="20"/>
  <c r="M9" i="20"/>
  <c r="Q26" i="20"/>
  <c r="Q8" i="20"/>
  <c r="N30" i="20"/>
  <c r="M27" i="20"/>
  <c r="M12" i="20"/>
  <c r="N8" i="20"/>
  <c r="Q36" i="20"/>
  <c r="Q24" i="20"/>
  <c r="Q18" i="20"/>
  <c r="Q6" i="20"/>
  <c r="N36" i="20"/>
  <c r="M33" i="20"/>
  <c r="N18" i="20"/>
  <c r="M15" i="20"/>
  <c r="Q35" i="20"/>
  <c r="Q29" i="20"/>
  <c r="Q23" i="20"/>
  <c r="Q17" i="20"/>
  <c r="Q11" i="20"/>
  <c r="Q5" i="20"/>
  <c r="N21" i="20"/>
  <c r="N3" i="20"/>
  <c r="N35" i="20"/>
  <c r="M21" i="20"/>
  <c r="N17" i="20"/>
  <c r="M3" i="20"/>
  <c r="M21" i="17"/>
  <c r="P23" i="17"/>
  <c r="N25" i="17"/>
  <c r="M25" i="17"/>
  <c r="N4" i="17"/>
  <c r="N6" i="17"/>
  <c r="N26" i="17"/>
  <c r="N35" i="17"/>
  <c r="M19" i="17"/>
  <c r="Q14" i="17"/>
  <c r="N14" i="17"/>
  <c r="P11" i="17"/>
  <c r="M22" i="17"/>
  <c r="P19" i="17"/>
  <c r="P14" i="17"/>
  <c r="M34" i="17"/>
  <c r="P35" i="17"/>
  <c r="P26" i="17"/>
  <c r="P22" i="17"/>
  <c r="P5" i="17"/>
  <c r="N12" i="17"/>
  <c r="N22" i="17"/>
  <c r="M12" i="17"/>
  <c r="P34" i="17"/>
  <c r="P29" i="17"/>
  <c r="P16" i="17"/>
  <c r="P12" i="17"/>
  <c r="P8" i="17"/>
  <c r="N32" i="17"/>
  <c r="N28" i="17"/>
  <c r="N24" i="17"/>
  <c r="M28" i="17"/>
  <c r="M24" i="17"/>
  <c r="N16" i="17"/>
  <c r="M36" i="17"/>
  <c r="N27" i="17"/>
  <c r="N23" i="17"/>
  <c r="M16" i="17"/>
  <c r="M4" i="17"/>
  <c r="P25" i="17"/>
  <c r="P17" i="17"/>
  <c r="P6" i="17"/>
  <c r="P32" i="17"/>
  <c r="P28" i="17"/>
  <c r="P9" i="17"/>
  <c r="Q19" i="17"/>
  <c r="N31" i="17"/>
  <c r="N10" i="17"/>
  <c r="Q34" i="17"/>
  <c r="M31" i="17"/>
  <c r="M10" i="17"/>
  <c r="Q31" i="17"/>
  <c r="Q13" i="17"/>
  <c r="N20" i="17"/>
  <c r="N13" i="17"/>
  <c r="N7" i="17"/>
  <c r="Q26" i="17"/>
  <c r="Q10" i="17"/>
  <c r="M13" i="17"/>
  <c r="M7" i="17"/>
  <c r="P20" i="17"/>
  <c r="P7" i="17"/>
  <c r="P4" i="17"/>
  <c r="P36" i="17"/>
  <c r="P33" i="17"/>
  <c r="P30" i="17"/>
  <c r="P27" i="17"/>
  <c r="P24" i="17"/>
  <c r="P21" i="17"/>
  <c r="P18" i="17"/>
  <c r="P15" i="17"/>
  <c r="P3" i="17"/>
  <c r="M15" i="14"/>
  <c r="M27" i="17"/>
  <c r="N15" i="17"/>
  <c r="M6" i="17"/>
  <c r="N30" i="17"/>
  <c r="Q32" i="17"/>
  <c r="Q20" i="17"/>
  <c r="Q8" i="17"/>
  <c r="M30" i="17"/>
  <c r="M18" i="17"/>
  <c r="N9" i="17"/>
  <c r="N33" i="17"/>
  <c r="N21" i="17"/>
  <c r="N17" i="17"/>
  <c r="N3" i="17"/>
  <c r="Q36" i="17"/>
  <c r="Q18" i="17"/>
  <c r="M9" i="17"/>
  <c r="Q35" i="17"/>
  <c r="Q29" i="17"/>
  <c r="Q23" i="17"/>
  <c r="Q17" i="17"/>
  <c r="Q11" i="17"/>
  <c r="Q5" i="17"/>
  <c r="M33" i="17"/>
  <c r="N29" i="17"/>
  <c r="M15" i="17"/>
  <c r="N11" i="17"/>
  <c r="M3" i="17"/>
  <c r="N9" i="14"/>
  <c r="N8" i="17"/>
  <c r="N5" i="17"/>
  <c r="N3" i="14"/>
  <c r="P13" i="14"/>
  <c r="N30" i="14"/>
  <c r="M9" i="14"/>
  <c r="N4" i="14"/>
  <c r="M4" i="14"/>
  <c r="P15" i="14"/>
  <c r="N13" i="14"/>
  <c r="P24" i="14"/>
  <c r="P9" i="14"/>
  <c r="P4" i="14"/>
  <c r="M22" i="14"/>
  <c r="N33" i="14"/>
  <c r="N21" i="14"/>
  <c r="M21" i="14"/>
  <c r="M19" i="14"/>
  <c r="M33" i="14"/>
  <c r="M16" i="14"/>
  <c r="P21" i="14"/>
  <c r="P16" i="14"/>
  <c r="P33" i="14"/>
  <c r="P28" i="14"/>
  <c r="N12" i="14"/>
  <c r="M12" i="14"/>
  <c r="M28" i="14"/>
  <c r="M24" i="14"/>
  <c r="N15" i="14"/>
  <c r="P34" i="14"/>
  <c r="P12" i="14"/>
  <c r="M31" i="14"/>
  <c r="N34" i="14"/>
  <c r="N16" i="14"/>
  <c r="N22" i="14"/>
  <c r="M10" i="14"/>
  <c r="P22" i="14"/>
  <c r="P10" i="14"/>
  <c r="P6" i="14"/>
  <c r="Q11" i="14"/>
  <c r="Q29" i="14"/>
  <c r="M34" i="14"/>
  <c r="M30" i="14"/>
  <c r="Q26" i="14"/>
  <c r="M3" i="14"/>
  <c r="Q20" i="14"/>
  <c r="N27" i="14"/>
  <c r="N31" i="14"/>
  <c r="M27" i="14"/>
  <c r="M13" i="14"/>
  <c r="M6" i="14"/>
  <c r="P31" i="14"/>
  <c r="P27" i="14"/>
  <c r="P3" i="14"/>
  <c r="Q8" i="14"/>
  <c r="Q32" i="14"/>
  <c r="Q14" i="14"/>
  <c r="N36" i="14"/>
  <c r="N18" i="14"/>
  <c r="Q25" i="14"/>
  <c r="Q19" i="14"/>
  <c r="Q7" i="14"/>
  <c r="M36" i="14"/>
  <c r="M18" i="14"/>
  <c r="Q36" i="14"/>
  <c r="Q30" i="14"/>
  <c r="Q24" i="14"/>
  <c r="Q18" i="14"/>
  <c r="Q6" i="14"/>
  <c r="N25" i="14"/>
  <c r="N7" i="14"/>
  <c r="P19" i="14"/>
  <c r="Q35" i="14"/>
  <c r="Q23" i="14"/>
  <c r="Q17" i="14"/>
  <c r="Q5" i="14"/>
  <c r="M25" i="14"/>
  <c r="M7" i="14"/>
  <c r="Q28" i="14"/>
  <c r="Q10" i="14"/>
  <c r="P35" i="14"/>
  <c r="P32" i="14"/>
  <c r="P29" i="14"/>
  <c r="P26" i="14"/>
  <c r="P23" i="14"/>
  <c r="P20" i="14"/>
  <c r="P17" i="14"/>
  <c r="P14" i="14"/>
  <c r="P11" i="14"/>
  <c r="P8" i="14"/>
  <c r="P5" i="14"/>
  <c r="N35" i="14"/>
  <c r="N32" i="14"/>
  <c r="N29" i="14"/>
  <c r="N26" i="14"/>
  <c r="N23" i="14"/>
  <c r="N20" i="14"/>
  <c r="N17" i="14"/>
  <c r="N14" i="14"/>
  <c r="N11" i="14"/>
  <c r="N8" i="14"/>
  <c r="N5" i="14"/>
</calcChain>
</file>

<file path=xl/sharedStrings.xml><?xml version="1.0" encoding="utf-8"?>
<sst xmlns="http://schemas.openxmlformats.org/spreadsheetml/2006/main" count="96" uniqueCount="23">
  <si>
    <t>NAME</t>
  </si>
  <si>
    <t>year</t>
  </si>
  <si>
    <t>variable</t>
  </si>
  <si>
    <t>value</t>
  </si>
  <si>
    <t>pop</t>
  </si>
  <si>
    <t>pop_lag</t>
  </si>
  <si>
    <t>change</t>
  </si>
  <si>
    <t>pct_change</t>
  </si>
  <si>
    <t>Schertz city, Texas</t>
  </si>
  <si>
    <t>POP</t>
  </si>
  <si>
    <t>LastCell</t>
  </si>
  <si>
    <t>Range</t>
  </si>
  <si>
    <t>t^2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</si>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</sst>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2" fillId="0" borderId="0" xfId="0" applyFont="1" applyFill="1" applyAlignment="1"/>
    <xf numFmtId="165" fontId="0" fillId="0" borderId="0" xfId="0" applyNumberFormat="1" applyFill="1"/>
    <xf numFmtId="0" fontId="2" fillId="2" borderId="0" xfId="0" applyFont="1" applyFill="1" applyAlignment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pop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'!$K$2:$K$16</c:f>
              <c:numCache>
                <c:formatCode>0.0</c:formatCode>
                <c:ptCount val="15"/>
                <c:pt idx="1">
                  <c:v>1167</c:v>
                </c:pt>
                <c:pt idx="2">
                  <c:v>1525</c:v>
                </c:pt>
                <c:pt idx="3">
                  <c:v>872</c:v>
                </c:pt>
                <c:pt idx="4">
                  <c:v>974</c:v>
                </c:pt>
                <c:pt idx="5">
                  <c:v>971</c:v>
                </c:pt>
                <c:pt idx="6">
                  <c:v>1437</c:v>
                </c:pt>
                <c:pt idx="7">
                  <c:v>1007</c:v>
                </c:pt>
                <c:pt idx="8">
                  <c:v>933</c:v>
                </c:pt>
                <c:pt idx="9">
                  <c:v>1007</c:v>
                </c:pt>
                <c:pt idx="10">
                  <c:v>110</c:v>
                </c:pt>
                <c:pt idx="11">
                  <c:v>527</c:v>
                </c:pt>
                <c:pt idx="12">
                  <c:v>408</c:v>
                </c:pt>
                <c:pt idx="13">
                  <c:v>308</c:v>
                </c:pt>
                <c:pt idx="14">
                  <c:v>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7C4C-A223-CC23B9101F93}"/>
            </c:ext>
          </c:extLst>
        </c:ser>
        <c:ser>
          <c:idx val="1"/>
          <c:order val="1"/>
          <c:tx>
            <c:strRef>
              <c:f>'pop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EF9-7C4C-A223-CC23B9101F93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F9-7C4C-A223-CC23B9101F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'!$L$2:$L$16</c:f>
              <c:numCache>
                <c:formatCode>0.0</c:formatCode>
                <c:ptCount val="15"/>
                <c:pt idx="1">
                  <c:v>2865.3923571428568</c:v>
                </c:pt>
                <c:pt idx="2">
                  <c:v>2865.3923571428568</c:v>
                </c:pt>
                <c:pt idx="3">
                  <c:v>2865.3923571428568</c:v>
                </c:pt>
                <c:pt idx="4">
                  <c:v>2865.3923571428568</c:v>
                </c:pt>
                <c:pt idx="5">
                  <c:v>2865.3923571428568</c:v>
                </c:pt>
                <c:pt idx="6">
                  <c:v>2865.3923571428568</c:v>
                </c:pt>
                <c:pt idx="7">
                  <c:v>2865.3923571428568</c:v>
                </c:pt>
                <c:pt idx="8">
                  <c:v>2865.3923571428568</c:v>
                </c:pt>
                <c:pt idx="9">
                  <c:v>2865.3923571428568</c:v>
                </c:pt>
                <c:pt idx="10">
                  <c:v>2865.3923571428568</c:v>
                </c:pt>
                <c:pt idx="11">
                  <c:v>2865.3923571428568</c:v>
                </c:pt>
                <c:pt idx="12">
                  <c:v>2865.3923571428568</c:v>
                </c:pt>
                <c:pt idx="13">
                  <c:v>2865.3923571428568</c:v>
                </c:pt>
                <c:pt idx="14">
                  <c:v>2865.3923571428568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F9-7C4C-A223-CC23B9101F93}"/>
            </c:ext>
          </c:extLst>
        </c:ser>
        <c:ser>
          <c:idx val="2"/>
          <c:order val="2"/>
          <c:tx>
            <c:strRef>
              <c:f>'pop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'!$M$2:$M$16</c:f>
              <c:numCache>
                <c:formatCode>0.0</c:formatCode>
                <c:ptCount val="15"/>
                <c:pt idx="1">
                  <c:v>2202.6187142857138</c:v>
                </c:pt>
                <c:pt idx="2">
                  <c:v>2202.6187142857138</c:v>
                </c:pt>
                <c:pt idx="3">
                  <c:v>2202.6187142857138</c:v>
                </c:pt>
                <c:pt idx="4">
                  <c:v>2202.6187142857138</c:v>
                </c:pt>
                <c:pt idx="5">
                  <c:v>2202.6187142857138</c:v>
                </c:pt>
                <c:pt idx="6">
                  <c:v>2202.6187142857138</c:v>
                </c:pt>
                <c:pt idx="7">
                  <c:v>2202.6187142857138</c:v>
                </c:pt>
                <c:pt idx="8">
                  <c:v>2202.6187142857138</c:v>
                </c:pt>
                <c:pt idx="9">
                  <c:v>2202.6187142857138</c:v>
                </c:pt>
                <c:pt idx="10">
                  <c:v>2202.6187142857138</c:v>
                </c:pt>
                <c:pt idx="11">
                  <c:v>2202.6187142857138</c:v>
                </c:pt>
                <c:pt idx="12">
                  <c:v>2202.6187142857138</c:v>
                </c:pt>
                <c:pt idx="13">
                  <c:v>2202.6187142857138</c:v>
                </c:pt>
                <c:pt idx="14">
                  <c:v>2202.6187142857138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F9-7C4C-A223-CC23B9101F93}"/>
            </c:ext>
          </c:extLst>
        </c:ser>
        <c:ser>
          <c:idx val="3"/>
          <c:order val="3"/>
          <c:tx>
            <c:strRef>
              <c:f>'pop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'!$N$2:$N$16</c:f>
              <c:numCache>
                <c:formatCode>0.0</c:formatCode>
                <c:ptCount val="15"/>
                <c:pt idx="1">
                  <c:v>1539.8450714285714</c:v>
                </c:pt>
                <c:pt idx="2">
                  <c:v>1539.8450714285714</c:v>
                </c:pt>
                <c:pt idx="3">
                  <c:v>1539.8450714285714</c:v>
                </c:pt>
                <c:pt idx="4">
                  <c:v>1539.8450714285714</c:v>
                </c:pt>
                <c:pt idx="5">
                  <c:v>1539.8450714285714</c:v>
                </c:pt>
                <c:pt idx="6">
                  <c:v>1539.8450714285714</c:v>
                </c:pt>
                <c:pt idx="7">
                  <c:v>1539.8450714285714</c:v>
                </c:pt>
                <c:pt idx="8">
                  <c:v>1539.8450714285714</c:v>
                </c:pt>
                <c:pt idx="9">
                  <c:v>1539.8450714285714</c:v>
                </c:pt>
                <c:pt idx="10">
                  <c:v>1539.8450714285714</c:v>
                </c:pt>
                <c:pt idx="11">
                  <c:v>1539.8450714285714</c:v>
                </c:pt>
                <c:pt idx="12">
                  <c:v>1539.8450714285714</c:v>
                </c:pt>
                <c:pt idx="13">
                  <c:v>1539.8450714285714</c:v>
                </c:pt>
                <c:pt idx="14">
                  <c:v>1539.8450714285714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F9-7C4C-A223-CC23B9101F93}"/>
            </c:ext>
          </c:extLst>
        </c:ser>
        <c:ser>
          <c:idx val="4"/>
          <c:order val="4"/>
          <c:tx>
            <c:strRef>
              <c:f>'pop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9-7C4C-A223-CC23B9101F93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9-7C4C-A223-CC23B9101F93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9-7C4C-A223-CC23B9101F93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EF9-7C4C-A223-CC23B9101F93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F9-7C4C-A223-CC23B9101F93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EF9-7C4C-A223-CC23B9101F93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2EF9-7C4C-A223-CC23B9101F93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2EF9-7C4C-A223-CC23B9101F93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2EF9-7C4C-A223-CC23B9101F93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2EF9-7C4C-A223-CC23B9101F93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2EF9-7C4C-A223-CC23B9101F93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2EF9-7C4C-A223-CC23B9101F93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2EF9-7C4C-A223-CC23B9101F93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2EF9-7C4C-A223-CC23B9101F93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2EF9-7C4C-A223-CC23B9101F93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EF9-7C4C-A223-CC23B9101F93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EF9-7C4C-A223-CC23B9101F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'!$O$2:$O$16</c:f>
              <c:numCache>
                <c:formatCode>0.0</c:formatCode>
                <c:ptCount val="15"/>
                <c:pt idx="0">
                  <c:v>877.07142857142856</c:v>
                </c:pt>
                <c:pt idx="1">
                  <c:v>877.07142857142856</c:v>
                </c:pt>
                <c:pt idx="2">
                  <c:v>877.07142857142856</c:v>
                </c:pt>
                <c:pt idx="3">
                  <c:v>877.07142857142856</c:v>
                </c:pt>
                <c:pt idx="4">
                  <c:v>877.07142857142856</c:v>
                </c:pt>
                <c:pt idx="5">
                  <c:v>877.07142857142856</c:v>
                </c:pt>
                <c:pt idx="6">
                  <c:v>877.07142857142856</c:v>
                </c:pt>
                <c:pt idx="7">
                  <c:v>877.07142857142856</c:v>
                </c:pt>
                <c:pt idx="8">
                  <c:v>877.07142857142856</c:v>
                </c:pt>
                <c:pt idx="9">
                  <c:v>877.07142857142856</c:v>
                </c:pt>
                <c:pt idx="10">
                  <c:v>877.07142857142856</c:v>
                </c:pt>
                <c:pt idx="11">
                  <c:v>877.07142857142856</c:v>
                </c:pt>
                <c:pt idx="12">
                  <c:v>877.07142857142856</c:v>
                </c:pt>
                <c:pt idx="13">
                  <c:v>877.07142857142856</c:v>
                </c:pt>
                <c:pt idx="14">
                  <c:v>877.07142857142856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EF9-7C4C-A223-CC23B9101F93}"/>
            </c:ext>
          </c:extLst>
        </c:ser>
        <c:ser>
          <c:idx val="5"/>
          <c:order val="5"/>
          <c:tx>
            <c:strRef>
              <c:f>'pop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'!$P$2:$P$16</c:f>
              <c:numCache>
                <c:formatCode>0.0</c:formatCode>
                <c:ptCount val="15"/>
                <c:pt idx="1">
                  <c:v>214.29778571428585</c:v>
                </c:pt>
                <c:pt idx="2">
                  <c:v>214.29778571428585</c:v>
                </c:pt>
                <c:pt idx="3">
                  <c:v>214.29778571428585</c:v>
                </c:pt>
                <c:pt idx="4">
                  <c:v>214.29778571428585</c:v>
                </c:pt>
                <c:pt idx="5">
                  <c:v>214.29778571428585</c:v>
                </c:pt>
                <c:pt idx="6">
                  <c:v>214.29778571428585</c:v>
                </c:pt>
                <c:pt idx="7">
                  <c:v>214.29778571428585</c:v>
                </c:pt>
                <c:pt idx="8">
                  <c:v>214.29778571428585</c:v>
                </c:pt>
                <c:pt idx="9">
                  <c:v>214.29778571428585</c:v>
                </c:pt>
                <c:pt idx="10">
                  <c:v>214.29778571428585</c:v>
                </c:pt>
                <c:pt idx="11">
                  <c:v>214.29778571428585</c:v>
                </c:pt>
                <c:pt idx="12">
                  <c:v>214.29778571428585</c:v>
                </c:pt>
                <c:pt idx="13">
                  <c:v>214.29778571428585</c:v>
                </c:pt>
                <c:pt idx="14">
                  <c:v>214.29778571428585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EF9-7C4C-A223-CC23B9101F93}"/>
            </c:ext>
          </c:extLst>
        </c:ser>
        <c:ser>
          <c:idx val="6"/>
          <c:order val="6"/>
          <c:tx>
            <c:strRef>
              <c:f>'pop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'!$Q$2:$Q$16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EF9-7C4C-A223-CC23B9101F93}"/>
            </c:ext>
          </c:extLst>
        </c:ser>
        <c:ser>
          <c:idx val="7"/>
          <c:order val="7"/>
          <c:tx>
            <c:strRef>
              <c:f>'pop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'!$R$2:$R$16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EF9-7C4C-A223-CC23B910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719215"/>
        <c:axId val="1837877311"/>
      </c:lineChart>
      <c:catAx>
        <c:axId val="183771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37877311"/>
        <c:crosses val="autoZero"/>
        <c:auto val="0"/>
        <c:lblAlgn val="ctr"/>
        <c:lblOffset val="100"/>
        <c:noMultiLvlLbl val="0"/>
      </c:catAx>
      <c:valAx>
        <c:axId val="1837877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83771921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pop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XmR '!$B$1</c:f>
              <c:strCache>
                <c:ptCount val="1"/>
                <c:pt idx="0">
                  <c:v>pop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'!$B$2:$B$16</c:f>
              <c:numCache>
                <c:formatCode>0.0</c:formatCode>
                <c:ptCount val="15"/>
                <c:pt idx="0">
                  <c:v>32149</c:v>
                </c:pt>
                <c:pt idx="1">
                  <c:v>33316</c:v>
                </c:pt>
                <c:pt idx="2">
                  <c:v>34841</c:v>
                </c:pt>
                <c:pt idx="3">
                  <c:v>35713</c:v>
                </c:pt>
                <c:pt idx="4">
                  <c:v>36687</c:v>
                </c:pt>
                <c:pt idx="5">
                  <c:v>37658</c:v>
                </c:pt>
                <c:pt idx="6">
                  <c:v>39095</c:v>
                </c:pt>
                <c:pt idx="7">
                  <c:v>40102</c:v>
                </c:pt>
                <c:pt idx="8">
                  <c:v>41035</c:v>
                </c:pt>
                <c:pt idx="9">
                  <c:v>42042</c:v>
                </c:pt>
                <c:pt idx="10">
                  <c:v>42152</c:v>
                </c:pt>
                <c:pt idx="11">
                  <c:v>42679</c:v>
                </c:pt>
                <c:pt idx="12">
                  <c:v>43087</c:v>
                </c:pt>
                <c:pt idx="13">
                  <c:v>43395</c:v>
                </c:pt>
                <c:pt idx="14">
                  <c:v>44428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E-4F4D-9305-E02D594895B6}"/>
            </c:ext>
          </c:extLst>
        </c:ser>
        <c:ser>
          <c:idx val="1"/>
          <c:order val="1"/>
          <c:tx>
            <c:strRef>
              <c:f>'pop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5E-4F4D-9305-E02D594895B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5E-4F4D-9305-E02D594895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'!$C$2:$C$16</c:f>
              <c:numCache>
                <c:formatCode>0.0</c:formatCode>
                <c:ptCount val="15"/>
                <c:pt idx="0">
                  <c:v>35492.676666666674</c:v>
                </c:pt>
                <c:pt idx="1">
                  <c:v>36359.190952380959</c:v>
                </c:pt>
                <c:pt idx="2">
                  <c:v>37225.705238095245</c:v>
                </c:pt>
                <c:pt idx="3">
                  <c:v>38092.21952380953</c:v>
                </c:pt>
                <c:pt idx="4">
                  <c:v>38958.733809523816</c:v>
                </c:pt>
                <c:pt idx="5">
                  <c:v>39825.248095238101</c:v>
                </c:pt>
                <c:pt idx="6">
                  <c:v>40691.762380952387</c:v>
                </c:pt>
                <c:pt idx="7">
                  <c:v>41558.276666666672</c:v>
                </c:pt>
                <c:pt idx="8">
                  <c:v>42424.790952380958</c:v>
                </c:pt>
                <c:pt idx="9">
                  <c:v>43291.305238095243</c:v>
                </c:pt>
                <c:pt idx="10">
                  <c:v>44157.819523809529</c:v>
                </c:pt>
                <c:pt idx="11">
                  <c:v>45024.333809523814</c:v>
                </c:pt>
                <c:pt idx="12">
                  <c:v>45890.8480952381</c:v>
                </c:pt>
                <c:pt idx="13">
                  <c:v>46757.362380952385</c:v>
                </c:pt>
                <c:pt idx="14">
                  <c:v>47623.876666666671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E-4F4D-9305-E02D594895B6}"/>
            </c:ext>
          </c:extLst>
        </c:ser>
        <c:ser>
          <c:idx val="2"/>
          <c:order val="2"/>
          <c:tx>
            <c:strRef>
              <c:f>'pop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'!$D$2:$D$16</c:f>
              <c:numCache>
                <c:formatCode>0.0</c:formatCode>
                <c:ptCount val="15"/>
                <c:pt idx="0">
                  <c:v>34715.006666666668</c:v>
                </c:pt>
                <c:pt idx="1">
                  <c:v>35581.520952380961</c:v>
                </c:pt>
                <c:pt idx="2">
                  <c:v>36448.035238095239</c:v>
                </c:pt>
                <c:pt idx="3">
                  <c:v>37314.549523809532</c:v>
                </c:pt>
                <c:pt idx="4">
                  <c:v>38181.06380952381</c:v>
                </c:pt>
                <c:pt idx="5">
                  <c:v>39047.578095238103</c:v>
                </c:pt>
                <c:pt idx="6">
                  <c:v>39914.092380952381</c:v>
                </c:pt>
                <c:pt idx="7">
                  <c:v>40780.606666666674</c:v>
                </c:pt>
                <c:pt idx="8">
                  <c:v>41647.120952380952</c:v>
                </c:pt>
                <c:pt idx="9">
                  <c:v>42513.635238095245</c:v>
                </c:pt>
                <c:pt idx="10">
                  <c:v>43380.149523809523</c:v>
                </c:pt>
                <c:pt idx="11">
                  <c:v>44246.663809523816</c:v>
                </c:pt>
                <c:pt idx="12">
                  <c:v>45113.178095238094</c:v>
                </c:pt>
                <c:pt idx="13">
                  <c:v>45979.692380952387</c:v>
                </c:pt>
                <c:pt idx="14">
                  <c:v>46846.206666666665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E-4F4D-9305-E02D594895B6}"/>
            </c:ext>
          </c:extLst>
        </c:ser>
        <c:ser>
          <c:idx val="3"/>
          <c:order val="3"/>
          <c:tx>
            <c:strRef>
              <c:f>'pop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'!$E$2:$E$16</c:f>
              <c:numCache>
                <c:formatCode>0.0</c:formatCode>
                <c:ptCount val="15"/>
                <c:pt idx="0">
                  <c:v>33937.33666666667</c:v>
                </c:pt>
                <c:pt idx="1">
                  <c:v>34803.850952380955</c:v>
                </c:pt>
                <c:pt idx="2">
                  <c:v>35670.365238095241</c:v>
                </c:pt>
                <c:pt idx="3">
                  <c:v>36536.879523809526</c:v>
                </c:pt>
                <c:pt idx="4">
                  <c:v>37403.393809523812</c:v>
                </c:pt>
                <c:pt idx="5">
                  <c:v>38269.908095238097</c:v>
                </c:pt>
                <c:pt idx="6">
                  <c:v>39136.422380952383</c:v>
                </c:pt>
                <c:pt idx="7">
                  <c:v>40002.936666666668</c:v>
                </c:pt>
                <c:pt idx="8">
                  <c:v>40869.450952380954</c:v>
                </c:pt>
                <c:pt idx="9">
                  <c:v>41735.965238095239</c:v>
                </c:pt>
                <c:pt idx="10">
                  <c:v>42602.479523809525</c:v>
                </c:pt>
                <c:pt idx="11">
                  <c:v>43468.99380952381</c:v>
                </c:pt>
                <c:pt idx="12">
                  <c:v>44335.508095238096</c:v>
                </c:pt>
                <c:pt idx="13">
                  <c:v>45202.022380952381</c:v>
                </c:pt>
                <c:pt idx="14">
                  <c:v>46068.536666666667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E-4F4D-9305-E02D594895B6}"/>
            </c:ext>
          </c:extLst>
        </c:ser>
        <c:ser>
          <c:idx val="4"/>
          <c:order val="4"/>
          <c:tx>
            <c:strRef>
              <c:f>'pop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5E-4F4D-9305-E02D594895B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5E-4F4D-9305-E02D594895B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5E-4F4D-9305-E02D594895B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25E-4F4D-9305-E02D594895B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25E-4F4D-9305-E02D594895B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25E-4F4D-9305-E02D594895B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5E-4F4D-9305-E02D594895B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25E-4F4D-9305-E02D594895B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25E-4F4D-9305-E02D594895B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25E-4F4D-9305-E02D594895B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25E-4F4D-9305-E02D594895B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25E-4F4D-9305-E02D594895B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25E-4F4D-9305-E02D594895B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25E-4F4D-9305-E02D594895B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B25E-4F4D-9305-E02D594895B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25E-4F4D-9305-E02D594895B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25E-4F4D-9305-E02D594895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'!$F$2:$F$16</c:f>
              <c:numCache>
                <c:formatCode>0.0</c:formatCode>
                <c:ptCount val="15"/>
                <c:pt idx="0">
                  <c:v>33159.666666666672</c:v>
                </c:pt>
                <c:pt idx="1">
                  <c:v>34026.180952380957</c:v>
                </c:pt>
                <c:pt idx="2">
                  <c:v>34892.695238095243</c:v>
                </c:pt>
                <c:pt idx="3">
                  <c:v>35759.209523809528</c:v>
                </c:pt>
                <c:pt idx="4">
                  <c:v>36625.723809523814</c:v>
                </c:pt>
                <c:pt idx="5">
                  <c:v>37492.238095238099</c:v>
                </c:pt>
                <c:pt idx="6">
                  <c:v>38358.752380952385</c:v>
                </c:pt>
                <c:pt idx="7">
                  <c:v>39225.26666666667</c:v>
                </c:pt>
                <c:pt idx="8">
                  <c:v>40091.780952380956</c:v>
                </c:pt>
                <c:pt idx="9">
                  <c:v>40958.295238095241</c:v>
                </c:pt>
                <c:pt idx="10">
                  <c:v>41824.809523809527</c:v>
                </c:pt>
                <c:pt idx="11">
                  <c:v>42691.323809523812</c:v>
                </c:pt>
                <c:pt idx="12">
                  <c:v>43557.838095238098</c:v>
                </c:pt>
                <c:pt idx="13">
                  <c:v>44424.352380952383</c:v>
                </c:pt>
                <c:pt idx="14">
                  <c:v>45290.866666666669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25E-4F4D-9305-E02D594895B6}"/>
            </c:ext>
          </c:extLst>
        </c:ser>
        <c:ser>
          <c:idx val="5"/>
          <c:order val="5"/>
          <c:tx>
            <c:strRef>
              <c:f>'pop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'!$G$2:$G$16</c:f>
              <c:numCache>
                <c:formatCode>0.0</c:formatCode>
                <c:ptCount val="15"/>
                <c:pt idx="0">
                  <c:v>32381.996666666673</c:v>
                </c:pt>
                <c:pt idx="1">
                  <c:v>33248.510952380959</c:v>
                </c:pt>
                <c:pt idx="2">
                  <c:v>34115.025238095244</c:v>
                </c:pt>
                <c:pt idx="3">
                  <c:v>34981.53952380953</c:v>
                </c:pt>
                <c:pt idx="4">
                  <c:v>35848.053809523815</c:v>
                </c:pt>
                <c:pt idx="5">
                  <c:v>36714.568095238101</c:v>
                </c:pt>
                <c:pt idx="6">
                  <c:v>37581.082380952386</c:v>
                </c:pt>
                <c:pt idx="7">
                  <c:v>38447.596666666672</c:v>
                </c:pt>
                <c:pt idx="8">
                  <c:v>39314.110952380957</c:v>
                </c:pt>
                <c:pt idx="9">
                  <c:v>40180.625238095243</c:v>
                </c:pt>
                <c:pt idx="10">
                  <c:v>41047.139523809528</c:v>
                </c:pt>
                <c:pt idx="11">
                  <c:v>41913.653809523814</c:v>
                </c:pt>
                <c:pt idx="12">
                  <c:v>42780.168095238099</c:v>
                </c:pt>
                <c:pt idx="13">
                  <c:v>43646.682380952385</c:v>
                </c:pt>
                <c:pt idx="14">
                  <c:v>44513.19666666667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25E-4F4D-9305-E02D594895B6}"/>
            </c:ext>
          </c:extLst>
        </c:ser>
        <c:ser>
          <c:idx val="6"/>
          <c:order val="6"/>
          <c:tx>
            <c:strRef>
              <c:f>'pop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'!$H$2:$H$16</c:f>
              <c:numCache>
                <c:formatCode>0.0</c:formatCode>
                <c:ptCount val="15"/>
                <c:pt idx="0">
                  <c:v>31604.326666666671</c:v>
                </c:pt>
                <c:pt idx="1">
                  <c:v>32470.840952380957</c:v>
                </c:pt>
                <c:pt idx="2">
                  <c:v>33337.355238095246</c:v>
                </c:pt>
                <c:pt idx="3">
                  <c:v>34203.869523809524</c:v>
                </c:pt>
                <c:pt idx="4">
                  <c:v>35070.383809523817</c:v>
                </c:pt>
                <c:pt idx="5">
                  <c:v>35936.898095238095</c:v>
                </c:pt>
                <c:pt idx="6">
                  <c:v>36803.412380952388</c:v>
                </c:pt>
                <c:pt idx="7">
                  <c:v>37669.926666666666</c:v>
                </c:pt>
                <c:pt idx="8">
                  <c:v>38536.440952380959</c:v>
                </c:pt>
                <c:pt idx="9">
                  <c:v>39402.955238095237</c:v>
                </c:pt>
                <c:pt idx="10">
                  <c:v>40269.46952380953</c:v>
                </c:pt>
                <c:pt idx="11">
                  <c:v>41135.983809523808</c:v>
                </c:pt>
                <c:pt idx="12">
                  <c:v>42002.498095238101</c:v>
                </c:pt>
                <c:pt idx="13">
                  <c:v>42869.012380952379</c:v>
                </c:pt>
                <c:pt idx="14">
                  <c:v>43735.526666666672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25E-4F4D-9305-E02D594895B6}"/>
            </c:ext>
          </c:extLst>
        </c:ser>
        <c:ser>
          <c:idx val="7"/>
          <c:order val="7"/>
          <c:tx>
            <c:strRef>
              <c:f>'pop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B25E-4F4D-9305-E02D594895B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25E-4F4D-9305-E02D594895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'pop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'pop XmR '!$I$2:$I$16</c:f>
              <c:numCache>
                <c:formatCode>0.0</c:formatCode>
                <c:ptCount val="15"/>
                <c:pt idx="0">
                  <c:v>30826.656666666669</c:v>
                </c:pt>
                <c:pt idx="1">
                  <c:v>31693.170952380955</c:v>
                </c:pt>
                <c:pt idx="2">
                  <c:v>32559.68523809524</c:v>
                </c:pt>
                <c:pt idx="3">
                  <c:v>33426.199523809526</c:v>
                </c:pt>
                <c:pt idx="4">
                  <c:v>34292.713809523812</c:v>
                </c:pt>
                <c:pt idx="5">
                  <c:v>35159.228095238097</c:v>
                </c:pt>
                <c:pt idx="6">
                  <c:v>36025.742380952383</c:v>
                </c:pt>
                <c:pt idx="7">
                  <c:v>36892.256666666668</c:v>
                </c:pt>
                <c:pt idx="8">
                  <c:v>37758.770952380954</c:v>
                </c:pt>
                <c:pt idx="9">
                  <c:v>38625.285238095239</c:v>
                </c:pt>
                <c:pt idx="10">
                  <c:v>39491.799523809525</c:v>
                </c:pt>
                <c:pt idx="11">
                  <c:v>40358.31380952381</c:v>
                </c:pt>
                <c:pt idx="12">
                  <c:v>41224.828095238096</c:v>
                </c:pt>
                <c:pt idx="13">
                  <c:v>42091.342380952381</c:v>
                </c:pt>
                <c:pt idx="14">
                  <c:v>42957.856666666667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25E-4F4D-9305-E02D59489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600239"/>
        <c:axId val="1571601951"/>
      </c:lineChart>
      <c:catAx>
        <c:axId val="1571600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1601951"/>
        <c:crosses val="autoZero"/>
        <c:auto val="0"/>
        <c:lblAlgn val="ctr"/>
        <c:lblOffset val="100"/>
        <c:noMultiLvlLbl val="0"/>
      </c:catAx>
      <c:valAx>
        <c:axId val="1571601951"/>
        <c:scaling>
          <c:orientation val="minMax"/>
          <c:min val="30048.9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7160023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change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'change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'!$K$2:$K$16</c:f>
              <c:numCache>
                <c:formatCode>General</c:formatCode>
                <c:ptCount val="15"/>
                <c:pt idx="2" formatCode="0.0">
                  <c:v>358</c:v>
                </c:pt>
                <c:pt idx="3" formatCode="0.0">
                  <c:v>653</c:v>
                </c:pt>
                <c:pt idx="4" formatCode="0.0">
                  <c:v>102</c:v>
                </c:pt>
                <c:pt idx="5" formatCode="0.0">
                  <c:v>3</c:v>
                </c:pt>
                <c:pt idx="6" formatCode="0.0">
                  <c:v>466</c:v>
                </c:pt>
                <c:pt idx="7" formatCode="0.0">
                  <c:v>430</c:v>
                </c:pt>
                <c:pt idx="8" formatCode="0.0">
                  <c:v>74</c:v>
                </c:pt>
                <c:pt idx="9" formatCode="0.0">
                  <c:v>74</c:v>
                </c:pt>
                <c:pt idx="10" formatCode="0.0">
                  <c:v>897</c:v>
                </c:pt>
                <c:pt idx="11" formatCode="0.0">
                  <c:v>417</c:v>
                </c:pt>
                <c:pt idx="12" formatCode="0.0">
                  <c:v>119</c:v>
                </c:pt>
                <c:pt idx="13" formatCode="0.0">
                  <c:v>100</c:v>
                </c:pt>
                <c:pt idx="14" formatCode="0.0">
                  <c:v>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7-C04F-B1CF-554E362AA085}"/>
            </c:ext>
          </c:extLst>
        </c:ser>
        <c:ser>
          <c:idx val="1"/>
          <c:order val="1"/>
          <c:tx>
            <c:strRef>
              <c:f>'change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387-C04F-B1CF-554E362AA085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87-C04F-B1CF-554E362AA0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'!$L$2:$L$16</c:f>
              <c:numCache>
                <c:formatCode>0.0</c:formatCode>
                <c:ptCount val="15"/>
                <c:pt idx="1">
                  <c:v>1110.2773846153846</c:v>
                </c:pt>
                <c:pt idx="2">
                  <c:v>1110.2773846153846</c:v>
                </c:pt>
                <c:pt idx="3">
                  <c:v>1110.2773846153846</c:v>
                </c:pt>
                <c:pt idx="4">
                  <c:v>1110.2773846153846</c:v>
                </c:pt>
                <c:pt idx="5">
                  <c:v>1110.2773846153846</c:v>
                </c:pt>
                <c:pt idx="6">
                  <c:v>1110.2773846153846</c:v>
                </c:pt>
                <c:pt idx="7">
                  <c:v>1110.2773846153846</c:v>
                </c:pt>
                <c:pt idx="8">
                  <c:v>1110.2773846153846</c:v>
                </c:pt>
                <c:pt idx="9">
                  <c:v>1110.2773846153846</c:v>
                </c:pt>
                <c:pt idx="10">
                  <c:v>1110.2773846153846</c:v>
                </c:pt>
                <c:pt idx="11">
                  <c:v>1110.2773846153846</c:v>
                </c:pt>
                <c:pt idx="12">
                  <c:v>1110.2773846153846</c:v>
                </c:pt>
                <c:pt idx="13">
                  <c:v>1110.2773846153846</c:v>
                </c:pt>
                <c:pt idx="14">
                  <c:v>1110.2773846153846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7-C04F-B1CF-554E362AA085}"/>
            </c:ext>
          </c:extLst>
        </c:ser>
        <c:ser>
          <c:idx val="2"/>
          <c:order val="2"/>
          <c:tx>
            <c:strRef>
              <c:f>'change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'!$M$2:$M$16</c:f>
              <c:numCache>
                <c:formatCode>0.0</c:formatCode>
                <c:ptCount val="15"/>
                <c:pt idx="1">
                  <c:v>853.46697435897431</c:v>
                </c:pt>
                <c:pt idx="2">
                  <c:v>853.46697435897431</c:v>
                </c:pt>
                <c:pt idx="3">
                  <c:v>853.46697435897431</c:v>
                </c:pt>
                <c:pt idx="4">
                  <c:v>853.46697435897431</c:v>
                </c:pt>
                <c:pt idx="5">
                  <c:v>853.46697435897431</c:v>
                </c:pt>
                <c:pt idx="6">
                  <c:v>853.46697435897431</c:v>
                </c:pt>
                <c:pt idx="7">
                  <c:v>853.46697435897431</c:v>
                </c:pt>
                <c:pt idx="8">
                  <c:v>853.46697435897431</c:v>
                </c:pt>
                <c:pt idx="9">
                  <c:v>853.46697435897431</c:v>
                </c:pt>
                <c:pt idx="10">
                  <c:v>853.46697435897431</c:v>
                </c:pt>
                <c:pt idx="11">
                  <c:v>853.46697435897431</c:v>
                </c:pt>
                <c:pt idx="12">
                  <c:v>853.46697435897431</c:v>
                </c:pt>
                <c:pt idx="13">
                  <c:v>853.46697435897431</c:v>
                </c:pt>
                <c:pt idx="14">
                  <c:v>853.46697435897431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87-C04F-B1CF-554E362AA085}"/>
            </c:ext>
          </c:extLst>
        </c:ser>
        <c:ser>
          <c:idx val="3"/>
          <c:order val="3"/>
          <c:tx>
            <c:strRef>
              <c:f>'change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'!$N$2:$N$16</c:f>
              <c:numCache>
                <c:formatCode>0.0</c:formatCode>
                <c:ptCount val="15"/>
                <c:pt idx="1">
                  <c:v>596.65656410256406</c:v>
                </c:pt>
                <c:pt idx="2">
                  <c:v>596.65656410256406</c:v>
                </c:pt>
                <c:pt idx="3">
                  <c:v>596.65656410256406</c:v>
                </c:pt>
                <c:pt idx="4">
                  <c:v>596.65656410256406</c:v>
                </c:pt>
                <c:pt idx="5">
                  <c:v>596.65656410256406</c:v>
                </c:pt>
                <c:pt idx="6">
                  <c:v>596.65656410256406</c:v>
                </c:pt>
                <c:pt idx="7">
                  <c:v>596.65656410256406</c:v>
                </c:pt>
                <c:pt idx="8">
                  <c:v>596.65656410256406</c:v>
                </c:pt>
                <c:pt idx="9">
                  <c:v>596.65656410256406</c:v>
                </c:pt>
                <c:pt idx="10">
                  <c:v>596.65656410256406</c:v>
                </c:pt>
                <c:pt idx="11">
                  <c:v>596.65656410256406</c:v>
                </c:pt>
                <c:pt idx="12">
                  <c:v>596.65656410256406</c:v>
                </c:pt>
                <c:pt idx="13">
                  <c:v>596.65656410256406</c:v>
                </c:pt>
                <c:pt idx="14">
                  <c:v>596.65656410256406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87-C04F-B1CF-554E362AA085}"/>
            </c:ext>
          </c:extLst>
        </c:ser>
        <c:ser>
          <c:idx val="4"/>
          <c:order val="4"/>
          <c:tx>
            <c:strRef>
              <c:f>'change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87-C04F-B1CF-554E362AA085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87-C04F-B1CF-554E362AA085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387-C04F-B1CF-554E362AA085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387-C04F-B1CF-554E362AA085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387-C04F-B1CF-554E362AA085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387-C04F-B1CF-554E362AA085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87-C04F-B1CF-554E362AA085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387-C04F-B1CF-554E362AA085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387-C04F-B1CF-554E362AA085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C387-C04F-B1CF-554E362AA085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C387-C04F-B1CF-554E362AA085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C387-C04F-B1CF-554E362AA085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C387-C04F-B1CF-554E362AA085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C387-C04F-B1CF-554E362AA085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C387-C04F-B1CF-554E362AA085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387-C04F-B1CF-554E362AA085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387-C04F-B1CF-554E362AA0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'!$O$2:$O$16</c:f>
              <c:numCache>
                <c:formatCode>0.0</c:formatCode>
                <c:ptCount val="15"/>
                <c:pt idx="0">
                  <c:v>339.84615384615387</c:v>
                </c:pt>
                <c:pt idx="1">
                  <c:v>339.84615384615387</c:v>
                </c:pt>
                <c:pt idx="2">
                  <c:v>339.84615384615387</c:v>
                </c:pt>
                <c:pt idx="3">
                  <c:v>339.84615384615387</c:v>
                </c:pt>
                <c:pt idx="4">
                  <c:v>339.84615384615387</c:v>
                </c:pt>
                <c:pt idx="5">
                  <c:v>339.84615384615387</c:v>
                </c:pt>
                <c:pt idx="6">
                  <c:v>339.84615384615387</c:v>
                </c:pt>
                <c:pt idx="7">
                  <c:v>339.84615384615387</c:v>
                </c:pt>
                <c:pt idx="8">
                  <c:v>339.84615384615387</c:v>
                </c:pt>
                <c:pt idx="9">
                  <c:v>339.84615384615387</c:v>
                </c:pt>
                <c:pt idx="10">
                  <c:v>339.84615384615387</c:v>
                </c:pt>
                <c:pt idx="11">
                  <c:v>339.84615384615387</c:v>
                </c:pt>
                <c:pt idx="12">
                  <c:v>339.84615384615387</c:v>
                </c:pt>
                <c:pt idx="13">
                  <c:v>339.84615384615387</c:v>
                </c:pt>
                <c:pt idx="14">
                  <c:v>339.84615384615387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387-C04F-B1CF-554E362AA085}"/>
            </c:ext>
          </c:extLst>
        </c:ser>
        <c:ser>
          <c:idx val="5"/>
          <c:order val="5"/>
          <c:tx>
            <c:strRef>
              <c:f>'change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'!$P$2:$P$16</c:f>
              <c:numCache>
                <c:formatCode>0.0</c:formatCode>
                <c:ptCount val="15"/>
                <c:pt idx="1">
                  <c:v>83.035743589743618</c:v>
                </c:pt>
                <c:pt idx="2">
                  <c:v>83.035743589743618</c:v>
                </c:pt>
                <c:pt idx="3">
                  <c:v>83.035743589743618</c:v>
                </c:pt>
                <c:pt idx="4">
                  <c:v>83.035743589743618</c:v>
                </c:pt>
                <c:pt idx="5">
                  <c:v>83.035743589743618</c:v>
                </c:pt>
                <c:pt idx="6">
                  <c:v>83.035743589743618</c:v>
                </c:pt>
                <c:pt idx="7">
                  <c:v>83.035743589743618</c:v>
                </c:pt>
                <c:pt idx="8">
                  <c:v>83.035743589743618</c:v>
                </c:pt>
                <c:pt idx="9">
                  <c:v>83.035743589743618</c:v>
                </c:pt>
                <c:pt idx="10">
                  <c:v>83.035743589743618</c:v>
                </c:pt>
                <c:pt idx="11">
                  <c:v>83.035743589743618</c:v>
                </c:pt>
                <c:pt idx="12">
                  <c:v>83.035743589743618</c:v>
                </c:pt>
                <c:pt idx="13">
                  <c:v>83.035743589743618</c:v>
                </c:pt>
                <c:pt idx="14">
                  <c:v>83.035743589743618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387-C04F-B1CF-554E362AA085}"/>
            </c:ext>
          </c:extLst>
        </c:ser>
        <c:ser>
          <c:idx val="6"/>
          <c:order val="6"/>
          <c:tx>
            <c:strRef>
              <c:f>'change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'!$Q$2:$Q$16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387-C04F-B1CF-554E362AA085}"/>
            </c:ext>
          </c:extLst>
        </c:ser>
        <c:ser>
          <c:idx val="7"/>
          <c:order val="7"/>
          <c:tx>
            <c:strRef>
              <c:f>'change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'!$R$2:$R$16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387-C04F-B1CF-554E362AA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007184"/>
        <c:axId val="1224938640"/>
      </c:lineChart>
      <c:catAx>
        <c:axId val="122500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4938640"/>
        <c:crosses val="autoZero"/>
        <c:auto val="0"/>
        <c:lblAlgn val="ctr"/>
        <c:lblOffset val="100"/>
        <c:noMultiLvlLbl val="0"/>
      </c:catAx>
      <c:valAx>
        <c:axId val="1224938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2250071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change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'change XmR '!$B$1</c:f>
              <c:strCache>
                <c:ptCount val="1"/>
                <c:pt idx="0">
                  <c:v>change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8C9A-9149-A530-BE69242EEC6B}"/>
              </c:ext>
            </c:extLst>
          </c:dPt>
          <c:dPt>
            <c:idx val="1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B-8C9A-9149-A530-BE69242EEC6B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8C9A-9149-A530-BE69242EEC6B}"/>
              </c:ext>
            </c:extLst>
          </c:dPt>
          <c:dPt>
            <c:idx val="1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D-8C9A-9149-A530-BE69242EEC6B}"/>
              </c:ext>
            </c:extLst>
          </c:dPt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'!$B$2:$B$16</c:f>
              <c:numCache>
                <c:formatCode>0.0</c:formatCode>
                <c:ptCount val="15"/>
                <c:pt idx="1">
                  <c:v>1167</c:v>
                </c:pt>
                <c:pt idx="2">
                  <c:v>1525</c:v>
                </c:pt>
                <c:pt idx="3">
                  <c:v>872</c:v>
                </c:pt>
                <c:pt idx="4">
                  <c:v>974</c:v>
                </c:pt>
                <c:pt idx="5">
                  <c:v>971</c:v>
                </c:pt>
                <c:pt idx="6">
                  <c:v>1437</c:v>
                </c:pt>
                <c:pt idx="7">
                  <c:v>1007</c:v>
                </c:pt>
                <c:pt idx="8">
                  <c:v>933</c:v>
                </c:pt>
                <c:pt idx="9">
                  <c:v>1007</c:v>
                </c:pt>
                <c:pt idx="10">
                  <c:v>110</c:v>
                </c:pt>
                <c:pt idx="11">
                  <c:v>527</c:v>
                </c:pt>
                <c:pt idx="12">
                  <c:v>408</c:v>
                </c:pt>
                <c:pt idx="13">
                  <c:v>308</c:v>
                </c:pt>
                <c:pt idx="14">
                  <c:v>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A-9149-A530-BE69242EEC6B}"/>
            </c:ext>
          </c:extLst>
        </c:ser>
        <c:ser>
          <c:idx val="1"/>
          <c:order val="1"/>
          <c:tx>
            <c:strRef>
              <c:f>'change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C9A-9149-A530-BE69242EEC6B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4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9A-9149-A530-BE69242EEC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'!$C$2:$C$16</c:f>
              <c:numCache>
                <c:formatCode>0.0</c:formatCode>
                <c:ptCount val="15"/>
                <c:pt idx="0">
                  <c:v>1781.0621978021979</c:v>
                </c:pt>
                <c:pt idx="1">
                  <c:v>1781.0621978021979</c:v>
                </c:pt>
                <c:pt idx="2">
                  <c:v>1781.0621978021979</c:v>
                </c:pt>
                <c:pt idx="3">
                  <c:v>1781.0621978021979</c:v>
                </c:pt>
                <c:pt idx="4">
                  <c:v>1781.0621978021979</c:v>
                </c:pt>
                <c:pt idx="5">
                  <c:v>1781.0621978021979</c:v>
                </c:pt>
                <c:pt idx="6">
                  <c:v>1781.0621978021979</c:v>
                </c:pt>
                <c:pt idx="7">
                  <c:v>1781.0621978021979</c:v>
                </c:pt>
                <c:pt idx="8">
                  <c:v>1781.0621978021979</c:v>
                </c:pt>
                <c:pt idx="9">
                  <c:v>1781.0621978021979</c:v>
                </c:pt>
                <c:pt idx="10">
                  <c:v>1781.0621978021979</c:v>
                </c:pt>
                <c:pt idx="11">
                  <c:v>1781.0621978021979</c:v>
                </c:pt>
                <c:pt idx="12">
                  <c:v>1781.0621978021979</c:v>
                </c:pt>
                <c:pt idx="13">
                  <c:v>1781.0621978021979</c:v>
                </c:pt>
                <c:pt idx="14">
                  <c:v>1781.0621978021979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A-9149-A530-BE69242EEC6B}"/>
            </c:ext>
          </c:extLst>
        </c:ser>
        <c:ser>
          <c:idx val="2"/>
          <c:order val="2"/>
          <c:tx>
            <c:strRef>
              <c:f>'change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'!$D$2:$D$16</c:f>
              <c:numCache>
                <c:formatCode>0.0</c:formatCode>
                <c:ptCount val="15"/>
                <c:pt idx="0">
                  <c:v>1479.7319413919413</c:v>
                </c:pt>
                <c:pt idx="1">
                  <c:v>1479.7319413919413</c:v>
                </c:pt>
                <c:pt idx="2">
                  <c:v>1479.7319413919413</c:v>
                </c:pt>
                <c:pt idx="3">
                  <c:v>1479.7319413919413</c:v>
                </c:pt>
                <c:pt idx="4">
                  <c:v>1479.7319413919413</c:v>
                </c:pt>
                <c:pt idx="5">
                  <c:v>1479.7319413919413</c:v>
                </c:pt>
                <c:pt idx="6">
                  <c:v>1479.7319413919413</c:v>
                </c:pt>
                <c:pt idx="7">
                  <c:v>1479.7319413919413</c:v>
                </c:pt>
                <c:pt idx="8">
                  <c:v>1479.7319413919413</c:v>
                </c:pt>
                <c:pt idx="9">
                  <c:v>1479.7319413919413</c:v>
                </c:pt>
                <c:pt idx="10">
                  <c:v>1479.7319413919413</c:v>
                </c:pt>
                <c:pt idx="11">
                  <c:v>1479.7319413919413</c:v>
                </c:pt>
                <c:pt idx="12">
                  <c:v>1479.7319413919413</c:v>
                </c:pt>
                <c:pt idx="13">
                  <c:v>1479.7319413919413</c:v>
                </c:pt>
                <c:pt idx="14">
                  <c:v>1479.7319413919413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9A-9149-A530-BE69242EEC6B}"/>
            </c:ext>
          </c:extLst>
        </c:ser>
        <c:ser>
          <c:idx val="3"/>
          <c:order val="3"/>
          <c:tx>
            <c:strRef>
              <c:f>'change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'!$E$2:$E$16</c:f>
              <c:numCache>
                <c:formatCode>0.0</c:formatCode>
                <c:ptCount val="15"/>
                <c:pt idx="0">
                  <c:v>1178.4016849816849</c:v>
                </c:pt>
                <c:pt idx="1">
                  <c:v>1178.4016849816849</c:v>
                </c:pt>
                <c:pt idx="2">
                  <c:v>1178.4016849816849</c:v>
                </c:pt>
                <c:pt idx="3">
                  <c:v>1178.4016849816849</c:v>
                </c:pt>
                <c:pt idx="4">
                  <c:v>1178.4016849816849</c:v>
                </c:pt>
                <c:pt idx="5">
                  <c:v>1178.4016849816849</c:v>
                </c:pt>
                <c:pt idx="6">
                  <c:v>1178.4016849816849</c:v>
                </c:pt>
                <c:pt idx="7">
                  <c:v>1178.4016849816849</c:v>
                </c:pt>
                <c:pt idx="8">
                  <c:v>1178.4016849816849</c:v>
                </c:pt>
                <c:pt idx="9">
                  <c:v>1178.4016849816849</c:v>
                </c:pt>
                <c:pt idx="10">
                  <c:v>1178.4016849816849</c:v>
                </c:pt>
                <c:pt idx="11">
                  <c:v>1178.4016849816849</c:v>
                </c:pt>
                <c:pt idx="12">
                  <c:v>1178.4016849816849</c:v>
                </c:pt>
                <c:pt idx="13">
                  <c:v>1178.4016849816849</c:v>
                </c:pt>
                <c:pt idx="14">
                  <c:v>1178.4016849816849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A-9149-A530-BE69242EEC6B}"/>
            </c:ext>
          </c:extLst>
        </c:ser>
        <c:ser>
          <c:idx val="4"/>
          <c:order val="4"/>
          <c:tx>
            <c:strRef>
              <c:f>'change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9A-9149-A530-BE69242EEC6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9A-9149-A530-BE69242EEC6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9A-9149-A530-BE69242EEC6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9A-9149-A530-BE69242EEC6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C9A-9149-A530-BE69242EEC6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C9A-9149-A530-BE69242EEC6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C9A-9149-A530-BE69242EEC6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C9A-9149-A530-BE69242EEC6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C9A-9149-A530-BE69242EEC6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C9A-9149-A530-BE69242EEC6B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C9A-9149-A530-BE69242EEC6B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C9A-9149-A530-BE69242EEC6B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8C9A-9149-A530-BE69242EEC6B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8C9A-9149-A530-BE69242EEC6B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8C9A-9149-A530-BE69242EEC6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C9A-9149-A530-BE69242EEC6B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C9A-9149-A530-BE69242EEC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'!$F$2:$F$16</c:f>
              <c:numCache>
                <c:formatCode>0.0</c:formatCode>
                <c:ptCount val="15"/>
                <c:pt idx="0">
                  <c:v>877.07142857142856</c:v>
                </c:pt>
                <c:pt idx="1">
                  <c:v>877.07142857142856</c:v>
                </c:pt>
                <c:pt idx="2">
                  <c:v>877.07142857142856</c:v>
                </c:pt>
                <c:pt idx="3">
                  <c:v>877.07142857142856</c:v>
                </c:pt>
                <c:pt idx="4">
                  <c:v>877.07142857142856</c:v>
                </c:pt>
                <c:pt idx="5">
                  <c:v>877.07142857142856</c:v>
                </c:pt>
                <c:pt idx="6">
                  <c:v>877.07142857142856</c:v>
                </c:pt>
                <c:pt idx="7">
                  <c:v>877.07142857142856</c:v>
                </c:pt>
                <c:pt idx="8">
                  <c:v>877.07142857142856</c:v>
                </c:pt>
                <c:pt idx="9">
                  <c:v>877.07142857142856</c:v>
                </c:pt>
                <c:pt idx="10">
                  <c:v>877.07142857142856</c:v>
                </c:pt>
                <c:pt idx="11">
                  <c:v>877.07142857142856</c:v>
                </c:pt>
                <c:pt idx="12">
                  <c:v>877.07142857142856</c:v>
                </c:pt>
                <c:pt idx="13">
                  <c:v>877.07142857142856</c:v>
                </c:pt>
                <c:pt idx="14">
                  <c:v>877.07142857142856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9A-9149-A530-BE69242EEC6B}"/>
            </c:ext>
          </c:extLst>
        </c:ser>
        <c:ser>
          <c:idx val="5"/>
          <c:order val="5"/>
          <c:tx>
            <c:strRef>
              <c:f>'change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'!$G$2:$G$16</c:f>
              <c:numCache>
                <c:formatCode>0.0</c:formatCode>
                <c:ptCount val="15"/>
                <c:pt idx="0">
                  <c:v>575.74117216117213</c:v>
                </c:pt>
                <c:pt idx="1">
                  <c:v>575.74117216117213</c:v>
                </c:pt>
                <c:pt idx="2">
                  <c:v>575.74117216117213</c:v>
                </c:pt>
                <c:pt idx="3">
                  <c:v>575.74117216117213</c:v>
                </c:pt>
                <c:pt idx="4">
                  <c:v>575.74117216117213</c:v>
                </c:pt>
                <c:pt idx="5">
                  <c:v>575.74117216117213</c:v>
                </c:pt>
                <c:pt idx="6">
                  <c:v>575.74117216117213</c:v>
                </c:pt>
                <c:pt idx="7">
                  <c:v>575.74117216117213</c:v>
                </c:pt>
                <c:pt idx="8">
                  <c:v>575.74117216117213</c:v>
                </c:pt>
                <c:pt idx="9">
                  <c:v>575.74117216117213</c:v>
                </c:pt>
                <c:pt idx="10">
                  <c:v>575.74117216117213</c:v>
                </c:pt>
                <c:pt idx="11">
                  <c:v>575.74117216117213</c:v>
                </c:pt>
                <c:pt idx="12">
                  <c:v>575.74117216117213</c:v>
                </c:pt>
                <c:pt idx="13">
                  <c:v>575.74117216117213</c:v>
                </c:pt>
                <c:pt idx="14">
                  <c:v>575.74117216117213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C9A-9149-A530-BE69242EEC6B}"/>
            </c:ext>
          </c:extLst>
        </c:ser>
        <c:ser>
          <c:idx val="6"/>
          <c:order val="6"/>
          <c:tx>
            <c:strRef>
              <c:f>'change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'!$H$2:$H$16</c:f>
              <c:numCache>
                <c:formatCode>0.0</c:formatCode>
                <c:ptCount val="15"/>
                <c:pt idx="0">
                  <c:v>274.41091575091571</c:v>
                </c:pt>
                <c:pt idx="1">
                  <c:v>274.41091575091571</c:v>
                </c:pt>
                <c:pt idx="2">
                  <c:v>274.41091575091571</c:v>
                </c:pt>
                <c:pt idx="3">
                  <c:v>274.41091575091571</c:v>
                </c:pt>
                <c:pt idx="4">
                  <c:v>274.41091575091571</c:v>
                </c:pt>
                <c:pt idx="5">
                  <c:v>274.41091575091571</c:v>
                </c:pt>
                <c:pt idx="6">
                  <c:v>274.41091575091571</c:v>
                </c:pt>
                <c:pt idx="7">
                  <c:v>274.41091575091571</c:v>
                </c:pt>
                <c:pt idx="8">
                  <c:v>274.41091575091571</c:v>
                </c:pt>
                <c:pt idx="9">
                  <c:v>274.41091575091571</c:v>
                </c:pt>
                <c:pt idx="10">
                  <c:v>274.41091575091571</c:v>
                </c:pt>
                <c:pt idx="11">
                  <c:v>274.41091575091571</c:v>
                </c:pt>
                <c:pt idx="12">
                  <c:v>274.41091575091571</c:v>
                </c:pt>
                <c:pt idx="13">
                  <c:v>274.41091575091571</c:v>
                </c:pt>
                <c:pt idx="14">
                  <c:v>274.41091575091571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9A-9149-A530-BE69242EEC6B}"/>
            </c:ext>
          </c:extLst>
        </c:ser>
        <c:ser>
          <c:idx val="7"/>
          <c:order val="7"/>
          <c:tx>
            <c:strRef>
              <c:f>'change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8C9A-9149-A530-BE69242EEC6B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C9A-9149-A530-BE69242EEC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'change XmR '!$I$2:$I$16</c:f>
              <c:numCache>
                <c:formatCode>0.0</c:formatCode>
                <c:ptCount val="15"/>
                <c:pt idx="0">
                  <c:v>-26.919340659340833</c:v>
                </c:pt>
                <c:pt idx="1">
                  <c:v>-26.919340659340833</c:v>
                </c:pt>
                <c:pt idx="2">
                  <c:v>-26.919340659340833</c:v>
                </c:pt>
                <c:pt idx="3">
                  <c:v>-26.919340659340833</c:v>
                </c:pt>
                <c:pt idx="4">
                  <c:v>-26.919340659340833</c:v>
                </c:pt>
                <c:pt idx="5">
                  <c:v>-26.919340659340833</c:v>
                </c:pt>
                <c:pt idx="6">
                  <c:v>-26.919340659340833</c:v>
                </c:pt>
                <c:pt idx="7">
                  <c:v>-26.919340659340833</c:v>
                </c:pt>
                <c:pt idx="8">
                  <c:v>-26.919340659340833</c:v>
                </c:pt>
                <c:pt idx="9">
                  <c:v>-26.919340659340833</c:v>
                </c:pt>
                <c:pt idx="10">
                  <c:v>-26.919340659340833</c:v>
                </c:pt>
                <c:pt idx="11">
                  <c:v>-26.919340659340833</c:v>
                </c:pt>
                <c:pt idx="12">
                  <c:v>-26.919340659340833</c:v>
                </c:pt>
                <c:pt idx="13">
                  <c:v>-26.919340659340833</c:v>
                </c:pt>
                <c:pt idx="14">
                  <c:v>-26.919340659340833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C9A-9149-A530-BE69242EE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226480"/>
        <c:axId val="294228192"/>
      </c:lineChart>
      <c:catAx>
        <c:axId val="29422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4228192"/>
        <c:crossesAt val="-200"/>
        <c:auto val="0"/>
        <c:lblAlgn val="ctr"/>
        <c:lblOffset val="100"/>
        <c:noMultiLvlLbl val="0"/>
      </c:catAx>
      <c:valAx>
        <c:axId val="294228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change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9422648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pct_change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'pct_change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'!$K$2:$K$16</c:f>
              <c:numCache>
                <c:formatCode>General</c:formatCode>
                <c:ptCount val="15"/>
                <c:pt idx="2" formatCode="0.0000">
                  <c:v>0.94740729921853051</c:v>
                </c:pt>
                <c:pt idx="3" formatCode="0.0000">
                  <c:v>2.0745818105831786</c:v>
                </c:pt>
                <c:pt idx="4" formatCode="0.0000">
                  <c:v>0.22449975559413993</c:v>
                </c:pt>
                <c:pt idx="5" formatCode="0.0000">
                  <c:v>8.0584087823573736E-2</c:v>
                </c:pt>
                <c:pt idx="6" formatCode="0.0000">
                  <c:v>1.1692081526857878</c:v>
                </c:pt>
                <c:pt idx="7" formatCode="0.0000">
                  <c:v>1.2401452940221658</c:v>
                </c:pt>
                <c:pt idx="8" formatCode="0.0000">
                  <c:v>0.24920970007106025</c:v>
                </c:pt>
                <c:pt idx="9" formatCode="0.0000">
                  <c:v>0.12743542713491296</c:v>
                </c:pt>
                <c:pt idx="10" formatCode="0.0000">
                  <c:v>2.1923595618525029</c:v>
                </c:pt>
                <c:pt idx="11" formatCode="0.0000">
                  <c:v>0.98859411788132301</c:v>
                </c:pt>
                <c:pt idx="12" formatCode="0.0000">
                  <c:v>0.29426357280450921</c:v>
                </c:pt>
                <c:pt idx="13" formatCode="0.0000">
                  <c:v>0.24114088367386965</c:v>
                </c:pt>
                <c:pt idx="14" formatCode="0.0000">
                  <c:v>1.6656257979882891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3-4545-AEB5-225B41BF41C5}"/>
            </c:ext>
          </c:extLst>
        </c:ser>
        <c:ser>
          <c:idx val="1"/>
          <c:order val="1"/>
          <c:tx>
            <c:strRef>
              <c:f>'pct_change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483-4545-AEB5-225B41BF41C5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83-4545-AEB5-225B41BF41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'!$L$2:$L$16</c:f>
              <c:numCache>
                <c:formatCode>0.0000</c:formatCode>
                <c:ptCount val="15"/>
                <c:pt idx="1">
                  <c:v>2.8887958609367432</c:v>
                </c:pt>
                <c:pt idx="2">
                  <c:v>2.8887958609367432</c:v>
                </c:pt>
                <c:pt idx="3">
                  <c:v>2.8887958609367432</c:v>
                </c:pt>
                <c:pt idx="4">
                  <c:v>2.8887958609367432</c:v>
                </c:pt>
                <c:pt idx="5">
                  <c:v>2.8887958609367432</c:v>
                </c:pt>
                <c:pt idx="6">
                  <c:v>2.8887958609367432</c:v>
                </c:pt>
                <c:pt idx="7">
                  <c:v>2.8887958609367432</c:v>
                </c:pt>
                <c:pt idx="8">
                  <c:v>2.8887958609367432</c:v>
                </c:pt>
                <c:pt idx="9">
                  <c:v>2.8887958609367432</c:v>
                </c:pt>
                <c:pt idx="10">
                  <c:v>2.8887958609367432</c:v>
                </c:pt>
                <c:pt idx="11">
                  <c:v>2.8887958609367432</c:v>
                </c:pt>
                <c:pt idx="12">
                  <c:v>2.8887958609367432</c:v>
                </c:pt>
                <c:pt idx="13">
                  <c:v>2.8887958609367432</c:v>
                </c:pt>
                <c:pt idx="14">
                  <c:v>2.8887958609367432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3-4545-AEB5-225B41BF41C5}"/>
            </c:ext>
          </c:extLst>
        </c:ser>
        <c:ser>
          <c:idx val="2"/>
          <c:order val="2"/>
          <c:tx>
            <c:strRef>
              <c:f>'pct_change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'!$M$2:$M$16</c:f>
              <c:numCache>
                <c:formatCode>0.0000</c:formatCode>
                <c:ptCount val="15"/>
                <c:pt idx="1">
                  <c:v>2.2206089191202349</c:v>
                </c:pt>
                <c:pt idx="2">
                  <c:v>2.2206089191202349</c:v>
                </c:pt>
                <c:pt idx="3">
                  <c:v>2.2206089191202349</c:v>
                </c:pt>
                <c:pt idx="4">
                  <c:v>2.2206089191202349</c:v>
                </c:pt>
                <c:pt idx="5">
                  <c:v>2.2206089191202349</c:v>
                </c:pt>
                <c:pt idx="6">
                  <c:v>2.2206089191202349</c:v>
                </c:pt>
                <c:pt idx="7">
                  <c:v>2.2206089191202349</c:v>
                </c:pt>
                <c:pt idx="8">
                  <c:v>2.2206089191202349</c:v>
                </c:pt>
                <c:pt idx="9">
                  <c:v>2.2206089191202349</c:v>
                </c:pt>
                <c:pt idx="10">
                  <c:v>2.2206089191202349</c:v>
                </c:pt>
                <c:pt idx="11">
                  <c:v>2.2206089191202349</c:v>
                </c:pt>
                <c:pt idx="12">
                  <c:v>2.2206089191202349</c:v>
                </c:pt>
                <c:pt idx="13">
                  <c:v>2.2206089191202349</c:v>
                </c:pt>
                <c:pt idx="14">
                  <c:v>2.2206089191202349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83-4545-AEB5-225B41BF41C5}"/>
            </c:ext>
          </c:extLst>
        </c:ser>
        <c:ser>
          <c:idx val="3"/>
          <c:order val="3"/>
          <c:tx>
            <c:strRef>
              <c:f>'pct_change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'!$N$2:$N$16</c:f>
              <c:numCache>
                <c:formatCode>0.0000</c:formatCode>
                <c:ptCount val="15"/>
                <c:pt idx="1">
                  <c:v>1.5524219773037267</c:v>
                </c:pt>
                <c:pt idx="2">
                  <c:v>1.5524219773037267</c:v>
                </c:pt>
                <c:pt idx="3">
                  <c:v>1.5524219773037267</c:v>
                </c:pt>
                <c:pt idx="4">
                  <c:v>1.5524219773037267</c:v>
                </c:pt>
                <c:pt idx="5">
                  <c:v>1.5524219773037267</c:v>
                </c:pt>
                <c:pt idx="6">
                  <c:v>1.5524219773037267</c:v>
                </c:pt>
                <c:pt idx="7">
                  <c:v>1.5524219773037267</c:v>
                </c:pt>
                <c:pt idx="8">
                  <c:v>1.5524219773037267</c:v>
                </c:pt>
                <c:pt idx="9">
                  <c:v>1.5524219773037267</c:v>
                </c:pt>
                <c:pt idx="10">
                  <c:v>1.5524219773037267</c:v>
                </c:pt>
                <c:pt idx="11">
                  <c:v>1.5524219773037267</c:v>
                </c:pt>
                <c:pt idx="12">
                  <c:v>1.5524219773037267</c:v>
                </c:pt>
                <c:pt idx="13">
                  <c:v>1.5524219773037267</c:v>
                </c:pt>
                <c:pt idx="14">
                  <c:v>1.5524219773037267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83-4545-AEB5-225B41BF41C5}"/>
            </c:ext>
          </c:extLst>
        </c:ser>
        <c:ser>
          <c:idx val="4"/>
          <c:order val="4"/>
          <c:tx>
            <c:strRef>
              <c:f>'pct_change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83-4545-AEB5-225B41BF41C5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83-4545-AEB5-225B41BF41C5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483-4545-AEB5-225B41BF41C5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483-4545-AEB5-225B41BF41C5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483-4545-AEB5-225B41BF41C5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F483-4545-AEB5-225B41BF41C5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F483-4545-AEB5-225B41BF41C5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F483-4545-AEB5-225B41BF41C5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F483-4545-AEB5-225B41BF41C5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F483-4545-AEB5-225B41BF41C5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F483-4545-AEB5-225B41BF41C5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F483-4545-AEB5-225B41BF41C5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F483-4545-AEB5-225B41BF41C5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F483-4545-AEB5-225B41BF41C5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F483-4545-AEB5-225B41BF41C5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483-4545-AEB5-225B41BF41C5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483-4545-AEB5-225B41BF41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'!$O$2:$O$16</c:f>
              <c:numCache>
                <c:formatCode>0.0000</c:formatCode>
                <c:ptCount val="15"/>
                <c:pt idx="0">
                  <c:v>0.88423503548721871</c:v>
                </c:pt>
                <c:pt idx="1">
                  <c:v>0.88423503548721871</c:v>
                </c:pt>
                <c:pt idx="2">
                  <c:v>0.88423503548721871</c:v>
                </c:pt>
                <c:pt idx="3">
                  <c:v>0.88423503548721871</c:v>
                </c:pt>
                <c:pt idx="4">
                  <c:v>0.88423503548721871</c:v>
                </c:pt>
                <c:pt idx="5">
                  <c:v>0.88423503548721871</c:v>
                </c:pt>
                <c:pt idx="6">
                  <c:v>0.88423503548721871</c:v>
                </c:pt>
                <c:pt idx="7">
                  <c:v>0.88423503548721871</c:v>
                </c:pt>
                <c:pt idx="8">
                  <c:v>0.88423503548721871</c:v>
                </c:pt>
                <c:pt idx="9">
                  <c:v>0.88423503548721871</c:v>
                </c:pt>
                <c:pt idx="10">
                  <c:v>0.88423503548721871</c:v>
                </c:pt>
                <c:pt idx="11">
                  <c:v>0.88423503548721871</c:v>
                </c:pt>
                <c:pt idx="12">
                  <c:v>0.88423503548721871</c:v>
                </c:pt>
                <c:pt idx="13">
                  <c:v>0.88423503548721871</c:v>
                </c:pt>
                <c:pt idx="14">
                  <c:v>0.88423503548721871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483-4545-AEB5-225B41BF41C5}"/>
            </c:ext>
          </c:extLst>
        </c:ser>
        <c:ser>
          <c:idx val="5"/>
          <c:order val="5"/>
          <c:tx>
            <c:strRef>
              <c:f>'pct_change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'!$P$2:$P$16</c:f>
              <c:numCache>
                <c:formatCode>0.0000</c:formatCode>
                <c:ptCount val="15"/>
                <c:pt idx="1">
                  <c:v>0.21604809367071065</c:v>
                </c:pt>
                <c:pt idx="2">
                  <c:v>0.21604809367071065</c:v>
                </c:pt>
                <c:pt idx="3">
                  <c:v>0.21604809367071065</c:v>
                </c:pt>
                <c:pt idx="4">
                  <c:v>0.21604809367071065</c:v>
                </c:pt>
                <c:pt idx="5">
                  <c:v>0.21604809367071065</c:v>
                </c:pt>
                <c:pt idx="6">
                  <c:v>0.21604809367071065</c:v>
                </c:pt>
                <c:pt idx="7">
                  <c:v>0.21604809367071065</c:v>
                </c:pt>
                <c:pt idx="8">
                  <c:v>0.21604809367071065</c:v>
                </c:pt>
                <c:pt idx="9">
                  <c:v>0.21604809367071065</c:v>
                </c:pt>
                <c:pt idx="10">
                  <c:v>0.21604809367071065</c:v>
                </c:pt>
                <c:pt idx="11">
                  <c:v>0.21604809367071065</c:v>
                </c:pt>
                <c:pt idx="12">
                  <c:v>0.21604809367071065</c:v>
                </c:pt>
                <c:pt idx="13">
                  <c:v>0.21604809367071065</c:v>
                </c:pt>
                <c:pt idx="14">
                  <c:v>0.21604809367071065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483-4545-AEB5-225B41BF41C5}"/>
            </c:ext>
          </c:extLst>
        </c:ser>
        <c:ser>
          <c:idx val="6"/>
          <c:order val="6"/>
          <c:tx>
            <c:strRef>
              <c:f>'pct_change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'!$Q$2:$Q$16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483-4545-AEB5-225B41BF41C5}"/>
            </c:ext>
          </c:extLst>
        </c:ser>
        <c:ser>
          <c:idx val="7"/>
          <c:order val="7"/>
          <c:tx>
            <c:strRef>
              <c:f>'pct_change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'!$R$2:$R$16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483-4545-AEB5-225B41BF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107695"/>
        <c:axId val="1861210831"/>
      </c:lineChart>
      <c:catAx>
        <c:axId val="186110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1210831"/>
        <c:crosses val="autoZero"/>
        <c:auto val="0"/>
        <c:lblAlgn val="ctr"/>
        <c:lblOffset val="100"/>
        <c:noMultiLvlLbl val="0"/>
      </c:catAx>
      <c:valAx>
        <c:axId val="186121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8611076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pct_change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'pct_change XmR '!$B$1</c:f>
              <c:strCache>
                <c:ptCount val="1"/>
                <c:pt idx="0">
                  <c:v>pct_change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95BC-564E-B133-BCD444D6A9A0}"/>
              </c:ext>
            </c:extLst>
          </c:dPt>
          <c:dPt>
            <c:idx val="1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B-95BC-564E-B133-BCD444D6A9A0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95BC-564E-B133-BCD444D6A9A0}"/>
              </c:ext>
            </c:extLst>
          </c:dPt>
          <c:dPt>
            <c:idx val="1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D-95BC-564E-B133-BCD444D6A9A0}"/>
              </c:ext>
            </c:extLst>
          </c:dPt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'!$B$2:$B$16</c:f>
              <c:numCache>
                <c:formatCode>0.0000</c:formatCode>
                <c:ptCount val="15"/>
                <c:pt idx="1">
                  <c:v>3.6299729385050861</c:v>
                </c:pt>
                <c:pt idx="2">
                  <c:v>4.5773802377236166</c:v>
                </c:pt>
                <c:pt idx="3">
                  <c:v>2.502798427140438</c:v>
                </c:pt>
                <c:pt idx="4">
                  <c:v>2.7272981827345779</c:v>
                </c:pt>
                <c:pt idx="5">
                  <c:v>2.6467140949110042</c:v>
                </c:pt>
                <c:pt idx="6">
                  <c:v>3.815922247596792</c:v>
                </c:pt>
                <c:pt idx="7">
                  <c:v>2.5757769535746262</c:v>
                </c:pt>
                <c:pt idx="8">
                  <c:v>2.326567253503566</c:v>
                </c:pt>
                <c:pt idx="9">
                  <c:v>2.4540026806384789</c:v>
                </c:pt>
                <c:pt idx="10">
                  <c:v>0.2616431187859759</c:v>
                </c:pt>
                <c:pt idx="11">
                  <c:v>1.2502372366672989</c:v>
                </c:pt>
                <c:pt idx="12">
                  <c:v>0.9559736638627897</c:v>
                </c:pt>
                <c:pt idx="13">
                  <c:v>0.71483278018892005</c:v>
                </c:pt>
                <c:pt idx="14">
                  <c:v>2.3804585781772092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C-564E-B133-BCD444D6A9A0}"/>
            </c:ext>
          </c:extLst>
        </c:ser>
        <c:ser>
          <c:idx val="1"/>
          <c:order val="1"/>
          <c:tx>
            <c:strRef>
              <c:f>'pct_change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5BC-564E-B133-BCD444D6A9A0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BC-564E-B133-BCD444D6A9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'!$C$2:$C$16</c:f>
              <c:numCache>
                <c:formatCode>0.0000</c:formatCode>
                <c:ptCount val="15"/>
                <c:pt idx="0">
                  <c:v>4.6963207939681713</c:v>
                </c:pt>
                <c:pt idx="1">
                  <c:v>4.6963207939681713</c:v>
                </c:pt>
                <c:pt idx="2">
                  <c:v>4.6963207939681713</c:v>
                </c:pt>
                <c:pt idx="3">
                  <c:v>4.6963207939681713</c:v>
                </c:pt>
                <c:pt idx="4">
                  <c:v>4.6963207939681713</c:v>
                </c:pt>
                <c:pt idx="5">
                  <c:v>4.6963207939681713</c:v>
                </c:pt>
                <c:pt idx="6">
                  <c:v>4.6963207939681713</c:v>
                </c:pt>
                <c:pt idx="7">
                  <c:v>4.6963207939681713</c:v>
                </c:pt>
                <c:pt idx="8">
                  <c:v>4.6963207939681713</c:v>
                </c:pt>
                <c:pt idx="9">
                  <c:v>4.6963207939681713</c:v>
                </c:pt>
                <c:pt idx="10">
                  <c:v>4.6963207939681713</c:v>
                </c:pt>
                <c:pt idx="11">
                  <c:v>4.6963207939681713</c:v>
                </c:pt>
                <c:pt idx="12">
                  <c:v>4.6963207939681713</c:v>
                </c:pt>
                <c:pt idx="13">
                  <c:v>4.6963207939681713</c:v>
                </c:pt>
                <c:pt idx="14">
                  <c:v>4.6963207939681713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BC-564E-B133-BCD444D6A9A0}"/>
            </c:ext>
          </c:extLst>
        </c:ser>
        <c:ser>
          <c:idx val="2"/>
          <c:order val="2"/>
          <c:tx>
            <c:strRef>
              <c:f>'pct_change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'!$D$2:$D$16</c:f>
              <c:numCache>
                <c:formatCode>0.0000</c:formatCode>
                <c:ptCount val="15"/>
                <c:pt idx="0">
                  <c:v>3.9122990625028375</c:v>
                </c:pt>
                <c:pt idx="1">
                  <c:v>3.9122990625028375</c:v>
                </c:pt>
                <c:pt idx="2">
                  <c:v>3.9122990625028375</c:v>
                </c:pt>
                <c:pt idx="3">
                  <c:v>3.9122990625028375</c:v>
                </c:pt>
                <c:pt idx="4">
                  <c:v>3.9122990625028375</c:v>
                </c:pt>
                <c:pt idx="5">
                  <c:v>3.9122990625028375</c:v>
                </c:pt>
                <c:pt idx="6">
                  <c:v>3.9122990625028375</c:v>
                </c:pt>
                <c:pt idx="7">
                  <c:v>3.9122990625028375</c:v>
                </c:pt>
                <c:pt idx="8">
                  <c:v>3.9122990625028375</c:v>
                </c:pt>
                <c:pt idx="9">
                  <c:v>3.9122990625028375</c:v>
                </c:pt>
                <c:pt idx="10">
                  <c:v>3.9122990625028375</c:v>
                </c:pt>
                <c:pt idx="11">
                  <c:v>3.9122990625028375</c:v>
                </c:pt>
                <c:pt idx="12">
                  <c:v>3.9122990625028375</c:v>
                </c:pt>
                <c:pt idx="13">
                  <c:v>3.9122990625028375</c:v>
                </c:pt>
                <c:pt idx="14">
                  <c:v>3.9122990625028375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BC-564E-B133-BCD444D6A9A0}"/>
            </c:ext>
          </c:extLst>
        </c:ser>
        <c:ser>
          <c:idx val="3"/>
          <c:order val="3"/>
          <c:tx>
            <c:strRef>
              <c:f>'pct_change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'!$E$2:$E$16</c:f>
              <c:numCache>
                <c:formatCode>0.0000</c:formatCode>
                <c:ptCount val="15"/>
                <c:pt idx="0">
                  <c:v>3.1282773310375038</c:v>
                </c:pt>
                <c:pt idx="1">
                  <c:v>3.1282773310375038</c:v>
                </c:pt>
                <c:pt idx="2">
                  <c:v>3.1282773310375038</c:v>
                </c:pt>
                <c:pt idx="3">
                  <c:v>3.1282773310375038</c:v>
                </c:pt>
                <c:pt idx="4">
                  <c:v>3.1282773310375038</c:v>
                </c:pt>
                <c:pt idx="5">
                  <c:v>3.1282773310375038</c:v>
                </c:pt>
                <c:pt idx="6">
                  <c:v>3.1282773310375038</c:v>
                </c:pt>
                <c:pt idx="7">
                  <c:v>3.1282773310375038</c:v>
                </c:pt>
                <c:pt idx="8">
                  <c:v>3.1282773310375038</c:v>
                </c:pt>
                <c:pt idx="9">
                  <c:v>3.1282773310375038</c:v>
                </c:pt>
                <c:pt idx="10">
                  <c:v>3.1282773310375038</c:v>
                </c:pt>
                <c:pt idx="11">
                  <c:v>3.1282773310375038</c:v>
                </c:pt>
                <c:pt idx="12">
                  <c:v>3.1282773310375038</c:v>
                </c:pt>
                <c:pt idx="13">
                  <c:v>3.1282773310375038</c:v>
                </c:pt>
                <c:pt idx="14">
                  <c:v>3.1282773310375038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BC-564E-B133-BCD444D6A9A0}"/>
            </c:ext>
          </c:extLst>
        </c:ser>
        <c:ser>
          <c:idx val="4"/>
          <c:order val="4"/>
          <c:tx>
            <c:strRef>
              <c:f>'pct_change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BC-564E-B133-BCD444D6A9A0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BC-564E-B133-BCD444D6A9A0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5BC-564E-B133-BCD444D6A9A0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5BC-564E-B133-BCD444D6A9A0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5BC-564E-B133-BCD444D6A9A0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5BC-564E-B133-BCD444D6A9A0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5BC-564E-B133-BCD444D6A9A0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5BC-564E-B133-BCD444D6A9A0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5BC-564E-B133-BCD444D6A9A0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95BC-564E-B133-BCD444D6A9A0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95BC-564E-B133-BCD444D6A9A0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95BC-564E-B133-BCD444D6A9A0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95BC-564E-B133-BCD444D6A9A0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95BC-564E-B133-BCD444D6A9A0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95BC-564E-B133-BCD444D6A9A0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5BC-564E-B133-BCD444D6A9A0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5BC-564E-B133-BCD444D6A9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'!$F$2:$F$16</c:f>
              <c:numCache>
                <c:formatCode>0.0000</c:formatCode>
                <c:ptCount val="15"/>
                <c:pt idx="0">
                  <c:v>2.3442555995721697</c:v>
                </c:pt>
                <c:pt idx="1">
                  <c:v>2.3442555995721697</c:v>
                </c:pt>
                <c:pt idx="2">
                  <c:v>2.3442555995721697</c:v>
                </c:pt>
                <c:pt idx="3">
                  <c:v>2.3442555995721697</c:v>
                </c:pt>
                <c:pt idx="4">
                  <c:v>2.3442555995721697</c:v>
                </c:pt>
                <c:pt idx="5">
                  <c:v>2.3442555995721697</c:v>
                </c:pt>
                <c:pt idx="6">
                  <c:v>2.3442555995721697</c:v>
                </c:pt>
                <c:pt idx="7">
                  <c:v>2.3442555995721697</c:v>
                </c:pt>
                <c:pt idx="8">
                  <c:v>2.3442555995721697</c:v>
                </c:pt>
                <c:pt idx="9">
                  <c:v>2.3442555995721697</c:v>
                </c:pt>
                <c:pt idx="10">
                  <c:v>2.3442555995721697</c:v>
                </c:pt>
                <c:pt idx="11">
                  <c:v>2.3442555995721697</c:v>
                </c:pt>
                <c:pt idx="12">
                  <c:v>2.3442555995721697</c:v>
                </c:pt>
                <c:pt idx="13">
                  <c:v>2.3442555995721697</c:v>
                </c:pt>
                <c:pt idx="14">
                  <c:v>2.3442555995721697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BC-564E-B133-BCD444D6A9A0}"/>
            </c:ext>
          </c:extLst>
        </c:ser>
        <c:ser>
          <c:idx val="5"/>
          <c:order val="5"/>
          <c:tx>
            <c:strRef>
              <c:f>'pct_change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'!$G$2:$G$16</c:f>
              <c:numCache>
                <c:formatCode>0.0000</c:formatCode>
                <c:ptCount val="15"/>
                <c:pt idx="0">
                  <c:v>1.5602338681068357</c:v>
                </c:pt>
                <c:pt idx="1">
                  <c:v>1.5602338681068357</c:v>
                </c:pt>
                <c:pt idx="2">
                  <c:v>1.5602338681068357</c:v>
                </c:pt>
                <c:pt idx="3">
                  <c:v>1.5602338681068357</c:v>
                </c:pt>
                <c:pt idx="4">
                  <c:v>1.5602338681068357</c:v>
                </c:pt>
                <c:pt idx="5">
                  <c:v>1.5602338681068357</c:v>
                </c:pt>
                <c:pt idx="6">
                  <c:v>1.5602338681068357</c:v>
                </c:pt>
                <c:pt idx="7">
                  <c:v>1.5602338681068357</c:v>
                </c:pt>
                <c:pt idx="8">
                  <c:v>1.5602338681068357</c:v>
                </c:pt>
                <c:pt idx="9">
                  <c:v>1.5602338681068357</c:v>
                </c:pt>
                <c:pt idx="10">
                  <c:v>1.5602338681068357</c:v>
                </c:pt>
                <c:pt idx="11">
                  <c:v>1.5602338681068357</c:v>
                </c:pt>
                <c:pt idx="12">
                  <c:v>1.5602338681068357</c:v>
                </c:pt>
                <c:pt idx="13">
                  <c:v>1.5602338681068357</c:v>
                </c:pt>
                <c:pt idx="14">
                  <c:v>1.5602338681068357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BC-564E-B133-BCD444D6A9A0}"/>
            </c:ext>
          </c:extLst>
        </c:ser>
        <c:ser>
          <c:idx val="6"/>
          <c:order val="6"/>
          <c:tx>
            <c:strRef>
              <c:f>'pct_change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'!$H$2:$H$16</c:f>
              <c:numCache>
                <c:formatCode>0.0000</c:formatCode>
                <c:ptCount val="15"/>
                <c:pt idx="0">
                  <c:v>0.77621213664150179</c:v>
                </c:pt>
                <c:pt idx="1">
                  <c:v>0.77621213664150179</c:v>
                </c:pt>
                <c:pt idx="2">
                  <c:v>0.77621213664150179</c:v>
                </c:pt>
                <c:pt idx="3">
                  <c:v>0.77621213664150179</c:v>
                </c:pt>
                <c:pt idx="4">
                  <c:v>0.77621213664150179</c:v>
                </c:pt>
                <c:pt idx="5">
                  <c:v>0.77621213664150179</c:v>
                </c:pt>
                <c:pt idx="6">
                  <c:v>0.77621213664150179</c:v>
                </c:pt>
                <c:pt idx="7">
                  <c:v>0.77621213664150179</c:v>
                </c:pt>
                <c:pt idx="8">
                  <c:v>0.77621213664150179</c:v>
                </c:pt>
                <c:pt idx="9">
                  <c:v>0.77621213664150179</c:v>
                </c:pt>
                <c:pt idx="10">
                  <c:v>0.77621213664150179</c:v>
                </c:pt>
                <c:pt idx="11">
                  <c:v>0.77621213664150179</c:v>
                </c:pt>
                <c:pt idx="12">
                  <c:v>0.77621213664150179</c:v>
                </c:pt>
                <c:pt idx="13">
                  <c:v>0.77621213664150179</c:v>
                </c:pt>
                <c:pt idx="14">
                  <c:v>0.77621213664150179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BC-564E-B133-BCD444D6A9A0}"/>
            </c:ext>
          </c:extLst>
        </c:ser>
        <c:ser>
          <c:idx val="7"/>
          <c:order val="7"/>
          <c:tx>
            <c:strRef>
              <c:f>'pct_change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95BC-564E-B133-BCD444D6A9A0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5BC-564E-B133-BCD444D6A9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'pct_change XmR 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'pct_change XmR '!$I$2:$I$16</c:f>
              <c:numCache>
                <c:formatCode>0.0000</c:formatCode>
                <c:ptCount val="15"/>
                <c:pt idx="0">
                  <c:v>-7.8095948238323665E-3</c:v>
                </c:pt>
                <c:pt idx="1">
                  <c:v>-7.8095948238323665E-3</c:v>
                </c:pt>
                <c:pt idx="2">
                  <c:v>-7.8095948238323665E-3</c:v>
                </c:pt>
                <c:pt idx="3">
                  <c:v>-7.8095948238323665E-3</c:v>
                </c:pt>
                <c:pt idx="4">
                  <c:v>-7.8095948238323665E-3</c:v>
                </c:pt>
                <c:pt idx="5">
                  <c:v>-7.8095948238323665E-3</c:v>
                </c:pt>
                <c:pt idx="6">
                  <c:v>-7.8095948238323665E-3</c:v>
                </c:pt>
                <c:pt idx="7">
                  <c:v>-7.8095948238323665E-3</c:v>
                </c:pt>
                <c:pt idx="8">
                  <c:v>-7.8095948238323665E-3</c:v>
                </c:pt>
                <c:pt idx="9">
                  <c:v>-7.8095948238323665E-3</c:v>
                </c:pt>
                <c:pt idx="10">
                  <c:v>-7.8095948238323665E-3</c:v>
                </c:pt>
                <c:pt idx="11">
                  <c:v>-7.8095948238323665E-3</c:v>
                </c:pt>
                <c:pt idx="12">
                  <c:v>-7.8095948238323665E-3</c:v>
                </c:pt>
                <c:pt idx="13">
                  <c:v>-7.8095948238323665E-3</c:v>
                </c:pt>
                <c:pt idx="14">
                  <c:v>-7.8095948238323665E-3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BC-564E-B133-BCD444D6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422847"/>
        <c:axId val="1575424559"/>
      </c:lineChart>
      <c:catAx>
        <c:axId val="157542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5424559"/>
        <c:crossesAt val="-1"/>
        <c:auto val="0"/>
        <c:lblAlgn val="ctr"/>
        <c:lblOffset val="100"/>
        <c:noMultiLvlLbl val="0"/>
      </c:catAx>
      <c:valAx>
        <c:axId val="1575424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pct_change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57542284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0A3D667-E9EF-6313-2D17-1CAEC74CE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3F354A5-508D-1B64-DEB7-88F8C727C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0.43333</cdr:x>
      <cdr:y>0.20833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3BBCA6D-EDAB-AE5B-EF57-67BADD365A08}"/>
            </a:ext>
          </a:extLst>
        </cdr:cNvPr>
        <cdr:cNvSpPr txBox="1"/>
      </cdr:nvSpPr>
      <cdr:spPr>
        <a:xfrm xmlns:a="http://schemas.openxmlformats.org/drawingml/2006/main">
          <a:off x="1981200" y="571500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0.43333</cdr:x>
      <cdr:y>0.25463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931324E-A513-095B-FCD5-7947B0089BC9}"/>
            </a:ext>
          </a:extLst>
        </cdr:cNvPr>
        <cdr:cNvSpPr txBox="1"/>
      </cdr:nvSpPr>
      <cdr:spPr>
        <a:xfrm xmlns:a="http://schemas.openxmlformats.org/drawingml/2006/main">
          <a:off x="1981200" y="698500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0.967</a:t>
          </a:r>
        </a:p>
      </cdr:txBody>
    </cdr:sp>
  </cdr:absSizeAnchor>
  <cdr:absSizeAnchor xmlns:cdr="http://schemas.openxmlformats.org/drawingml/2006/chartDrawing">
    <cdr:from>
      <cdr:x>0.43333</cdr:x>
      <cdr:y>0.30093</cdr:y>
    </cdr:from>
    <cdr:ext cx="109914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37E290D-48CA-0291-1296-B971D3FD839C}"/>
            </a:ext>
          </a:extLst>
        </cdr:cNvPr>
        <cdr:cNvSpPr txBox="1"/>
      </cdr:nvSpPr>
      <cdr:spPr>
        <a:xfrm xmlns:a="http://schemas.openxmlformats.org/drawingml/2006/main">
          <a:off x="1981200" y="825500"/>
          <a:ext cx="109914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866.514</a:t>
          </a:r>
        </a:p>
      </cdr:txBody>
    </cdr:sp>
  </cdr:absSizeAnchor>
  <cdr:absSizeAnchor xmlns:cdr="http://schemas.openxmlformats.org/drawingml/2006/chartDrawing">
    <cdr:from>
      <cdr:x>0.43333</cdr:x>
      <cdr:y>0.34722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5A8ACAE-AB58-612A-2B6D-3C1FB19DD664}"/>
            </a:ext>
          </a:extLst>
        </cdr:cNvPr>
        <cdr:cNvSpPr txBox="1"/>
      </cdr:nvSpPr>
      <cdr:spPr>
        <a:xfrm xmlns:a="http://schemas.openxmlformats.org/drawingml/2006/main">
          <a:off x="1981200" y="952500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777.670</a:t>
          </a:r>
        </a:p>
      </cdr:txBody>
    </cdr:sp>
  </cdr:absSizeAnchor>
  <cdr:absSizeAnchor xmlns:cdr="http://schemas.openxmlformats.org/drawingml/2006/chartDrawing">
    <cdr:from>
      <cdr:x>0.43333</cdr:x>
      <cdr:y>0.39352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BA83345-B811-0236-7BC5-F8BCCB3D5468}"/>
            </a:ext>
          </a:extLst>
        </cdr:cNvPr>
        <cdr:cNvSpPr txBox="1"/>
      </cdr:nvSpPr>
      <cdr:spPr>
        <a:xfrm xmlns:a="http://schemas.openxmlformats.org/drawingml/2006/main">
          <a:off x="1981200" y="1079500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B82E8A6-C3DE-3B88-E91B-D88B9AFF7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10382E6-3BAA-8C77-D6CB-7F39A16F5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696CD68-2B75-80F2-BE1F-FED87C8CF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1CDD8CC-EDF9-4FE1-31F9-74B108546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E5E2-656A-6A46-8FD6-2EDBDF17D5C9}">
  <sheetPr>
    <tabColor rgb="FF66FF66"/>
    <pageSetUpPr fitToPage="1"/>
  </sheetPr>
  <dimension ref="A1:Z52"/>
  <sheetViews>
    <sheetView zoomScale="174" zoomScaleNormal="174" workbookViewId="0">
      <selection activeCell="C1" sqref="C1:T36"/>
    </sheetView>
  </sheetViews>
  <sheetFormatPr baseColWidth="10" defaultRowHeight="15" x14ac:dyDescent="0.2"/>
  <cols>
    <col min="1" max="1" width="7.5" bestFit="1" customWidth="1"/>
    <col min="2" max="21" width="7" customWidth="1"/>
  </cols>
  <sheetData>
    <row r="1" spans="1:26" ht="14" customHeight="1" x14ac:dyDescent="0.3">
      <c r="A1" s="1" t="s">
        <v>1</v>
      </c>
      <c r="B1" s="3" t="s">
        <v>4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t="s">
        <v>10</v>
      </c>
      <c r="K1" s="4" t="s">
        <v>11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t="s">
        <v>12</v>
      </c>
      <c r="U1" t="s">
        <v>20</v>
      </c>
      <c r="V1">
        <f>INDEX(LINEST($B$2:$B$16,,,TRUE),1,1)</f>
        <v>866.51428571428562</v>
      </c>
      <c r="W1" t="s">
        <v>21</v>
      </c>
      <c r="X1">
        <f>INDEX(LINEST($B$2:$B$16,,,TRUE),1,2)</f>
        <v>32293.152380952386</v>
      </c>
      <c r="Y1" t="s">
        <v>22</v>
      </c>
      <c r="Z1">
        <f>INDEX(LINEST($B$2:$B$16,,,TRUE),3,1)</f>
        <v>0.96746699727898833</v>
      </c>
    </row>
    <row r="2" spans="1:26" ht="14" customHeight="1" x14ac:dyDescent="0.3">
      <c r="A2" s="9">
        <v>2010</v>
      </c>
      <c r="B2" s="5">
        <v>32149</v>
      </c>
      <c r="C2" s="5">
        <f t="shared" ref="C2:C36" ca="1" si="0">F2+2.66*O2</f>
        <v>35492.676666666674</v>
      </c>
      <c r="D2" s="5">
        <f t="shared" ref="D2:D36" ca="1" si="1">F2+(2/3)*2.66*O2</f>
        <v>34715.006666666668</v>
      </c>
      <c r="E2" s="5">
        <f t="shared" ref="E2:E36" ca="1" si="2">F2+(1/3)*2.66*O2</f>
        <v>33937.33666666667</v>
      </c>
      <c r="F2" s="5">
        <f t="shared" ref="F2:F36" si="3">INDEX(LINEST($B$2:$B$16,,,TRUE),1,1)* S2 +INDEX(LINEST($B$2:$B$16,,,TRUE),1,2)</f>
        <v>33159.666666666672</v>
      </c>
      <c r="G2" s="5">
        <f t="shared" ref="G2:G36" ca="1" si="4">F2-(1/3)*2.66*O2</f>
        <v>32381.996666666673</v>
      </c>
      <c r="H2" s="5">
        <f t="shared" ref="H2:H36" ca="1" si="5">F2-(2/3)*2.66*O2</f>
        <v>31604.326666666671</v>
      </c>
      <c r="I2" s="5">
        <f t="shared" ref="I2:I36" ca="1" si="6">F2-2.66*O2</f>
        <v>30826.656666666669</v>
      </c>
      <c r="J2" s="6">
        <f>B2</f>
        <v>32149</v>
      </c>
      <c r="K2" s="5"/>
      <c r="L2" s="4"/>
      <c r="M2" s="4"/>
      <c r="N2" s="4"/>
      <c r="O2" s="4">
        <f t="shared" ref="O2:O36" ca="1" si="7">AVERAGE($K$3:$K$16)</f>
        <v>877.07142857142856</v>
      </c>
      <c r="P2" s="4"/>
      <c r="Q2" s="4"/>
      <c r="R2" s="4"/>
      <c r="S2">
        <v>1</v>
      </c>
    </row>
    <row r="3" spans="1:26" ht="14" customHeight="1" x14ac:dyDescent="0.3">
      <c r="A3" s="9">
        <v>2011</v>
      </c>
      <c r="B3" s="5">
        <v>33316</v>
      </c>
      <c r="C3" s="5">
        <f t="shared" ca="1" si="0"/>
        <v>36359.190952380959</v>
      </c>
      <c r="D3" s="5">
        <f t="shared" ca="1" si="1"/>
        <v>35581.520952380961</v>
      </c>
      <c r="E3" s="5">
        <f t="shared" ca="1" si="2"/>
        <v>34803.850952380955</v>
      </c>
      <c r="F3" s="5">
        <f t="shared" si="3"/>
        <v>34026.180952380957</v>
      </c>
      <c r="G3" s="5">
        <f t="shared" ca="1" si="4"/>
        <v>33248.510952380959</v>
      </c>
      <c r="H3" s="5">
        <f t="shared" ca="1" si="5"/>
        <v>32470.840952380957</v>
      </c>
      <c r="I3" s="5">
        <f t="shared" ca="1" si="6"/>
        <v>31693.170952380955</v>
      </c>
      <c r="J3" s="6">
        <f t="shared" ref="J3:J36" ca="1" si="8">IF(ISBLANK(B3),OFFSET(J3,-1,0,1,1),B3)</f>
        <v>33316</v>
      </c>
      <c r="K3" s="5">
        <f t="shared" ref="K3:K36" ca="1" si="9">IF(OR(OFFSET(K3,-1,-9,1,1)="",OFFSET(K3,0,-9,1,1)=""),"",IF(ISERROR(ABS(B3-OFFSET(K3,-1,-1,1,1))),"",ABS(B3-OFFSET(K3,-1,-1,1,1))))</f>
        <v>1167</v>
      </c>
      <c r="L3" s="4">
        <f t="shared" ref="L3:L36" ca="1" si="10">3.267*O3</f>
        <v>2865.3923571428568</v>
      </c>
      <c r="M3" s="4">
        <f t="shared" ref="M3:M36" ca="1" si="11">(2/3)*(L3-O3)+O3</f>
        <v>2202.6187142857138</v>
      </c>
      <c r="N3" s="4">
        <f t="shared" ref="N3:N36" ca="1" si="12">(1/3)*(L3-O3)+O3</f>
        <v>1539.8450714285714</v>
      </c>
      <c r="O3" s="4">
        <f t="shared" ca="1" si="7"/>
        <v>877.07142857142856</v>
      </c>
      <c r="P3" s="4">
        <f t="shared" ref="P3:P36" ca="1" si="13">(MAX(O3-(1/3)*(L3-O3),0))</f>
        <v>214.29778571428585</v>
      </c>
      <c r="Q3" s="4">
        <f t="shared" ref="Q3:Q36" ca="1" si="14">MAX(O3-(2/3)*(L3-O3),0)</f>
        <v>0</v>
      </c>
      <c r="R3" s="4">
        <v>0</v>
      </c>
      <c r="S3">
        <f t="shared" ref="S3:S36" si="15">S2+1</f>
        <v>2</v>
      </c>
    </row>
    <row r="4" spans="1:26" ht="14" customHeight="1" x14ac:dyDescent="0.3">
      <c r="A4" s="9">
        <v>2012</v>
      </c>
      <c r="B4" s="5">
        <v>34841</v>
      </c>
      <c r="C4" s="5">
        <f t="shared" ca="1" si="0"/>
        <v>37225.705238095245</v>
      </c>
      <c r="D4" s="5">
        <f t="shared" ca="1" si="1"/>
        <v>36448.035238095239</v>
      </c>
      <c r="E4" s="5">
        <f t="shared" ca="1" si="2"/>
        <v>35670.365238095241</v>
      </c>
      <c r="F4" s="5">
        <f t="shared" si="3"/>
        <v>34892.695238095243</v>
      </c>
      <c r="G4" s="5">
        <f t="shared" ca="1" si="4"/>
        <v>34115.025238095244</v>
      </c>
      <c r="H4" s="5">
        <f t="shared" ca="1" si="5"/>
        <v>33337.355238095246</v>
      </c>
      <c r="I4" s="5">
        <f t="shared" ca="1" si="6"/>
        <v>32559.68523809524</v>
      </c>
      <c r="J4" s="6">
        <f t="shared" ca="1" si="8"/>
        <v>34841</v>
      </c>
      <c r="K4" s="5">
        <f t="shared" ca="1" si="9"/>
        <v>1525</v>
      </c>
      <c r="L4" s="4">
        <f t="shared" ca="1" si="10"/>
        <v>2865.3923571428568</v>
      </c>
      <c r="M4" s="4">
        <f t="shared" ca="1" si="11"/>
        <v>2202.6187142857138</v>
      </c>
      <c r="N4" s="4">
        <f t="shared" ca="1" si="12"/>
        <v>1539.8450714285714</v>
      </c>
      <c r="O4" s="4">
        <f t="shared" ca="1" si="7"/>
        <v>877.07142857142856</v>
      </c>
      <c r="P4" s="4">
        <f t="shared" ca="1" si="13"/>
        <v>214.29778571428585</v>
      </c>
      <c r="Q4" s="4">
        <f t="shared" ca="1" si="14"/>
        <v>0</v>
      </c>
      <c r="R4" s="4">
        <v>0</v>
      </c>
      <c r="S4">
        <f t="shared" si="15"/>
        <v>3</v>
      </c>
    </row>
    <row r="5" spans="1:26" ht="14" customHeight="1" x14ac:dyDescent="0.3">
      <c r="A5" s="9">
        <v>2013</v>
      </c>
      <c r="B5" s="5">
        <v>35713</v>
      </c>
      <c r="C5" s="5">
        <f t="shared" ca="1" si="0"/>
        <v>38092.21952380953</v>
      </c>
      <c r="D5" s="5">
        <f t="shared" ca="1" si="1"/>
        <v>37314.549523809532</v>
      </c>
      <c r="E5" s="5">
        <f t="shared" ca="1" si="2"/>
        <v>36536.879523809526</v>
      </c>
      <c r="F5" s="5">
        <f t="shared" si="3"/>
        <v>35759.209523809528</v>
      </c>
      <c r="G5" s="5">
        <f t="shared" ca="1" si="4"/>
        <v>34981.53952380953</v>
      </c>
      <c r="H5" s="5">
        <f t="shared" ca="1" si="5"/>
        <v>34203.869523809524</v>
      </c>
      <c r="I5" s="5">
        <f t="shared" ca="1" si="6"/>
        <v>33426.199523809526</v>
      </c>
      <c r="J5" s="6">
        <f t="shared" ca="1" si="8"/>
        <v>35713</v>
      </c>
      <c r="K5" s="5">
        <f t="shared" ca="1" si="9"/>
        <v>872</v>
      </c>
      <c r="L5" s="4">
        <f t="shared" ca="1" si="10"/>
        <v>2865.3923571428568</v>
      </c>
      <c r="M5" s="4">
        <f t="shared" ca="1" si="11"/>
        <v>2202.6187142857138</v>
      </c>
      <c r="N5" s="4">
        <f t="shared" ca="1" si="12"/>
        <v>1539.8450714285714</v>
      </c>
      <c r="O5" s="4">
        <f t="shared" ca="1" si="7"/>
        <v>877.07142857142856</v>
      </c>
      <c r="P5" s="4">
        <f t="shared" ca="1" si="13"/>
        <v>214.29778571428585</v>
      </c>
      <c r="Q5" s="4">
        <f t="shared" ca="1" si="14"/>
        <v>0</v>
      </c>
      <c r="R5" s="4">
        <v>0</v>
      </c>
      <c r="S5">
        <f t="shared" si="15"/>
        <v>4</v>
      </c>
    </row>
    <row r="6" spans="1:26" ht="14" customHeight="1" x14ac:dyDescent="0.3">
      <c r="A6" s="9">
        <v>2014</v>
      </c>
      <c r="B6" s="5">
        <v>36687</v>
      </c>
      <c r="C6" s="5">
        <f t="shared" ca="1" si="0"/>
        <v>38958.733809523816</v>
      </c>
      <c r="D6" s="5">
        <f t="shared" ca="1" si="1"/>
        <v>38181.06380952381</v>
      </c>
      <c r="E6" s="5">
        <f t="shared" ca="1" si="2"/>
        <v>37403.393809523812</v>
      </c>
      <c r="F6" s="5">
        <f t="shared" si="3"/>
        <v>36625.723809523814</v>
      </c>
      <c r="G6" s="5">
        <f t="shared" ca="1" si="4"/>
        <v>35848.053809523815</v>
      </c>
      <c r="H6" s="5">
        <f t="shared" ca="1" si="5"/>
        <v>35070.383809523817</v>
      </c>
      <c r="I6" s="5">
        <f t="shared" ca="1" si="6"/>
        <v>34292.713809523812</v>
      </c>
      <c r="J6" s="6">
        <f t="shared" ca="1" si="8"/>
        <v>36687</v>
      </c>
      <c r="K6" s="5">
        <f t="shared" ca="1" si="9"/>
        <v>974</v>
      </c>
      <c r="L6" s="4">
        <f t="shared" ca="1" si="10"/>
        <v>2865.3923571428568</v>
      </c>
      <c r="M6" s="4">
        <f t="shared" ca="1" si="11"/>
        <v>2202.6187142857138</v>
      </c>
      <c r="N6" s="4">
        <f t="shared" ca="1" si="12"/>
        <v>1539.8450714285714</v>
      </c>
      <c r="O6" s="4">
        <f t="shared" ca="1" si="7"/>
        <v>877.07142857142856</v>
      </c>
      <c r="P6" s="4">
        <f t="shared" ca="1" si="13"/>
        <v>214.29778571428585</v>
      </c>
      <c r="Q6" s="4">
        <f t="shared" ca="1" si="14"/>
        <v>0</v>
      </c>
      <c r="R6" s="4">
        <v>0</v>
      </c>
      <c r="S6">
        <f t="shared" si="15"/>
        <v>5</v>
      </c>
    </row>
    <row r="7" spans="1:26" ht="14" customHeight="1" x14ac:dyDescent="0.3">
      <c r="A7" s="9">
        <v>2015</v>
      </c>
      <c r="B7" s="5">
        <v>37658</v>
      </c>
      <c r="C7" s="5">
        <f t="shared" ca="1" si="0"/>
        <v>39825.248095238101</v>
      </c>
      <c r="D7" s="5">
        <f t="shared" ca="1" si="1"/>
        <v>39047.578095238103</v>
      </c>
      <c r="E7" s="5">
        <f t="shared" ca="1" si="2"/>
        <v>38269.908095238097</v>
      </c>
      <c r="F7" s="5">
        <f t="shared" si="3"/>
        <v>37492.238095238099</v>
      </c>
      <c r="G7" s="5">
        <f t="shared" ca="1" si="4"/>
        <v>36714.568095238101</v>
      </c>
      <c r="H7" s="5">
        <f t="shared" ca="1" si="5"/>
        <v>35936.898095238095</v>
      </c>
      <c r="I7" s="5">
        <f t="shared" ca="1" si="6"/>
        <v>35159.228095238097</v>
      </c>
      <c r="J7" s="6">
        <f t="shared" ca="1" si="8"/>
        <v>37658</v>
      </c>
      <c r="K7" s="5">
        <f t="shared" ca="1" si="9"/>
        <v>971</v>
      </c>
      <c r="L7" s="4">
        <f t="shared" ca="1" si="10"/>
        <v>2865.3923571428568</v>
      </c>
      <c r="M7" s="4">
        <f t="shared" ca="1" si="11"/>
        <v>2202.6187142857138</v>
      </c>
      <c r="N7" s="4">
        <f t="shared" ca="1" si="12"/>
        <v>1539.8450714285714</v>
      </c>
      <c r="O7" s="4">
        <f t="shared" ca="1" si="7"/>
        <v>877.07142857142856</v>
      </c>
      <c r="P7" s="4">
        <f t="shared" ca="1" si="13"/>
        <v>214.29778571428585</v>
      </c>
      <c r="Q7" s="4">
        <f t="shared" ca="1" si="14"/>
        <v>0</v>
      </c>
      <c r="R7" s="4">
        <v>0</v>
      </c>
      <c r="S7">
        <f t="shared" si="15"/>
        <v>6</v>
      </c>
    </row>
    <row r="8" spans="1:26" ht="14" customHeight="1" x14ac:dyDescent="0.3">
      <c r="A8" s="9">
        <v>2016</v>
      </c>
      <c r="B8" s="5">
        <v>39095</v>
      </c>
      <c r="C8" s="5">
        <f t="shared" ca="1" si="0"/>
        <v>40691.762380952387</v>
      </c>
      <c r="D8" s="5">
        <f t="shared" ca="1" si="1"/>
        <v>39914.092380952381</v>
      </c>
      <c r="E8" s="5">
        <f t="shared" ca="1" si="2"/>
        <v>39136.422380952383</v>
      </c>
      <c r="F8" s="5">
        <f t="shared" si="3"/>
        <v>38358.752380952385</v>
      </c>
      <c r="G8" s="5">
        <f t="shared" ca="1" si="4"/>
        <v>37581.082380952386</v>
      </c>
      <c r="H8" s="5">
        <f t="shared" ca="1" si="5"/>
        <v>36803.412380952388</v>
      </c>
      <c r="I8" s="5">
        <f t="shared" ca="1" si="6"/>
        <v>36025.742380952383</v>
      </c>
      <c r="J8" s="6">
        <f t="shared" ca="1" si="8"/>
        <v>39095</v>
      </c>
      <c r="K8" s="5">
        <f t="shared" ca="1" si="9"/>
        <v>1437</v>
      </c>
      <c r="L8" s="4">
        <f t="shared" ca="1" si="10"/>
        <v>2865.3923571428568</v>
      </c>
      <c r="M8" s="4">
        <f t="shared" ca="1" si="11"/>
        <v>2202.6187142857138</v>
      </c>
      <c r="N8" s="4">
        <f t="shared" ca="1" si="12"/>
        <v>1539.8450714285714</v>
      </c>
      <c r="O8" s="4">
        <f t="shared" ca="1" si="7"/>
        <v>877.07142857142856</v>
      </c>
      <c r="P8" s="4">
        <f t="shared" ca="1" si="13"/>
        <v>214.29778571428585</v>
      </c>
      <c r="Q8" s="4">
        <f t="shared" ca="1" si="14"/>
        <v>0</v>
      </c>
      <c r="R8" s="4">
        <v>0</v>
      </c>
      <c r="S8">
        <f t="shared" si="15"/>
        <v>7</v>
      </c>
    </row>
    <row r="9" spans="1:26" ht="14" customHeight="1" x14ac:dyDescent="0.3">
      <c r="A9" s="9">
        <v>2017</v>
      </c>
      <c r="B9" s="5">
        <v>40102</v>
      </c>
      <c r="C9" s="5">
        <f t="shared" ca="1" si="0"/>
        <v>41558.276666666672</v>
      </c>
      <c r="D9" s="5">
        <f t="shared" ca="1" si="1"/>
        <v>40780.606666666674</v>
      </c>
      <c r="E9" s="5">
        <f t="shared" ca="1" si="2"/>
        <v>40002.936666666668</v>
      </c>
      <c r="F9" s="5">
        <f t="shared" si="3"/>
        <v>39225.26666666667</v>
      </c>
      <c r="G9" s="5">
        <f t="shared" ca="1" si="4"/>
        <v>38447.596666666672</v>
      </c>
      <c r="H9" s="5">
        <f t="shared" ca="1" si="5"/>
        <v>37669.926666666666</v>
      </c>
      <c r="I9" s="5">
        <f t="shared" ca="1" si="6"/>
        <v>36892.256666666668</v>
      </c>
      <c r="J9" s="6">
        <f t="shared" ca="1" si="8"/>
        <v>40102</v>
      </c>
      <c r="K9" s="5">
        <f t="shared" ca="1" si="9"/>
        <v>1007</v>
      </c>
      <c r="L9" s="4">
        <f t="shared" ca="1" si="10"/>
        <v>2865.3923571428568</v>
      </c>
      <c r="M9" s="4">
        <f t="shared" ca="1" si="11"/>
        <v>2202.6187142857138</v>
      </c>
      <c r="N9" s="4">
        <f t="shared" ca="1" si="12"/>
        <v>1539.8450714285714</v>
      </c>
      <c r="O9" s="4">
        <f t="shared" ca="1" si="7"/>
        <v>877.07142857142856</v>
      </c>
      <c r="P9" s="4">
        <f t="shared" ca="1" si="13"/>
        <v>214.29778571428585</v>
      </c>
      <c r="Q9" s="4">
        <f t="shared" ca="1" si="14"/>
        <v>0</v>
      </c>
      <c r="R9" s="4">
        <v>0</v>
      </c>
      <c r="S9">
        <f t="shared" si="15"/>
        <v>8</v>
      </c>
    </row>
    <row r="10" spans="1:26" ht="14" customHeight="1" x14ac:dyDescent="0.3">
      <c r="A10" s="9">
        <v>2018</v>
      </c>
      <c r="B10" s="5">
        <v>41035</v>
      </c>
      <c r="C10" s="5">
        <f t="shared" ca="1" si="0"/>
        <v>42424.790952380958</v>
      </c>
      <c r="D10" s="5">
        <f t="shared" ca="1" si="1"/>
        <v>41647.120952380952</v>
      </c>
      <c r="E10" s="5">
        <f t="shared" ca="1" si="2"/>
        <v>40869.450952380954</v>
      </c>
      <c r="F10" s="5">
        <f t="shared" si="3"/>
        <v>40091.780952380956</v>
      </c>
      <c r="G10" s="5">
        <f t="shared" ca="1" si="4"/>
        <v>39314.110952380957</v>
      </c>
      <c r="H10" s="5">
        <f t="shared" ca="1" si="5"/>
        <v>38536.440952380959</v>
      </c>
      <c r="I10" s="5">
        <f t="shared" ca="1" si="6"/>
        <v>37758.770952380954</v>
      </c>
      <c r="J10" s="6">
        <f t="shared" ca="1" si="8"/>
        <v>41035</v>
      </c>
      <c r="K10" s="5">
        <f t="shared" ca="1" si="9"/>
        <v>933</v>
      </c>
      <c r="L10" s="4">
        <f t="shared" ca="1" si="10"/>
        <v>2865.3923571428568</v>
      </c>
      <c r="M10" s="4">
        <f t="shared" ca="1" si="11"/>
        <v>2202.6187142857138</v>
      </c>
      <c r="N10" s="4">
        <f t="shared" ca="1" si="12"/>
        <v>1539.8450714285714</v>
      </c>
      <c r="O10" s="4">
        <f t="shared" ca="1" si="7"/>
        <v>877.07142857142856</v>
      </c>
      <c r="P10" s="4">
        <f t="shared" ca="1" si="13"/>
        <v>214.29778571428585</v>
      </c>
      <c r="Q10" s="4">
        <f t="shared" ca="1" si="14"/>
        <v>0</v>
      </c>
      <c r="R10" s="4">
        <v>0</v>
      </c>
      <c r="S10">
        <f t="shared" si="15"/>
        <v>9</v>
      </c>
    </row>
    <row r="11" spans="1:26" ht="14" customHeight="1" x14ac:dyDescent="0.3">
      <c r="A11" s="9">
        <v>2019</v>
      </c>
      <c r="B11" s="5">
        <v>42042</v>
      </c>
      <c r="C11" s="5">
        <f t="shared" ca="1" si="0"/>
        <v>43291.305238095243</v>
      </c>
      <c r="D11" s="5">
        <f t="shared" ca="1" si="1"/>
        <v>42513.635238095245</v>
      </c>
      <c r="E11" s="5">
        <f t="shared" ca="1" si="2"/>
        <v>41735.965238095239</v>
      </c>
      <c r="F11" s="5">
        <f t="shared" si="3"/>
        <v>40958.295238095241</v>
      </c>
      <c r="G11" s="5">
        <f t="shared" ca="1" si="4"/>
        <v>40180.625238095243</v>
      </c>
      <c r="H11" s="5">
        <f t="shared" ca="1" si="5"/>
        <v>39402.955238095237</v>
      </c>
      <c r="I11" s="5">
        <f t="shared" ca="1" si="6"/>
        <v>38625.285238095239</v>
      </c>
      <c r="J11" s="6">
        <f t="shared" ca="1" si="8"/>
        <v>42042</v>
      </c>
      <c r="K11" s="5">
        <f t="shared" ca="1" si="9"/>
        <v>1007</v>
      </c>
      <c r="L11" s="4">
        <f t="shared" ca="1" si="10"/>
        <v>2865.3923571428568</v>
      </c>
      <c r="M11" s="4">
        <f t="shared" ca="1" si="11"/>
        <v>2202.6187142857138</v>
      </c>
      <c r="N11" s="4">
        <f t="shared" ca="1" si="12"/>
        <v>1539.8450714285714</v>
      </c>
      <c r="O11" s="4">
        <f t="shared" ca="1" si="7"/>
        <v>877.07142857142856</v>
      </c>
      <c r="P11" s="4">
        <f t="shared" ca="1" si="13"/>
        <v>214.29778571428585</v>
      </c>
      <c r="Q11" s="4">
        <f t="shared" ca="1" si="14"/>
        <v>0</v>
      </c>
      <c r="R11" s="4">
        <v>0</v>
      </c>
      <c r="S11">
        <f t="shared" si="15"/>
        <v>10</v>
      </c>
    </row>
    <row r="12" spans="1:26" ht="14" customHeight="1" x14ac:dyDescent="0.3">
      <c r="A12" s="9">
        <v>2020</v>
      </c>
      <c r="B12" s="5">
        <v>42152</v>
      </c>
      <c r="C12" s="5">
        <f t="shared" ca="1" si="0"/>
        <v>44157.819523809529</v>
      </c>
      <c r="D12" s="5">
        <f t="shared" ca="1" si="1"/>
        <v>43380.149523809523</v>
      </c>
      <c r="E12" s="5">
        <f t="shared" ca="1" si="2"/>
        <v>42602.479523809525</v>
      </c>
      <c r="F12" s="5">
        <f t="shared" si="3"/>
        <v>41824.809523809527</v>
      </c>
      <c r="G12" s="5">
        <f t="shared" ca="1" si="4"/>
        <v>41047.139523809528</v>
      </c>
      <c r="H12" s="5">
        <f t="shared" ca="1" si="5"/>
        <v>40269.46952380953</v>
      </c>
      <c r="I12" s="5">
        <f t="shared" ca="1" si="6"/>
        <v>39491.799523809525</v>
      </c>
      <c r="J12" s="6">
        <f t="shared" ca="1" si="8"/>
        <v>42152</v>
      </c>
      <c r="K12" s="5">
        <f t="shared" ca="1" si="9"/>
        <v>110</v>
      </c>
      <c r="L12" s="4">
        <f t="shared" ca="1" si="10"/>
        <v>2865.3923571428568</v>
      </c>
      <c r="M12" s="4">
        <f t="shared" ca="1" si="11"/>
        <v>2202.6187142857138</v>
      </c>
      <c r="N12" s="4">
        <f t="shared" ca="1" si="12"/>
        <v>1539.8450714285714</v>
      </c>
      <c r="O12" s="4">
        <f t="shared" ca="1" si="7"/>
        <v>877.07142857142856</v>
      </c>
      <c r="P12" s="4">
        <f t="shared" ca="1" si="13"/>
        <v>214.29778571428585</v>
      </c>
      <c r="Q12" s="4">
        <f t="shared" ca="1" si="14"/>
        <v>0</v>
      </c>
      <c r="R12" s="4">
        <v>0</v>
      </c>
      <c r="S12">
        <f t="shared" si="15"/>
        <v>11</v>
      </c>
    </row>
    <row r="13" spans="1:26" ht="14" customHeight="1" x14ac:dyDescent="0.3">
      <c r="A13" s="9">
        <v>2021</v>
      </c>
      <c r="B13" s="5">
        <v>42679</v>
      </c>
      <c r="C13" s="5">
        <f t="shared" ca="1" si="0"/>
        <v>45024.333809523814</v>
      </c>
      <c r="D13" s="5">
        <f t="shared" ca="1" si="1"/>
        <v>44246.663809523816</v>
      </c>
      <c r="E13" s="5">
        <f t="shared" ca="1" si="2"/>
        <v>43468.99380952381</v>
      </c>
      <c r="F13" s="5">
        <f t="shared" si="3"/>
        <v>42691.323809523812</v>
      </c>
      <c r="G13" s="5">
        <f t="shared" ca="1" si="4"/>
        <v>41913.653809523814</v>
      </c>
      <c r="H13" s="5">
        <f t="shared" ca="1" si="5"/>
        <v>41135.983809523808</v>
      </c>
      <c r="I13" s="5">
        <f t="shared" ca="1" si="6"/>
        <v>40358.31380952381</v>
      </c>
      <c r="J13" s="6">
        <f t="shared" ca="1" si="8"/>
        <v>42679</v>
      </c>
      <c r="K13" s="5">
        <f t="shared" ca="1" si="9"/>
        <v>527</v>
      </c>
      <c r="L13" s="4">
        <f t="shared" ca="1" si="10"/>
        <v>2865.3923571428568</v>
      </c>
      <c r="M13" s="4">
        <f t="shared" ca="1" si="11"/>
        <v>2202.6187142857138</v>
      </c>
      <c r="N13" s="4">
        <f t="shared" ca="1" si="12"/>
        <v>1539.8450714285714</v>
      </c>
      <c r="O13" s="4">
        <f t="shared" ca="1" si="7"/>
        <v>877.07142857142856</v>
      </c>
      <c r="P13" s="4">
        <f t="shared" ca="1" si="13"/>
        <v>214.29778571428585</v>
      </c>
      <c r="Q13" s="4">
        <f t="shared" ca="1" si="14"/>
        <v>0</v>
      </c>
      <c r="R13" s="4">
        <v>0</v>
      </c>
      <c r="S13">
        <f t="shared" si="15"/>
        <v>12</v>
      </c>
    </row>
    <row r="14" spans="1:26" ht="14" customHeight="1" x14ac:dyDescent="0.3">
      <c r="A14" s="9">
        <v>2022</v>
      </c>
      <c r="B14" s="5">
        <v>43087</v>
      </c>
      <c r="C14" s="5">
        <f t="shared" ca="1" si="0"/>
        <v>45890.8480952381</v>
      </c>
      <c r="D14" s="5">
        <f t="shared" ca="1" si="1"/>
        <v>45113.178095238094</v>
      </c>
      <c r="E14" s="5">
        <f t="shared" ca="1" si="2"/>
        <v>44335.508095238096</v>
      </c>
      <c r="F14" s="5">
        <f t="shared" si="3"/>
        <v>43557.838095238098</v>
      </c>
      <c r="G14" s="5">
        <f t="shared" ca="1" si="4"/>
        <v>42780.168095238099</v>
      </c>
      <c r="H14" s="5">
        <f t="shared" ca="1" si="5"/>
        <v>42002.498095238101</v>
      </c>
      <c r="I14" s="5">
        <f t="shared" ca="1" si="6"/>
        <v>41224.828095238096</v>
      </c>
      <c r="J14" s="6">
        <f t="shared" ca="1" si="8"/>
        <v>43087</v>
      </c>
      <c r="K14" s="5">
        <f t="shared" ca="1" si="9"/>
        <v>408</v>
      </c>
      <c r="L14" s="4">
        <f t="shared" ca="1" si="10"/>
        <v>2865.3923571428568</v>
      </c>
      <c r="M14" s="4">
        <f t="shared" ca="1" si="11"/>
        <v>2202.6187142857138</v>
      </c>
      <c r="N14" s="4">
        <f t="shared" ca="1" si="12"/>
        <v>1539.8450714285714</v>
      </c>
      <c r="O14" s="4">
        <f t="shared" ca="1" si="7"/>
        <v>877.07142857142856</v>
      </c>
      <c r="P14" s="4">
        <f t="shared" ca="1" si="13"/>
        <v>214.29778571428585</v>
      </c>
      <c r="Q14" s="4">
        <f t="shared" ca="1" si="14"/>
        <v>0</v>
      </c>
      <c r="R14" s="4">
        <v>0</v>
      </c>
      <c r="S14">
        <f t="shared" si="15"/>
        <v>13</v>
      </c>
    </row>
    <row r="15" spans="1:26" ht="14" customHeight="1" x14ac:dyDescent="0.3">
      <c r="A15" s="9">
        <v>2023</v>
      </c>
      <c r="B15" s="5">
        <v>43395</v>
      </c>
      <c r="C15" s="5">
        <f t="shared" ca="1" si="0"/>
        <v>46757.362380952385</v>
      </c>
      <c r="D15" s="5">
        <f t="shared" ca="1" si="1"/>
        <v>45979.692380952387</v>
      </c>
      <c r="E15" s="5">
        <f t="shared" ca="1" si="2"/>
        <v>45202.022380952381</v>
      </c>
      <c r="F15" s="5">
        <f t="shared" si="3"/>
        <v>44424.352380952383</v>
      </c>
      <c r="G15" s="5">
        <f t="shared" ca="1" si="4"/>
        <v>43646.682380952385</v>
      </c>
      <c r="H15" s="5">
        <f t="shared" ca="1" si="5"/>
        <v>42869.012380952379</v>
      </c>
      <c r="I15" s="5">
        <f t="shared" ca="1" si="6"/>
        <v>42091.342380952381</v>
      </c>
      <c r="J15" s="6">
        <f t="shared" ca="1" si="8"/>
        <v>43395</v>
      </c>
      <c r="K15" s="5">
        <f t="shared" ca="1" si="9"/>
        <v>308</v>
      </c>
      <c r="L15" s="4">
        <f t="shared" ca="1" si="10"/>
        <v>2865.3923571428568</v>
      </c>
      <c r="M15" s="4">
        <f t="shared" ca="1" si="11"/>
        <v>2202.6187142857138</v>
      </c>
      <c r="N15" s="4">
        <f t="shared" ca="1" si="12"/>
        <v>1539.8450714285714</v>
      </c>
      <c r="O15" s="4">
        <f t="shared" ca="1" si="7"/>
        <v>877.07142857142856</v>
      </c>
      <c r="P15" s="4">
        <f t="shared" ca="1" si="13"/>
        <v>214.29778571428585</v>
      </c>
      <c r="Q15" s="4">
        <f t="shared" ca="1" si="14"/>
        <v>0</v>
      </c>
      <c r="R15" s="4">
        <v>0</v>
      </c>
      <c r="S15">
        <f t="shared" si="15"/>
        <v>14</v>
      </c>
    </row>
    <row r="16" spans="1:26" ht="14" customHeight="1" x14ac:dyDescent="0.3">
      <c r="A16" s="9">
        <v>2024</v>
      </c>
      <c r="B16" s="5">
        <v>44428</v>
      </c>
      <c r="C16" s="5">
        <f t="shared" ca="1" si="0"/>
        <v>47623.876666666671</v>
      </c>
      <c r="D16" s="5">
        <f t="shared" ca="1" si="1"/>
        <v>46846.206666666665</v>
      </c>
      <c r="E16" s="5">
        <f t="shared" ca="1" si="2"/>
        <v>46068.536666666667</v>
      </c>
      <c r="F16" s="5">
        <f t="shared" si="3"/>
        <v>45290.866666666669</v>
      </c>
      <c r="G16" s="5">
        <f t="shared" ca="1" si="4"/>
        <v>44513.19666666667</v>
      </c>
      <c r="H16" s="5">
        <f t="shared" ca="1" si="5"/>
        <v>43735.526666666672</v>
      </c>
      <c r="I16" s="5">
        <f t="shared" ca="1" si="6"/>
        <v>42957.856666666667</v>
      </c>
      <c r="J16" s="6">
        <f t="shared" ca="1" si="8"/>
        <v>44428</v>
      </c>
      <c r="K16" s="5">
        <f t="shared" ca="1" si="9"/>
        <v>1033</v>
      </c>
      <c r="L16" s="4">
        <f t="shared" ca="1" si="10"/>
        <v>2865.3923571428568</v>
      </c>
      <c r="M16" s="4">
        <f t="shared" ca="1" si="11"/>
        <v>2202.6187142857138</v>
      </c>
      <c r="N16" s="4">
        <f t="shared" ca="1" si="12"/>
        <v>1539.8450714285714</v>
      </c>
      <c r="O16" s="4">
        <f t="shared" ca="1" si="7"/>
        <v>877.07142857142856</v>
      </c>
      <c r="P16" s="4">
        <f t="shared" ca="1" si="13"/>
        <v>214.29778571428585</v>
      </c>
      <c r="Q16" s="4">
        <f t="shared" ca="1" si="14"/>
        <v>0</v>
      </c>
      <c r="R16" s="4">
        <v>0</v>
      </c>
      <c r="S16">
        <f t="shared" si="15"/>
        <v>15</v>
      </c>
    </row>
    <row r="17" spans="3:19" ht="14" customHeight="1" x14ac:dyDescent="0.2">
      <c r="C17">
        <f t="shared" ca="1" si="0"/>
        <v>48490.390952380956</v>
      </c>
      <c r="D17">
        <f t="shared" ca="1" si="1"/>
        <v>47712.720952380958</v>
      </c>
      <c r="E17">
        <f t="shared" ca="1" si="2"/>
        <v>46935.050952380952</v>
      </c>
      <c r="F17">
        <f t="shared" si="3"/>
        <v>46157.380952380954</v>
      </c>
      <c r="G17">
        <f t="shared" ca="1" si="4"/>
        <v>45379.710952380956</v>
      </c>
      <c r="H17">
        <f t="shared" ca="1" si="5"/>
        <v>44602.04095238095</v>
      </c>
      <c r="I17">
        <f t="shared" ca="1" si="6"/>
        <v>43824.370952380952</v>
      </c>
      <c r="J17">
        <f t="shared" ca="1" si="8"/>
        <v>44428</v>
      </c>
      <c r="L17">
        <f t="shared" ca="1" si="10"/>
        <v>2865.3923571428568</v>
      </c>
      <c r="M17">
        <f t="shared" ca="1" si="11"/>
        <v>2202.6187142857138</v>
      </c>
      <c r="N17">
        <f t="shared" ca="1" si="12"/>
        <v>1539.8450714285714</v>
      </c>
      <c r="O17" s="4">
        <f t="shared" ca="1" si="7"/>
        <v>877.07142857142856</v>
      </c>
      <c r="P17">
        <f t="shared" ca="1" si="13"/>
        <v>214.29778571428585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49356.905238095242</v>
      </c>
      <c r="D18">
        <f t="shared" ca="1" si="1"/>
        <v>48579.235238095236</v>
      </c>
      <c r="E18">
        <f t="shared" ca="1" si="2"/>
        <v>47801.565238095238</v>
      </c>
      <c r="F18">
        <f t="shared" si="3"/>
        <v>47023.89523809524</v>
      </c>
      <c r="G18">
        <f t="shared" ca="1" si="4"/>
        <v>46246.225238095241</v>
      </c>
      <c r="H18">
        <f t="shared" ca="1" si="5"/>
        <v>45468.555238095243</v>
      </c>
      <c r="I18">
        <f t="shared" ca="1" si="6"/>
        <v>44690.885238095238</v>
      </c>
      <c r="J18">
        <f t="shared" ca="1" si="8"/>
        <v>44428</v>
      </c>
      <c r="K18" t="str">
        <f t="shared" ca="1" si="9"/>
        <v/>
      </c>
      <c r="L18">
        <f t="shared" ca="1" si="10"/>
        <v>2865.3923571428568</v>
      </c>
      <c r="M18">
        <f t="shared" ca="1" si="11"/>
        <v>2202.6187142857138</v>
      </c>
      <c r="N18">
        <f t="shared" ca="1" si="12"/>
        <v>1539.8450714285714</v>
      </c>
      <c r="O18" s="4">
        <f t="shared" ca="1" si="7"/>
        <v>877.07142857142856</v>
      </c>
      <c r="P18">
        <f t="shared" ca="1" si="13"/>
        <v>214.29778571428585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50223.419523809527</v>
      </c>
      <c r="D19">
        <f t="shared" ca="1" si="1"/>
        <v>49445.749523809529</v>
      </c>
      <c r="E19">
        <f t="shared" ca="1" si="2"/>
        <v>48668.079523809523</v>
      </c>
      <c r="F19">
        <f t="shared" si="3"/>
        <v>47890.409523809525</v>
      </c>
      <c r="G19">
        <f t="shared" ca="1" si="4"/>
        <v>47112.739523809527</v>
      </c>
      <c r="H19">
        <f t="shared" ca="1" si="5"/>
        <v>46335.069523809521</v>
      </c>
      <c r="I19">
        <f t="shared" ca="1" si="6"/>
        <v>45557.399523809523</v>
      </c>
      <c r="J19">
        <f t="shared" ca="1" si="8"/>
        <v>44428</v>
      </c>
      <c r="K19" t="str">
        <f t="shared" ca="1" si="9"/>
        <v/>
      </c>
      <c r="L19">
        <f t="shared" ca="1" si="10"/>
        <v>2865.3923571428568</v>
      </c>
      <c r="M19">
        <f t="shared" ca="1" si="11"/>
        <v>2202.6187142857138</v>
      </c>
      <c r="N19">
        <f t="shared" ca="1" si="12"/>
        <v>1539.8450714285714</v>
      </c>
      <c r="O19" s="4">
        <f t="shared" ca="1" si="7"/>
        <v>877.07142857142856</v>
      </c>
      <c r="P19">
        <f t="shared" ca="1" si="13"/>
        <v>214.29778571428585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51089.933809523813</v>
      </c>
      <c r="D20">
        <f t="shared" ca="1" si="1"/>
        <v>50312.263809523807</v>
      </c>
      <c r="E20">
        <f t="shared" ca="1" si="2"/>
        <v>49534.593809523809</v>
      </c>
      <c r="F20">
        <f t="shared" si="3"/>
        <v>48756.923809523811</v>
      </c>
      <c r="G20">
        <f t="shared" ca="1" si="4"/>
        <v>47979.253809523812</v>
      </c>
      <c r="H20">
        <f t="shared" ca="1" si="5"/>
        <v>47201.583809523814</v>
      </c>
      <c r="I20">
        <f t="shared" ca="1" si="6"/>
        <v>46423.913809523809</v>
      </c>
      <c r="J20">
        <f t="shared" ca="1" si="8"/>
        <v>44428</v>
      </c>
      <c r="K20" t="str">
        <f t="shared" ca="1" si="9"/>
        <v/>
      </c>
      <c r="L20">
        <f t="shared" ca="1" si="10"/>
        <v>2865.3923571428568</v>
      </c>
      <c r="M20">
        <f t="shared" ca="1" si="11"/>
        <v>2202.6187142857138</v>
      </c>
      <c r="N20">
        <f t="shared" ca="1" si="12"/>
        <v>1539.8450714285714</v>
      </c>
      <c r="O20" s="4">
        <f t="shared" ca="1" si="7"/>
        <v>877.07142857142856</v>
      </c>
      <c r="P20">
        <f t="shared" ca="1" si="13"/>
        <v>214.29778571428585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51956.448095238105</v>
      </c>
      <c r="D21">
        <f t="shared" ca="1" si="1"/>
        <v>51178.7780952381</v>
      </c>
      <c r="E21">
        <f t="shared" ca="1" si="2"/>
        <v>50401.108095238102</v>
      </c>
      <c r="F21">
        <f t="shared" si="3"/>
        <v>49623.438095238103</v>
      </c>
      <c r="G21">
        <f t="shared" ca="1" si="4"/>
        <v>48845.768095238105</v>
      </c>
      <c r="H21">
        <f t="shared" ca="1" si="5"/>
        <v>48068.098095238107</v>
      </c>
      <c r="I21">
        <f t="shared" ca="1" si="6"/>
        <v>47290.428095238101</v>
      </c>
      <c r="J21">
        <f t="shared" ca="1" si="8"/>
        <v>44428</v>
      </c>
      <c r="K21" t="str">
        <f t="shared" ca="1" si="9"/>
        <v/>
      </c>
      <c r="L21">
        <f t="shared" ca="1" si="10"/>
        <v>2865.3923571428568</v>
      </c>
      <c r="M21">
        <f t="shared" ca="1" si="11"/>
        <v>2202.6187142857138</v>
      </c>
      <c r="N21">
        <f t="shared" ca="1" si="12"/>
        <v>1539.8450714285714</v>
      </c>
      <c r="O21" s="4">
        <f t="shared" ca="1" si="7"/>
        <v>877.07142857142856</v>
      </c>
      <c r="P21">
        <f t="shared" ca="1" si="13"/>
        <v>214.29778571428585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52822.962380952384</v>
      </c>
      <c r="D22">
        <f t="shared" ca="1" si="1"/>
        <v>52045.292380952378</v>
      </c>
      <c r="E22">
        <f t="shared" ca="1" si="2"/>
        <v>51267.62238095238</v>
      </c>
      <c r="F22">
        <f t="shared" si="3"/>
        <v>50489.952380952382</v>
      </c>
      <c r="G22">
        <f t="shared" ca="1" si="4"/>
        <v>49712.282380952383</v>
      </c>
      <c r="H22">
        <f t="shared" ca="1" si="5"/>
        <v>48934.612380952385</v>
      </c>
      <c r="I22">
        <f t="shared" ca="1" si="6"/>
        <v>48156.94238095238</v>
      </c>
      <c r="J22">
        <f t="shared" ca="1" si="8"/>
        <v>44428</v>
      </c>
      <c r="K22" t="str">
        <f t="shared" ca="1" si="9"/>
        <v/>
      </c>
      <c r="L22">
        <f t="shared" ca="1" si="10"/>
        <v>2865.3923571428568</v>
      </c>
      <c r="M22">
        <f t="shared" ca="1" si="11"/>
        <v>2202.6187142857138</v>
      </c>
      <c r="N22">
        <f t="shared" ca="1" si="12"/>
        <v>1539.8450714285714</v>
      </c>
      <c r="O22" s="4">
        <f t="shared" ca="1" si="7"/>
        <v>877.07142857142856</v>
      </c>
      <c r="P22">
        <f t="shared" ca="1" si="13"/>
        <v>214.29778571428585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53689.476666666676</v>
      </c>
      <c r="D23">
        <f t="shared" ca="1" si="1"/>
        <v>52911.806666666671</v>
      </c>
      <c r="E23">
        <f t="shared" ca="1" si="2"/>
        <v>52134.136666666673</v>
      </c>
      <c r="F23">
        <f t="shared" si="3"/>
        <v>51356.466666666674</v>
      </c>
      <c r="G23">
        <f t="shared" ca="1" si="4"/>
        <v>50578.796666666676</v>
      </c>
      <c r="H23">
        <f t="shared" ca="1" si="5"/>
        <v>49801.126666666678</v>
      </c>
      <c r="I23">
        <f t="shared" ca="1" si="6"/>
        <v>49023.456666666672</v>
      </c>
      <c r="J23">
        <f t="shared" ca="1" si="8"/>
        <v>44428</v>
      </c>
      <c r="K23" t="str">
        <f t="shared" ca="1" si="9"/>
        <v/>
      </c>
      <c r="L23">
        <f t="shared" ca="1" si="10"/>
        <v>2865.3923571428568</v>
      </c>
      <c r="M23">
        <f t="shared" ca="1" si="11"/>
        <v>2202.6187142857138</v>
      </c>
      <c r="N23">
        <f t="shared" ca="1" si="12"/>
        <v>1539.8450714285714</v>
      </c>
      <c r="O23" s="4">
        <f t="shared" ca="1" si="7"/>
        <v>877.07142857142856</v>
      </c>
      <c r="P23">
        <f t="shared" ca="1" si="13"/>
        <v>214.29778571428585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54555.990952380955</v>
      </c>
      <c r="D24">
        <f t="shared" ca="1" si="1"/>
        <v>53778.320952380949</v>
      </c>
      <c r="E24">
        <f t="shared" ca="1" si="2"/>
        <v>53000.650952380951</v>
      </c>
      <c r="F24">
        <f t="shared" si="3"/>
        <v>52222.980952380953</v>
      </c>
      <c r="G24">
        <f t="shared" ca="1" si="4"/>
        <v>51445.310952380954</v>
      </c>
      <c r="H24">
        <f t="shared" ca="1" si="5"/>
        <v>50667.640952380956</v>
      </c>
      <c r="I24">
        <f t="shared" ca="1" si="6"/>
        <v>49889.970952380951</v>
      </c>
      <c r="J24">
        <f t="shared" ca="1" si="8"/>
        <v>44428</v>
      </c>
      <c r="K24" t="str">
        <f t="shared" ca="1" si="9"/>
        <v/>
      </c>
      <c r="L24">
        <f t="shared" ca="1" si="10"/>
        <v>2865.3923571428568</v>
      </c>
      <c r="M24">
        <f t="shared" ca="1" si="11"/>
        <v>2202.6187142857138</v>
      </c>
      <c r="N24">
        <f t="shared" ca="1" si="12"/>
        <v>1539.8450714285714</v>
      </c>
      <c r="O24" s="4">
        <f t="shared" ca="1" si="7"/>
        <v>877.07142857142856</v>
      </c>
      <c r="P24">
        <f t="shared" ca="1" si="13"/>
        <v>214.29778571428585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55422.505238095247</v>
      </c>
      <c r="D25">
        <f t="shared" ca="1" si="1"/>
        <v>54644.835238095242</v>
      </c>
      <c r="E25">
        <f t="shared" ca="1" si="2"/>
        <v>53867.165238095244</v>
      </c>
      <c r="F25">
        <f t="shared" si="3"/>
        <v>53089.495238095245</v>
      </c>
      <c r="G25">
        <f t="shared" ca="1" si="4"/>
        <v>52311.825238095247</v>
      </c>
      <c r="H25">
        <f t="shared" ca="1" si="5"/>
        <v>51534.155238095249</v>
      </c>
      <c r="I25">
        <f t="shared" ca="1" si="6"/>
        <v>50756.485238095243</v>
      </c>
      <c r="J25">
        <f t="shared" ca="1" si="8"/>
        <v>44428</v>
      </c>
      <c r="K25" t="str">
        <f t="shared" ca="1" si="9"/>
        <v/>
      </c>
      <c r="L25">
        <f t="shared" ca="1" si="10"/>
        <v>2865.3923571428568</v>
      </c>
      <c r="M25">
        <f t="shared" ca="1" si="11"/>
        <v>2202.6187142857138</v>
      </c>
      <c r="N25">
        <f t="shared" ca="1" si="12"/>
        <v>1539.8450714285714</v>
      </c>
      <c r="O25" s="4">
        <f t="shared" ca="1" si="7"/>
        <v>877.07142857142856</v>
      </c>
      <c r="P25">
        <f t="shared" ca="1" si="13"/>
        <v>214.29778571428585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56289.019523809526</v>
      </c>
      <c r="D26">
        <f t="shared" ca="1" si="1"/>
        <v>55511.34952380952</v>
      </c>
      <c r="E26">
        <f t="shared" ca="1" si="2"/>
        <v>54733.679523809522</v>
      </c>
      <c r="F26">
        <f t="shared" si="3"/>
        <v>53956.009523809524</v>
      </c>
      <c r="G26">
        <f t="shared" ca="1" si="4"/>
        <v>53178.339523809525</v>
      </c>
      <c r="H26">
        <f t="shared" ca="1" si="5"/>
        <v>52400.669523809527</v>
      </c>
      <c r="I26">
        <f t="shared" ca="1" si="6"/>
        <v>51622.999523809522</v>
      </c>
      <c r="J26">
        <f t="shared" ca="1" si="8"/>
        <v>44428</v>
      </c>
      <c r="K26" t="str">
        <f t="shared" ca="1" si="9"/>
        <v/>
      </c>
      <c r="L26">
        <f t="shared" ca="1" si="10"/>
        <v>2865.3923571428568</v>
      </c>
      <c r="M26">
        <f t="shared" ca="1" si="11"/>
        <v>2202.6187142857138</v>
      </c>
      <c r="N26">
        <f t="shared" ca="1" si="12"/>
        <v>1539.8450714285714</v>
      </c>
      <c r="O26" s="4">
        <f t="shared" ca="1" si="7"/>
        <v>877.07142857142856</v>
      </c>
      <c r="P26">
        <f t="shared" ca="1" si="13"/>
        <v>214.29778571428585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57155.533809523818</v>
      </c>
      <c r="D27">
        <f t="shared" ca="1" si="1"/>
        <v>56377.863809523813</v>
      </c>
      <c r="E27">
        <f t="shared" ca="1" si="2"/>
        <v>55600.193809523815</v>
      </c>
      <c r="F27">
        <f t="shared" si="3"/>
        <v>54822.523809523816</v>
      </c>
      <c r="G27">
        <f t="shared" ca="1" si="4"/>
        <v>54044.853809523818</v>
      </c>
      <c r="H27">
        <f t="shared" ca="1" si="5"/>
        <v>53267.18380952382</v>
      </c>
      <c r="I27">
        <f t="shared" ca="1" si="6"/>
        <v>52489.513809523814</v>
      </c>
      <c r="J27">
        <f t="shared" ca="1" si="8"/>
        <v>44428</v>
      </c>
      <c r="K27" t="str">
        <f t="shared" ca="1" si="9"/>
        <v/>
      </c>
      <c r="L27">
        <f t="shared" ca="1" si="10"/>
        <v>2865.3923571428568</v>
      </c>
      <c r="M27">
        <f t="shared" ca="1" si="11"/>
        <v>2202.6187142857138</v>
      </c>
      <c r="N27">
        <f t="shared" ca="1" si="12"/>
        <v>1539.8450714285714</v>
      </c>
      <c r="O27" s="4">
        <f t="shared" ca="1" si="7"/>
        <v>877.07142857142856</v>
      </c>
      <c r="P27">
        <f t="shared" ca="1" si="13"/>
        <v>214.29778571428585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58022.048095238097</v>
      </c>
      <c r="D28">
        <f t="shared" ca="1" si="1"/>
        <v>57244.378095238091</v>
      </c>
      <c r="E28">
        <f t="shared" ca="1" si="2"/>
        <v>56466.708095238093</v>
      </c>
      <c r="F28">
        <f t="shared" si="3"/>
        <v>55689.038095238095</v>
      </c>
      <c r="G28">
        <f t="shared" ca="1" si="4"/>
        <v>54911.368095238096</v>
      </c>
      <c r="H28">
        <f t="shared" ca="1" si="5"/>
        <v>54133.698095238098</v>
      </c>
      <c r="I28">
        <f t="shared" ca="1" si="6"/>
        <v>53356.028095238093</v>
      </c>
      <c r="J28">
        <f t="shared" ca="1" si="8"/>
        <v>44428</v>
      </c>
      <c r="K28" t="str">
        <f t="shared" ca="1" si="9"/>
        <v/>
      </c>
      <c r="L28">
        <f t="shared" ca="1" si="10"/>
        <v>2865.3923571428568</v>
      </c>
      <c r="M28">
        <f t="shared" ca="1" si="11"/>
        <v>2202.6187142857138</v>
      </c>
      <c r="N28">
        <f t="shared" ca="1" si="12"/>
        <v>1539.8450714285714</v>
      </c>
      <c r="O28" s="4">
        <f t="shared" ca="1" si="7"/>
        <v>877.07142857142856</v>
      </c>
      <c r="P28">
        <f t="shared" ca="1" si="13"/>
        <v>214.29778571428585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58888.56238095239</v>
      </c>
      <c r="D29">
        <f t="shared" ca="1" si="1"/>
        <v>58110.892380952384</v>
      </c>
      <c r="E29">
        <f t="shared" ca="1" si="2"/>
        <v>57333.222380952386</v>
      </c>
      <c r="F29">
        <f t="shared" si="3"/>
        <v>56555.552380952387</v>
      </c>
      <c r="G29">
        <f t="shared" ca="1" si="4"/>
        <v>55777.882380952389</v>
      </c>
      <c r="H29">
        <f t="shared" ca="1" si="5"/>
        <v>55000.212380952391</v>
      </c>
      <c r="I29">
        <f t="shared" ca="1" si="6"/>
        <v>54222.542380952385</v>
      </c>
      <c r="J29">
        <f t="shared" ca="1" si="8"/>
        <v>44428</v>
      </c>
      <c r="K29" t="str">
        <f t="shared" ca="1" si="9"/>
        <v/>
      </c>
      <c r="L29">
        <f t="shared" ca="1" si="10"/>
        <v>2865.3923571428568</v>
      </c>
      <c r="M29">
        <f t="shared" ca="1" si="11"/>
        <v>2202.6187142857138</v>
      </c>
      <c r="N29">
        <f t="shared" ca="1" si="12"/>
        <v>1539.8450714285714</v>
      </c>
      <c r="O29" s="4">
        <f t="shared" ca="1" si="7"/>
        <v>877.07142857142856</v>
      </c>
      <c r="P29">
        <f t="shared" ca="1" si="13"/>
        <v>214.29778571428585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59755.076666666668</v>
      </c>
      <c r="D30">
        <f t="shared" ca="1" si="1"/>
        <v>58977.406666666662</v>
      </c>
      <c r="E30">
        <f t="shared" ca="1" si="2"/>
        <v>58199.736666666664</v>
      </c>
      <c r="F30">
        <f t="shared" si="3"/>
        <v>57422.066666666666</v>
      </c>
      <c r="G30">
        <f t="shared" ca="1" si="4"/>
        <v>56644.396666666667</v>
      </c>
      <c r="H30">
        <f t="shared" ca="1" si="5"/>
        <v>55866.726666666669</v>
      </c>
      <c r="I30">
        <f t="shared" ca="1" si="6"/>
        <v>55089.056666666664</v>
      </c>
      <c r="J30">
        <f t="shared" ca="1" si="8"/>
        <v>44428</v>
      </c>
      <c r="K30" t="str">
        <f t="shared" ca="1" si="9"/>
        <v/>
      </c>
      <c r="L30">
        <f t="shared" ca="1" si="10"/>
        <v>2865.3923571428568</v>
      </c>
      <c r="M30">
        <f t="shared" ca="1" si="11"/>
        <v>2202.6187142857138</v>
      </c>
      <c r="N30">
        <f t="shared" ca="1" si="12"/>
        <v>1539.8450714285714</v>
      </c>
      <c r="O30" s="4">
        <f t="shared" ca="1" si="7"/>
        <v>877.07142857142856</v>
      </c>
      <c r="P30">
        <f t="shared" ca="1" si="13"/>
        <v>214.29778571428585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60621.590952380961</v>
      </c>
      <c r="D31">
        <f t="shared" ca="1" si="1"/>
        <v>59843.920952380955</v>
      </c>
      <c r="E31">
        <f t="shared" ca="1" si="2"/>
        <v>59066.250952380957</v>
      </c>
      <c r="F31">
        <f t="shared" si="3"/>
        <v>58288.580952380958</v>
      </c>
      <c r="G31">
        <f t="shared" ca="1" si="4"/>
        <v>57510.91095238096</v>
      </c>
      <c r="H31">
        <f t="shared" ca="1" si="5"/>
        <v>56733.240952380962</v>
      </c>
      <c r="I31">
        <f t="shared" ca="1" si="6"/>
        <v>55955.570952380956</v>
      </c>
      <c r="J31">
        <f t="shared" ca="1" si="8"/>
        <v>44428</v>
      </c>
      <c r="K31" t="str">
        <f t="shared" ca="1" si="9"/>
        <v/>
      </c>
      <c r="L31">
        <f t="shared" ca="1" si="10"/>
        <v>2865.3923571428568</v>
      </c>
      <c r="M31">
        <f t="shared" ca="1" si="11"/>
        <v>2202.6187142857138</v>
      </c>
      <c r="N31">
        <f t="shared" ca="1" si="12"/>
        <v>1539.8450714285714</v>
      </c>
      <c r="O31" s="4">
        <f t="shared" ca="1" si="7"/>
        <v>877.07142857142856</v>
      </c>
      <c r="P31">
        <f t="shared" ca="1" si="13"/>
        <v>214.29778571428585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61488.105238095239</v>
      </c>
      <c r="D32">
        <f t="shared" ca="1" si="1"/>
        <v>60710.435238095233</v>
      </c>
      <c r="E32">
        <f t="shared" ca="1" si="2"/>
        <v>59932.765238095235</v>
      </c>
      <c r="F32">
        <f t="shared" si="3"/>
        <v>59155.095238095237</v>
      </c>
      <c r="G32">
        <f t="shared" ca="1" si="4"/>
        <v>58377.425238095238</v>
      </c>
      <c r="H32">
        <f t="shared" ca="1" si="5"/>
        <v>57599.75523809524</v>
      </c>
      <c r="I32">
        <f t="shared" ca="1" si="6"/>
        <v>56822.085238095235</v>
      </c>
      <c r="J32">
        <f t="shared" ca="1" si="8"/>
        <v>44428</v>
      </c>
      <c r="K32" t="str">
        <f t="shared" ca="1" si="9"/>
        <v/>
      </c>
      <c r="L32">
        <f t="shared" ca="1" si="10"/>
        <v>2865.3923571428568</v>
      </c>
      <c r="M32">
        <f t="shared" ca="1" si="11"/>
        <v>2202.6187142857138</v>
      </c>
      <c r="N32">
        <f t="shared" ca="1" si="12"/>
        <v>1539.8450714285714</v>
      </c>
      <c r="O32" s="4">
        <f t="shared" ca="1" si="7"/>
        <v>877.07142857142856</v>
      </c>
      <c r="P32">
        <f t="shared" ca="1" si="13"/>
        <v>214.29778571428585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62354.619523809532</v>
      </c>
      <c r="D33">
        <f t="shared" ca="1" si="1"/>
        <v>61576.949523809526</v>
      </c>
      <c r="E33">
        <f t="shared" ca="1" si="2"/>
        <v>60799.279523809528</v>
      </c>
      <c r="F33">
        <f t="shared" si="3"/>
        <v>60021.609523809529</v>
      </c>
      <c r="G33">
        <f t="shared" ca="1" si="4"/>
        <v>59243.939523809531</v>
      </c>
      <c r="H33">
        <f t="shared" ca="1" si="5"/>
        <v>58466.269523809533</v>
      </c>
      <c r="I33">
        <f t="shared" ca="1" si="6"/>
        <v>57688.599523809527</v>
      </c>
      <c r="J33">
        <f t="shared" ca="1" si="8"/>
        <v>44428</v>
      </c>
      <c r="K33" t="str">
        <f t="shared" ca="1" si="9"/>
        <v/>
      </c>
      <c r="L33">
        <f t="shared" ca="1" si="10"/>
        <v>2865.3923571428568</v>
      </c>
      <c r="M33">
        <f t="shared" ca="1" si="11"/>
        <v>2202.6187142857138</v>
      </c>
      <c r="N33">
        <f t="shared" ca="1" si="12"/>
        <v>1539.8450714285714</v>
      </c>
      <c r="O33" s="4">
        <f t="shared" ca="1" si="7"/>
        <v>877.07142857142856</v>
      </c>
      <c r="P33">
        <f t="shared" ca="1" si="13"/>
        <v>214.29778571428585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63221.13380952381</v>
      </c>
      <c r="D34">
        <f t="shared" ca="1" si="1"/>
        <v>62443.463809523804</v>
      </c>
      <c r="E34">
        <f t="shared" ca="1" si="2"/>
        <v>61665.793809523806</v>
      </c>
      <c r="F34">
        <f t="shared" si="3"/>
        <v>60888.123809523808</v>
      </c>
      <c r="G34">
        <f t="shared" ca="1" si="4"/>
        <v>60110.453809523809</v>
      </c>
      <c r="H34">
        <f t="shared" ca="1" si="5"/>
        <v>59332.783809523811</v>
      </c>
      <c r="I34">
        <f t="shared" ca="1" si="6"/>
        <v>58555.113809523806</v>
      </c>
      <c r="J34">
        <f t="shared" ca="1" si="8"/>
        <v>44428</v>
      </c>
      <c r="K34" t="str">
        <f t="shared" ca="1" si="9"/>
        <v/>
      </c>
      <c r="L34">
        <f t="shared" ca="1" si="10"/>
        <v>2865.3923571428568</v>
      </c>
      <c r="M34">
        <f t="shared" ca="1" si="11"/>
        <v>2202.6187142857138</v>
      </c>
      <c r="N34">
        <f t="shared" ca="1" si="12"/>
        <v>1539.8450714285714</v>
      </c>
      <c r="O34" s="4">
        <f t="shared" ca="1" si="7"/>
        <v>877.07142857142856</v>
      </c>
      <c r="P34">
        <f t="shared" ca="1" si="13"/>
        <v>214.29778571428585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64087.648095238103</v>
      </c>
      <c r="D35">
        <f t="shared" ca="1" si="1"/>
        <v>63309.978095238097</v>
      </c>
      <c r="E35">
        <f t="shared" ca="1" si="2"/>
        <v>62532.308095238099</v>
      </c>
      <c r="F35">
        <f t="shared" si="3"/>
        <v>61754.638095238101</v>
      </c>
      <c r="G35">
        <f t="shared" ca="1" si="4"/>
        <v>60976.968095238102</v>
      </c>
      <c r="H35">
        <f t="shared" ca="1" si="5"/>
        <v>60199.298095238104</v>
      </c>
      <c r="I35">
        <f t="shared" ca="1" si="6"/>
        <v>59421.628095238098</v>
      </c>
      <c r="J35">
        <f t="shared" ca="1" si="8"/>
        <v>44428</v>
      </c>
      <c r="K35" t="str">
        <f t="shared" ca="1" si="9"/>
        <v/>
      </c>
      <c r="L35">
        <f t="shared" ca="1" si="10"/>
        <v>2865.3923571428568</v>
      </c>
      <c r="M35">
        <f t="shared" ca="1" si="11"/>
        <v>2202.6187142857138</v>
      </c>
      <c r="N35">
        <f t="shared" ca="1" si="12"/>
        <v>1539.8450714285714</v>
      </c>
      <c r="O35" s="4">
        <f t="shared" ca="1" si="7"/>
        <v>877.07142857142856</v>
      </c>
      <c r="P35">
        <f t="shared" ca="1" si="13"/>
        <v>214.29778571428585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64954.162380952381</v>
      </c>
      <c r="D36">
        <f t="shared" ca="1" si="1"/>
        <v>64176.492380952375</v>
      </c>
      <c r="E36">
        <f t="shared" ca="1" si="2"/>
        <v>63398.822380952377</v>
      </c>
      <c r="F36">
        <f t="shared" si="3"/>
        <v>62621.152380952379</v>
      </c>
      <c r="G36">
        <f t="shared" ca="1" si="4"/>
        <v>61843.48238095238</v>
      </c>
      <c r="H36">
        <f t="shared" ca="1" si="5"/>
        <v>61065.812380952382</v>
      </c>
      <c r="I36">
        <f t="shared" ca="1" si="6"/>
        <v>60288.142380952377</v>
      </c>
      <c r="J36">
        <f t="shared" ca="1" si="8"/>
        <v>44428</v>
      </c>
      <c r="K36" t="str">
        <f t="shared" ca="1" si="9"/>
        <v/>
      </c>
      <c r="L36">
        <f t="shared" ca="1" si="10"/>
        <v>2865.3923571428568</v>
      </c>
      <c r="M36">
        <f t="shared" ca="1" si="11"/>
        <v>2202.6187142857138</v>
      </c>
      <c r="N36">
        <f t="shared" ca="1" si="12"/>
        <v>1539.8450714285714</v>
      </c>
      <c r="O36" s="4">
        <f t="shared" ca="1" si="7"/>
        <v>877.07142857142856</v>
      </c>
      <c r="P36">
        <f t="shared" ca="1" si="13"/>
        <v>214.29778571428585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27F-D56B-1942-AA6A-0CA4DD92B280}">
  <sheetPr>
    <tabColor rgb="FF66FF66"/>
    <pageSetUpPr fitToPage="1"/>
  </sheetPr>
  <dimension ref="A1:R52"/>
  <sheetViews>
    <sheetView zoomScale="174" zoomScaleNormal="174" workbookViewId="0">
      <selection activeCell="C1" sqref="C1:R36"/>
    </sheetView>
  </sheetViews>
  <sheetFormatPr baseColWidth="10" defaultRowHeight="15" x14ac:dyDescent="0.2"/>
  <cols>
    <col min="1" max="1" width="7.5" bestFit="1" customWidth="1"/>
    <col min="2" max="20" width="6.83203125" customWidth="1"/>
  </cols>
  <sheetData>
    <row r="1" spans="1:18" ht="14" customHeight="1" x14ac:dyDescent="0.3">
      <c r="A1" s="1" t="s">
        <v>1</v>
      </c>
      <c r="B1" s="3" t="s">
        <v>6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t="s">
        <v>10</v>
      </c>
      <c r="K1" s="4" t="s">
        <v>11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 ht="14" customHeight="1" x14ac:dyDescent="0.3">
      <c r="A2" s="9">
        <v>2010</v>
      </c>
      <c r="B2" s="5"/>
      <c r="C2" s="5">
        <f t="shared" ref="C2:C36" ca="1" si="0">F2+2.66*O2</f>
        <v>1781.0621978021979</v>
      </c>
      <c r="D2" s="5">
        <f t="shared" ref="D2:D36" ca="1" si="1">F2+(2/3)*2.66*O2</f>
        <v>1479.7319413919413</v>
      </c>
      <c r="E2" s="5">
        <f t="shared" ref="E2:E36" ca="1" si="2">F2+(1/3)*2.66*O2</f>
        <v>1178.4016849816849</v>
      </c>
      <c r="F2" s="5">
        <f t="shared" ref="F2:F36" si="3">AVERAGE($B$2:$B$16)</f>
        <v>877.07142857142856</v>
      </c>
      <c r="G2" s="5">
        <f t="shared" ref="G2:G36" ca="1" si="4">F2-(1/3)*2.66*O2</f>
        <v>575.74117216117213</v>
      </c>
      <c r="H2" s="5">
        <f t="shared" ref="H2:H36" ca="1" si="5">F2-(2/3)*2.66*O2</f>
        <v>274.41091575091571</v>
      </c>
      <c r="I2" s="5">
        <f t="shared" ref="I2:I36" ca="1" si="6">F2-2.66*O2</f>
        <v>-26.919340659340833</v>
      </c>
      <c r="J2" s="6">
        <f>B2</f>
        <v>0</v>
      </c>
      <c r="K2" s="5"/>
      <c r="L2" s="4"/>
      <c r="M2" s="4"/>
      <c r="N2" s="4"/>
      <c r="O2" s="4">
        <f t="shared" ref="O2:O36" ca="1" si="7">AVERAGE($K$2:$K$16)</f>
        <v>339.84615384615387</v>
      </c>
      <c r="P2" s="4"/>
      <c r="Q2" s="4"/>
      <c r="R2" s="4"/>
    </row>
    <row r="3" spans="1:18" ht="14" customHeight="1" x14ac:dyDescent="0.3">
      <c r="A3" s="9">
        <v>2011</v>
      </c>
      <c r="B3" s="5">
        <v>1167</v>
      </c>
      <c r="C3" s="5">
        <f t="shared" ca="1" si="0"/>
        <v>1781.0621978021979</v>
      </c>
      <c r="D3" s="5">
        <f t="shared" ca="1" si="1"/>
        <v>1479.7319413919413</v>
      </c>
      <c r="E3" s="5">
        <f t="shared" ca="1" si="2"/>
        <v>1178.4016849816849</v>
      </c>
      <c r="F3" s="5">
        <f t="shared" si="3"/>
        <v>877.07142857142856</v>
      </c>
      <c r="G3" s="5">
        <f t="shared" ca="1" si="4"/>
        <v>575.74117216117213</v>
      </c>
      <c r="H3" s="5">
        <f t="shared" ca="1" si="5"/>
        <v>274.41091575091571</v>
      </c>
      <c r="I3" s="5">
        <f t="shared" ca="1" si="6"/>
        <v>-26.919340659340833</v>
      </c>
      <c r="J3" s="6">
        <f t="shared" ref="J3:J36" ca="1" si="8">IF(ISBLANK(B3),OFFSET(J3,-1,0,1,1),B3)</f>
        <v>1167</v>
      </c>
      <c r="K3" s="6"/>
      <c r="L3" s="4">
        <f t="shared" ref="L3:L36" ca="1" si="9">3.267*O3</f>
        <v>1110.2773846153846</v>
      </c>
      <c r="M3" s="4">
        <f t="shared" ref="M3:M36" ca="1" si="10">(2/3)*(L3-O3)+O3</f>
        <v>853.46697435897431</v>
      </c>
      <c r="N3" s="4">
        <f t="shared" ref="N3:N36" ca="1" si="11">(1/3)*(L3-O3)+O3</f>
        <v>596.65656410256406</v>
      </c>
      <c r="O3" s="4">
        <f t="shared" ca="1" si="7"/>
        <v>339.84615384615387</v>
      </c>
      <c r="P3" s="4">
        <f t="shared" ref="P3:P36" ca="1" si="12">(MAX(O3-(1/3)*(L3-O3),0))</f>
        <v>83.035743589743618</v>
      </c>
      <c r="Q3" s="4">
        <f t="shared" ref="Q3:Q36" ca="1" si="13">MAX(O3-(2/3)*(L3-O3),0)</f>
        <v>0</v>
      </c>
      <c r="R3" s="4">
        <v>0</v>
      </c>
    </row>
    <row r="4" spans="1:18" ht="14" customHeight="1" x14ac:dyDescent="0.3">
      <c r="A4" s="9">
        <v>2012</v>
      </c>
      <c r="B4" s="5">
        <v>1525</v>
      </c>
      <c r="C4" s="5">
        <f t="shared" ca="1" si="0"/>
        <v>1781.0621978021979</v>
      </c>
      <c r="D4" s="5">
        <f t="shared" ca="1" si="1"/>
        <v>1479.7319413919413</v>
      </c>
      <c r="E4" s="5">
        <f t="shared" ca="1" si="2"/>
        <v>1178.4016849816849</v>
      </c>
      <c r="F4" s="5">
        <f t="shared" si="3"/>
        <v>877.07142857142856</v>
      </c>
      <c r="G4" s="5">
        <f t="shared" ca="1" si="4"/>
        <v>575.74117216117213</v>
      </c>
      <c r="H4" s="5">
        <f t="shared" ca="1" si="5"/>
        <v>274.41091575091571</v>
      </c>
      <c r="I4" s="5">
        <f t="shared" ca="1" si="6"/>
        <v>-26.919340659340833</v>
      </c>
      <c r="J4" s="6">
        <f t="shared" ca="1" si="8"/>
        <v>1525</v>
      </c>
      <c r="K4" s="5">
        <f t="shared" ref="K3:K36" ca="1" si="14">IF(OR(OFFSET(K4,-1,-9,1,1)="",OFFSET(K4,0,-9,1,1)=""),"",IF(ISERROR(ABS(B4-OFFSET(K4,-1,-1,1,1))),"",ABS(B4-OFFSET(K4,-1,-1,1,1))))</f>
        <v>358</v>
      </c>
      <c r="L4" s="4">
        <f t="shared" ca="1" si="9"/>
        <v>1110.2773846153846</v>
      </c>
      <c r="M4" s="4">
        <f t="shared" ca="1" si="10"/>
        <v>853.46697435897431</v>
      </c>
      <c r="N4" s="4">
        <f t="shared" ca="1" si="11"/>
        <v>596.65656410256406</v>
      </c>
      <c r="O4" s="4">
        <f t="shared" ca="1" si="7"/>
        <v>339.84615384615387</v>
      </c>
      <c r="P4" s="4">
        <f t="shared" ca="1" si="12"/>
        <v>83.035743589743618</v>
      </c>
      <c r="Q4" s="4">
        <f t="shared" ca="1" si="13"/>
        <v>0</v>
      </c>
      <c r="R4" s="4">
        <v>0</v>
      </c>
    </row>
    <row r="5" spans="1:18" ht="14" customHeight="1" x14ac:dyDescent="0.3">
      <c r="A5" s="9">
        <v>2013</v>
      </c>
      <c r="B5" s="5">
        <v>872</v>
      </c>
      <c r="C5" s="5">
        <f t="shared" ca="1" si="0"/>
        <v>1781.0621978021979</v>
      </c>
      <c r="D5" s="5">
        <f t="shared" ca="1" si="1"/>
        <v>1479.7319413919413</v>
      </c>
      <c r="E5" s="5">
        <f t="shared" ca="1" si="2"/>
        <v>1178.4016849816849</v>
      </c>
      <c r="F5" s="5">
        <f t="shared" si="3"/>
        <v>877.07142857142856</v>
      </c>
      <c r="G5" s="5">
        <f t="shared" ca="1" si="4"/>
        <v>575.74117216117213</v>
      </c>
      <c r="H5" s="5">
        <f t="shared" ca="1" si="5"/>
        <v>274.41091575091571</v>
      </c>
      <c r="I5" s="5">
        <f t="shared" ca="1" si="6"/>
        <v>-26.919340659340833</v>
      </c>
      <c r="J5" s="6">
        <f t="shared" ca="1" si="8"/>
        <v>872</v>
      </c>
      <c r="K5" s="5">
        <f t="shared" ca="1" si="14"/>
        <v>653</v>
      </c>
      <c r="L5" s="4">
        <f t="shared" ca="1" si="9"/>
        <v>1110.2773846153846</v>
      </c>
      <c r="M5" s="4">
        <f t="shared" ca="1" si="10"/>
        <v>853.46697435897431</v>
      </c>
      <c r="N5" s="4">
        <f t="shared" ca="1" si="11"/>
        <v>596.65656410256406</v>
      </c>
      <c r="O5" s="4">
        <f t="shared" ca="1" si="7"/>
        <v>339.84615384615387</v>
      </c>
      <c r="P5" s="4">
        <f t="shared" ca="1" si="12"/>
        <v>83.035743589743618</v>
      </c>
      <c r="Q5" s="4">
        <f t="shared" ca="1" si="13"/>
        <v>0</v>
      </c>
      <c r="R5" s="4">
        <v>0</v>
      </c>
    </row>
    <row r="6" spans="1:18" ht="14" customHeight="1" x14ac:dyDescent="0.3">
      <c r="A6" s="9">
        <v>2014</v>
      </c>
      <c r="B6" s="5">
        <v>974</v>
      </c>
      <c r="C6" s="5">
        <f t="shared" ca="1" si="0"/>
        <v>1781.0621978021979</v>
      </c>
      <c r="D6" s="5">
        <f t="shared" ca="1" si="1"/>
        <v>1479.7319413919413</v>
      </c>
      <c r="E6" s="5">
        <f t="shared" ca="1" si="2"/>
        <v>1178.4016849816849</v>
      </c>
      <c r="F6" s="5">
        <f t="shared" si="3"/>
        <v>877.07142857142856</v>
      </c>
      <c r="G6" s="5">
        <f t="shared" ca="1" si="4"/>
        <v>575.74117216117213</v>
      </c>
      <c r="H6" s="5">
        <f t="shared" ca="1" si="5"/>
        <v>274.41091575091571</v>
      </c>
      <c r="I6" s="5">
        <f t="shared" ca="1" si="6"/>
        <v>-26.919340659340833</v>
      </c>
      <c r="J6" s="6">
        <f t="shared" ca="1" si="8"/>
        <v>974</v>
      </c>
      <c r="K6" s="5">
        <f t="shared" ca="1" si="14"/>
        <v>102</v>
      </c>
      <c r="L6" s="4">
        <f t="shared" ca="1" si="9"/>
        <v>1110.2773846153846</v>
      </c>
      <c r="M6" s="4">
        <f t="shared" ca="1" si="10"/>
        <v>853.46697435897431</v>
      </c>
      <c r="N6" s="4">
        <f t="shared" ca="1" si="11"/>
        <v>596.65656410256406</v>
      </c>
      <c r="O6" s="4">
        <f t="shared" ca="1" si="7"/>
        <v>339.84615384615387</v>
      </c>
      <c r="P6" s="4">
        <f t="shared" ca="1" si="12"/>
        <v>83.035743589743618</v>
      </c>
      <c r="Q6" s="4">
        <f t="shared" ca="1" si="13"/>
        <v>0</v>
      </c>
      <c r="R6" s="4">
        <v>0</v>
      </c>
    </row>
    <row r="7" spans="1:18" ht="14" customHeight="1" x14ac:dyDescent="0.3">
      <c r="A7" s="9">
        <v>2015</v>
      </c>
      <c r="B7" s="5">
        <v>971</v>
      </c>
      <c r="C7" s="5">
        <f t="shared" ca="1" si="0"/>
        <v>1781.0621978021979</v>
      </c>
      <c r="D7" s="5">
        <f t="shared" ca="1" si="1"/>
        <v>1479.7319413919413</v>
      </c>
      <c r="E7" s="5">
        <f t="shared" ca="1" si="2"/>
        <v>1178.4016849816849</v>
      </c>
      <c r="F7" s="5">
        <f t="shared" si="3"/>
        <v>877.07142857142856</v>
      </c>
      <c r="G7" s="5">
        <f t="shared" ca="1" si="4"/>
        <v>575.74117216117213</v>
      </c>
      <c r="H7" s="5">
        <f t="shared" ca="1" si="5"/>
        <v>274.41091575091571</v>
      </c>
      <c r="I7" s="5">
        <f t="shared" ca="1" si="6"/>
        <v>-26.919340659340833</v>
      </c>
      <c r="J7" s="6">
        <f t="shared" ca="1" si="8"/>
        <v>971</v>
      </c>
      <c r="K7" s="5">
        <f t="shared" ca="1" si="14"/>
        <v>3</v>
      </c>
      <c r="L7" s="4">
        <f t="shared" ca="1" si="9"/>
        <v>1110.2773846153846</v>
      </c>
      <c r="M7" s="4">
        <f t="shared" ca="1" si="10"/>
        <v>853.46697435897431</v>
      </c>
      <c r="N7" s="4">
        <f t="shared" ca="1" si="11"/>
        <v>596.65656410256406</v>
      </c>
      <c r="O7" s="4">
        <f t="shared" ca="1" si="7"/>
        <v>339.84615384615387</v>
      </c>
      <c r="P7" s="4">
        <f t="shared" ca="1" si="12"/>
        <v>83.035743589743618</v>
      </c>
      <c r="Q7" s="4">
        <f t="shared" ca="1" si="13"/>
        <v>0</v>
      </c>
      <c r="R7" s="4">
        <v>0</v>
      </c>
    </row>
    <row r="8" spans="1:18" ht="14" customHeight="1" x14ac:dyDescent="0.3">
      <c r="A8" s="9">
        <v>2016</v>
      </c>
      <c r="B8" s="5">
        <v>1437</v>
      </c>
      <c r="C8" s="5">
        <f t="shared" ca="1" si="0"/>
        <v>1781.0621978021979</v>
      </c>
      <c r="D8" s="5">
        <f t="shared" ca="1" si="1"/>
        <v>1479.7319413919413</v>
      </c>
      <c r="E8" s="5">
        <f t="shared" ca="1" si="2"/>
        <v>1178.4016849816849</v>
      </c>
      <c r="F8" s="5">
        <f t="shared" si="3"/>
        <v>877.07142857142856</v>
      </c>
      <c r="G8" s="5">
        <f t="shared" ca="1" si="4"/>
        <v>575.74117216117213</v>
      </c>
      <c r="H8" s="5">
        <f t="shared" ca="1" si="5"/>
        <v>274.41091575091571</v>
      </c>
      <c r="I8" s="5">
        <f t="shared" ca="1" si="6"/>
        <v>-26.919340659340833</v>
      </c>
      <c r="J8" s="6">
        <f t="shared" ca="1" si="8"/>
        <v>1437</v>
      </c>
      <c r="K8" s="5">
        <f t="shared" ca="1" si="14"/>
        <v>466</v>
      </c>
      <c r="L8" s="4">
        <f t="shared" ca="1" si="9"/>
        <v>1110.2773846153846</v>
      </c>
      <c r="M8" s="4">
        <f t="shared" ca="1" si="10"/>
        <v>853.46697435897431</v>
      </c>
      <c r="N8" s="4">
        <f t="shared" ca="1" si="11"/>
        <v>596.65656410256406</v>
      </c>
      <c r="O8" s="4">
        <f t="shared" ca="1" si="7"/>
        <v>339.84615384615387</v>
      </c>
      <c r="P8" s="4">
        <f t="shared" ca="1" si="12"/>
        <v>83.035743589743618</v>
      </c>
      <c r="Q8" s="4">
        <f t="shared" ca="1" si="13"/>
        <v>0</v>
      </c>
      <c r="R8" s="4">
        <v>0</v>
      </c>
    </row>
    <row r="9" spans="1:18" ht="14" customHeight="1" x14ac:dyDescent="0.3">
      <c r="A9" s="9">
        <v>2017</v>
      </c>
      <c r="B9" s="5">
        <v>1007</v>
      </c>
      <c r="C9" s="5">
        <f t="shared" ca="1" si="0"/>
        <v>1781.0621978021979</v>
      </c>
      <c r="D9" s="5">
        <f t="shared" ca="1" si="1"/>
        <v>1479.7319413919413</v>
      </c>
      <c r="E9" s="5">
        <f t="shared" ca="1" si="2"/>
        <v>1178.4016849816849</v>
      </c>
      <c r="F9" s="5">
        <f t="shared" si="3"/>
        <v>877.07142857142856</v>
      </c>
      <c r="G9" s="5">
        <f t="shared" ca="1" si="4"/>
        <v>575.74117216117213</v>
      </c>
      <c r="H9" s="5">
        <f t="shared" ca="1" si="5"/>
        <v>274.41091575091571</v>
      </c>
      <c r="I9" s="5">
        <f t="shared" ca="1" si="6"/>
        <v>-26.919340659340833</v>
      </c>
      <c r="J9" s="6">
        <f t="shared" ca="1" si="8"/>
        <v>1007</v>
      </c>
      <c r="K9" s="5">
        <f t="shared" ca="1" si="14"/>
        <v>430</v>
      </c>
      <c r="L9" s="4">
        <f t="shared" ca="1" si="9"/>
        <v>1110.2773846153846</v>
      </c>
      <c r="M9" s="4">
        <f t="shared" ca="1" si="10"/>
        <v>853.46697435897431</v>
      </c>
      <c r="N9" s="4">
        <f t="shared" ca="1" si="11"/>
        <v>596.65656410256406</v>
      </c>
      <c r="O9" s="4">
        <f t="shared" ca="1" si="7"/>
        <v>339.84615384615387</v>
      </c>
      <c r="P9" s="4">
        <f t="shared" ca="1" si="12"/>
        <v>83.035743589743618</v>
      </c>
      <c r="Q9" s="4">
        <f t="shared" ca="1" si="13"/>
        <v>0</v>
      </c>
      <c r="R9" s="4">
        <v>0</v>
      </c>
    </row>
    <row r="10" spans="1:18" ht="14" customHeight="1" x14ac:dyDescent="0.3">
      <c r="A10" s="9">
        <v>2018</v>
      </c>
      <c r="B10" s="5">
        <v>933</v>
      </c>
      <c r="C10" s="5">
        <f t="shared" ca="1" si="0"/>
        <v>1781.0621978021979</v>
      </c>
      <c r="D10" s="5">
        <f t="shared" ca="1" si="1"/>
        <v>1479.7319413919413</v>
      </c>
      <c r="E10" s="5">
        <f t="shared" ca="1" si="2"/>
        <v>1178.4016849816849</v>
      </c>
      <c r="F10" s="5">
        <f t="shared" si="3"/>
        <v>877.07142857142856</v>
      </c>
      <c r="G10" s="5">
        <f t="shared" ca="1" si="4"/>
        <v>575.74117216117213</v>
      </c>
      <c r="H10" s="5">
        <f t="shared" ca="1" si="5"/>
        <v>274.41091575091571</v>
      </c>
      <c r="I10" s="5">
        <f t="shared" ca="1" si="6"/>
        <v>-26.919340659340833</v>
      </c>
      <c r="J10" s="6">
        <f t="shared" ca="1" si="8"/>
        <v>933</v>
      </c>
      <c r="K10" s="5">
        <f t="shared" ca="1" si="14"/>
        <v>74</v>
      </c>
      <c r="L10" s="4">
        <f t="shared" ca="1" si="9"/>
        <v>1110.2773846153846</v>
      </c>
      <c r="M10" s="4">
        <f t="shared" ca="1" si="10"/>
        <v>853.46697435897431</v>
      </c>
      <c r="N10" s="4">
        <f t="shared" ca="1" si="11"/>
        <v>596.65656410256406</v>
      </c>
      <c r="O10" s="4">
        <f t="shared" ca="1" si="7"/>
        <v>339.84615384615387</v>
      </c>
      <c r="P10" s="4">
        <f t="shared" ca="1" si="12"/>
        <v>83.035743589743618</v>
      </c>
      <c r="Q10" s="4">
        <f t="shared" ca="1" si="13"/>
        <v>0</v>
      </c>
      <c r="R10" s="4">
        <v>0</v>
      </c>
    </row>
    <row r="11" spans="1:18" ht="14" customHeight="1" x14ac:dyDescent="0.3">
      <c r="A11" s="9">
        <v>2019</v>
      </c>
      <c r="B11" s="5">
        <v>1007</v>
      </c>
      <c r="C11" s="5">
        <f t="shared" ca="1" si="0"/>
        <v>1781.0621978021979</v>
      </c>
      <c r="D11" s="5">
        <f t="shared" ca="1" si="1"/>
        <v>1479.7319413919413</v>
      </c>
      <c r="E11" s="5">
        <f t="shared" ca="1" si="2"/>
        <v>1178.4016849816849</v>
      </c>
      <c r="F11" s="5">
        <f t="shared" si="3"/>
        <v>877.07142857142856</v>
      </c>
      <c r="G11" s="5">
        <f t="shared" ca="1" si="4"/>
        <v>575.74117216117213</v>
      </c>
      <c r="H11" s="5">
        <f t="shared" ca="1" si="5"/>
        <v>274.41091575091571</v>
      </c>
      <c r="I11" s="5">
        <f t="shared" ca="1" si="6"/>
        <v>-26.919340659340833</v>
      </c>
      <c r="J11" s="6">
        <f t="shared" ca="1" si="8"/>
        <v>1007</v>
      </c>
      <c r="K11" s="5">
        <f t="shared" ca="1" si="14"/>
        <v>74</v>
      </c>
      <c r="L11" s="4">
        <f t="shared" ca="1" si="9"/>
        <v>1110.2773846153846</v>
      </c>
      <c r="M11" s="4">
        <f t="shared" ca="1" si="10"/>
        <v>853.46697435897431</v>
      </c>
      <c r="N11" s="4">
        <f t="shared" ca="1" si="11"/>
        <v>596.65656410256406</v>
      </c>
      <c r="O11" s="4">
        <f t="shared" ca="1" si="7"/>
        <v>339.84615384615387</v>
      </c>
      <c r="P11" s="4">
        <f t="shared" ca="1" si="12"/>
        <v>83.035743589743618</v>
      </c>
      <c r="Q11" s="4">
        <f t="shared" ca="1" si="13"/>
        <v>0</v>
      </c>
      <c r="R11" s="4">
        <v>0</v>
      </c>
    </row>
    <row r="12" spans="1:18" ht="14" customHeight="1" x14ac:dyDescent="0.3">
      <c r="A12" s="11">
        <v>2020</v>
      </c>
      <c r="B12" s="13">
        <v>110</v>
      </c>
      <c r="C12" s="5">
        <f t="shared" ca="1" si="0"/>
        <v>1781.0621978021979</v>
      </c>
      <c r="D12" s="5">
        <f t="shared" ca="1" si="1"/>
        <v>1479.7319413919413</v>
      </c>
      <c r="E12" s="5">
        <f t="shared" ca="1" si="2"/>
        <v>1178.4016849816849</v>
      </c>
      <c r="F12" s="5">
        <f t="shared" si="3"/>
        <v>877.07142857142856</v>
      </c>
      <c r="G12" s="5">
        <f t="shared" ca="1" si="4"/>
        <v>575.74117216117213</v>
      </c>
      <c r="H12" s="5">
        <f t="shared" ca="1" si="5"/>
        <v>274.41091575091571</v>
      </c>
      <c r="I12" s="5">
        <f t="shared" ca="1" si="6"/>
        <v>-26.919340659340833</v>
      </c>
      <c r="J12" s="6">
        <f t="shared" ca="1" si="8"/>
        <v>110</v>
      </c>
      <c r="K12" s="5">
        <f t="shared" ca="1" si="14"/>
        <v>897</v>
      </c>
      <c r="L12" s="4">
        <f t="shared" ca="1" si="9"/>
        <v>1110.2773846153846</v>
      </c>
      <c r="M12" s="4">
        <f t="shared" ca="1" si="10"/>
        <v>853.46697435897431</v>
      </c>
      <c r="N12" s="4">
        <f t="shared" ca="1" si="11"/>
        <v>596.65656410256406</v>
      </c>
      <c r="O12" s="4">
        <f t="shared" ca="1" si="7"/>
        <v>339.84615384615387</v>
      </c>
      <c r="P12" s="4">
        <f t="shared" ca="1" si="12"/>
        <v>83.035743589743618</v>
      </c>
      <c r="Q12" s="4">
        <f t="shared" ca="1" si="13"/>
        <v>0</v>
      </c>
      <c r="R12" s="4">
        <v>0</v>
      </c>
    </row>
    <row r="13" spans="1:18" ht="14" customHeight="1" x14ac:dyDescent="0.3">
      <c r="A13" s="11">
        <v>2021</v>
      </c>
      <c r="B13" s="13">
        <v>527</v>
      </c>
      <c r="C13" s="5">
        <f t="shared" ca="1" si="0"/>
        <v>1781.0621978021979</v>
      </c>
      <c r="D13" s="5">
        <f t="shared" ca="1" si="1"/>
        <v>1479.7319413919413</v>
      </c>
      <c r="E13" s="5">
        <f t="shared" ca="1" si="2"/>
        <v>1178.4016849816849</v>
      </c>
      <c r="F13" s="5">
        <f t="shared" si="3"/>
        <v>877.07142857142856</v>
      </c>
      <c r="G13" s="5">
        <f t="shared" ca="1" si="4"/>
        <v>575.74117216117213</v>
      </c>
      <c r="H13" s="5">
        <f t="shared" ca="1" si="5"/>
        <v>274.41091575091571</v>
      </c>
      <c r="I13" s="5">
        <f t="shared" ca="1" si="6"/>
        <v>-26.919340659340833</v>
      </c>
      <c r="J13" s="6">
        <f t="shared" ca="1" si="8"/>
        <v>527</v>
      </c>
      <c r="K13" s="5">
        <f t="shared" ca="1" si="14"/>
        <v>417</v>
      </c>
      <c r="L13" s="4">
        <f t="shared" ca="1" si="9"/>
        <v>1110.2773846153846</v>
      </c>
      <c r="M13" s="4">
        <f t="shared" ca="1" si="10"/>
        <v>853.46697435897431</v>
      </c>
      <c r="N13" s="4">
        <f t="shared" ca="1" si="11"/>
        <v>596.65656410256406</v>
      </c>
      <c r="O13" s="4">
        <f t="shared" ca="1" si="7"/>
        <v>339.84615384615387</v>
      </c>
      <c r="P13" s="4">
        <f t="shared" ca="1" si="12"/>
        <v>83.035743589743618</v>
      </c>
      <c r="Q13" s="4">
        <f t="shared" ca="1" si="13"/>
        <v>0</v>
      </c>
      <c r="R13" s="4">
        <v>0</v>
      </c>
    </row>
    <row r="14" spans="1:18" ht="14" customHeight="1" x14ac:dyDescent="0.3">
      <c r="A14" s="11">
        <v>2022</v>
      </c>
      <c r="B14" s="13">
        <v>408</v>
      </c>
      <c r="C14" s="5">
        <f t="shared" ca="1" si="0"/>
        <v>1781.0621978021979</v>
      </c>
      <c r="D14" s="5">
        <f t="shared" ca="1" si="1"/>
        <v>1479.7319413919413</v>
      </c>
      <c r="E14" s="5">
        <f t="shared" ca="1" si="2"/>
        <v>1178.4016849816849</v>
      </c>
      <c r="F14" s="5">
        <f t="shared" si="3"/>
        <v>877.07142857142856</v>
      </c>
      <c r="G14" s="5">
        <f t="shared" ca="1" si="4"/>
        <v>575.74117216117213</v>
      </c>
      <c r="H14" s="5">
        <f t="shared" ca="1" si="5"/>
        <v>274.41091575091571</v>
      </c>
      <c r="I14" s="5">
        <f t="shared" ca="1" si="6"/>
        <v>-26.919340659340833</v>
      </c>
      <c r="J14" s="6">
        <f t="shared" ca="1" si="8"/>
        <v>408</v>
      </c>
      <c r="K14" s="5">
        <f t="shared" ca="1" si="14"/>
        <v>119</v>
      </c>
      <c r="L14" s="4">
        <f t="shared" ca="1" si="9"/>
        <v>1110.2773846153846</v>
      </c>
      <c r="M14" s="4">
        <f t="shared" ca="1" si="10"/>
        <v>853.46697435897431</v>
      </c>
      <c r="N14" s="4">
        <f t="shared" ca="1" si="11"/>
        <v>596.65656410256406</v>
      </c>
      <c r="O14" s="4">
        <f t="shared" ca="1" si="7"/>
        <v>339.84615384615387</v>
      </c>
      <c r="P14" s="4">
        <f t="shared" ca="1" si="12"/>
        <v>83.035743589743618</v>
      </c>
      <c r="Q14" s="4">
        <f t="shared" ca="1" si="13"/>
        <v>0</v>
      </c>
      <c r="R14" s="4">
        <v>0</v>
      </c>
    </row>
    <row r="15" spans="1:18" ht="14" customHeight="1" x14ac:dyDescent="0.3">
      <c r="A15" s="11">
        <v>2023</v>
      </c>
      <c r="B15" s="13">
        <v>308</v>
      </c>
      <c r="C15" s="5">
        <f t="shared" ca="1" si="0"/>
        <v>1781.0621978021979</v>
      </c>
      <c r="D15" s="5">
        <f t="shared" ca="1" si="1"/>
        <v>1479.7319413919413</v>
      </c>
      <c r="E15" s="5">
        <f t="shared" ca="1" si="2"/>
        <v>1178.4016849816849</v>
      </c>
      <c r="F15" s="5">
        <f t="shared" si="3"/>
        <v>877.07142857142856</v>
      </c>
      <c r="G15" s="5">
        <f t="shared" ca="1" si="4"/>
        <v>575.74117216117213</v>
      </c>
      <c r="H15" s="5">
        <f t="shared" ca="1" si="5"/>
        <v>274.41091575091571</v>
      </c>
      <c r="I15" s="5">
        <f t="shared" ca="1" si="6"/>
        <v>-26.919340659340833</v>
      </c>
      <c r="J15" s="6">
        <f t="shared" ca="1" si="8"/>
        <v>308</v>
      </c>
      <c r="K15" s="5">
        <f t="shared" ca="1" si="14"/>
        <v>100</v>
      </c>
      <c r="L15" s="4">
        <f t="shared" ca="1" si="9"/>
        <v>1110.2773846153846</v>
      </c>
      <c r="M15" s="4">
        <f t="shared" ca="1" si="10"/>
        <v>853.46697435897431</v>
      </c>
      <c r="N15" s="4">
        <f t="shared" ca="1" si="11"/>
        <v>596.65656410256406</v>
      </c>
      <c r="O15" s="4">
        <f t="shared" ca="1" si="7"/>
        <v>339.84615384615387</v>
      </c>
      <c r="P15" s="4">
        <f t="shared" ca="1" si="12"/>
        <v>83.035743589743618</v>
      </c>
      <c r="Q15" s="4">
        <f t="shared" ca="1" si="13"/>
        <v>0</v>
      </c>
      <c r="R15" s="4">
        <v>0</v>
      </c>
    </row>
    <row r="16" spans="1:18" ht="14" customHeight="1" x14ac:dyDescent="0.3">
      <c r="A16" s="9">
        <v>2024</v>
      </c>
      <c r="B16" s="5">
        <v>1033</v>
      </c>
      <c r="C16" s="5">
        <f t="shared" ca="1" si="0"/>
        <v>1781.0621978021979</v>
      </c>
      <c r="D16" s="5">
        <f t="shared" ca="1" si="1"/>
        <v>1479.7319413919413</v>
      </c>
      <c r="E16" s="5">
        <f t="shared" ca="1" si="2"/>
        <v>1178.4016849816849</v>
      </c>
      <c r="F16" s="5">
        <f t="shared" si="3"/>
        <v>877.07142857142856</v>
      </c>
      <c r="G16" s="5">
        <f t="shared" ca="1" si="4"/>
        <v>575.74117216117213</v>
      </c>
      <c r="H16" s="5">
        <f t="shared" ca="1" si="5"/>
        <v>274.41091575091571</v>
      </c>
      <c r="I16" s="5">
        <f t="shared" ca="1" si="6"/>
        <v>-26.919340659340833</v>
      </c>
      <c r="J16" s="6">
        <f t="shared" ca="1" si="8"/>
        <v>1033</v>
      </c>
      <c r="K16" s="5">
        <f t="shared" ca="1" si="14"/>
        <v>725</v>
      </c>
      <c r="L16" s="4">
        <f t="shared" ca="1" si="9"/>
        <v>1110.2773846153846</v>
      </c>
      <c r="M16" s="4">
        <f t="shared" ca="1" si="10"/>
        <v>853.46697435897431</v>
      </c>
      <c r="N16" s="4">
        <f t="shared" ca="1" si="11"/>
        <v>596.65656410256406</v>
      </c>
      <c r="O16" s="4">
        <f t="shared" ca="1" si="7"/>
        <v>339.84615384615387</v>
      </c>
      <c r="P16" s="4">
        <f t="shared" ca="1" si="12"/>
        <v>83.035743589743618</v>
      </c>
      <c r="Q16" s="4">
        <f t="shared" ca="1" si="13"/>
        <v>0</v>
      </c>
      <c r="R16" s="4">
        <v>0</v>
      </c>
    </row>
    <row r="17" spans="2:18" ht="14" customHeight="1" x14ac:dyDescent="0.2">
      <c r="B17" s="4"/>
      <c r="C17" s="4">
        <f t="shared" ca="1" si="0"/>
        <v>1781.0621978021979</v>
      </c>
      <c r="D17" s="4">
        <f t="shared" ca="1" si="1"/>
        <v>1479.7319413919413</v>
      </c>
      <c r="E17" s="4">
        <f t="shared" ca="1" si="2"/>
        <v>1178.4016849816849</v>
      </c>
      <c r="F17" s="4">
        <f t="shared" si="3"/>
        <v>877.07142857142856</v>
      </c>
      <c r="G17" s="4">
        <f t="shared" ca="1" si="4"/>
        <v>575.74117216117213</v>
      </c>
      <c r="H17" s="4">
        <f t="shared" ca="1" si="5"/>
        <v>274.41091575091571</v>
      </c>
      <c r="I17" s="4">
        <f t="shared" ca="1" si="6"/>
        <v>-26.919340659340833</v>
      </c>
      <c r="J17">
        <f t="shared" ca="1" si="8"/>
        <v>1033</v>
      </c>
      <c r="K17" t="str">
        <f t="shared" ca="1" si="14"/>
        <v/>
      </c>
      <c r="L17">
        <f t="shared" ca="1" si="9"/>
        <v>1110.2773846153846</v>
      </c>
      <c r="M17">
        <f t="shared" ca="1" si="10"/>
        <v>853.46697435897431</v>
      </c>
      <c r="N17">
        <f t="shared" ca="1" si="11"/>
        <v>596.65656410256406</v>
      </c>
      <c r="O17" s="4">
        <f t="shared" ca="1" si="7"/>
        <v>339.84615384615387</v>
      </c>
      <c r="P17">
        <f t="shared" ca="1" si="12"/>
        <v>83.035743589743618</v>
      </c>
      <c r="Q17">
        <f t="shared" ca="1" si="13"/>
        <v>0</v>
      </c>
      <c r="R17">
        <v>0</v>
      </c>
    </row>
    <row r="18" spans="2:18" ht="14" customHeight="1" x14ac:dyDescent="0.2">
      <c r="B18" s="4"/>
      <c r="C18" s="4">
        <f t="shared" ca="1" si="0"/>
        <v>1781.0621978021979</v>
      </c>
      <c r="D18" s="4">
        <f t="shared" ca="1" si="1"/>
        <v>1479.7319413919413</v>
      </c>
      <c r="E18" s="4">
        <f t="shared" ca="1" si="2"/>
        <v>1178.4016849816849</v>
      </c>
      <c r="F18" s="4">
        <f t="shared" si="3"/>
        <v>877.07142857142856</v>
      </c>
      <c r="G18" s="4">
        <f t="shared" ca="1" si="4"/>
        <v>575.74117216117213</v>
      </c>
      <c r="H18" s="4">
        <f t="shared" ca="1" si="5"/>
        <v>274.41091575091571</v>
      </c>
      <c r="I18" s="4">
        <f t="shared" ca="1" si="6"/>
        <v>-26.919340659340833</v>
      </c>
      <c r="J18">
        <f t="shared" ca="1" si="8"/>
        <v>1033</v>
      </c>
      <c r="K18" t="str">
        <f t="shared" ca="1" si="14"/>
        <v/>
      </c>
      <c r="L18">
        <f t="shared" ca="1" si="9"/>
        <v>1110.2773846153846</v>
      </c>
      <c r="M18">
        <f t="shared" ca="1" si="10"/>
        <v>853.46697435897431</v>
      </c>
      <c r="N18">
        <f t="shared" ca="1" si="11"/>
        <v>596.65656410256406</v>
      </c>
      <c r="O18" s="4">
        <f t="shared" ca="1" si="7"/>
        <v>339.84615384615387</v>
      </c>
      <c r="P18">
        <f t="shared" ca="1" si="12"/>
        <v>83.035743589743618</v>
      </c>
      <c r="Q18">
        <f t="shared" ca="1" si="13"/>
        <v>0</v>
      </c>
      <c r="R18">
        <v>0</v>
      </c>
    </row>
    <row r="19" spans="2:18" ht="14" customHeight="1" x14ac:dyDescent="0.2">
      <c r="B19" s="4"/>
      <c r="C19" s="4">
        <f t="shared" ca="1" si="0"/>
        <v>1781.0621978021979</v>
      </c>
      <c r="D19" s="4">
        <f t="shared" ca="1" si="1"/>
        <v>1479.7319413919413</v>
      </c>
      <c r="E19" s="4">
        <f t="shared" ca="1" si="2"/>
        <v>1178.4016849816849</v>
      </c>
      <c r="F19" s="4">
        <f t="shared" si="3"/>
        <v>877.07142857142856</v>
      </c>
      <c r="G19" s="4">
        <f t="shared" ca="1" si="4"/>
        <v>575.74117216117213</v>
      </c>
      <c r="H19" s="4">
        <f t="shared" ca="1" si="5"/>
        <v>274.41091575091571</v>
      </c>
      <c r="I19" s="4">
        <f t="shared" ca="1" si="6"/>
        <v>-26.919340659340833</v>
      </c>
      <c r="J19">
        <f t="shared" ca="1" si="8"/>
        <v>1033</v>
      </c>
      <c r="K19" t="str">
        <f t="shared" ca="1" si="14"/>
        <v/>
      </c>
      <c r="L19">
        <f t="shared" ca="1" si="9"/>
        <v>1110.2773846153846</v>
      </c>
      <c r="M19">
        <f t="shared" ca="1" si="10"/>
        <v>853.46697435897431</v>
      </c>
      <c r="N19">
        <f t="shared" ca="1" si="11"/>
        <v>596.65656410256406</v>
      </c>
      <c r="O19" s="4">
        <f t="shared" ca="1" si="7"/>
        <v>339.84615384615387</v>
      </c>
      <c r="P19">
        <f t="shared" ca="1" si="12"/>
        <v>83.035743589743618</v>
      </c>
      <c r="Q19">
        <f t="shared" ca="1" si="13"/>
        <v>0</v>
      </c>
      <c r="R19">
        <v>0</v>
      </c>
    </row>
    <row r="20" spans="2:18" ht="14" customHeight="1" x14ac:dyDescent="0.2">
      <c r="B20" s="4"/>
      <c r="C20" s="4">
        <f t="shared" ca="1" si="0"/>
        <v>1781.0621978021979</v>
      </c>
      <c r="D20" s="4">
        <f t="shared" ca="1" si="1"/>
        <v>1479.7319413919413</v>
      </c>
      <c r="E20" s="4">
        <f t="shared" ca="1" si="2"/>
        <v>1178.4016849816849</v>
      </c>
      <c r="F20" s="4">
        <f t="shared" si="3"/>
        <v>877.07142857142856</v>
      </c>
      <c r="G20" s="4">
        <f t="shared" ca="1" si="4"/>
        <v>575.74117216117213</v>
      </c>
      <c r="H20" s="4">
        <f t="shared" ca="1" si="5"/>
        <v>274.41091575091571</v>
      </c>
      <c r="I20" s="4">
        <f t="shared" ca="1" si="6"/>
        <v>-26.919340659340833</v>
      </c>
      <c r="J20">
        <f t="shared" ca="1" si="8"/>
        <v>1033</v>
      </c>
      <c r="K20" t="str">
        <f t="shared" ca="1" si="14"/>
        <v/>
      </c>
      <c r="L20">
        <f t="shared" ca="1" si="9"/>
        <v>1110.2773846153846</v>
      </c>
      <c r="M20">
        <f t="shared" ca="1" si="10"/>
        <v>853.46697435897431</v>
      </c>
      <c r="N20">
        <f t="shared" ca="1" si="11"/>
        <v>596.65656410256406</v>
      </c>
      <c r="O20" s="4">
        <f t="shared" ca="1" si="7"/>
        <v>339.84615384615387</v>
      </c>
      <c r="P20">
        <f t="shared" ca="1" si="12"/>
        <v>83.035743589743618</v>
      </c>
      <c r="Q20">
        <f t="shared" ca="1" si="13"/>
        <v>0</v>
      </c>
      <c r="R20">
        <v>0</v>
      </c>
    </row>
    <row r="21" spans="2:18" ht="14" customHeight="1" x14ac:dyDescent="0.2">
      <c r="B21" s="4"/>
      <c r="C21" s="4">
        <f t="shared" ca="1" si="0"/>
        <v>1781.0621978021979</v>
      </c>
      <c r="D21" s="4">
        <f t="shared" ca="1" si="1"/>
        <v>1479.7319413919413</v>
      </c>
      <c r="E21" s="4">
        <f t="shared" ca="1" si="2"/>
        <v>1178.4016849816849</v>
      </c>
      <c r="F21" s="4">
        <f t="shared" si="3"/>
        <v>877.07142857142856</v>
      </c>
      <c r="G21" s="4">
        <f t="shared" ca="1" si="4"/>
        <v>575.74117216117213</v>
      </c>
      <c r="H21" s="4">
        <f t="shared" ca="1" si="5"/>
        <v>274.41091575091571</v>
      </c>
      <c r="I21" s="4">
        <f t="shared" ca="1" si="6"/>
        <v>-26.919340659340833</v>
      </c>
      <c r="J21">
        <f t="shared" ca="1" si="8"/>
        <v>1033</v>
      </c>
      <c r="K21" t="str">
        <f t="shared" ca="1" si="14"/>
        <v/>
      </c>
      <c r="L21">
        <f t="shared" ca="1" si="9"/>
        <v>1110.2773846153846</v>
      </c>
      <c r="M21">
        <f t="shared" ca="1" si="10"/>
        <v>853.46697435897431</v>
      </c>
      <c r="N21">
        <f t="shared" ca="1" si="11"/>
        <v>596.65656410256406</v>
      </c>
      <c r="O21" s="4">
        <f t="shared" ca="1" si="7"/>
        <v>339.84615384615387</v>
      </c>
      <c r="P21">
        <f t="shared" ca="1" si="12"/>
        <v>83.035743589743618</v>
      </c>
      <c r="Q21">
        <f t="shared" ca="1" si="13"/>
        <v>0</v>
      </c>
      <c r="R21">
        <v>0</v>
      </c>
    </row>
    <row r="22" spans="2:18" ht="14" customHeight="1" x14ac:dyDescent="0.2">
      <c r="B22" s="4"/>
      <c r="C22" s="4">
        <f t="shared" ca="1" si="0"/>
        <v>1781.0621978021979</v>
      </c>
      <c r="D22" s="4">
        <f t="shared" ca="1" si="1"/>
        <v>1479.7319413919413</v>
      </c>
      <c r="E22" s="4">
        <f t="shared" ca="1" si="2"/>
        <v>1178.4016849816849</v>
      </c>
      <c r="F22" s="4">
        <f t="shared" si="3"/>
        <v>877.07142857142856</v>
      </c>
      <c r="G22" s="4">
        <f t="shared" ca="1" si="4"/>
        <v>575.74117216117213</v>
      </c>
      <c r="H22" s="4">
        <f t="shared" ca="1" si="5"/>
        <v>274.41091575091571</v>
      </c>
      <c r="I22" s="4">
        <f t="shared" ca="1" si="6"/>
        <v>-26.919340659340833</v>
      </c>
      <c r="J22">
        <f t="shared" ca="1" si="8"/>
        <v>1033</v>
      </c>
      <c r="K22" t="str">
        <f t="shared" ca="1" si="14"/>
        <v/>
      </c>
      <c r="L22">
        <f t="shared" ca="1" si="9"/>
        <v>1110.2773846153846</v>
      </c>
      <c r="M22">
        <f t="shared" ca="1" si="10"/>
        <v>853.46697435897431</v>
      </c>
      <c r="N22">
        <f t="shared" ca="1" si="11"/>
        <v>596.65656410256406</v>
      </c>
      <c r="O22" s="4">
        <f t="shared" ca="1" si="7"/>
        <v>339.84615384615387</v>
      </c>
      <c r="P22">
        <f t="shared" ca="1" si="12"/>
        <v>83.035743589743618</v>
      </c>
      <c r="Q22">
        <f t="shared" ca="1" si="13"/>
        <v>0</v>
      </c>
      <c r="R22">
        <v>0</v>
      </c>
    </row>
    <row r="23" spans="2:18" ht="14" customHeight="1" x14ac:dyDescent="0.2">
      <c r="B23" s="4"/>
      <c r="C23" s="4">
        <f t="shared" ca="1" si="0"/>
        <v>1781.0621978021979</v>
      </c>
      <c r="D23" s="4">
        <f t="shared" ca="1" si="1"/>
        <v>1479.7319413919413</v>
      </c>
      <c r="E23" s="4">
        <f t="shared" ca="1" si="2"/>
        <v>1178.4016849816849</v>
      </c>
      <c r="F23" s="4">
        <f t="shared" si="3"/>
        <v>877.07142857142856</v>
      </c>
      <c r="G23" s="4">
        <f t="shared" ca="1" si="4"/>
        <v>575.74117216117213</v>
      </c>
      <c r="H23" s="4">
        <f t="shared" ca="1" si="5"/>
        <v>274.41091575091571</v>
      </c>
      <c r="I23" s="4">
        <f t="shared" ca="1" si="6"/>
        <v>-26.919340659340833</v>
      </c>
      <c r="J23">
        <f t="shared" ca="1" si="8"/>
        <v>1033</v>
      </c>
      <c r="K23" t="str">
        <f t="shared" ca="1" si="14"/>
        <v/>
      </c>
      <c r="L23">
        <f t="shared" ca="1" si="9"/>
        <v>1110.2773846153846</v>
      </c>
      <c r="M23">
        <f t="shared" ca="1" si="10"/>
        <v>853.46697435897431</v>
      </c>
      <c r="N23">
        <f t="shared" ca="1" si="11"/>
        <v>596.65656410256406</v>
      </c>
      <c r="O23" s="4">
        <f t="shared" ca="1" si="7"/>
        <v>339.84615384615387</v>
      </c>
      <c r="P23">
        <f t="shared" ca="1" si="12"/>
        <v>83.035743589743618</v>
      </c>
      <c r="Q23">
        <f t="shared" ca="1" si="13"/>
        <v>0</v>
      </c>
      <c r="R23">
        <v>0</v>
      </c>
    </row>
    <row r="24" spans="2:18" ht="14" customHeight="1" x14ac:dyDescent="0.2">
      <c r="B24" s="4"/>
      <c r="C24" s="4">
        <f t="shared" ca="1" si="0"/>
        <v>1781.0621978021979</v>
      </c>
      <c r="D24" s="4">
        <f t="shared" ca="1" si="1"/>
        <v>1479.7319413919413</v>
      </c>
      <c r="E24" s="4">
        <f t="shared" ca="1" si="2"/>
        <v>1178.4016849816849</v>
      </c>
      <c r="F24" s="4">
        <f t="shared" si="3"/>
        <v>877.07142857142856</v>
      </c>
      <c r="G24" s="4">
        <f t="shared" ca="1" si="4"/>
        <v>575.74117216117213</v>
      </c>
      <c r="H24" s="4">
        <f t="shared" ca="1" si="5"/>
        <v>274.41091575091571</v>
      </c>
      <c r="I24" s="4">
        <f t="shared" ca="1" si="6"/>
        <v>-26.919340659340833</v>
      </c>
      <c r="J24">
        <f t="shared" ca="1" si="8"/>
        <v>1033</v>
      </c>
      <c r="K24" t="str">
        <f t="shared" ca="1" si="14"/>
        <v/>
      </c>
      <c r="L24">
        <f t="shared" ca="1" si="9"/>
        <v>1110.2773846153846</v>
      </c>
      <c r="M24">
        <f t="shared" ca="1" si="10"/>
        <v>853.46697435897431</v>
      </c>
      <c r="N24">
        <f t="shared" ca="1" si="11"/>
        <v>596.65656410256406</v>
      </c>
      <c r="O24" s="4">
        <f t="shared" ca="1" si="7"/>
        <v>339.84615384615387</v>
      </c>
      <c r="P24">
        <f t="shared" ca="1" si="12"/>
        <v>83.035743589743618</v>
      </c>
      <c r="Q24">
        <f t="shared" ca="1" si="13"/>
        <v>0</v>
      </c>
      <c r="R24">
        <v>0</v>
      </c>
    </row>
    <row r="25" spans="2:18" ht="14" customHeight="1" x14ac:dyDescent="0.2">
      <c r="B25" s="4"/>
      <c r="C25" s="4">
        <f t="shared" ca="1" si="0"/>
        <v>1781.0621978021979</v>
      </c>
      <c r="D25" s="4">
        <f t="shared" ca="1" si="1"/>
        <v>1479.7319413919413</v>
      </c>
      <c r="E25" s="4">
        <f t="shared" ca="1" si="2"/>
        <v>1178.4016849816849</v>
      </c>
      <c r="F25" s="4">
        <f t="shared" si="3"/>
        <v>877.07142857142856</v>
      </c>
      <c r="G25" s="4">
        <f t="shared" ca="1" si="4"/>
        <v>575.74117216117213</v>
      </c>
      <c r="H25" s="4">
        <f t="shared" ca="1" si="5"/>
        <v>274.41091575091571</v>
      </c>
      <c r="I25" s="4">
        <f t="shared" ca="1" si="6"/>
        <v>-26.919340659340833</v>
      </c>
      <c r="J25">
        <f t="shared" ca="1" si="8"/>
        <v>1033</v>
      </c>
      <c r="K25" t="str">
        <f t="shared" ca="1" si="14"/>
        <v/>
      </c>
      <c r="L25">
        <f t="shared" ca="1" si="9"/>
        <v>1110.2773846153846</v>
      </c>
      <c r="M25">
        <f t="shared" ca="1" si="10"/>
        <v>853.46697435897431</v>
      </c>
      <c r="N25">
        <f t="shared" ca="1" si="11"/>
        <v>596.65656410256406</v>
      </c>
      <c r="O25" s="4">
        <f t="shared" ca="1" si="7"/>
        <v>339.84615384615387</v>
      </c>
      <c r="P25">
        <f t="shared" ca="1" si="12"/>
        <v>83.035743589743618</v>
      </c>
      <c r="Q25">
        <f t="shared" ca="1" si="13"/>
        <v>0</v>
      </c>
      <c r="R25">
        <v>0</v>
      </c>
    </row>
    <row r="26" spans="2:18" ht="14" customHeight="1" x14ac:dyDescent="0.2">
      <c r="B26" s="4"/>
      <c r="C26" s="4">
        <f t="shared" ca="1" si="0"/>
        <v>1781.0621978021979</v>
      </c>
      <c r="D26" s="4">
        <f t="shared" ca="1" si="1"/>
        <v>1479.7319413919413</v>
      </c>
      <c r="E26" s="4">
        <f t="shared" ca="1" si="2"/>
        <v>1178.4016849816849</v>
      </c>
      <c r="F26" s="4">
        <f t="shared" si="3"/>
        <v>877.07142857142856</v>
      </c>
      <c r="G26" s="4">
        <f t="shared" ca="1" si="4"/>
        <v>575.74117216117213</v>
      </c>
      <c r="H26" s="4">
        <f t="shared" ca="1" si="5"/>
        <v>274.41091575091571</v>
      </c>
      <c r="I26" s="4">
        <f t="shared" ca="1" si="6"/>
        <v>-26.919340659340833</v>
      </c>
      <c r="J26">
        <f t="shared" ca="1" si="8"/>
        <v>1033</v>
      </c>
      <c r="K26" t="str">
        <f t="shared" ca="1" si="14"/>
        <v/>
      </c>
      <c r="L26">
        <f t="shared" ca="1" si="9"/>
        <v>1110.2773846153846</v>
      </c>
      <c r="M26">
        <f t="shared" ca="1" si="10"/>
        <v>853.46697435897431</v>
      </c>
      <c r="N26">
        <f t="shared" ca="1" si="11"/>
        <v>596.65656410256406</v>
      </c>
      <c r="O26" s="4">
        <f t="shared" ca="1" si="7"/>
        <v>339.84615384615387</v>
      </c>
      <c r="P26">
        <f t="shared" ca="1" si="12"/>
        <v>83.035743589743618</v>
      </c>
      <c r="Q26">
        <f t="shared" ca="1" si="13"/>
        <v>0</v>
      </c>
      <c r="R26">
        <v>0</v>
      </c>
    </row>
    <row r="27" spans="2:18" ht="14" customHeight="1" x14ac:dyDescent="0.2">
      <c r="B27" s="4"/>
      <c r="C27" s="4">
        <f t="shared" ca="1" si="0"/>
        <v>1781.0621978021979</v>
      </c>
      <c r="D27" s="4">
        <f t="shared" ca="1" si="1"/>
        <v>1479.7319413919413</v>
      </c>
      <c r="E27" s="4">
        <f t="shared" ca="1" si="2"/>
        <v>1178.4016849816849</v>
      </c>
      <c r="F27" s="4">
        <f t="shared" si="3"/>
        <v>877.07142857142856</v>
      </c>
      <c r="G27" s="4">
        <f t="shared" ca="1" si="4"/>
        <v>575.74117216117213</v>
      </c>
      <c r="H27" s="4">
        <f t="shared" ca="1" si="5"/>
        <v>274.41091575091571</v>
      </c>
      <c r="I27" s="4">
        <f t="shared" ca="1" si="6"/>
        <v>-26.919340659340833</v>
      </c>
      <c r="J27">
        <f t="shared" ca="1" si="8"/>
        <v>1033</v>
      </c>
      <c r="K27" t="str">
        <f t="shared" ca="1" si="14"/>
        <v/>
      </c>
      <c r="L27">
        <f t="shared" ca="1" si="9"/>
        <v>1110.2773846153846</v>
      </c>
      <c r="M27">
        <f t="shared" ca="1" si="10"/>
        <v>853.46697435897431</v>
      </c>
      <c r="N27">
        <f t="shared" ca="1" si="11"/>
        <v>596.65656410256406</v>
      </c>
      <c r="O27" s="4">
        <f t="shared" ca="1" si="7"/>
        <v>339.84615384615387</v>
      </c>
      <c r="P27">
        <f t="shared" ca="1" si="12"/>
        <v>83.035743589743618</v>
      </c>
      <c r="Q27">
        <f t="shared" ca="1" si="13"/>
        <v>0</v>
      </c>
      <c r="R27">
        <v>0</v>
      </c>
    </row>
    <row r="28" spans="2:18" ht="14" customHeight="1" x14ac:dyDescent="0.2">
      <c r="B28" s="4"/>
      <c r="C28" s="4">
        <f t="shared" ca="1" si="0"/>
        <v>1781.0621978021979</v>
      </c>
      <c r="D28" s="4">
        <f t="shared" ca="1" si="1"/>
        <v>1479.7319413919413</v>
      </c>
      <c r="E28" s="4">
        <f t="shared" ca="1" si="2"/>
        <v>1178.4016849816849</v>
      </c>
      <c r="F28" s="4">
        <f t="shared" si="3"/>
        <v>877.07142857142856</v>
      </c>
      <c r="G28" s="4">
        <f t="shared" ca="1" si="4"/>
        <v>575.74117216117213</v>
      </c>
      <c r="H28" s="4">
        <f t="shared" ca="1" si="5"/>
        <v>274.41091575091571</v>
      </c>
      <c r="I28" s="4">
        <f t="shared" ca="1" si="6"/>
        <v>-26.919340659340833</v>
      </c>
      <c r="J28">
        <f t="shared" ca="1" si="8"/>
        <v>1033</v>
      </c>
      <c r="K28" t="str">
        <f t="shared" ca="1" si="14"/>
        <v/>
      </c>
      <c r="L28">
        <f t="shared" ca="1" si="9"/>
        <v>1110.2773846153846</v>
      </c>
      <c r="M28">
        <f t="shared" ca="1" si="10"/>
        <v>853.46697435897431</v>
      </c>
      <c r="N28">
        <f t="shared" ca="1" si="11"/>
        <v>596.65656410256406</v>
      </c>
      <c r="O28" s="4">
        <f t="shared" ca="1" si="7"/>
        <v>339.84615384615387</v>
      </c>
      <c r="P28">
        <f t="shared" ca="1" si="12"/>
        <v>83.035743589743618</v>
      </c>
      <c r="Q28">
        <f t="shared" ca="1" si="13"/>
        <v>0</v>
      </c>
      <c r="R28">
        <v>0</v>
      </c>
    </row>
    <row r="29" spans="2:18" ht="14" customHeight="1" x14ac:dyDescent="0.2">
      <c r="B29" s="4"/>
      <c r="C29" s="4">
        <f t="shared" ca="1" si="0"/>
        <v>1781.0621978021979</v>
      </c>
      <c r="D29" s="4">
        <f t="shared" ca="1" si="1"/>
        <v>1479.7319413919413</v>
      </c>
      <c r="E29" s="4">
        <f t="shared" ca="1" si="2"/>
        <v>1178.4016849816849</v>
      </c>
      <c r="F29" s="4">
        <f t="shared" si="3"/>
        <v>877.07142857142856</v>
      </c>
      <c r="G29" s="4">
        <f t="shared" ca="1" si="4"/>
        <v>575.74117216117213</v>
      </c>
      <c r="H29" s="4">
        <f t="shared" ca="1" si="5"/>
        <v>274.41091575091571</v>
      </c>
      <c r="I29" s="4">
        <f t="shared" ca="1" si="6"/>
        <v>-26.919340659340833</v>
      </c>
      <c r="J29">
        <f t="shared" ca="1" si="8"/>
        <v>1033</v>
      </c>
      <c r="K29" t="str">
        <f t="shared" ca="1" si="14"/>
        <v/>
      </c>
      <c r="L29">
        <f t="shared" ca="1" si="9"/>
        <v>1110.2773846153846</v>
      </c>
      <c r="M29">
        <f t="shared" ca="1" si="10"/>
        <v>853.46697435897431</v>
      </c>
      <c r="N29">
        <f t="shared" ca="1" si="11"/>
        <v>596.65656410256406</v>
      </c>
      <c r="O29" s="4">
        <f t="shared" ca="1" si="7"/>
        <v>339.84615384615387</v>
      </c>
      <c r="P29">
        <f t="shared" ca="1" si="12"/>
        <v>83.035743589743618</v>
      </c>
      <c r="Q29">
        <f t="shared" ca="1" si="13"/>
        <v>0</v>
      </c>
      <c r="R29">
        <v>0</v>
      </c>
    </row>
    <row r="30" spans="2:18" ht="14" customHeight="1" x14ac:dyDescent="0.2">
      <c r="B30" s="4"/>
      <c r="C30" s="4">
        <f t="shared" ca="1" si="0"/>
        <v>1781.0621978021979</v>
      </c>
      <c r="D30" s="4">
        <f t="shared" ca="1" si="1"/>
        <v>1479.7319413919413</v>
      </c>
      <c r="E30" s="4">
        <f t="shared" ca="1" si="2"/>
        <v>1178.4016849816849</v>
      </c>
      <c r="F30" s="4">
        <f t="shared" si="3"/>
        <v>877.07142857142856</v>
      </c>
      <c r="G30" s="4">
        <f t="shared" ca="1" si="4"/>
        <v>575.74117216117213</v>
      </c>
      <c r="H30" s="4">
        <f t="shared" ca="1" si="5"/>
        <v>274.41091575091571</v>
      </c>
      <c r="I30" s="4">
        <f t="shared" ca="1" si="6"/>
        <v>-26.919340659340833</v>
      </c>
      <c r="J30">
        <f t="shared" ca="1" si="8"/>
        <v>1033</v>
      </c>
      <c r="K30" t="str">
        <f t="shared" ca="1" si="14"/>
        <v/>
      </c>
      <c r="L30">
        <f t="shared" ca="1" si="9"/>
        <v>1110.2773846153846</v>
      </c>
      <c r="M30">
        <f t="shared" ca="1" si="10"/>
        <v>853.46697435897431</v>
      </c>
      <c r="N30">
        <f t="shared" ca="1" si="11"/>
        <v>596.65656410256406</v>
      </c>
      <c r="O30" s="4">
        <f t="shared" ca="1" si="7"/>
        <v>339.84615384615387</v>
      </c>
      <c r="P30">
        <f t="shared" ca="1" si="12"/>
        <v>83.035743589743618</v>
      </c>
      <c r="Q30">
        <f t="shared" ca="1" si="13"/>
        <v>0</v>
      </c>
      <c r="R30">
        <v>0</v>
      </c>
    </row>
    <row r="31" spans="2:18" ht="14" customHeight="1" x14ac:dyDescent="0.2">
      <c r="B31" s="4"/>
      <c r="C31" s="4">
        <f t="shared" ca="1" si="0"/>
        <v>1781.0621978021979</v>
      </c>
      <c r="D31" s="4">
        <f t="shared" ca="1" si="1"/>
        <v>1479.7319413919413</v>
      </c>
      <c r="E31" s="4">
        <f t="shared" ca="1" si="2"/>
        <v>1178.4016849816849</v>
      </c>
      <c r="F31" s="4">
        <f t="shared" si="3"/>
        <v>877.07142857142856</v>
      </c>
      <c r="G31" s="4">
        <f t="shared" ca="1" si="4"/>
        <v>575.74117216117213</v>
      </c>
      <c r="H31" s="4">
        <f t="shared" ca="1" si="5"/>
        <v>274.41091575091571</v>
      </c>
      <c r="I31" s="4">
        <f t="shared" ca="1" si="6"/>
        <v>-26.919340659340833</v>
      </c>
      <c r="J31">
        <f t="shared" ca="1" si="8"/>
        <v>1033</v>
      </c>
      <c r="K31" t="str">
        <f t="shared" ca="1" si="14"/>
        <v/>
      </c>
      <c r="L31">
        <f t="shared" ca="1" si="9"/>
        <v>1110.2773846153846</v>
      </c>
      <c r="M31">
        <f t="shared" ca="1" si="10"/>
        <v>853.46697435897431</v>
      </c>
      <c r="N31">
        <f t="shared" ca="1" si="11"/>
        <v>596.65656410256406</v>
      </c>
      <c r="O31" s="4">
        <f t="shared" ca="1" si="7"/>
        <v>339.84615384615387</v>
      </c>
      <c r="P31">
        <f t="shared" ca="1" si="12"/>
        <v>83.035743589743618</v>
      </c>
      <c r="Q31">
        <f t="shared" ca="1" si="13"/>
        <v>0</v>
      </c>
      <c r="R31">
        <v>0</v>
      </c>
    </row>
    <row r="32" spans="2:18" ht="14" customHeight="1" x14ac:dyDescent="0.2">
      <c r="B32" s="4"/>
      <c r="C32" s="4">
        <f t="shared" ca="1" si="0"/>
        <v>1781.0621978021979</v>
      </c>
      <c r="D32" s="4">
        <f t="shared" ca="1" si="1"/>
        <v>1479.7319413919413</v>
      </c>
      <c r="E32" s="4">
        <f t="shared" ca="1" si="2"/>
        <v>1178.4016849816849</v>
      </c>
      <c r="F32" s="4">
        <f t="shared" si="3"/>
        <v>877.07142857142856</v>
      </c>
      <c r="G32" s="4">
        <f t="shared" ca="1" si="4"/>
        <v>575.74117216117213</v>
      </c>
      <c r="H32" s="4">
        <f t="shared" ca="1" si="5"/>
        <v>274.41091575091571</v>
      </c>
      <c r="I32" s="4">
        <f t="shared" ca="1" si="6"/>
        <v>-26.919340659340833</v>
      </c>
      <c r="J32">
        <f t="shared" ca="1" si="8"/>
        <v>1033</v>
      </c>
      <c r="K32" t="str">
        <f t="shared" ca="1" si="14"/>
        <v/>
      </c>
      <c r="L32">
        <f t="shared" ca="1" si="9"/>
        <v>1110.2773846153846</v>
      </c>
      <c r="M32">
        <f t="shared" ca="1" si="10"/>
        <v>853.46697435897431</v>
      </c>
      <c r="N32">
        <f t="shared" ca="1" si="11"/>
        <v>596.65656410256406</v>
      </c>
      <c r="O32" s="4">
        <f t="shared" ca="1" si="7"/>
        <v>339.84615384615387</v>
      </c>
      <c r="P32">
        <f t="shared" ca="1" si="12"/>
        <v>83.035743589743618</v>
      </c>
      <c r="Q32">
        <f t="shared" ca="1" si="13"/>
        <v>0</v>
      </c>
      <c r="R32">
        <v>0</v>
      </c>
    </row>
    <row r="33" spans="2:18" ht="14" customHeight="1" x14ac:dyDescent="0.2">
      <c r="B33" s="4"/>
      <c r="C33" s="4">
        <f t="shared" ca="1" si="0"/>
        <v>1781.0621978021979</v>
      </c>
      <c r="D33" s="4">
        <f t="shared" ca="1" si="1"/>
        <v>1479.7319413919413</v>
      </c>
      <c r="E33" s="4">
        <f t="shared" ca="1" si="2"/>
        <v>1178.4016849816849</v>
      </c>
      <c r="F33" s="4">
        <f t="shared" si="3"/>
        <v>877.07142857142856</v>
      </c>
      <c r="G33" s="4">
        <f t="shared" ca="1" si="4"/>
        <v>575.74117216117213</v>
      </c>
      <c r="H33" s="4">
        <f t="shared" ca="1" si="5"/>
        <v>274.41091575091571</v>
      </c>
      <c r="I33" s="4">
        <f t="shared" ca="1" si="6"/>
        <v>-26.919340659340833</v>
      </c>
      <c r="J33">
        <f t="shared" ca="1" si="8"/>
        <v>1033</v>
      </c>
      <c r="K33" t="str">
        <f t="shared" ca="1" si="14"/>
        <v/>
      </c>
      <c r="L33">
        <f t="shared" ca="1" si="9"/>
        <v>1110.2773846153846</v>
      </c>
      <c r="M33">
        <f t="shared" ca="1" si="10"/>
        <v>853.46697435897431</v>
      </c>
      <c r="N33">
        <f t="shared" ca="1" si="11"/>
        <v>596.65656410256406</v>
      </c>
      <c r="O33" s="4">
        <f t="shared" ca="1" si="7"/>
        <v>339.84615384615387</v>
      </c>
      <c r="P33">
        <f t="shared" ca="1" si="12"/>
        <v>83.035743589743618</v>
      </c>
      <c r="Q33">
        <f t="shared" ca="1" si="13"/>
        <v>0</v>
      </c>
      <c r="R33">
        <v>0</v>
      </c>
    </row>
    <row r="34" spans="2:18" ht="14" customHeight="1" x14ac:dyDescent="0.2">
      <c r="B34" s="4"/>
      <c r="C34" s="4">
        <f t="shared" ca="1" si="0"/>
        <v>1781.0621978021979</v>
      </c>
      <c r="D34" s="4">
        <f t="shared" ca="1" si="1"/>
        <v>1479.7319413919413</v>
      </c>
      <c r="E34" s="4">
        <f t="shared" ca="1" si="2"/>
        <v>1178.4016849816849</v>
      </c>
      <c r="F34" s="4">
        <f t="shared" si="3"/>
        <v>877.07142857142856</v>
      </c>
      <c r="G34" s="4">
        <f t="shared" ca="1" si="4"/>
        <v>575.74117216117213</v>
      </c>
      <c r="H34" s="4">
        <f t="shared" ca="1" si="5"/>
        <v>274.41091575091571</v>
      </c>
      <c r="I34" s="4">
        <f t="shared" ca="1" si="6"/>
        <v>-26.919340659340833</v>
      </c>
      <c r="J34">
        <f t="shared" ca="1" si="8"/>
        <v>1033</v>
      </c>
      <c r="K34" t="str">
        <f t="shared" ca="1" si="14"/>
        <v/>
      </c>
      <c r="L34">
        <f t="shared" ca="1" si="9"/>
        <v>1110.2773846153846</v>
      </c>
      <c r="M34">
        <f t="shared" ca="1" si="10"/>
        <v>853.46697435897431</v>
      </c>
      <c r="N34">
        <f t="shared" ca="1" si="11"/>
        <v>596.65656410256406</v>
      </c>
      <c r="O34" s="4">
        <f t="shared" ca="1" si="7"/>
        <v>339.84615384615387</v>
      </c>
      <c r="P34">
        <f t="shared" ca="1" si="12"/>
        <v>83.035743589743618</v>
      </c>
      <c r="Q34">
        <f t="shared" ca="1" si="13"/>
        <v>0</v>
      </c>
      <c r="R34">
        <v>0</v>
      </c>
    </row>
    <row r="35" spans="2:18" ht="14" customHeight="1" x14ac:dyDescent="0.2">
      <c r="B35" s="4"/>
      <c r="C35" s="4">
        <f t="shared" ca="1" si="0"/>
        <v>1781.0621978021979</v>
      </c>
      <c r="D35" s="4">
        <f t="shared" ca="1" si="1"/>
        <v>1479.7319413919413</v>
      </c>
      <c r="E35" s="4">
        <f t="shared" ca="1" si="2"/>
        <v>1178.4016849816849</v>
      </c>
      <c r="F35" s="4">
        <f t="shared" si="3"/>
        <v>877.07142857142856</v>
      </c>
      <c r="G35" s="4">
        <f t="shared" ca="1" si="4"/>
        <v>575.74117216117213</v>
      </c>
      <c r="H35" s="4">
        <f t="shared" ca="1" si="5"/>
        <v>274.41091575091571</v>
      </c>
      <c r="I35" s="4">
        <f t="shared" ca="1" si="6"/>
        <v>-26.919340659340833</v>
      </c>
      <c r="J35">
        <f t="shared" ca="1" si="8"/>
        <v>1033</v>
      </c>
      <c r="K35" t="str">
        <f t="shared" ca="1" si="14"/>
        <v/>
      </c>
      <c r="L35">
        <f t="shared" ca="1" si="9"/>
        <v>1110.2773846153846</v>
      </c>
      <c r="M35">
        <f t="shared" ca="1" si="10"/>
        <v>853.46697435897431</v>
      </c>
      <c r="N35">
        <f t="shared" ca="1" si="11"/>
        <v>596.65656410256406</v>
      </c>
      <c r="O35" s="4">
        <f t="shared" ca="1" si="7"/>
        <v>339.84615384615387</v>
      </c>
      <c r="P35">
        <f t="shared" ca="1" si="12"/>
        <v>83.035743589743618</v>
      </c>
      <c r="Q35">
        <f t="shared" ca="1" si="13"/>
        <v>0</v>
      </c>
      <c r="R35">
        <v>0</v>
      </c>
    </row>
    <row r="36" spans="2:18" ht="14" customHeight="1" x14ac:dyDescent="0.2">
      <c r="B36" s="4"/>
      <c r="C36" s="4">
        <f t="shared" ca="1" si="0"/>
        <v>1781.0621978021979</v>
      </c>
      <c r="D36" s="4">
        <f t="shared" ca="1" si="1"/>
        <v>1479.7319413919413</v>
      </c>
      <c r="E36" s="4">
        <f t="shared" ca="1" si="2"/>
        <v>1178.4016849816849</v>
      </c>
      <c r="F36" s="4">
        <f t="shared" si="3"/>
        <v>877.07142857142856</v>
      </c>
      <c r="G36" s="4">
        <f t="shared" ca="1" si="4"/>
        <v>575.74117216117213</v>
      </c>
      <c r="H36" s="4">
        <f t="shared" ca="1" si="5"/>
        <v>274.41091575091571</v>
      </c>
      <c r="I36" s="4">
        <f t="shared" ca="1" si="6"/>
        <v>-26.919340659340833</v>
      </c>
      <c r="J36">
        <f t="shared" ca="1" si="8"/>
        <v>1033</v>
      </c>
      <c r="K36" t="str">
        <f t="shared" ca="1" si="14"/>
        <v/>
      </c>
      <c r="L36">
        <f t="shared" ca="1" si="9"/>
        <v>1110.2773846153846</v>
      </c>
      <c r="M36">
        <f t="shared" ca="1" si="10"/>
        <v>853.46697435897431</v>
      </c>
      <c r="N36">
        <f t="shared" ca="1" si="11"/>
        <v>596.65656410256406</v>
      </c>
      <c r="O36" s="4">
        <f t="shared" ca="1" si="7"/>
        <v>339.84615384615387</v>
      </c>
      <c r="P36">
        <f t="shared" ca="1" si="12"/>
        <v>83.035743589743618</v>
      </c>
      <c r="Q36">
        <f t="shared" ca="1" si="13"/>
        <v>0</v>
      </c>
      <c r="R36">
        <v>0</v>
      </c>
    </row>
    <row r="37" spans="2:18" ht="14" customHeight="1" x14ac:dyDescent="0.2"/>
    <row r="38" spans="2:18" ht="14" customHeight="1" x14ac:dyDescent="0.2"/>
    <row r="39" spans="2:18" ht="14" customHeight="1" x14ac:dyDescent="0.2"/>
    <row r="40" spans="2:18" ht="14" customHeight="1" x14ac:dyDescent="0.2"/>
    <row r="41" spans="2:18" ht="14" customHeight="1" x14ac:dyDescent="0.2"/>
    <row r="42" spans="2:18" ht="14" customHeight="1" x14ac:dyDescent="0.2"/>
    <row r="43" spans="2:18" ht="14" customHeight="1" x14ac:dyDescent="0.2"/>
    <row r="44" spans="2:18" ht="14" customHeight="1" x14ac:dyDescent="0.2"/>
    <row r="45" spans="2:18" ht="14" customHeight="1" x14ac:dyDescent="0.2"/>
    <row r="46" spans="2:18" ht="14" customHeight="1" x14ac:dyDescent="0.2"/>
    <row r="47" spans="2:18" ht="14" customHeight="1" x14ac:dyDescent="0.2"/>
    <row r="48" spans="2:1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5F63-5E0C-624E-A539-D0C24AF8B924}">
  <sheetPr>
    <tabColor rgb="FF66FF66"/>
    <pageSetUpPr fitToPage="1"/>
  </sheetPr>
  <dimension ref="A1:R52"/>
  <sheetViews>
    <sheetView zoomScale="174" zoomScaleNormal="174" workbookViewId="0">
      <selection activeCell="C1" sqref="C1:R36"/>
    </sheetView>
  </sheetViews>
  <sheetFormatPr baseColWidth="10" defaultRowHeight="15" x14ac:dyDescent="0.2"/>
  <cols>
    <col min="1" max="1" width="7.5" bestFit="1" customWidth="1"/>
    <col min="2" max="20" width="6.83203125" customWidth="1"/>
  </cols>
  <sheetData>
    <row r="1" spans="1:18" ht="14" customHeight="1" x14ac:dyDescent="0.3">
      <c r="A1" s="1" t="s">
        <v>1</v>
      </c>
      <c r="B1" s="7" t="s">
        <v>7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t="s">
        <v>10</v>
      </c>
      <c r="K1" s="8" t="s">
        <v>11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</row>
    <row r="2" spans="1:18" ht="14" customHeight="1" x14ac:dyDescent="0.3">
      <c r="A2" s="9">
        <v>2010</v>
      </c>
      <c r="B2" s="10"/>
      <c r="C2" s="10">
        <f t="shared" ref="C2:C36" ca="1" si="0">F2+2.66*O2</f>
        <v>4.6963207939681713</v>
      </c>
      <c r="D2" s="10">
        <f t="shared" ref="D2:D36" ca="1" si="1">F2+(2/3)*2.66*O2</f>
        <v>3.9122990625028375</v>
      </c>
      <c r="E2" s="10">
        <f t="shared" ref="E2:E36" ca="1" si="2">F2+(1/3)*2.66*O2</f>
        <v>3.1282773310375038</v>
      </c>
      <c r="F2" s="10">
        <f t="shared" ref="F2:F36" si="3">AVERAGE($B$2:$B$16)</f>
        <v>2.3442555995721697</v>
      </c>
      <c r="G2" s="10">
        <f t="shared" ref="G2:G36" ca="1" si="4">F2-(1/3)*2.66*O2</f>
        <v>1.5602338681068357</v>
      </c>
      <c r="H2" s="10">
        <f t="shared" ref="H2:H36" ca="1" si="5">F2-(2/3)*2.66*O2</f>
        <v>0.77621213664150179</v>
      </c>
      <c r="I2" s="10">
        <f t="shared" ref="I2:I36" ca="1" si="6">F2-2.66*O2</f>
        <v>-7.8095948238323665E-3</v>
      </c>
      <c r="J2" s="6">
        <f>B2</f>
        <v>0</v>
      </c>
      <c r="K2" s="10"/>
      <c r="L2" s="8"/>
      <c r="M2" s="8"/>
      <c r="N2" s="8"/>
      <c r="O2" s="8">
        <f t="shared" ref="O2:O36" ca="1" si="7">AVERAGE($K$2:$K$16)</f>
        <v>0.88423503548721871</v>
      </c>
      <c r="P2" s="8"/>
      <c r="Q2" s="8"/>
      <c r="R2" s="8"/>
    </row>
    <row r="3" spans="1:18" ht="14" customHeight="1" x14ac:dyDescent="0.3">
      <c r="A3" s="9">
        <v>2011</v>
      </c>
      <c r="B3" s="10">
        <v>3.6299729385050861</v>
      </c>
      <c r="C3" s="10">
        <f t="shared" ca="1" si="0"/>
        <v>4.6963207939681713</v>
      </c>
      <c r="D3" s="10">
        <f t="shared" ca="1" si="1"/>
        <v>3.9122990625028375</v>
      </c>
      <c r="E3" s="10">
        <f t="shared" ca="1" si="2"/>
        <v>3.1282773310375038</v>
      </c>
      <c r="F3" s="10">
        <f t="shared" si="3"/>
        <v>2.3442555995721697</v>
      </c>
      <c r="G3" s="10">
        <f t="shared" ca="1" si="4"/>
        <v>1.5602338681068357</v>
      </c>
      <c r="H3" s="10">
        <f t="shared" ca="1" si="5"/>
        <v>0.77621213664150179</v>
      </c>
      <c r="I3" s="10">
        <f t="shared" ca="1" si="6"/>
        <v>-7.8095948238323665E-3</v>
      </c>
      <c r="J3" s="6">
        <f t="shared" ref="J3:J36" ca="1" si="8">IF(ISBLANK(B3),OFFSET(J3,-1,0,1,1),B3)</f>
        <v>3.6299729385050861</v>
      </c>
      <c r="K3" s="6"/>
      <c r="L3" s="8">
        <f t="shared" ref="L3:L36" ca="1" si="9">3.267*O3</f>
        <v>2.8887958609367432</v>
      </c>
      <c r="M3" s="8">
        <f t="shared" ref="M3:M36" ca="1" si="10">(2/3)*(L3-O3)+O3</f>
        <v>2.2206089191202349</v>
      </c>
      <c r="N3" s="8">
        <f t="shared" ref="N3:N36" ca="1" si="11">(1/3)*(L3-O3)+O3</f>
        <v>1.5524219773037267</v>
      </c>
      <c r="O3" s="8">
        <f t="shared" ca="1" si="7"/>
        <v>0.88423503548721871</v>
      </c>
      <c r="P3" s="8">
        <f t="shared" ref="P3:P36" ca="1" si="12">(MAX(O3-(1/3)*(L3-O3),0))</f>
        <v>0.21604809367071065</v>
      </c>
      <c r="Q3" s="8">
        <f t="shared" ref="Q3:Q36" ca="1" si="13">MAX(O3-(2/3)*(L3-O3),0)</f>
        <v>0</v>
      </c>
      <c r="R3" s="8">
        <v>0</v>
      </c>
    </row>
    <row r="4" spans="1:18" ht="14" customHeight="1" x14ac:dyDescent="0.3">
      <c r="A4" s="9">
        <v>2012</v>
      </c>
      <c r="B4" s="10">
        <v>4.5773802377236166</v>
      </c>
      <c r="C4" s="10">
        <f t="shared" ca="1" si="0"/>
        <v>4.6963207939681713</v>
      </c>
      <c r="D4" s="10">
        <f t="shared" ca="1" si="1"/>
        <v>3.9122990625028375</v>
      </c>
      <c r="E4" s="10">
        <f t="shared" ca="1" si="2"/>
        <v>3.1282773310375038</v>
      </c>
      <c r="F4" s="10">
        <f t="shared" si="3"/>
        <v>2.3442555995721697</v>
      </c>
      <c r="G4" s="10">
        <f t="shared" ca="1" si="4"/>
        <v>1.5602338681068357</v>
      </c>
      <c r="H4" s="10">
        <f t="shared" ca="1" si="5"/>
        <v>0.77621213664150179</v>
      </c>
      <c r="I4" s="10">
        <f t="shared" ca="1" si="6"/>
        <v>-7.8095948238323665E-3</v>
      </c>
      <c r="J4" s="6">
        <f t="shared" ca="1" si="8"/>
        <v>4.5773802377236166</v>
      </c>
      <c r="K4" s="10">
        <f t="shared" ref="K3:K36" ca="1" si="14">IF(OR(OFFSET(K4,-1,-9,1,1)="",OFFSET(K4,0,-9,1,1)=""),"",IF(ISERROR(ABS(B4-OFFSET(K4,-1,-1,1,1))),"",ABS(B4-OFFSET(K4,-1,-1,1,1))))</f>
        <v>0.94740729921853051</v>
      </c>
      <c r="L4" s="8">
        <f t="shared" ca="1" si="9"/>
        <v>2.8887958609367432</v>
      </c>
      <c r="M4" s="8">
        <f t="shared" ca="1" si="10"/>
        <v>2.2206089191202349</v>
      </c>
      <c r="N4" s="8">
        <f t="shared" ca="1" si="11"/>
        <v>1.5524219773037267</v>
      </c>
      <c r="O4" s="8">
        <f t="shared" ca="1" si="7"/>
        <v>0.88423503548721871</v>
      </c>
      <c r="P4" s="8">
        <f t="shared" ca="1" si="12"/>
        <v>0.21604809367071065</v>
      </c>
      <c r="Q4" s="8">
        <f t="shared" ca="1" si="13"/>
        <v>0</v>
      </c>
      <c r="R4" s="8">
        <v>0</v>
      </c>
    </row>
    <row r="5" spans="1:18" ht="14" customHeight="1" x14ac:dyDescent="0.3">
      <c r="A5" s="9">
        <v>2013</v>
      </c>
      <c r="B5" s="10">
        <v>2.502798427140438</v>
      </c>
      <c r="C5" s="10">
        <f t="shared" ca="1" si="0"/>
        <v>4.6963207939681713</v>
      </c>
      <c r="D5" s="10">
        <f t="shared" ca="1" si="1"/>
        <v>3.9122990625028375</v>
      </c>
      <c r="E5" s="10">
        <f t="shared" ca="1" si="2"/>
        <v>3.1282773310375038</v>
      </c>
      <c r="F5" s="10">
        <f t="shared" si="3"/>
        <v>2.3442555995721697</v>
      </c>
      <c r="G5" s="10">
        <f t="shared" ca="1" si="4"/>
        <v>1.5602338681068357</v>
      </c>
      <c r="H5" s="10">
        <f t="shared" ca="1" si="5"/>
        <v>0.77621213664150179</v>
      </c>
      <c r="I5" s="10">
        <f t="shared" ca="1" si="6"/>
        <v>-7.8095948238323665E-3</v>
      </c>
      <c r="J5" s="6">
        <f t="shared" ca="1" si="8"/>
        <v>2.502798427140438</v>
      </c>
      <c r="K5" s="10">
        <f t="shared" ca="1" si="14"/>
        <v>2.0745818105831786</v>
      </c>
      <c r="L5" s="8">
        <f t="shared" ca="1" si="9"/>
        <v>2.8887958609367432</v>
      </c>
      <c r="M5" s="8">
        <f t="shared" ca="1" si="10"/>
        <v>2.2206089191202349</v>
      </c>
      <c r="N5" s="8">
        <f t="shared" ca="1" si="11"/>
        <v>1.5524219773037267</v>
      </c>
      <c r="O5" s="8">
        <f t="shared" ca="1" si="7"/>
        <v>0.88423503548721871</v>
      </c>
      <c r="P5" s="8">
        <f t="shared" ca="1" si="12"/>
        <v>0.21604809367071065</v>
      </c>
      <c r="Q5" s="8">
        <f t="shared" ca="1" si="13"/>
        <v>0</v>
      </c>
      <c r="R5" s="8">
        <v>0</v>
      </c>
    </row>
    <row r="6" spans="1:18" ht="14" customHeight="1" x14ac:dyDescent="0.3">
      <c r="A6" s="9">
        <v>2014</v>
      </c>
      <c r="B6" s="10">
        <v>2.7272981827345779</v>
      </c>
      <c r="C6" s="10">
        <f t="shared" ca="1" si="0"/>
        <v>4.6963207939681713</v>
      </c>
      <c r="D6" s="10">
        <f t="shared" ca="1" si="1"/>
        <v>3.9122990625028375</v>
      </c>
      <c r="E6" s="10">
        <f t="shared" ca="1" si="2"/>
        <v>3.1282773310375038</v>
      </c>
      <c r="F6" s="10">
        <f t="shared" si="3"/>
        <v>2.3442555995721697</v>
      </c>
      <c r="G6" s="10">
        <f t="shared" ca="1" si="4"/>
        <v>1.5602338681068357</v>
      </c>
      <c r="H6" s="10">
        <f t="shared" ca="1" si="5"/>
        <v>0.77621213664150179</v>
      </c>
      <c r="I6" s="10">
        <f t="shared" ca="1" si="6"/>
        <v>-7.8095948238323665E-3</v>
      </c>
      <c r="J6" s="6">
        <f t="shared" ca="1" si="8"/>
        <v>2.7272981827345779</v>
      </c>
      <c r="K6" s="10">
        <f t="shared" ca="1" si="14"/>
        <v>0.22449975559413993</v>
      </c>
      <c r="L6" s="8">
        <f t="shared" ca="1" si="9"/>
        <v>2.8887958609367432</v>
      </c>
      <c r="M6" s="8">
        <f t="shared" ca="1" si="10"/>
        <v>2.2206089191202349</v>
      </c>
      <c r="N6" s="8">
        <f t="shared" ca="1" si="11"/>
        <v>1.5524219773037267</v>
      </c>
      <c r="O6" s="8">
        <f t="shared" ca="1" si="7"/>
        <v>0.88423503548721871</v>
      </c>
      <c r="P6" s="8">
        <f t="shared" ca="1" si="12"/>
        <v>0.21604809367071065</v>
      </c>
      <c r="Q6" s="8">
        <f t="shared" ca="1" si="13"/>
        <v>0</v>
      </c>
      <c r="R6" s="8">
        <v>0</v>
      </c>
    </row>
    <row r="7" spans="1:18" ht="14" customHeight="1" x14ac:dyDescent="0.3">
      <c r="A7" s="9">
        <v>2015</v>
      </c>
      <c r="B7" s="10">
        <v>2.6467140949110042</v>
      </c>
      <c r="C7" s="10">
        <f t="shared" ca="1" si="0"/>
        <v>4.6963207939681713</v>
      </c>
      <c r="D7" s="10">
        <f t="shared" ca="1" si="1"/>
        <v>3.9122990625028375</v>
      </c>
      <c r="E7" s="10">
        <f t="shared" ca="1" si="2"/>
        <v>3.1282773310375038</v>
      </c>
      <c r="F7" s="10">
        <f t="shared" si="3"/>
        <v>2.3442555995721697</v>
      </c>
      <c r="G7" s="10">
        <f t="shared" ca="1" si="4"/>
        <v>1.5602338681068357</v>
      </c>
      <c r="H7" s="10">
        <f t="shared" ca="1" si="5"/>
        <v>0.77621213664150179</v>
      </c>
      <c r="I7" s="10">
        <f t="shared" ca="1" si="6"/>
        <v>-7.8095948238323665E-3</v>
      </c>
      <c r="J7" s="6">
        <f t="shared" ca="1" si="8"/>
        <v>2.6467140949110042</v>
      </c>
      <c r="K7" s="10">
        <f t="shared" ca="1" si="14"/>
        <v>8.0584087823573736E-2</v>
      </c>
      <c r="L7" s="8">
        <f t="shared" ca="1" si="9"/>
        <v>2.8887958609367432</v>
      </c>
      <c r="M7" s="8">
        <f t="shared" ca="1" si="10"/>
        <v>2.2206089191202349</v>
      </c>
      <c r="N7" s="8">
        <f t="shared" ca="1" si="11"/>
        <v>1.5524219773037267</v>
      </c>
      <c r="O7" s="8">
        <f t="shared" ca="1" si="7"/>
        <v>0.88423503548721871</v>
      </c>
      <c r="P7" s="8">
        <f t="shared" ca="1" si="12"/>
        <v>0.21604809367071065</v>
      </c>
      <c r="Q7" s="8">
        <f t="shared" ca="1" si="13"/>
        <v>0</v>
      </c>
      <c r="R7" s="8">
        <v>0</v>
      </c>
    </row>
    <row r="8" spans="1:18" ht="14" customHeight="1" x14ac:dyDescent="0.3">
      <c r="A8" s="9">
        <v>2016</v>
      </c>
      <c r="B8" s="10">
        <v>3.815922247596792</v>
      </c>
      <c r="C8" s="10">
        <f t="shared" ca="1" si="0"/>
        <v>4.6963207939681713</v>
      </c>
      <c r="D8" s="10">
        <f t="shared" ca="1" si="1"/>
        <v>3.9122990625028375</v>
      </c>
      <c r="E8" s="10">
        <f t="shared" ca="1" si="2"/>
        <v>3.1282773310375038</v>
      </c>
      <c r="F8" s="10">
        <f t="shared" si="3"/>
        <v>2.3442555995721697</v>
      </c>
      <c r="G8" s="10">
        <f t="shared" ca="1" si="4"/>
        <v>1.5602338681068357</v>
      </c>
      <c r="H8" s="10">
        <f t="shared" ca="1" si="5"/>
        <v>0.77621213664150179</v>
      </c>
      <c r="I8" s="10">
        <f t="shared" ca="1" si="6"/>
        <v>-7.8095948238323665E-3</v>
      </c>
      <c r="J8" s="6">
        <f t="shared" ca="1" si="8"/>
        <v>3.815922247596792</v>
      </c>
      <c r="K8" s="10">
        <f t="shared" ca="1" si="14"/>
        <v>1.1692081526857878</v>
      </c>
      <c r="L8" s="8">
        <f t="shared" ca="1" si="9"/>
        <v>2.8887958609367432</v>
      </c>
      <c r="M8" s="8">
        <f t="shared" ca="1" si="10"/>
        <v>2.2206089191202349</v>
      </c>
      <c r="N8" s="8">
        <f t="shared" ca="1" si="11"/>
        <v>1.5524219773037267</v>
      </c>
      <c r="O8" s="8">
        <f t="shared" ca="1" si="7"/>
        <v>0.88423503548721871</v>
      </c>
      <c r="P8" s="8">
        <f t="shared" ca="1" si="12"/>
        <v>0.21604809367071065</v>
      </c>
      <c r="Q8" s="8">
        <f t="shared" ca="1" si="13"/>
        <v>0</v>
      </c>
      <c r="R8" s="8">
        <v>0</v>
      </c>
    </row>
    <row r="9" spans="1:18" ht="14" customHeight="1" x14ac:dyDescent="0.3">
      <c r="A9" s="9">
        <v>2017</v>
      </c>
      <c r="B9" s="10">
        <v>2.5757769535746262</v>
      </c>
      <c r="C9" s="10">
        <f t="shared" ca="1" si="0"/>
        <v>4.6963207939681713</v>
      </c>
      <c r="D9" s="10">
        <f t="shared" ca="1" si="1"/>
        <v>3.9122990625028375</v>
      </c>
      <c r="E9" s="10">
        <f t="shared" ca="1" si="2"/>
        <v>3.1282773310375038</v>
      </c>
      <c r="F9" s="10">
        <f t="shared" si="3"/>
        <v>2.3442555995721697</v>
      </c>
      <c r="G9" s="10">
        <f t="shared" ca="1" si="4"/>
        <v>1.5602338681068357</v>
      </c>
      <c r="H9" s="10">
        <f t="shared" ca="1" si="5"/>
        <v>0.77621213664150179</v>
      </c>
      <c r="I9" s="10">
        <f t="shared" ca="1" si="6"/>
        <v>-7.8095948238323665E-3</v>
      </c>
      <c r="J9" s="6">
        <f t="shared" ca="1" si="8"/>
        <v>2.5757769535746262</v>
      </c>
      <c r="K9" s="10">
        <f t="shared" ca="1" si="14"/>
        <v>1.2401452940221658</v>
      </c>
      <c r="L9" s="8">
        <f t="shared" ca="1" si="9"/>
        <v>2.8887958609367432</v>
      </c>
      <c r="M9" s="8">
        <f t="shared" ca="1" si="10"/>
        <v>2.2206089191202349</v>
      </c>
      <c r="N9" s="8">
        <f t="shared" ca="1" si="11"/>
        <v>1.5524219773037267</v>
      </c>
      <c r="O9" s="8">
        <f t="shared" ca="1" si="7"/>
        <v>0.88423503548721871</v>
      </c>
      <c r="P9" s="8">
        <f t="shared" ca="1" si="12"/>
        <v>0.21604809367071065</v>
      </c>
      <c r="Q9" s="8">
        <f t="shared" ca="1" si="13"/>
        <v>0</v>
      </c>
      <c r="R9" s="8">
        <v>0</v>
      </c>
    </row>
    <row r="10" spans="1:18" ht="14" customHeight="1" x14ac:dyDescent="0.3">
      <c r="A10" s="9">
        <v>2018</v>
      </c>
      <c r="B10" s="10">
        <v>2.326567253503566</v>
      </c>
      <c r="C10" s="10">
        <f t="shared" ca="1" si="0"/>
        <v>4.6963207939681713</v>
      </c>
      <c r="D10" s="10">
        <f t="shared" ca="1" si="1"/>
        <v>3.9122990625028375</v>
      </c>
      <c r="E10" s="10">
        <f t="shared" ca="1" si="2"/>
        <v>3.1282773310375038</v>
      </c>
      <c r="F10" s="10">
        <f t="shared" si="3"/>
        <v>2.3442555995721697</v>
      </c>
      <c r="G10" s="10">
        <f t="shared" ca="1" si="4"/>
        <v>1.5602338681068357</v>
      </c>
      <c r="H10" s="10">
        <f t="shared" ca="1" si="5"/>
        <v>0.77621213664150179</v>
      </c>
      <c r="I10" s="10">
        <f t="shared" ca="1" si="6"/>
        <v>-7.8095948238323665E-3</v>
      </c>
      <c r="J10" s="6">
        <f t="shared" ca="1" si="8"/>
        <v>2.326567253503566</v>
      </c>
      <c r="K10" s="10">
        <f t="shared" ca="1" si="14"/>
        <v>0.24920970007106025</v>
      </c>
      <c r="L10" s="8">
        <f t="shared" ca="1" si="9"/>
        <v>2.8887958609367432</v>
      </c>
      <c r="M10" s="8">
        <f t="shared" ca="1" si="10"/>
        <v>2.2206089191202349</v>
      </c>
      <c r="N10" s="8">
        <f t="shared" ca="1" si="11"/>
        <v>1.5524219773037267</v>
      </c>
      <c r="O10" s="8">
        <f t="shared" ca="1" si="7"/>
        <v>0.88423503548721871</v>
      </c>
      <c r="P10" s="8">
        <f t="shared" ca="1" si="12"/>
        <v>0.21604809367071065</v>
      </c>
      <c r="Q10" s="8">
        <f t="shared" ca="1" si="13"/>
        <v>0</v>
      </c>
      <c r="R10" s="8">
        <v>0</v>
      </c>
    </row>
    <row r="11" spans="1:18" ht="14" customHeight="1" x14ac:dyDescent="0.3">
      <c r="A11" s="9">
        <v>2019</v>
      </c>
      <c r="B11" s="10">
        <v>2.4540026806384789</v>
      </c>
      <c r="C11" s="10">
        <f t="shared" ca="1" si="0"/>
        <v>4.6963207939681713</v>
      </c>
      <c r="D11" s="10">
        <f t="shared" ca="1" si="1"/>
        <v>3.9122990625028375</v>
      </c>
      <c r="E11" s="10">
        <f t="shared" ca="1" si="2"/>
        <v>3.1282773310375038</v>
      </c>
      <c r="F11" s="10">
        <f t="shared" si="3"/>
        <v>2.3442555995721697</v>
      </c>
      <c r="G11" s="10">
        <f t="shared" ca="1" si="4"/>
        <v>1.5602338681068357</v>
      </c>
      <c r="H11" s="10">
        <f t="shared" ca="1" si="5"/>
        <v>0.77621213664150179</v>
      </c>
      <c r="I11" s="10">
        <f t="shared" ca="1" si="6"/>
        <v>-7.8095948238323665E-3</v>
      </c>
      <c r="J11" s="6">
        <f t="shared" ca="1" si="8"/>
        <v>2.4540026806384789</v>
      </c>
      <c r="K11" s="10">
        <f t="shared" ca="1" si="14"/>
        <v>0.12743542713491296</v>
      </c>
      <c r="L11" s="8">
        <f t="shared" ca="1" si="9"/>
        <v>2.8887958609367432</v>
      </c>
      <c r="M11" s="8">
        <f t="shared" ca="1" si="10"/>
        <v>2.2206089191202349</v>
      </c>
      <c r="N11" s="8">
        <f t="shared" ca="1" si="11"/>
        <v>1.5524219773037267</v>
      </c>
      <c r="O11" s="8">
        <f t="shared" ca="1" si="7"/>
        <v>0.88423503548721871</v>
      </c>
      <c r="P11" s="8">
        <f t="shared" ca="1" si="12"/>
        <v>0.21604809367071065</v>
      </c>
      <c r="Q11" s="8">
        <f t="shared" ca="1" si="13"/>
        <v>0</v>
      </c>
      <c r="R11" s="8">
        <v>0</v>
      </c>
    </row>
    <row r="12" spans="1:18" ht="14" customHeight="1" x14ac:dyDescent="0.3">
      <c r="A12" s="11">
        <v>2020</v>
      </c>
      <c r="B12" s="12">
        <v>0.2616431187859759</v>
      </c>
      <c r="C12" s="10">
        <f t="shared" ca="1" si="0"/>
        <v>4.6963207939681713</v>
      </c>
      <c r="D12" s="10">
        <f t="shared" ca="1" si="1"/>
        <v>3.9122990625028375</v>
      </c>
      <c r="E12" s="10">
        <f t="shared" ca="1" si="2"/>
        <v>3.1282773310375038</v>
      </c>
      <c r="F12" s="10">
        <f t="shared" si="3"/>
        <v>2.3442555995721697</v>
      </c>
      <c r="G12" s="10">
        <f t="shared" ca="1" si="4"/>
        <v>1.5602338681068357</v>
      </c>
      <c r="H12" s="10">
        <f t="shared" ca="1" si="5"/>
        <v>0.77621213664150179</v>
      </c>
      <c r="I12" s="10">
        <f t="shared" ca="1" si="6"/>
        <v>-7.8095948238323665E-3</v>
      </c>
      <c r="J12" s="6">
        <f t="shared" ca="1" si="8"/>
        <v>0.2616431187859759</v>
      </c>
      <c r="K12" s="10">
        <f t="shared" ca="1" si="14"/>
        <v>2.1923595618525029</v>
      </c>
      <c r="L12" s="8">
        <f t="shared" ca="1" si="9"/>
        <v>2.8887958609367432</v>
      </c>
      <c r="M12" s="8">
        <f t="shared" ca="1" si="10"/>
        <v>2.2206089191202349</v>
      </c>
      <c r="N12" s="8">
        <f t="shared" ca="1" si="11"/>
        <v>1.5524219773037267</v>
      </c>
      <c r="O12" s="8">
        <f t="shared" ca="1" si="7"/>
        <v>0.88423503548721871</v>
      </c>
      <c r="P12" s="8">
        <f t="shared" ca="1" si="12"/>
        <v>0.21604809367071065</v>
      </c>
      <c r="Q12" s="8">
        <f t="shared" ca="1" si="13"/>
        <v>0</v>
      </c>
      <c r="R12" s="8">
        <v>0</v>
      </c>
    </row>
    <row r="13" spans="1:18" ht="14" customHeight="1" x14ac:dyDescent="0.3">
      <c r="A13" s="11">
        <v>2021</v>
      </c>
      <c r="B13" s="12">
        <v>1.2502372366672989</v>
      </c>
      <c r="C13" s="10">
        <f t="shared" ca="1" si="0"/>
        <v>4.6963207939681713</v>
      </c>
      <c r="D13" s="10">
        <f t="shared" ca="1" si="1"/>
        <v>3.9122990625028375</v>
      </c>
      <c r="E13" s="10">
        <f t="shared" ca="1" si="2"/>
        <v>3.1282773310375038</v>
      </c>
      <c r="F13" s="10">
        <f t="shared" si="3"/>
        <v>2.3442555995721697</v>
      </c>
      <c r="G13" s="10">
        <f t="shared" ca="1" si="4"/>
        <v>1.5602338681068357</v>
      </c>
      <c r="H13" s="10">
        <f t="shared" ca="1" si="5"/>
        <v>0.77621213664150179</v>
      </c>
      <c r="I13" s="10">
        <f t="shared" ca="1" si="6"/>
        <v>-7.8095948238323665E-3</v>
      </c>
      <c r="J13" s="6">
        <f t="shared" ca="1" si="8"/>
        <v>1.2502372366672989</v>
      </c>
      <c r="K13" s="10">
        <f t="shared" ca="1" si="14"/>
        <v>0.98859411788132301</v>
      </c>
      <c r="L13" s="8">
        <f t="shared" ca="1" si="9"/>
        <v>2.8887958609367432</v>
      </c>
      <c r="M13" s="8">
        <f t="shared" ca="1" si="10"/>
        <v>2.2206089191202349</v>
      </c>
      <c r="N13" s="8">
        <f t="shared" ca="1" si="11"/>
        <v>1.5524219773037267</v>
      </c>
      <c r="O13" s="8">
        <f t="shared" ca="1" si="7"/>
        <v>0.88423503548721871</v>
      </c>
      <c r="P13" s="8">
        <f t="shared" ca="1" si="12"/>
        <v>0.21604809367071065</v>
      </c>
      <c r="Q13" s="8">
        <f t="shared" ca="1" si="13"/>
        <v>0</v>
      </c>
      <c r="R13" s="8">
        <v>0</v>
      </c>
    </row>
    <row r="14" spans="1:18" ht="14" customHeight="1" x14ac:dyDescent="0.3">
      <c r="A14" s="11">
        <v>2022</v>
      </c>
      <c r="B14" s="12">
        <v>0.9559736638627897</v>
      </c>
      <c r="C14" s="10">
        <f t="shared" ca="1" si="0"/>
        <v>4.6963207939681713</v>
      </c>
      <c r="D14" s="10">
        <f t="shared" ca="1" si="1"/>
        <v>3.9122990625028375</v>
      </c>
      <c r="E14" s="10">
        <f t="shared" ca="1" si="2"/>
        <v>3.1282773310375038</v>
      </c>
      <c r="F14" s="10">
        <f t="shared" si="3"/>
        <v>2.3442555995721697</v>
      </c>
      <c r="G14" s="10">
        <f t="shared" ca="1" si="4"/>
        <v>1.5602338681068357</v>
      </c>
      <c r="H14" s="10">
        <f t="shared" ca="1" si="5"/>
        <v>0.77621213664150179</v>
      </c>
      <c r="I14" s="10">
        <f t="shared" ca="1" si="6"/>
        <v>-7.8095948238323665E-3</v>
      </c>
      <c r="J14" s="6">
        <f t="shared" ca="1" si="8"/>
        <v>0.9559736638627897</v>
      </c>
      <c r="K14" s="10">
        <f t="shared" ca="1" si="14"/>
        <v>0.29426357280450921</v>
      </c>
      <c r="L14" s="8">
        <f t="shared" ca="1" si="9"/>
        <v>2.8887958609367432</v>
      </c>
      <c r="M14" s="8">
        <f t="shared" ca="1" si="10"/>
        <v>2.2206089191202349</v>
      </c>
      <c r="N14" s="8">
        <f t="shared" ca="1" si="11"/>
        <v>1.5524219773037267</v>
      </c>
      <c r="O14" s="8">
        <f t="shared" ca="1" si="7"/>
        <v>0.88423503548721871</v>
      </c>
      <c r="P14" s="8">
        <f t="shared" ca="1" si="12"/>
        <v>0.21604809367071065</v>
      </c>
      <c r="Q14" s="8">
        <f t="shared" ca="1" si="13"/>
        <v>0</v>
      </c>
      <c r="R14" s="8">
        <v>0</v>
      </c>
    </row>
    <row r="15" spans="1:18" ht="14" customHeight="1" x14ac:dyDescent="0.3">
      <c r="A15" s="11">
        <v>2023</v>
      </c>
      <c r="B15" s="12">
        <v>0.71483278018892005</v>
      </c>
      <c r="C15" s="10">
        <f t="shared" ca="1" si="0"/>
        <v>4.6963207939681713</v>
      </c>
      <c r="D15" s="10">
        <f t="shared" ca="1" si="1"/>
        <v>3.9122990625028375</v>
      </c>
      <c r="E15" s="10">
        <f t="shared" ca="1" si="2"/>
        <v>3.1282773310375038</v>
      </c>
      <c r="F15" s="10">
        <f t="shared" si="3"/>
        <v>2.3442555995721697</v>
      </c>
      <c r="G15" s="10">
        <f t="shared" ca="1" si="4"/>
        <v>1.5602338681068357</v>
      </c>
      <c r="H15" s="10">
        <f t="shared" ca="1" si="5"/>
        <v>0.77621213664150179</v>
      </c>
      <c r="I15" s="10">
        <f t="shared" ca="1" si="6"/>
        <v>-7.8095948238323665E-3</v>
      </c>
      <c r="J15" s="6">
        <f t="shared" ca="1" si="8"/>
        <v>0.71483278018892005</v>
      </c>
      <c r="K15" s="10">
        <f t="shared" ca="1" si="14"/>
        <v>0.24114088367386965</v>
      </c>
      <c r="L15" s="8">
        <f t="shared" ca="1" si="9"/>
        <v>2.8887958609367432</v>
      </c>
      <c r="M15" s="8">
        <f t="shared" ca="1" si="10"/>
        <v>2.2206089191202349</v>
      </c>
      <c r="N15" s="8">
        <f t="shared" ca="1" si="11"/>
        <v>1.5524219773037267</v>
      </c>
      <c r="O15" s="8">
        <f t="shared" ca="1" si="7"/>
        <v>0.88423503548721871</v>
      </c>
      <c r="P15" s="8">
        <f t="shared" ca="1" si="12"/>
        <v>0.21604809367071065</v>
      </c>
      <c r="Q15" s="8">
        <f t="shared" ca="1" si="13"/>
        <v>0</v>
      </c>
      <c r="R15" s="8">
        <v>0</v>
      </c>
    </row>
    <row r="16" spans="1:18" ht="14" customHeight="1" x14ac:dyDescent="0.3">
      <c r="A16" s="9">
        <v>2024</v>
      </c>
      <c r="B16" s="10">
        <v>2.3804585781772092</v>
      </c>
      <c r="C16" s="10">
        <f t="shared" ca="1" si="0"/>
        <v>4.6963207939681713</v>
      </c>
      <c r="D16" s="10">
        <f t="shared" ca="1" si="1"/>
        <v>3.9122990625028375</v>
      </c>
      <c r="E16" s="10">
        <f t="shared" ca="1" si="2"/>
        <v>3.1282773310375038</v>
      </c>
      <c r="F16" s="10">
        <f t="shared" si="3"/>
        <v>2.3442555995721697</v>
      </c>
      <c r="G16" s="10">
        <f t="shared" ca="1" si="4"/>
        <v>1.5602338681068357</v>
      </c>
      <c r="H16" s="10">
        <f t="shared" ca="1" si="5"/>
        <v>0.77621213664150179</v>
      </c>
      <c r="I16" s="10">
        <f t="shared" ca="1" si="6"/>
        <v>-7.8095948238323665E-3</v>
      </c>
      <c r="J16" s="6">
        <f t="shared" ca="1" si="8"/>
        <v>2.3804585781772092</v>
      </c>
      <c r="K16" s="10">
        <f t="shared" ca="1" si="14"/>
        <v>1.6656257979882891</v>
      </c>
      <c r="L16" s="8">
        <f t="shared" ca="1" si="9"/>
        <v>2.8887958609367432</v>
      </c>
      <c r="M16" s="8">
        <f t="shared" ca="1" si="10"/>
        <v>2.2206089191202349</v>
      </c>
      <c r="N16" s="8">
        <f t="shared" ca="1" si="11"/>
        <v>1.5524219773037267</v>
      </c>
      <c r="O16" s="8">
        <f t="shared" ca="1" si="7"/>
        <v>0.88423503548721871</v>
      </c>
      <c r="P16" s="8">
        <f t="shared" ca="1" si="12"/>
        <v>0.21604809367071065</v>
      </c>
      <c r="Q16" s="8">
        <f t="shared" ca="1" si="13"/>
        <v>0</v>
      </c>
      <c r="R16" s="8">
        <v>0</v>
      </c>
    </row>
    <row r="17" spans="2:18" ht="14" customHeight="1" x14ac:dyDescent="0.2">
      <c r="B17" s="8"/>
      <c r="C17" s="8">
        <f t="shared" ca="1" si="0"/>
        <v>4.6963207939681713</v>
      </c>
      <c r="D17" s="8">
        <f t="shared" ca="1" si="1"/>
        <v>3.9122990625028375</v>
      </c>
      <c r="E17" s="8">
        <f t="shared" ca="1" si="2"/>
        <v>3.1282773310375038</v>
      </c>
      <c r="F17" s="8">
        <f t="shared" si="3"/>
        <v>2.3442555995721697</v>
      </c>
      <c r="G17" s="8">
        <f t="shared" ca="1" si="4"/>
        <v>1.5602338681068357</v>
      </c>
      <c r="H17" s="8">
        <f t="shared" ca="1" si="5"/>
        <v>0.77621213664150179</v>
      </c>
      <c r="I17" s="8">
        <f t="shared" ca="1" si="6"/>
        <v>-7.8095948238323665E-3</v>
      </c>
      <c r="J17">
        <f t="shared" ca="1" si="8"/>
        <v>2.3804585781772092</v>
      </c>
      <c r="K17" t="str">
        <f t="shared" ca="1" si="14"/>
        <v/>
      </c>
      <c r="L17">
        <f t="shared" ca="1" si="9"/>
        <v>2.8887958609367432</v>
      </c>
      <c r="M17">
        <f t="shared" ca="1" si="10"/>
        <v>2.2206089191202349</v>
      </c>
      <c r="N17">
        <f t="shared" ca="1" si="11"/>
        <v>1.5524219773037267</v>
      </c>
      <c r="O17" s="8">
        <f t="shared" ca="1" si="7"/>
        <v>0.88423503548721871</v>
      </c>
      <c r="P17">
        <f t="shared" ca="1" si="12"/>
        <v>0.21604809367071065</v>
      </c>
      <c r="Q17">
        <f t="shared" ca="1" si="13"/>
        <v>0</v>
      </c>
      <c r="R17">
        <v>0</v>
      </c>
    </row>
    <row r="18" spans="2:18" ht="14" customHeight="1" x14ac:dyDescent="0.2">
      <c r="B18" s="8"/>
      <c r="C18" s="8">
        <f t="shared" ca="1" si="0"/>
        <v>4.6963207939681713</v>
      </c>
      <c r="D18" s="8">
        <f t="shared" ca="1" si="1"/>
        <v>3.9122990625028375</v>
      </c>
      <c r="E18" s="8">
        <f t="shared" ca="1" si="2"/>
        <v>3.1282773310375038</v>
      </c>
      <c r="F18" s="8">
        <f t="shared" si="3"/>
        <v>2.3442555995721697</v>
      </c>
      <c r="G18" s="8">
        <f t="shared" ca="1" si="4"/>
        <v>1.5602338681068357</v>
      </c>
      <c r="H18" s="8">
        <f t="shared" ca="1" si="5"/>
        <v>0.77621213664150179</v>
      </c>
      <c r="I18" s="8">
        <f t="shared" ca="1" si="6"/>
        <v>-7.8095948238323665E-3</v>
      </c>
      <c r="J18">
        <f t="shared" ca="1" si="8"/>
        <v>2.3804585781772092</v>
      </c>
      <c r="K18" t="str">
        <f t="shared" ca="1" si="14"/>
        <v/>
      </c>
      <c r="L18">
        <f t="shared" ca="1" si="9"/>
        <v>2.8887958609367432</v>
      </c>
      <c r="M18">
        <f t="shared" ca="1" si="10"/>
        <v>2.2206089191202349</v>
      </c>
      <c r="N18">
        <f t="shared" ca="1" si="11"/>
        <v>1.5524219773037267</v>
      </c>
      <c r="O18" s="8">
        <f t="shared" ca="1" si="7"/>
        <v>0.88423503548721871</v>
      </c>
      <c r="P18">
        <f t="shared" ca="1" si="12"/>
        <v>0.21604809367071065</v>
      </c>
      <c r="Q18">
        <f t="shared" ca="1" si="13"/>
        <v>0</v>
      </c>
      <c r="R18">
        <v>0</v>
      </c>
    </row>
    <row r="19" spans="2:18" ht="14" customHeight="1" x14ac:dyDescent="0.2">
      <c r="B19" s="8"/>
      <c r="C19" s="8">
        <f t="shared" ca="1" si="0"/>
        <v>4.6963207939681713</v>
      </c>
      <c r="D19" s="8">
        <f t="shared" ca="1" si="1"/>
        <v>3.9122990625028375</v>
      </c>
      <c r="E19" s="8">
        <f t="shared" ca="1" si="2"/>
        <v>3.1282773310375038</v>
      </c>
      <c r="F19" s="8">
        <f t="shared" si="3"/>
        <v>2.3442555995721697</v>
      </c>
      <c r="G19" s="8">
        <f t="shared" ca="1" si="4"/>
        <v>1.5602338681068357</v>
      </c>
      <c r="H19" s="8">
        <f t="shared" ca="1" si="5"/>
        <v>0.77621213664150179</v>
      </c>
      <c r="I19" s="8">
        <f t="shared" ca="1" si="6"/>
        <v>-7.8095948238323665E-3</v>
      </c>
      <c r="J19">
        <f t="shared" ca="1" si="8"/>
        <v>2.3804585781772092</v>
      </c>
      <c r="K19" t="str">
        <f t="shared" ca="1" si="14"/>
        <v/>
      </c>
      <c r="L19">
        <f t="shared" ca="1" si="9"/>
        <v>2.8887958609367432</v>
      </c>
      <c r="M19">
        <f t="shared" ca="1" si="10"/>
        <v>2.2206089191202349</v>
      </c>
      <c r="N19">
        <f t="shared" ca="1" si="11"/>
        <v>1.5524219773037267</v>
      </c>
      <c r="O19" s="8">
        <f t="shared" ca="1" si="7"/>
        <v>0.88423503548721871</v>
      </c>
      <c r="P19">
        <f t="shared" ca="1" si="12"/>
        <v>0.21604809367071065</v>
      </c>
      <c r="Q19">
        <f t="shared" ca="1" si="13"/>
        <v>0</v>
      </c>
      <c r="R19">
        <v>0</v>
      </c>
    </row>
    <row r="20" spans="2:18" ht="14" customHeight="1" x14ac:dyDescent="0.2">
      <c r="B20" s="8"/>
      <c r="C20" s="8">
        <f t="shared" ca="1" si="0"/>
        <v>4.6963207939681713</v>
      </c>
      <c r="D20" s="8">
        <f t="shared" ca="1" si="1"/>
        <v>3.9122990625028375</v>
      </c>
      <c r="E20" s="8">
        <f t="shared" ca="1" si="2"/>
        <v>3.1282773310375038</v>
      </c>
      <c r="F20" s="8">
        <f t="shared" si="3"/>
        <v>2.3442555995721697</v>
      </c>
      <c r="G20" s="8">
        <f t="shared" ca="1" si="4"/>
        <v>1.5602338681068357</v>
      </c>
      <c r="H20" s="8">
        <f t="shared" ca="1" si="5"/>
        <v>0.77621213664150179</v>
      </c>
      <c r="I20" s="8">
        <f t="shared" ca="1" si="6"/>
        <v>-7.8095948238323665E-3</v>
      </c>
      <c r="J20">
        <f t="shared" ca="1" si="8"/>
        <v>2.3804585781772092</v>
      </c>
      <c r="K20" t="str">
        <f t="shared" ca="1" si="14"/>
        <v/>
      </c>
      <c r="L20">
        <f t="shared" ca="1" si="9"/>
        <v>2.8887958609367432</v>
      </c>
      <c r="M20">
        <f t="shared" ca="1" si="10"/>
        <v>2.2206089191202349</v>
      </c>
      <c r="N20">
        <f t="shared" ca="1" si="11"/>
        <v>1.5524219773037267</v>
      </c>
      <c r="O20" s="8">
        <f t="shared" ca="1" si="7"/>
        <v>0.88423503548721871</v>
      </c>
      <c r="P20">
        <f t="shared" ca="1" si="12"/>
        <v>0.21604809367071065</v>
      </c>
      <c r="Q20">
        <f t="shared" ca="1" si="13"/>
        <v>0</v>
      </c>
      <c r="R20">
        <v>0</v>
      </c>
    </row>
    <row r="21" spans="2:18" ht="14" customHeight="1" x14ac:dyDescent="0.2">
      <c r="B21" s="8"/>
      <c r="C21" s="8">
        <f t="shared" ca="1" si="0"/>
        <v>4.6963207939681713</v>
      </c>
      <c r="D21" s="8">
        <f t="shared" ca="1" si="1"/>
        <v>3.9122990625028375</v>
      </c>
      <c r="E21" s="8">
        <f t="shared" ca="1" si="2"/>
        <v>3.1282773310375038</v>
      </c>
      <c r="F21" s="8">
        <f t="shared" si="3"/>
        <v>2.3442555995721697</v>
      </c>
      <c r="G21" s="8">
        <f t="shared" ca="1" si="4"/>
        <v>1.5602338681068357</v>
      </c>
      <c r="H21" s="8">
        <f t="shared" ca="1" si="5"/>
        <v>0.77621213664150179</v>
      </c>
      <c r="I21" s="8">
        <f t="shared" ca="1" si="6"/>
        <v>-7.8095948238323665E-3</v>
      </c>
      <c r="J21">
        <f t="shared" ca="1" si="8"/>
        <v>2.3804585781772092</v>
      </c>
      <c r="K21" t="str">
        <f t="shared" ca="1" si="14"/>
        <v/>
      </c>
      <c r="L21">
        <f t="shared" ca="1" si="9"/>
        <v>2.8887958609367432</v>
      </c>
      <c r="M21">
        <f t="shared" ca="1" si="10"/>
        <v>2.2206089191202349</v>
      </c>
      <c r="N21">
        <f t="shared" ca="1" si="11"/>
        <v>1.5524219773037267</v>
      </c>
      <c r="O21" s="8">
        <f t="shared" ca="1" si="7"/>
        <v>0.88423503548721871</v>
      </c>
      <c r="P21">
        <f t="shared" ca="1" si="12"/>
        <v>0.21604809367071065</v>
      </c>
      <c r="Q21">
        <f t="shared" ca="1" si="13"/>
        <v>0</v>
      </c>
      <c r="R21">
        <v>0</v>
      </c>
    </row>
    <row r="22" spans="2:18" ht="14" customHeight="1" x14ac:dyDescent="0.2">
      <c r="B22" s="8"/>
      <c r="C22" s="8">
        <f t="shared" ca="1" si="0"/>
        <v>4.6963207939681713</v>
      </c>
      <c r="D22" s="8">
        <f t="shared" ca="1" si="1"/>
        <v>3.9122990625028375</v>
      </c>
      <c r="E22" s="8">
        <f t="shared" ca="1" si="2"/>
        <v>3.1282773310375038</v>
      </c>
      <c r="F22" s="8">
        <f t="shared" si="3"/>
        <v>2.3442555995721697</v>
      </c>
      <c r="G22" s="8">
        <f t="shared" ca="1" si="4"/>
        <v>1.5602338681068357</v>
      </c>
      <c r="H22" s="8">
        <f t="shared" ca="1" si="5"/>
        <v>0.77621213664150179</v>
      </c>
      <c r="I22" s="8">
        <f t="shared" ca="1" si="6"/>
        <v>-7.8095948238323665E-3</v>
      </c>
      <c r="J22">
        <f t="shared" ca="1" si="8"/>
        <v>2.3804585781772092</v>
      </c>
      <c r="K22" t="str">
        <f t="shared" ca="1" si="14"/>
        <v/>
      </c>
      <c r="L22">
        <f t="shared" ca="1" si="9"/>
        <v>2.8887958609367432</v>
      </c>
      <c r="M22">
        <f t="shared" ca="1" si="10"/>
        <v>2.2206089191202349</v>
      </c>
      <c r="N22">
        <f t="shared" ca="1" si="11"/>
        <v>1.5524219773037267</v>
      </c>
      <c r="O22" s="8">
        <f t="shared" ca="1" si="7"/>
        <v>0.88423503548721871</v>
      </c>
      <c r="P22">
        <f t="shared" ca="1" si="12"/>
        <v>0.21604809367071065</v>
      </c>
      <c r="Q22">
        <f t="shared" ca="1" si="13"/>
        <v>0</v>
      </c>
      <c r="R22">
        <v>0</v>
      </c>
    </row>
    <row r="23" spans="2:18" ht="14" customHeight="1" x14ac:dyDescent="0.2">
      <c r="B23" s="8"/>
      <c r="C23" s="8">
        <f t="shared" ca="1" si="0"/>
        <v>4.6963207939681713</v>
      </c>
      <c r="D23" s="8">
        <f t="shared" ca="1" si="1"/>
        <v>3.9122990625028375</v>
      </c>
      <c r="E23" s="8">
        <f t="shared" ca="1" si="2"/>
        <v>3.1282773310375038</v>
      </c>
      <c r="F23" s="8">
        <f t="shared" si="3"/>
        <v>2.3442555995721697</v>
      </c>
      <c r="G23" s="8">
        <f t="shared" ca="1" si="4"/>
        <v>1.5602338681068357</v>
      </c>
      <c r="H23" s="8">
        <f t="shared" ca="1" si="5"/>
        <v>0.77621213664150179</v>
      </c>
      <c r="I23" s="8">
        <f t="shared" ca="1" si="6"/>
        <v>-7.8095948238323665E-3</v>
      </c>
      <c r="J23">
        <f t="shared" ca="1" si="8"/>
        <v>2.3804585781772092</v>
      </c>
      <c r="K23" t="str">
        <f t="shared" ca="1" si="14"/>
        <v/>
      </c>
      <c r="L23">
        <f t="shared" ca="1" si="9"/>
        <v>2.8887958609367432</v>
      </c>
      <c r="M23">
        <f t="shared" ca="1" si="10"/>
        <v>2.2206089191202349</v>
      </c>
      <c r="N23">
        <f t="shared" ca="1" si="11"/>
        <v>1.5524219773037267</v>
      </c>
      <c r="O23" s="8">
        <f t="shared" ca="1" si="7"/>
        <v>0.88423503548721871</v>
      </c>
      <c r="P23">
        <f t="shared" ca="1" si="12"/>
        <v>0.21604809367071065</v>
      </c>
      <c r="Q23">
        <f t="shared" ca="1" si="13"/>
        <v>0</v>
      </c>
      <c r="R23">
        <v>0</v>
      </c>
    </row>
    <row r="24" spans="2:18" ht="14" customHeight="1" x14ac:dyDescent="0.2">
      <c r="B24" s="8"/>
      <c r="C24" s="8">
        <f t="shared" ca="1" si="0"/>
        <v>4.6963207939681713</v>
      </c>
      <c r="D24" s="8">
        <f t="shared" ca="1" si="1"/>
        <v>3.9122990625028375</v>
      </c>
      <c r="E24" s="8">
        <f t="shared" ca="1" si="2"/>
        <v>3.1282773310375038</v>
      </c>
      <c r="F24" s="8">
        <f t="shared" si="3"/>
        <v>2.3442555995721697</v>
      </c>
      <c r="G24" s="8">
        <f t="shared" ca="1" si="4"/>
        <v>1.5602338681068357</v>
      </c>
      <c r="H24" s="8">
        <f t="shared" ca="1" si="5"/>
        <v>0.77621213664150179</v>
      </c>
      <c r="I24" s="8">
        <f t="shared" ca="1" si="6"/>
        <v>-7.8095948238323665E-3</v>
      </c>
      <c r="J24">
        <f t="shared" ca="1" si="8"/>
        <v>2.3804585781772092</v>
      </c>
      <c r="K24" t="str">
        <f t="shared" ca="1" si="14"/>
        <v/>
      </c>
      <c r="L24">
        <f t="shared" ca="1" si="9"/>
        <v>2.8887958609367432</v>
      </c>
      <c r="M24">
        <f t="shared" ca="1" si="10"/>
        <v>2.2206089191202349</v>
      </c>
      <c r="N24">
        <f t="shared" ca="1" si="11"/>
        <v>1.5524219773037267</v>
      </c>
      <c r="O24" s="8">
        <f t="shared" ca="1" si="7"/>
        <v>0.88423503548721871</v>
      </c>
      <c r="P24">
        <f t="shared" ca="1" si="12"/>
        <v>0.21604809367071065</v>
      </c>
      <c r="Q24">
        <f t="shared" ca="1" si="13"/>
        <v>0</v>
      </c>
      <c r="R24">
        <v>0</v>
      </c>
    </row>
    <row r="25" spans="2:18" ht="14" customHeight="1" x14ac:dyDescent="0.2">
      <c r="B25" s="8"/>
      <c r="C25" s="8">
        <f t="shared" ca="1" si="0"/>
        <v>4.6963207939681713</v>
      </c>
      <c r="D25" s="8">
        <f t="shared" ca="1" si="1"/>
        <v>3.9122990625028375</v>
      </c>
      <c r="E25" s="8">
        <f t="shared" ca="1" si="2"/>
        <v>3.1282773310375038</v>
      </c>
      <c r="F25" s="8">
        <f t="shared" si="3"/>
        <v>2.3442555995721697</v>
      </c>
      <c r="G25" s="8">
        <f t="shared" ca="1" si="4"/>
        <v>1.5602338681068357</v>
      </c>
      <c r="H25" s="8">
        <f t="shared" ca="1" si="5"/>
        <v>0.77621213664150179</v>
      </c>
      <c r="I25" s="8">
        <f t="shared" ca="1" si="6"/>
        <v>-7.8095948238323665E-3</v>
      </c>
      <c r="J25">
        <f t="shared" ca="1" si="8"/>
        <v>2.3804585781772092</v>
      </c>
      <c r="K25" t="str">
        <f t="shared" ca="1" si="14"/>
        <v/>
      </c>
      <c r="L25">
        <f t="shared" ca="1" si="9"/>
        <v>2.8887958609367432</v>
      </c>
      <c r="M25">
        <f t="shared" ca="1" si="10"/>
        <v>2.2206089191202349</v>
      </c>
      <c r="N25">
        <f t="shared" ca="1" si="11"/>
        <v>1.5524219773037267</v>
      </c>
      <c r="O25" s="8">
        <f t="shared" ca="1" si="7"/>
        <v>0.88423503548721871</v>
      </c>
      <c r="P25">
        <f t="shared" ca="1" si="12"/>
        <v>0.21604809367071065</v>
      </c>
      <c r="Q25">
        <f t="shared" ca="1" si="13"/>
        <v>0</v>
      </c>
      <c r="R25">
        <v>0</v>
      </c>
    </row>
    <row r="26" spans="2:18" ht="14" customHeight="1" x14ac:dyDescent="0.2">
      <c r="B26" s="8"/>
      <c r="C26" s="8">
        <f t="shared" ca="1" si="0"/>
        <v>4.6963207939681713</v>
      </c>
      <c r="D26" s="8">
        <f t="shared" ca="1" si="1"/>
        <v>3.9122990625028375</v>
      </c>
      <c r="E26" s="8">
        <f t="shared" ca="1" si="2"/>
        <v>3.1282773310375038</v>
      </c>
      <c r="F26" s="8">
        <f t="shared" si="3"/>
        <v>2.3442555995721697</v>
      </c>
      <c r="G26" s="8">
        <f t="shared" ca="1" si="4"/>
        <v>1.5602338681068357</v>
      </c>
      <c r="H26" s="8">
        <f t="shared" ca="1" si="5"/>
        <v>0.77621213664150179</v>
      </c>
      <c r="I26" s="8">
        <f t="shared" ca="1" si="6"/>
        <v>-7.8095948238323665E-3</v>
      </c>
      <c r="J26">
        <f t="shared" ca="1" si="8"/>
        <v>2.3804585781772092</v>
      </c>
      <c r="K26" t="str">
        <f t="shared" ca="1" si="14"/>
        <v/>
      </c>
      <c r="L26">
        <f t="shared" ca="1" si="9"/>
        <v>2.8887958609367432</v>
      </c>
      <c r="M26">
        <f t="shared" ca="1" si="10"/>
        <v>2.2206089191202349</v>
      </c>
      <c r="N26">
        <f t="shared" ca="1" si="11"/>
        <v>1.5524219773037267</v>
      </c>
      <c r="O26" s="8">
        <f t="shared" ca="1" si="7"/>
        <v>0.88423503548721871</v>
      </c>
      <c r="P26">
        <f t="shared" ca="1" si="12"/>
        <v>0.21604809367071065</v>
      </c>
      <c r="Q26">
        <f t="shared" ca="1" si="13"/>
        <v>0</v>
      </c>
      <c r="R26">
        <v>0</v>
      </c>
    </row>
    <row r="27" spans="2:18" ht="14" customHeight="1" x14ac:dyDescent="0.2">
      <c r="B27" s="8"/>
      <c r="C27" s="8">
        <f t="shared" ca="1" si="0"/>
        <v>4.6963207939681713</v>
      </c>
      <c r="D27" s="8">
        <f t="shared" ca="1" si="1"/>
        <v>3.9122990625028375</v>
      </c>
      <c r="E27" s="8">
        <f t="shared" ca="1" si="2"/>
        <v>3.1282773310375038</v>
      </c>
      <c r="F27" s="8">
        <f t="shared" si="3"/>
        <v>2.3442555995721697</v>
      </c>
      <c r="G27" s="8">
        <f t="shared" ca="1" si="4"/>
        <v>1.5602338681068357</v>
      </c>
      <c r="H27" s="8">
        <f t="shared" ca="1" si="5"/>
        <v>0.77621213664150179</v>
      </c>
      <c r="I27" s="8">
        <f t="shared" ca="1" si="6"/>
        <v>-7.8095948238323665E-3</v>
      </c>
      <c r="J27">
        <f t="shared" ca="1" si="8"/>
        <v>2.3804585781772092</v>
      </c>
      <c r="K27" t="str">
        <f t="shared" ca="1" si="14"/>
        <v/>
      </c>
      <c r="L27">
        <f t="shared" ca="1" si="9"/>
        <v>2.8887958609367432</v>
      </c>
      <c r="M27">
        <f t="shared" ca="1" si="10"/>
        <v>2.2206089191202349</v>
      </c>
      <c r="N27">
        <f t="shared" ca="1" si="11"/>
        <v>1.5524219773037267</v>
      </c>
      <c r="O27" s="8">
        <f t="shared" ca="1" si="7"/>
        <v>0.88423503548721871</v>
      </c>
      <c r="P27">
        <f t="shared" ca="1" si="12"/>
        <v>0.21604809367071065</v>
      </c>
      <c r="Q27">
        <f t="shared" ca="1" si="13"/>
        <v>0</v>
      </c>
      <c r="R27">
        <v>0</v>
      </c>
    </row>
    <row r="28" spans="2:18" ht="14" customHeight="1" x14ac:dyDescent="0.2">
      <c r="B28" s="8"/>
      <c r="C28" s="8">
        <f t="shared" ca="1" si="0"/>
        <v>4.6963207939681713</v>
      </c>
      <c r="D28" s="8">
        <f t="shared" ca="1" si="1"/>
        <v>3.9122990625028375</v>
      </c>
      <c r="E28" s="8">
        <f t="shared" ca="1" si="2"/>
        <v>3.1282773310375038</v>
      </c>
      <c r="F28" s="8">
        <f t="shared" si="3"/>
        <v>2.3442555995721697</v>
      </c>
      <c r="G28" s="8">
        <f t="shared" ca="1" si="4"/>
        <v>1.5602338681068357</v>
      </c>
      <c r="H28" s="8">
        <f t="shared" ca="1" si="5"/>
        <v>0.77621213664150179</v>
      </c>
      <c r="I28" s="8">
        <f t="shared" ca="1" si="6"/>
        <v>-7.8095948238323665E-3</v>
      </c>
      <c r="J28">
        <f t="shared" ca="1" si="8"/>
        <v>2.3804585781772092</v>
      </c>
      <c r="K28" t="str">
        <f t="shared" ca="1" si="14"/>
        <v/>
      </c>
      <c r="L28">
        <f t="shared" ca="1" si="9"/>
        <v>2.8887958609367432</v>
      </c>
      <c r="M28">
        <f t="shared" ca="1" si="10"/>
        <v>2.2206089191202349</v>
      </c>
      <c r="N28">
        <f t="shared" ca="1" si="11"/>
        <v>1.5524219773037267</v>
      </c>
      <c r="O28" s="8">
        <f t="shared" ca="1" si="7"/>
        <v>0.88423503548721871</v>
      </c>
      <c r="P28">
        <f t="shared" ca="1" si="12"/>
        <v>0.21604809367071065</v>
      </c>
      <c r="Q28">
        <f t="shared" ca="1" si="13"/>
        <v>0</v>
      </c>
      <c r="R28">
        <v>0</v>
      </c>
    </row>
    <row r="29" spans="2:18" ht="14" customHeight="1" x14ac:dyDescent="0.2">
      <c r="B29" s="8"/>
      <c r="C29" s="8">
        <f t="shared" ca="1" si="0"/>
        <v>4.6963207939681713</v>
      </c>
      <c r="D29" s="8">
        <f t="shared" ca="1" si="1"/>
        <v>3.9122990625028375</v>
      </c>
      <c r="E29" s="8">
        <f t="shared" ca="1" si="2"/>
        <v>3.1282773310375038</v>
      </c>
      <c r="F29" s="8">
        <f t="shared" si="3"/>
        <v>2.3442555995721697</v>
      </c>
      <c r="G29" s="8">
        <f t="shared" ca="1" si="4"/>
        <v>1.5602338681068357</v>
      </c>
      <c r="H29" s="8">
        <f t="shared" ca="1" si="5"/>
        <v>0.77621213664150179</v>
      </c>
      <c r="I29" s="8">
        <f t="shared" ca="1" si="6"/>
        <v>-7.8095948238323665E-3</v>
      </c>
      <c r="J29">
        <f t="shared" ca="1" si="8"/>
        <v>2.3804585781772092</v>
      </c>
      <c r="K29" t="str">
        <f t="shared" ca="1" si="14"/>
        <v/>
      </c>
      <c r="L29">
        <f t="shared" ca="1" si="9"/>
        <v>2.8887958609367432</v>
      </c>
      <c r="M29">
        <f t="shared" ca="1" si="10"/>
        <v>2.2206089191202349</v>
      </c>
      <c r="N29">
        <f t="shared" ca="1" si="11"/>
        <v>1.5524219773037267</v>
      </c>
      <c r="O29" s="8">
        <f t="shared" ca="1" si="7"/>
        <v>0.88423503548721871</v>
      </c>
      <c r="P29">
        <f t="shared" ca="1" si="12"/>
        <v>0.21604809367071065</v>
      </c>
      <c r="Q29">
        <f t="shared" ca="1" si="13"/>
        <v>0</v>
      </c>
      <c r="R29">
        <v>0</v>
      </c>
    </row>
    <row r="30" spans="2:18" ht="14" customHeight="1" x14ac:dyDescent="0.2">
      <c r="B30" s="8"/>
      <c r="C30" s="8">
        <f t="shared" ca="1" si="0"/>
        <v>4.6963207939681713</v>
      </c>
      <c r="D30" s="8">
        <f t="shared" ca="1" si="1"/>
        <v>3.9122990625028375</v>
      </c>
      <c r="E30" s="8">
        <f t="shared" ca="1" si="2"/>
        <v>3.1282773310375038</v>
      </c>
      <c r="F30" s="8">
        <f t="shared" si="3"/>
        <v>2.3442555995721697</v>
      </c>
      <c r="G30" s="8">
        <f t="shared" ca="1" si="4"/>
        <v>1.5602338681068357</v>
      </c>
      <c r="H30" s="8">
        <f t="shared" ca="1" si="5"/>
        <v>0.77621213664150179</v>
      </c>
      <c r="I30" s="8">
        <f t="shared" ca="1" si="6"/>
        <v>-7.8095948238323665E-3</v>
      </c>
      <c r="J30">
        <f t="shared" ca="1" si="8"/>
        <v>2.3804585781772092</v>
      </c>
      <c r="K30" t="str">
        <f t="shared" ca="1" si="14"/>
        <v/>
      </c>
      <c r="L30">
        <f t="shared" ca="1" si="9"/>
        <v>2.8887958609367432</v>
      </c>
      <c r="M30">
        <f t="shared" ca="1" si="10"/>
        <v>2.2206089191202349</v>
      </c>
      <c r="N30">
        <f t="shared" ca="1" si="11"/>
        <v>1.5524219773037267</v>
      </c>
      <c r="O30" s="8">
        <f t="shared" ca="1" si="7"/>
        <v>0.88423503548721871</v>
      </c>
      <c r="P30">
        <f t="shared" ca="1" si="12"/>
        <v>0.21604809367071065</v>
      </c>
      <c r="Q30">
        <f t="shared" ca="1" si="13"/>
        <v>0</v>
      </c>
      <c r="R30">
        <v>0</v>
      </c>
    </row>
    <row r="31" spans="2:18" ht="14" customHeight="1" x14ac:dyDescent="0.2">
      <c r="B31" s="8"/>
      <c r="C31" s="8">
        <f t="shared" ca="1" si="0"/>
        <v>4.6963207939681713</v>
      </c>
      <c r="D31" s="8">
        <f t="shared" ca="1" si="1"/>
        <v>3.9122990625028375</v>
      </c>
      <c r="E31" s="8">
        <f t="shared" ca="1" si="2"/>
        <v>3.1282773310375038</v>
      </c>
      <c r="F31" s="8">
        <f t="shared" si="3"/>
        <v>2.3442555995721697</v>
      </c>
      <c r="G31" s="8">
        <f t="shared" ca="1" si="4"/>
        <v>1.5602338681068357</v>
      </c>
      <c r="H31" s="8">
        <f t="shared" ca="1" si="5"/>
        <v>0.77621213664150179</v>
      </c>
      <c r="I31" s="8">
        <f t="shared" ca="1" si="6"/>
        <v>-7.8095948238323665E-3</v>
      </c>
      <c r="J31">
        <f t="shared" ca="1" si="8"/>
        <v>2.3804585781772092</v>
      </c>
      <c r="K31" t="str">
        <f t="shared" ca="1" si="14"/>
        <v/>
      </c>
      <c r="L31">
        <f t="shared" ca="1" si="9"/>
        <v>2.8887958609367432</v>
      </c>
      <c r="M31">
        <f t="shared" ca="1" si="10"/>
        <v>2.2206089191202349</v>
      </c>
      <c r="N31">
        <f t="shared" ca="1" si="11"/>
        <v>1.5524219773037267</v>
      </c>
      <c r="O31" s="8">
        <f t="shared" ca="1" si="7"/>
        <v>0.88423503548721871</v>
      </c>
      <c r="P31">
        <f t="shared" ca="1" si="12"/>
        <v>0.21604809367071065</v>
      </c>
      <c r="Q31">
        <f t="shared" ca="1" si="13"/>
        <v>0</v>
      </c>
      <c r="R31">
        <v>0</v>
      </c>
    </row>
    <row r="32" spans="2:18" ht="14" customHeight="1" x14ac:dyDescent="0.2">
      <c r="B32" s="8"/>
      <c r="C32" s="8">
        <f t="shared" ca="1" si="0"/>
        <v>4.6963207939681713</v>
      </c>
      <c r="D32" s="8">
        <f t="shared" ca="1" si="1"/>
        <v>3.9122990625028375</v>
      </c>
      <c r="E32" s="8">
        <f t="shared" ca="1" si="2"/>
        <v>3.1282773310375038</v>
      </c>
      <c r="F32" s="8">
        <f t="shared" si="3"/>
        <v>2.3442555995721697</v>
      </c>
      <c r="G32" s="8">
        <f t="shared" ca="1" si="4"/>
        <v>1.5602338681068357</v>
      </c>
      <c r="H32" s="8">
        <f t="shared" ca="1" si="5"/>
        <v>0.77621213664150179</v>
      </c>
      <c r="I32" s="8">
        <f t="shared" ca="1" si="6"/>
        <v>-7.8095948238323665E-3</v>
      </c>
      <c r="J32">
        <f t="shared" ca="1" si="8"/>
        <v>2.3804585781772092</v>
      </c>
      <c r="K32" t="str">
        <f t="shared" ca="1" si="14"/>
        <v/>
      </c>
      <c r="L32">
        <f t="shared" ca="1" si="9"/>
        <v>2.8887958609367432</v>
      </c>
      <c r="M32">
        <f t="shared" ca="1" si="10"/>
        <v>2.2206089191202349</v>
      </c>
      <c r="N32">
        <f t="shared" ca="1" si="11"/>
        <v>1.5524219773037267</v>
      </c>
      <c r="O32" s="8">
        <f t="shared" ca="1" si="7"/>
        <v>0.88423503548721871</v>
      </c>
      <c r="P32">
        <f t="shared" ca="1" si="12"/>
        <v>0.21604809367071065</v>
      </c>
      <c r="Q32">
        <f t="shared" ca="1" si="13"/>
        <v>0</v>
      </c>
      <c r="R32">
        <v>0</v>
      </c>
    </row>
    <row r="33" spans="2:18" ht="14" customHeight="1" x14ac:dyDescent="0.2">
      <c r="B33" s="8"/>
      <c r="C33" s="8">
        <f t="shared" ca="1" si="0"/>
        <v>4.6963207939681713</v>
      </c>
      <c r="D33" s="8">
        <f t="shared" ca="1" si="1"/>
        <v>3.9122990625028375</v>
      </c>
      <c r="E33" s="8">
        <f t="shared" ca="1" si="2"/>
        <v>3.1282773310375038</v>
      </c>
      <c r="F33" s="8">
        <f t="shared" si="3"/>
        <v>2.3442555995721697</v>
      </c>
      <c r="G33" s="8">
        <f t="shared" ca="1" si="4"/>
        <v>1.5602338681068357</v>
      </c>
      <c r="H33" s="8">
        <f t="shared" ca="1" si="5"/>
        <v>0.77621213664150179</v>
      </c>
      <c r="I33" s="8">
        <f t="shared" ca="1" si="6"/>
        <v>-7.8095948238323665E-3</v>
      </c>
      <c r="J33">
        <f t="shared" ca="1" si="8"/>
        <v>2.3804585781772092</v>
      </c>
      <c r="K33" t="str">
        <f t="shared" ca="1" si="14"/>
        <v/>
      </c>
      <c r="L33">
        <f t="shared" ca="1" si="9"/>
        <v>2.8887958609367432</v>
      </c>
      <c r="M33">
        <f t="shared" ca="1" si="10"/>
        <v>2.2206089191202349</v>
      </c>
      <c r="N33">
        <f t="shared" ca="1" si="11"/>
        <v>1.5524219773037267</v>
      </c>
      <c r="O33" s="8">
        <f t="shared" ca="1" si="7"/>
        <v>0.88423503548721871</v>
      </c>
      <c r="P33">
        <f t="shared" ca="1" si="12"/>
        <v>0.21604809367071065</v>
      </c>
      <c r="Q33">
        <f t="shared" ca="1" si="13"/>
        <v>0</v>
      </c>
      <c r="R33">
        <v>0</v>
      </c>
    </row>
    <row r="34" spans="2:18" ht="14" customHeight="1" x14ac:dyDescent="0.2">
      <c r="B34" s="8"/>
      <c r="C34" s="8">
        <f t="shared" ca="1" si="0"/>
        <v>4.6963207939681713</v>
      </c>
      <c r="D34" s="8">
        <f t="shared" ca="1" si="1"/>
        <v>3.9122990625028375</v>
      </c>
      <c r="E34" s="8">
        <f t="shared" ca="1" si="2"/>
        <v>3.1282773310375038</v>
      </c>
      <c r="F34" s="8">
        <f t="shared" si="3"/>
        <v>2.3442555995721697</v>
      </c>
      <c r="G34" s="8">
        <f t="shared" ca="1" si="4"/>
        <v>1.5602338681068357</v>
      </c>
      <c r="H34" s="8">
        <f t="shared" ca="1" si="5"/>
        <v>0.77621213664150179</v>
      </c>
      <c r="I34" s="8">
        <f t="shared" ca="1" si="6"/>
        <v>-7.8095948238323665E-3</v>
      </c>
      <c r="J34">
        <f t="shared" ca="1" si="8"/>
        <v>2.3804585781772092</v>
      </c>
      <c r="K34" t="str">
        <f t="shared" ca="1" si="14"/>
        <v/>
      </c>
      <c r="L34">
        <f t="shared" ca="1" si="9"/>
        <v>2.8887958609367432</v>
      </c>
      <c r="M34">
        <f t="shared" ca="1" si="10"/>
        <v>2.2206089191202349</v>
      </c>
      <c r="N34">
        <f t="shared" ca="1" si="11"/>
        <v>1.5524219773037267</v>
      </c>
      <c r="O34" s="8">
        <f t="shared" ca="1" si="7"/>
        <v>0.88423503548721871</v>
      </c>
      <c r="P34">
        <f t="shared" ca="1" si="12"/>
        <v>0.21604809367071065</v>
      </c>
      <c r="Q34">
        <f t="shared" ca="1" si="13"/>
        <v>0</v>
      </c>
      <c r="R34">
        <v>0</v>
      </c>
    </row>
    <row r="35" spans="2:18" ht="14" customHeight="1" x14ac:dyDescent="0.2">
      <c r="B35" s="8"/>
      <c r="C35" s="8">
        <f t="shared" ca="1" si="0"/>
        <v>4.6963207939681713</v>
      </c>
      <c r="D35" s="8">
        <f t="shared" ca="1" si="1"/>
        <v>3.9122990625028375</v>
      </c>
      <c r="E35" s="8">
        <f t="shared" ca="1" si="2"/>
        <v>3.1282773310375038</v>
      </c>
      <c r="F35" s="8">
        <f t="shared" si="3"/>
        <v>2.3442555995721697</v>
      </c>
      <c r="G35" s="8">
        <f t="shared" ca="1" si="4"/>
        <v>1.5602338681068357</v>
      </c>
      <c r="H35" s="8">
        <f t="shared" ca="1" si="5"/>
        <v>0.77621213664150179</v>
      </c>
      <c r="I35" s="8">
        <f t="shared" ca="1" si="6"/>
        <v>-7.8095948238323665E-3</v>
      </c>
      <c r="J35">
        <f t="shared" ca="1" si="8"/>
        <v>2.3804585781772092</v>
      </c>
      <c r="K35" t="str">
        <f t="shared" ca="1" si="14"/>
        <v/>
      </c>
      <c r="L35">
        <f t="shared" ca="1" si="9"/>
        <v>2.8887958609367432</v>
      </c>
      <c r="M35">
        <f t="shared" ca="1" si="10"/>
        <v>2.2206089191202349</v>
      </c>
      <c r="N35">
        <f t="shared" ca="1" si="11"/>
        <v>1.5524219773037267</v>
      </c>
      <c r="O35" s="8">
        <f t="shared" ca="1" si="7"/>
        <v>0.88423503548721871</v>
      </c>
      <c r="P35">
        <f t="shared" ca="1" si="12"/>
        <v>0.21604809367071065</v>
      </c>
      <c r="Q35">
        <f t="shared" ca="1" si="13"/>
        <v>0</v>
      </c>
      <c r="R35">
        <v>0</v>
      </c>
    </row>
    <row r="36" spans="2:18" ht="14" customHeight="1" x14ac:dyDescent="0.2">
      <c r="B36" s="8"/>
      <c r="C36" s="8">
        <f t="shared" ca="1" si="0"/>
        <v>4.6963207939681713</v>
      </c>
      <c r="D36" s="8">
        <f t="shared" ca="1" si="1"/>
        <v>3.9122990625028375</v>
      </c>
      <c r="E36" s="8">
        <f t="shared" ca="1" si="2"/>
        <v>3.1282773310375038</v>
      </c>
      <c r="F36" s="8">
        <f t="shared" si="3"/>
        <v>2.3442555995721697</v>
      </c>
      <c r="G36" s="8">
        <f t="shared" ca="1" si="4"/>
        <v>1.5602338681068357</v>
      </c>
      <c r="H36" s="8">
        <f t="shared" ca="1" si="5"/>
        <v>0.77621213664150179</v>
      </c>
      <c r="I36" s="8">
        <f t="shared" ca="1" si="6"/>
        <v>-7.8095948238323665E-3</v>
      </c>
      <c r="J36">
        <f t="shared" ca="1" si="8"/>
        <v>2.3804585781772092</v>
      </c>
      <c r="K36" t="str">
        <f t="shared" ca="1" si="14"/>
        <v/>
      </c>
      <c r="L36">
        <f t="shared" ca="1" si="9"/>
        <v>2.8887958609367432</v>
      </c>
      <c r="M36">
        <f t="shared" ca="1" si="10"/>
        <v>2.2206089191202349</v>
      </c>
      <c r="N36">
        <f t="shared" ca="1" si="11"/>
        <v>1.5524219773037267</v>
      </c>
      <c r="O36" s="8">
        <f t="shared" ca="1" si="7"/>
        <v>0.88423503548721871</v>
      </c>
      <c r="P36">
        <f t="shared" ca="1" si="12"/>
        <v>0.21604809367071065</v>
      </c>
      <c r="Q36">
        <f t="shared" ca="1" si="13"/>
        <v>0</v>
      </c>
      <c r="R36">
        <v>0</v>
      </c>
    </row>
    <row r="37" spans="2:18" ht="14" customHeight="1" x14ac:dyDescent="0.2"/>
    <row r="38" spans="2:18" ht="14" customHeight="1" x14ac:dyDescent="0.2"/>
    <row r="39" spans="2:18" ht="14" customHeight="1" x14ac:dyDescent="0.2"/>
    <row r="40" spans="2:18" ht="14" customHeight="1" x14ac:dyDescent="0.2"/>
    <row r="41" spans="2:18" ht="14" customHeight="1" x14ac:dyDescent="0.2"/>
    <row r="42" spans="2:18" ht="14" customHeight="1" x14ac:dyDescent="0.2"/>
    <row r="43" spans="2:18" ht="14" customHeight="1" x14ac:dyDescent="0.2"/>
    <row r="44" spans="2:18" ht="14" customHeight="1" x14ac:dyDescent="0.2"/>
    <row r="45" spans="2:18" ht="14" customHeight="1" x14ac:dyDescent="0.2"/>
    <row r="46" spans="2:18" ht="14" customHeight="1" x14ac:dyDescent="0.2"/>
    <row r="47" spans="2:18" ht="14" customHeight="1" x14ac:dyDescent="0.2"/>
    <row r="48" spans="2:1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36" sqref="F36"/>
    </sheetView>
  </sheetViews>
  <sheetFormatPr baseColWidth="10" defaultColWidth="8.83203125" defaultRowHeight="24" x14ac:dyDescent="0.3"/>
  <cols>
    <col min="1" max="1" width="24" style="2" bestFit="1" customWidth="1"/>
    <col min="2" max="2" width="7.5" style="2" bestFit="1" customWidth="1"/>
    <col min="3" max="3" width="11.5" style="2" bestFit="1" customWidth="1"/>
    <col min="4" max="5" width="9" style="2" bestFit="1" customWidth="1"/>
    <col min="6" max="6" width="11.6640625" style="2" bestFit="1" customWidth="1"/>
    <col min="7" max="7" width="10.6640625" style="2" bestFit="1" customWidth="1"/>
    <col min="8" max="8" width="18.1640625" style="2" bestFit="1" customWidth="1"/>
    <col min="9" max="16384" width="8.83203125" style="2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2010</v>
      </c>
      <c r="C2" s="2" t="s">
        <v>9</v>
      </c>
      <c r="D2" s="2">
        <v>32149</v>
      </c>
      <c r="E2" s="2">
        <v>32149</v>
      </c>
    </row>
    <row r="3" spans="1:8" x14ac:dyDescent="0.3">
      <c r="A3" s="2" t="s">
        <v>8</v>
      </c>
      <c r="B3" s="2">
        <v>2011</v>
      </c>
      <c r="C3" s="2" t="s">
        <v>9</v>
      </c>
      <c r="D3" s="2">
        <v>33316</v>
      </c>
      <c r="E3" s="2">
        <v>33316</v>
      </c>
      <c r="F3" s="2">
        <v>32149</v>
      </c>
      <c r="G3" s="2">
        <v>1167</v>
      </c>
      <c r="H3" s="2">
        <v>3.6299729385050861</v>
      </c>
    </row>
    <row r="4" spans="1:8" x14ac:dyDescent="0.3">
      <c r="A4" s="2" t="s">
        <v>8</v>
      </c>
      <c r="B4" s="2">
        <v>2012</v>
      </c>
      <c r="C4" s="2" t="s">
        <v>9</v>
      </c>
      <c r="D4" s="2">
        <v>34841</v>
      </c>
      <c r="E4" s="2">
        <v>34841</v>
      </c>
      <c r="F4" s="2">
        <v>33316</v>
      </c>
      <c r="G4" s="2">
        <v>1525</v>
      </c>
      <c r="H4" s="2">
        <v>4.5773802377236166</v>
      </c>
    </row>
    <row r="5" spans="1:8" x14ac:dyDescent="0.3">
      <c r="A5" s="2" t="s">
        <v>8</v>
      </c>
      <c r="B5" s="2">
        <v>2013</v>
      </c>
      <c r="C5" s="2" t="s">
        <v>9</v>
      </c>
      <c r="D5" s="2">
        <v>35713</v>
      </c>
      <c r="E5" s="2">
        <v>35713</v>
      </c>
      <c r="F5" s="2">
        <v>34841</v>
      </c>
      <c r="G5" s="2">
        <v>872</v>
      </c>
      <c r="H5" s="2">
        <v>2.502798427140438</v>
      </c>
    </row>
    <row r="6" spans="1:8" x14ac:dyDescent="0.3">
      <c r="A6" s="2" t="s">
        <v>8</v>
      </c>
      <c r="B6" s="2">
        <v>2014</v>
      </c>
      <c r="C6" s="2" t="s">
        <v>9</v>
      </c>
      <c r="D6" s="2">
        <v>36687</v>
      </c>
      <c r="E6" s="2">
        <v>36687</v>
      </c>
      <c r="F6" s="2">
        <v>35713</v>
      </c>
      <c r="G6" s="2">
        <v>974</v>
      </c>
      <c r="H6" s="2">
        <v>2.7272981827345779</v>
      </c>
    </row>
    <row r="7" spans="1:8" x14ac:dyDescent="0.3">
      <c r="A7" s="2" t="s">
        <v>8</v>
      </c>
      <c r="B7" s="2">
        <v>2015</v>
      </c>
      <c r="C7" s="2" t="s">
        <v>9</v>
      </c>
      <c r="D7" s="2">
        <v>37658</v>
      </c>
      <c r="E7" s="2">
        <v>37658</v>
      </c>
      <c r="F7" s="2">
        <v>36687</v>
      </c>
      <c r="G7" s="2">
        <v>971</v>
      </c>
      <c r="H7" s="2">
        <v>2.6467140949110042</v>
      </c>
    </row>
    <row r="8" spans="1:8" x14ac:dyDescent="0.3">
      <c r="A8" s="2" t="s">
        <v>8</v>
      </c>
      <c r="B8" s="2">
        <v>2016</v>
      </c>
      <c r="C8" s="2" t="s">
        <v>9</v>
      </c>
      <c r="D8" s="2">
        <v>39095</v>
      </c>
      <c r="E8" s="2">
        <v>39095</v>
      </c>
      <c r="F8" s="2">
        <v>37658</v>
      </c>
      <c r="G8" s="2">
        <v>1437</v>
      </c>
      <c r="H8" s="2">
        <v>3.815922247596792</v>
      </c>
    </row>
    <row r="9" spans="1:8" x14ac:dyDescent="0.3">
      <c r="A9" s="2" t="s">
        <v>8</v>
      </c>
      <c r="B9" s="2">
        <v>2017</v>
      </c>
      <c r="C9" s="2" t="s">
        <v>9</v>
      </c>
      <c r="D9" s="2">
        <v>40102</v>
      </c>
      <c r="E9" s="2">
        <v>40102</v>
      </c>
      <c r="F9" s="2">
        <v>39095</v>
      </c>
      <c r="G9" s="2">
        <v>1007</v>
      </c>
      <c r="H9" s="2">
        <v>2.5757769535746262</v>
      </c>
    </row>
    <row r="10" spans="1:8" x14ac:dyDescent="0.3">
      <c r="A10" s="2" t="s">
        <v>8</v>
      </c>
      <c r="B10" s="2">
        <v>2018</v>
      </c>
      <c r="C10" s="2" t="s">
        <v>9</v>
      </c>
      <c r="D10" s="2">
        <v>41035</v>
      </c>
      <c r="E10" s="2">
        <v>41035</v>
      </c>
      <c r="F10" s="2">
        <v>40102</v>
      </c>
      <c r="G10" s="2">
        <v>933</v>
      </c>
      <c r="H10" s="2">
        <v>2.326567253503566</v>
      </c>
    </row>
    <row r="11" spans="1:8" x14ac:dyDescent="0.3">
      <c r="A11" s="2" t="s">
        <v>8</v>
      </c>
      <c r="B11" s="2">
        <v>2019</v>
      </c>
      <c r="C11" s="2" t="s">
        <v>9</v>
      </c>
      <c r="D11" s="2">
        <v>42042</v>
      </c>
      <c r="E11" s="2">
        <v>42042</v>
      </c>
      <c r="F11" s="2">
        <v>41035</v>
      </c>
      <c r="G11" s="2">
        <v>1007</v>
      </c>
      <c r="H11" s="2">
        <v>2.4540026806384789</v>
      </c>
    </row>
    <row r="12" spans="1:8" x14ac:dyDescent="0.3">
      <c r="A12" s="2" t="s">
        <v>8</v>
      </c>
      <c r="B12" s="2">
        <v>2020</v>
      </c>
      <c r="C12" s="2" t="s">
        <v>9</v>
      </c>
      <c r="D12" s="2">
        <v>42152</v>
      </c>
      <c r="E12" s="2">
        <v>42152</v>
      </c>
      <c r="F12" s="2">
        <v>42042</v>
      </c>
      <c r="G12" s="2">
        <v>110</v>
      </c>
      <c r="H12" s="2">
        <v>0.2616431187859759</v>
      </c>
    </row>
    <row r="13" spans="1:8" x14ac:dyDescent="0.3">
      <c r="A13" s="2" t="s">
        <v>8</v>
      </c>
      <c r="B13" s="2">
        <v>2021</v>
      </c>
      <c r="C13" s="2" t="s">
        <v>9</v>
      </c>
      <c r="D13" s="2">
        <v>42679</v>
      </c>
      <c r="E13" s="2">
        <v>42679</v>
      </c>
      <c r="F13" s="2">
        <v>42152</v>
      </c>
      <c r="G13" s="2">
        <v>527</v>
      </c>
      <c r="H13" s="2">
        <v>1.2502372366672989</v>
      </c>
    </row>
    <row r="14" spans="1:8" x14ac:dyDescent="0.3">
      <c r="A14" s="2" t="s">
        <v>8</v>
      </c>
      <c r="B14" s="2">
        <v>2022</v>
      </c>
      <c r="C14" s="2" t="s">
        <v>9</v>
      </c>
      <c r="D14" s="2">
        <v>43087</v>
      </c>
      <c r="E14" s="2">
        <v>43087</v>
      </c>
      <c r="F14" s="2">
        <v>42679</v>
      </c>
      <c r="G14" s="2">
        <v>408</v>
      </c>
      <c r="H14" s="2">
        <v>0.9559736638627897</v>
      </c>
    </row>
    <row r="15" spans="1:8" x14ac:dyDescent="0.3">
      <c r="A15" s="2" t="s">
        <v>8</v>
      </c>
      <c r="B15" s="2">
        <v>2023</v>
      </c>
      <c r="C15" s="2" t="s">
        <v>9</v>
      </c>
      <c r="D15" s="2">
        <v>43395</v>
      </c>
      <c r="E15" s="2">
        <v>43395</v>
      </c>
      <c r="F15" s="2">
        <v>43087</v>
      </c>
      <c r="G15" s="2">
        <v>308</v>
      </c>
      <c r="H15" s="2">
        <v>0.71483278018892005</v>
      </c>
    </row>
    <row r="16" spans="1:8" x14ac:dyDescent="0.3">
      <c r="A16" s="2" t="s">
        <v>8</v>
      </c>
      <c r="B16" s="2">
        <v>2024</v>
      </c>
      <c r="C16" s="2" t="s">
        <v>9</v>
      </c>
      <c r="D16" s="2">
        <v>44428</v>
      </c>
      <c r="E16" s="2">
        <v>44428</v>
      </c>
      <c r="F16" s="2">
        <v>43395</v>
      </c>
      <c r="G16" s="2">
        <v>1033</v>
      </c>
      <c r="H16" s="2">
        <v>2.3804585781772092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pop XmR </vt:lpstr>
      <vt:lpstr>change XmR </vt:lpstr>
      <vt:lpstr>pct_change XmR </vt:lpstr>
      <vt:lpstr>RAW-pop-2010-2024</vt:lpstr>
      <vt:lpstr>'change XmR '!Print_Area</vt:lpstr>
      <vt:lpstr>'pct_change XmR '!Print_Area</vt:lpstr>
      <vt:lpstr>'pop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pop Data</dc:title>
  <dc:creator>QI Macros</dc:creator>
  <dc:description>
_x000d_QI Macros 2025.01
_x000d_qimacros.com</dc:description>
  <cp:lastModifiedBy>D S</cp:lastModifiedBy>
  <dcterms:created xsi:type="dcterms:W3CDTF">2025-12-31T01:23:14Z</dcterms:created>
  <dcterms:modified xsi:type="dcterms:W3CDTF">2025-12-31T01:32:33Z</dcterms:modified>
</cp:coreProperties>
</file>
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1_{4FD65F5B-1845-BD41-9066-083FB792E7D9}" xr6:coauthVersionLast="47" xr6:coauthVersionMax="47" xr10:uidLastSave="{00000000-0000-0000-0000-000000000000}"/>
  <bookViews>
    <workbookView xWindow="0" yWindow="500" windowWidth="40960" windowHeight="22540" xr2:uid="{4E895599-39F4-DE4A-862C-DC24F69456FB}"/>
  </bookViews>
  <sheets>
    <sheet name="Monthly Data Both Crimes" sheetId="3" r:id="rId1"/>
    <sheet name="Annual Data Both Crimes" sheetId="25" r:id="rId2"/>
    <sheet name="Annual Violent Crime XmR " sheetId="26" r:id="rId3"/>
    <sheet name="Annual Prop Crime Trended XmR " sheetId="29" r:id="rId4"/>
    <sheet name="Annual Both Crimes Trended XmR " sheetId="32" r:id="rId5"/>
    <sheet name="Monthly Violent Crimes XmR " sheetId="4" r:id="rId6"/>
    <sheet name="Annual Violent XmR" sheetId="10" r:id="rId7"/>
    <sheet name="Annual Property Trended XmR " sheetId="16" r:id="rId8"/>
    <sheet name="Combined Figures Annual XmR " sheetId="22" r:id="rId9"/>
  </sheets>
  <definedNames>
    <definedName name="_xlnm.Print_Area" localSheetId="4">'Annual Both Crimes Trended XmR '!$C$1:$T$36</definedName>
    <definedName name="_xlnm.Print_Area" localSheetId="3">'Annual Prop Crime Trended XmR '!$C$1:$T$36</definedName>
    <definedName name="_xlnm.Print_Area" localSheetId="7">'Annual Property Trended XmR '!$C$1:$T$36</definedName>
    <definedName name="_xlnm.Print_Area" localSheetId="2">'Annual Violent Crime XmR '!$C$1:$R$36</definedName>
    <definedName name="_xlnm.Print_Area" localSheetId="6">'Annual Violent XmR'!$C$1:$R$36</definedName>
    <definedName name="_xlnm.Print_Area" localSheetId="8">'Combined Figures Annual XmR '!$C$1:$T$36</definedName>
    <definedName name="_xlnm.Print_Area" localSheetId="5">'Monthly Violent Crimes XmR '!$C$1:$R$38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32" l="1"/>
  <c r="X1" i="32"/>
  <c r="V1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S3" i="32"/>
  <c r="S4" i="32"/>
  <c r="S5" i="32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K3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J3" i="32"/>
  <c r="K4" i="32" s="1"/>
  <c r="J4" i="32"/>
  <c r="K5" i="32" s="1"/>
  <c r="J5" i="32"/>
  <c r="K6" i="32" s="1"/>
  <c r="J6" i="32"/>
  <c r="K7" i="32" s="1"/>
  <c r="J7" i="32"/>
  <c r="K8" i="32" s="1"/>
  <c r="J8" i="32"/>
  <c r="K9" i="32" s="1"/>
  <c r="J9" i="32"/>
  <c r="K10" i="32" s="1"/>
  <c r="J10" i="32"/>
  <c r="K11" i="32" s="1"/>
  <c r="J11" i="32"/>
  <c r="J12" i="32" s="1"/>
  <c r="J13" i="32" s="1"/>
  <c r="J14" i="32" s="1"/>
  <c r="J15" i="32" s="1"/>
  <c r="J16" i="32" s="1"/>
  <c r="J17" i="32" s="1"/>
  <c r="J18" i="32" s="1"/>
  <c r="J19" i="32" s="1"/>
  <c r="J20" i="32" s="1"/>
  <c r="J21" i="32" s="1"/>
  <c r="J22" i="32" s="1"/>
  <c r="J23" i="32" s="1"/>
  <c r="J24" i="32" s="1"/>
  <c r="J25" i="32" s="1"/>
  <c r="J26" i="32" s="1"/>
  <c r="J27" i="32" s="1"/>
  <c r="J28" i="32" s="1"/>
  <c r="J29" i="32" s="1"/>
  <c r="J30" i="32" s="1"/>
  <c r="J31" i="32" s="1"/>
  <c r="J2" i="32"/>
  <c r="Z1" i="29"/>
  <c r="X1" i="29"/>
  <c r="V1" i="29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K3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J3" i="29"/>
  <c r="K4" i="29" s="1"/>
  <c r="J4" i="29"/>
  <c r="K5" i="29" s="1"/>
  <c r="J5" i="29"/>
  <c r="K6" i="29" s="1"/>
  <c r="J6" i="29"/>
  <c r="K7" i="29" s="1"/>
  <c r="J7" i="29"/>
  <c r="K8" i="29" s="1"/>
  <c r="J8" i="29"/>
  <c r="K9" i="29" s="1"/>
  <c r="J9" i="29"/>
  <c r="K10" i="29" s="1"/>
  <c r="J10" i="29"/>
  <c r="K11" i="29" s="1"/>
  <c r="J11" i="29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2" i="29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K3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J3" i="26"/>
  <c r="K4" i="26" s="1"/>
  <c r="J4" i="26"/>
  <c r="K5" i="26" s="1"/>
  <c r="J5" i="26"/>
  <c r="K6" i="26" s="1"/>
  <c r="J6" i="26"/>
  <c r="K7" i="26" s="1"/>
  <c r="J7" i="26"/>
  <c r="K8" i="26" s="1"/>
  <c r="J8" i="26"/>
  <c r="K9" i="26" s="1"/>
  <c r="J9" i="26"/>
  <c r="K10" i="26" s="1"/>
  <c r="J10" i="26"/>
  <c r="K11" i="26" s="1"/>
  <c r="J11" i="26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2" i="26"/>
  <c r="Z1" i="22"/>
  <c r="X1" i="22"/>
  <c r="V1" i="22"/>
  <c r="F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K3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J3" i="22"/>
  <c r="K4" i="22" s="1"/>
  <c r="J4" i="22"/>
  <c r="K5" i="22" s="1"/>
  <c r="J5" i="22"/>
  <c r="K6" i="22" s="1"/>
  <c r="J6" i="22"/>
  <c r="K7" i="22" s="1"/>
  <c r="J7" i="22"/>
  <c r="K8" i="22" s="1"/>
  <c r="J8" i="22"/>
  <c r="K9" i="22" s="1"/>
  <c r="J9" i="22"/>
  <c r="K10" i="22" s="1"/>
  <c r="J10" i="22"/>
  <c r="K11" i="22" s="1"/>
  <c r="J11" i="22"/>
  <c r="J12" i="22" s="1"/>
  <c r="J13" i="22" s="1"/>
  <c r="J14" i="22" s="1"/>
  <c r="J15" i="22" s="1"/>
  <c r="J16" i="22" s="1"/>
  <c r="J17" i="22" s="1"/>
  <c r="J18" i="22" s="1"/>
  <c r="J19" i="22" s="1"/>
  <c r="J20" i="22" s="1"/>
  <c r="J21" i="22" s="1"/>
  <c r="J22" i="22" s="1"/>
  <c r="J23" i="22" s="1"/>
  <c r="J24" i="22" s="1"/>
  <c r="J25" i="22" s="1"/>
  <c r="J26" i="22" s="1"/>
  <c r="J27" i="22" s="1"/>
  <c r="J28" i="22" s="1"/>
  <c r="J29" i="22" s="1"/>
  <c r="J30" i="22" s="1"/>
  <c r="J31" i="22" s="1"/>
  <c r="J2" i="22"/>
  <c r="Z1" i="16"/>
  <c r="X1" i="16"/>
  <c r="V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K3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J3" i="16"/>
  <c r="K4" i="16" s="1"/>
  <c r="J4" i="16"/>
  <c r="K5" i="16" s="1"/>
  <c r="J5" i="16"/>
  <c r="K6" i="16" s="1"/>
  <c r="J6" i="16"/>
  <c r="K7" i="16" s="1"/>
  <c r="J7" i="16"/>
  <c r="K8" i="16" s="1"/>
  <c r="J8" i="16"/>
  <c r="K9" i="16" s="1"/>
  <c r="J9" i="16"/>
  <c r="K10" i="16" s="1"/>
  <c r="J10" i="16"/>
  <c r="K11" i="16" s="1"/>
  <c r="J11" i="16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2" i="16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K3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J3" i="10"/>
  <c r="K4" i="10" s="1"/>
  <c r="J4" i="10"/>
  <c r="K5" i="10" s="1"/>
  <c r="J5" i="10"/>
  <c r="K6" i="10" s="1"/>
  <c r="J6" i="10"/>
  <c r="K7" i="10" s="1"/>
  <c r="J7" i="10"/>
  <c r="K8" i="10" s="1"/>
  <c r="J8" i="10"/>
  <c r="K9" i="10" s="1"/>
  <c r="J9" i="10"/>
  <c r="K10" i="10" s="1"/>
  <c r="J10" i="10"/>
  <c r="K11" i="10" s="1"/>
  <c r="J11" i="10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2" i="10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11" i="4"/>
  <c r="F112" i="4"/>
  <c r="F113" i="4"/>
  <c r="F114" i="4"/>
  <c r="F115" i="4"/>
  <c r="F116" i="4"/>
  <c r="F117" i="4"/>
  <c r="F118" i="4"/>
  <c r="F119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K3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J3" i="4"/>
  <c r="K4" i="4" s="1"/>
  <c r="J4" i="4"/>
  <c r="K5" i="4" s="1"/>
  <c r="J5" i="4"/>
  <c r="K6" i="4" s="1"/>
  <c r="J6" i="4"/>
  <c r="K7" i="4" s="1"/>
  <c r="J7" i="4"/>
  <c r="K8" i="4" s="1"/>
  <c r="J8" i="4"/>
  <c r="K9" i="4" s="1"/>
  <c r="J9" i="4"/>
  <c r="K10" i="4" s="1"/>
  <c r="J10" i="4"/>
  <c r="K11" i="4" s="1"/>
  <c r="J11" i="4"/>
  <c r="K12" i="4" s="1"/>
  <c r="J12" i="4"/>
  <c r="K13" i="4" s="1"/>
  <c r="J13" i="4"/>
  <c r="K14" i="4" s="1"/>
  <c r="J14" i="4"/>
  <c r="K15" i="4" s="1"/>
  <c r="J15" i="4"/>
  <c r="K16" i="4" s="1"/>
  <c r="J16" i="4"/>
  <c r="K17" i="4" s="1"/>
  <c r="J17" i="4"/>
  <c r="K18" i="4" s="1"/>
  <c r="J18" i="4"/>
  <c r="K19" i="4" s="1"/>
  <c r="J19" i="4"/>
  <c r="K20" i="4" s="1"/>
  <c r="J20" i="4"/>
  <c r="K21" i="4" s="1"/>
  <c r="J21" i="4"/>
  <c r="K22" i="4" s="1"/>
  <c r="J22" i="4"/>
  <c r="K23" i="4" s="1"/>
  <c r="J23" i="4"/>
  <c r="K24" i="4" s="1"/>
  <c r="J24" i="4"/>
  <c r="K25" i="4" s="1"/>
  <c r="J25" i="4"/>
  <c r="K26" i="4" s="1"/>
  <c r="J26" i="4"/>
  <c r="K27" i="4" s="1"/>
  <c r="J27" i="4"/>
  <c r="K28" i="4" s="1"/>
  <c r="J28" i="4"/>
  <c r="K29" i="4" s="1"/>
  <c r="J29" i="4"/>
  <c r="K30" i="4" s="1"/>
  <c r="J30" i="4"/>
  <c r="K31" i="4" s="1"/>
  <c r="J31" i="4"/>
  <c r="K32" i="4" s="1"/>
  <c r="J32" i="4"/>
  <c r="K33" i="4" s="1"/>
  <c r="J33" i="4"/>
  <c r="K34" i="4" s="1"/>
  <c r="J34" i="4"/>
  <c r="K35" i="4" s="1"/>
  <c r="J35" i="4"/>
  <c r="K36" i="4" s="1"/>
  <c r="J36" i="4"/>
  <c r="K37" i="4" s="1"/>
  <c r="J37" i="4"/>
  <c r="K38" i="4" s="1"/>
  <c r="J38" i="4"/>
  <c r="K39" i="4" s="1"/>
  <c r="J39" i="4"/>
  <c r="K40" i="4" s="1"/>
  <c r="J40" i="4"/>
  <c r="K41" i="4" s="1"/>
  <c r="J41" i="4"/>
  <c r="K42" i="4" s="1"/>
  <c r="J42" i="4"/>
  <c r="K43" i="4" s="1"/>
  <c r="J43" i="4"/>
  <c r="K44" i="4" s="1"/>
  <c r="J44" i="4"/>
  <c r="K45" i="4" s="1"/>
  <c r="J45" i="4"/>
  <c r="K46" i="4" s="1"/>
  <c r="J46" i="4"/>
  <c r="K47" i="4" s="1"/>
  <c r="J47" i="4"/>
  <c r="K48" i="4" s="1"/>
  <c r="J48" i="4"/>
  <c r="K49" i="4" s="1"/>
  <c r="J49" i="4"/>
  <c r="K50" i="4" s="1"/>
  <c r="J50" i="4"/>
  <c r="K51" i="4" s="1"/>
  <c r="J51" i="4"/>
  <c r="K52" i="4" s="1"/>
  <c r="J52" i="4"/>
  <c r="K53" i="4" s="1"/>
  <c r="J53" i="4"/>
  <c r="K54" i="4" s="1"/>
  <c r="J54" i="4"/>
  <c r="K55" i="4" s="1"/>
  <c r="J55" i="4"/>
  <c r="K56" i="4" s="1"/>
  <c r="J56" i="4"/>
  <c r="K57" i="4" s="1"/>
  <c r="J57" i="4"/>
  <c r="K58" i="4" s="1"/>
  <c r="J58" i="4"/>
  <c r="K59" i="4" s="1"/>
  <c r="J59" i="4"/>
  <c r="K60" i="4" s="1"/>
  <c r="J60" i="4"/>
  <c r="K61" i="4" s="1"/>
  <c r="J61" i="4"/>
  <c r="K62" i="4" s="1"/>
  <c r="J62" i="4"/>
  <c r="K63" i="4" s="1"/>
  <c r="J63" i="4"/>
  <c r="K64" i="4" s="1"/>
  <c r="J64" i="4"/>
  <c r="K65" i="4" s="1"/>
  <c r="J65" i="4"/>
  <c r="K66" i="4" s="1"/>
  <c r="J66" i="4"/>
  <c r="K67" i="4" s="1"/>
  <c r="J67" i="4"/>
  <c r="K68" i="4" s="1"/>
  <c r="J68" i="4"/>
  <c r="K69" i="4" s="1"/>
  <c r="J69" i="4"/>
  <c r="K70" i="4" s="1"/>
  <c r="J70" i="4"/>
  <c r="K71" i="4" s="1"/>
  <c r="J71" i="4"/>
  <c r="K72" i="4" s="1"/>
  <c r="J72" i="4"/>
  <c r="K73" i="4" s="1"/>
  <c r="J73" i="4"/>
  <c r="K74" i="4" s="1"/>
  <c r="J74" i="4"/>
  <c r="K75" i="4" s="1"/>
  <c r="J75" i="4"/>
  <c r="K76" i="4" s="1"/>
  <c r="J76" i="4"/>
  <c r="K77" i="4" s="1"/>
  <c r="J77" i="4"/>
  <c r="K78" i="4" s="1"/>
  <c r="J78" i="4"/>
  <c r="K79" i="4" s="1"/>
  <c r="J79" i="4"/>
  <c r="K80" i="4" s="1"/>
  <c r="J80" i="4"/>
  <c r="K81" i="4" s="1"/>
  <c r="J81" i="4"/>
  <c r="K82" i="4" s="1"/>
  <c r="J82" i="4"/>
  <c r="K83" i="4" s="1"/>
  <c r="J83" i="4"/>
  <c r="K84" i="4" s="1"/>
  <c r="J84" i="4"/>
  <c r="K85" i="4" s="1"/>
  <c r="J85" i="4"/>
  <c r="K86" i="4" s="1"/>
  <c r="J86" i="4"/>
  <c r="K87" i="4" s="1"/>
  <c r="J87" i="4"/>
  <c r="K88" i="4" s="1"/>
  <c r="J88" i="4"/>
  <c r="K89" i="4" s="1"/>
  <c r="J89" i="4"/>
  <c r="K90" i="4" s="1"/>
  <c r="J90" i="4"/>
  <c r="K91" i="4" s="1"/>
  <c r="J91" i="4"/>
  <c r="K92" i="4" s="1"/>
  <c r="J92" i="4"/>
  <c r="K93" i="4" s="1"/>
  <c r="J93" i="4"/>
  <c r="K94" i="4" s="1"/>
  <c r="J94" i="4"/>
  <c r="K95" i="4" s="1"/>
  <c r="J95" i="4"/>
  <c r="K96" i="4" s="1"/>
  <c r="J96" i="4"/>
  <c r="K97" i="4" s="1"/>
  <c r="J97" i="4"/>
  <c r="K98" i="4" s="1"/>
  <c r="J98" i="4"/>
  <c r="K99" i="4" s="1"/>
  <c r="J99" i="4"/>
  <c r="K100" i="4" s="1"/>
  <c r="J100" i="4"/>
  <c r="K101" i="4" s="1"/>
  <c r="J101" i="4"/>
  <c r="K102" i="4" s="1"/>
  <c r="J102" i="4"/>
  <c r="K103" i="4" s="1"/>
  <c r="J103" i="4"/>
  <c r="K104" i="4" s="1"/>
  <c r="J104" i="4"/>
  <c r="K105" i="4" s="1"/>
  <c r="J105" i="4"/>
  <c r="K106" i="4" s="1"/>
  <c r="J106" i="4"/>
  <c r="K107" i="4" s="1"/>
  <c r="J107" i="4"/>
  <c r="K108" i="4" s="1"/>
  <c r="J108" i="4"/>
  <c r="K109" i="4" s="1"/>
  <c r="J109" i="4"/>
  <c r="K110" i="4" s="1"/>
  <c r="J110" i="4"/>
  <c r="K111" i="4" s="1"/>
  <c r="J111" i="4"/>
  <c r="K112" i="4" s="1"/>
  <c r="J112" i="4"/>
  <c r="K113" i="4" s="1"/>
  <c r="J113" i="4"/>
  <c r="K114" i="4" s="1"/>
  <c r="J114" i="4"/>
  <c r="K115" i="4" s="1"/>
  <c r="J115" i="4"/>
  <c r="K116" i="4" s="1"/>
  <c r="J116" i="4"/>
  <c r="K117" i="4" s="1"/>
  <c r="J117" i="4"/>
  <c r="K118" i="4" s="1"/>
  <c r="J118" i="4"/>
  <c r="K119" i="4" s="1"/>
  <c r="J119" i="4"/>
  <c r="K120" i="4" s="1"/>
  <c r="J120" i="4"/>
  <c r="K121" i="4" s="1"/>
  <c r="J121" i="4"/>
  <c r="K122" i="4" s="1"/>
  <c r="J122" i="4"/>
  <c r="J123" i="4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2" i="4"/>
  <c r="O2" i="32" l="1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2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11" i="4"/>
  <c r="O112" i="4"/>
  <c r="O113" i="4"/>
  <c r="O114" i="4"/>
  <c r="O115" i="4"/>
  <c r="O116" i="4"/>
  <c r="O117" i="4"/>
  <c r="O118" i="4"/>
  <c r="O119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H2" i="32" l="1"/>
  <c r="I2" i="32"/>
  <c r="H3" i="32"/>
  <c r="I3" i="32"/>
  <c r="H4" i="32"/>
  <c r="I4" i="32"/>
  <c r="H5" i="32"/>
  <c r="I5" i="32"/>
  <c r="H6" i="32"/>
  <c r="I6" i="32"/>
  <c r="H7" i="32"/>
  <c r="I7" i="32"/>
  <c r="H8" i="32"/>
  <c r="I8" i="32"/>
  <c r="H9" i="32"/>
  <c r="I9" i="32"/>
  <c r="H10" i="32"/>
  <c r="I10" i="32"/>
  <c r="H11" i="32"/>
  <c r="I11" i="32"/>
  <c r="H12" i="32"/>
  <c r="I12" i="32"/>
  <c r="H13" i="32"/>
  <c r="I13" i="32"/>
  <c r="H14" i="32"/>
  <c r="I14" i="32"/>
  <c r="H15" i="32"/>
  <c r="I15" i="32"/>
  <c r="H16" i="32"/>
  <c r="I16" i="32"/>
  <c r="H17" i="32"/>
  <c r="I17" i="32"/>
  <c r="H18" i="32"/>
  <c r="I18" i="32"/>
  <c r="H19" i="32"/>
  <c r="I19" i="32"/>
  <c r="H20" i="32"/>
  <c r="I20" i="32"/>
  <c r="H21" i="32"/>
  <c r="I21" i="32"/>
  <c r="H22" i="32"/>
  <c r="I22" i="32"/>
  <c r="H23" i="32"/>
  <c r="I23" i="32"/>
  <c r="H24" i="32"/>
  <c r="I24" i="32"/>
  <c r="H25" i="32"/>
  <c r="I25" i="32"/>
  <c r="H26" i="32"/>
  <c r="I26" i="32"/>
  <c r="H27" i="32"/>
  <c r="I27" i="32"/>
  <c r="H28" i="32"/>
  <c r="I28" i="32"/>
  <c r="H29" i="32"/>
  <c r="I29" i="32"/>
  <c r="H30" i="32"/>
  <c r="I30" i="32"/>
  <c r="H31" i="32"/>
  <c r="I31" i="32"/>
  <c r="E2" i="32"/>
  <c r="G2" i="32"/>
  <c r="E3" i="32"/>
  <c r="G3" i="32"/>
  <c r="E4" i="32"/>
  <c r="G4" i="32"/>
  <c r="E5" i="32"/>
  <c r="G5" i="32"/>
  <c r="E6" i="32"/>
  <c r="G6" i="32"/>
  <c r="E7" i="32"/>
  <c r="G7" i="32"/>
  <c r="E8" i="32"/>
  <c r="G8" i="32"/>
  <c r="E9" i="32"/>
  <c r="G9" i="32"/>
  <c r="E10" i="32"/>
  <c r="G10" i="32"/>
  <c r="E11" i="32"/>
  <c r="G11" i="32"/>
  <c r="E12" i="32"/>
  <c r="G12" i="32"/>
  <c r="E13" i="32"/>
  <c r="G13" i="32"/>
  <c r="E14" i="32"/>
  <c r="G14" i="32"/>
  <c r="E15" i="32"/>
  <c r="G15" i="32"/>
  <c r="E16" i="32"/>
  <c r="G16" i="32"/>
  <c r="E17" i="32"/>
  <c r="G17" i="32"/>
  <c r="E18" i="32"/>
  <c r="G18" i="32"/>
  <c r="E19" i="32"/>
  <c r="G19" i="32"/>
  <c r="E20" i="32"/>
  <c r="G20" i="32"/>
  <c r="E21" i="32"/>
  <c r="G21" i="32"/>
  <c r="E22" i="32"/>
  <c r="G22" i="32"/>
  <c r="E23" i="32"/>
  <c r="G23" i="32"/>
  <c r="E24" i="32"/>
  <c r="G24" i="32"/>
  <c r="E25" i="32"/>
  <c r="G25" i="32"/>
  <c r="E26" i="32"/>
  <c r="G26" i="32"/>
  <c r="E27" i="32"/>
  <c r="G27" i="32"/>
  <c r="E28" i="32"/>
  <c r="G28" i="32"/>
  <c r="E29" i="32"/>
  <c r="G29" i="32"/>
  <c r="E30" i="32"/>
  <c r="G30" i="32"/>
  <c r="E31" i="32"/>
  <c r="G31" i="32"/>
  <c r="C2" i="32"/>
  <c r="D2" i="32"/>
  <c r="C3" i="32"/>
  <c r="D3" i="32"/>
  <c r="C4" i="32"/>
  <c r="D4" i="32"/>
  <c r="C5" i="32"/>
  <c r="D5" i="32"/>
  <c r="C6" i="32"/>
  <c r="D6" i="32"/>
  <c r="C7" i="32"/>
  <c r="D7" i="32"/>
  <c r="C8" i="32"/>
  <c r="D8" i="32"/>
  <c r="C9" i="32"/>
  <c r="D9" i="32"/>
  <c r="C10" i="32"/>
  <c r="D10" i="32"/>
  <c r="C11" i="32"/>
  <c r="D11" i="32"/>
  <c r="C12" i="32"/>
  <c r="D12" i="32"/>
  <c r="C13" i="32"/>
  <c r="D13" i="32"/>
  <c r="C14" i="32"/>
  <c r="D14" i="32"/>
  <c r="C15" i="32"/>
  <c r="D15" i="32"/>
  <c r="C16" i="32"/>
  <c r="D16" i="32"/>
  <c r="C17" i="32"/>
  <c r="D17" i="32"/>
  <c r="C18" i="32"/>
  <c r="D18" i="32"/>
  <c r="C19" i="32"/>
  <c r="D19" i="32"/>
  <c r="C20" i="32"/>
  <c r="D20" i="32"/>
  <c r="C21" i="32"/>
  <c r="D21" i="32"/>
  <c r="C22" i="32"/>
  <c r="D22" i="32"/>
  <c r="C23" i="32"/>
  <c r="D23" i="32"/>
  <c r="C24" i="32"/>
  <c r="D24" i="32"/>
  <c r="C25" i="32"/>
  <c r="D25" i="32"/>
  <c r="C26" i="32"/>
  <c r="D26" i="32"/>
  <c r="C27" i="32"/>
  <c r="D27" i="32"/>
  <c r="C28" i="32"/>
  <c r="D28" i="32"/>
  <c r="C29" i="32"/>
  <c r="D29" i="32"/>
  <c r="C30" i="32"/>
  <c r="D30" i="32"/>
  <c r="C31" i="32"/>
  <c r="D31" i="32"/>
  <c r="L3" i="32"/>
  <c r="Q3" i="32" s="1"/>
  <c r="P3" i="32"/>
  <c r="L4" i="32"/>
  <c r="Q4" i="32" s="1"/>
  <c r="P4" i="32"/>
  <c r="L5" i="32"/>
  <c r="Q5" i="32" s="1"/>
  <c r="P5" i="32"/>
  <c r="L6" i="32"/>
  <c r="Q6" i="32" s="1"/>
  <c r="P6" i="32"/>
  <c r="L7" i="32"/>
  <c r="Q7" i="32" s="1"/>
  <c r="P7" i="32"/>
  <c r="L8" i="32"/>
  <c r="L9" i="32"/>
  <c r="Q9" i="32" s="1"/>
  <c r="P9" i="32"/>
  <c r="L10" i="32"/>
  <c r="Q10" i="32" s="1"/>
  <c r="P10" i="32"/>
  <c r="L11" i="32"/>
  <c r="Q11" i="32" s="1"/>
  <c r="P11" i="32"/>
  <c r="L12" i="32"/>
  <c r="Q12" i="32" s="1"/>
  <c r="P12" i="32"/>
  <c r="L13" i="32"/>
  <c r="Q13" i="32" s="1"/>
  <c r="P13" i="32"/>
  <c r="L14" i="32"/>
  <c r="Q14" i="32" s="1"/>
  <c r="P14" i="32"/>
  <c r="L15" i="32"/>
  <c r="Q15" i="32" s="1"/>
  <c r="P15" i="32"/>
  <c r="L16" i="32"/>
  <c r="Q16" i="32" s="1"/>
  <c r="P16" i="32"/>
  <c r="L17" i="32"/>
  <c r="Q17" i="32" s="1"/>
  <c r="P17" i="32"/>
  <c r="L18" i="32"/>
  <c r="Q18" i="32" s="1"/>
  <c r="P18" i="32"/>
  <c r="L19" i="32"/>
  <c r="L20" i="32"/>
  <c r="Q20" i="32" s="1"/>
  <c r="P20" i="32"/>
  <c r="L21" i="32"/>
  <c r="Q21" i="32" s="1"/>
  <c r="P21" i="32"/>
  <c r="L22" i="32"/>
  <c r="Q22" i="32" s="1"/>
  <c r="P22" i="32"/>
  <c r="L23" i="32"/>
  <c r="Q23" i="32" s="1"/>
  <c r="P23" i="32"/>
  <c r="L24" i="32"/>
  <c r="Q24" i="32" s="1"/>
  <c r="P24" i="32"/>
  <c r="L25" i="32"/>
  <c r="L26" i="32"/>
  <c r="Q26" i="32" s="1"/>
  <c r="P26" i="32"/>
  <c r="L27" i="32"/>
  <c r="Q27" i="32" s="1"/>
  <c r="P27" i="32"/>
  <c r="L28" i="32"/>
  <c r="Q28" i="32" s="1"/>
  <c r="P28" i="32"/>
  <c r="L29" i="32"/>
  <c r="Q29" i="32" s="1"/>
  <c r="P29" i="32"/>
  <c r="L30" i="32"/>
  <c r="L31" i="32"/>
  <c r="Q31" i="32" s="1"/>
  <c r="P31" i="32"/>
  <c r="M3" i="32"/>
  <c r="N3" i="32"/>
  <c r="M4" i="32"/>
  <c r="N4" i="32"/>
  <c r="M5" i="32"/>
  <c r="N5" i="32"/>
  <c r="M6" i="32"/>
  <c r="N6" i="32"/>
  <c r="M7" i="32"/>
  <c r="N7" i="32"/>
  <c r="M8" i="32"/>
  <c r="N8" i="32"/>
  <c r="M9" i="32"/>
  <c r="N9" i="32"/>
  <c r="M10" i="32"/>
  <c r="N10" i="32"/>
  <c r="M11" i="32"/>
  <c r="N11" i="32"/>
  <c r="M12" i="32"/>
  <c r="N12" i="32"/>
  <c r="M13" i="32"/>
  <c r="N13" i="32"/>
  <c r="M14" i="32"/>
  <c r="N14" i="32"/>
  <c r="M15" i="32"/>
  <c r="N15" i="32"/>
  <c r="M16" i="32"/>
  <c r="N16" i="32"/>
  <c r="M17" i="32"/>
  <c r="N17" i="32"/>
  <c r="M18" i="32"/>
  <c r="N18" i="32"/>
  <c r="M19" i="32"/>
  <c r="N19" i="32"/>
  <c r="M20" i="32"/>
  <c r="N20" i="32"/>
  <c r="M21" i="32"/>
  <c r="N21" i="32"/>
  <c r="M22" i="32"/>
  <c r="N22" i="32"/>
  <c r="M23" i="32"/>
  <c r="N23" i="32"/>
  <c r="M24" i="32"/>
  <c r="N24" i="32"/>
  <c r="M25" i="32"/>
  <c r="N25" i="32"/>
  <c r="M26" i="32"/>
  <c r="N26" i="32"/>
  <c r="M27" i="32"/>
  <c r="N27" i="32"/>
  <c r="M28" i="32"/>
  <c r="N28" i="32"/>
  <c r="M29" i="32"/>
  <c r="N29" i="32"/>
  <c r="M30" i="32"/>
  <c r="N30" i="32"/>
  <c r="M31" i="32"/>
  <c r="N31" i="32"/>
  <c r="H2" i="29"/>
  <c r="I2" i="29"/>
  <c r="H3" i="29"/>
  <c r="I3" i="29"/>
  <c r="H4" i="29"/>
  <c r="I4" i="29"/>
  <c r="H5" i="29"/>
  <c r="I5" i="29"/>
  <c r="H6" i="29"/>
  <c r="I6" i="29"/>
  <c r="H7" i="29"/>
  <c r="I7" i="29"/>
  <c r="H8" i="29"/>
  <c r="I8" i="29"/>
  <c r="H9" i="29"/>
  <c r="I9" i="29"/>
  <c r="H10" i="29"/>
  <c r="I10" i="29"/>
  <c r="H11" i="29"/>
  <c r="I11" i="29"/>
  <c r="H12" i="29"/>
  <c r="I12" i="29"/>
  <c r="H13" i="29"/>
  <c r="I13" i="29"/>
  <c r="H14" i="29"/>
  <c r="I14" i="29"/>
  <c r="H15" i="29"/>
  <c r="I15" i="29"/>
  <c r="H16" i="29"/>
  <c r="I16" i="29"/>
  <c r="H17" i="29"/>
  <c r="I17" i="29"/>
  <c r="H18" i="29"/>
  <c r="I18" i="29"/>
  <c r="H19" i="29"/>
  <c r="I19" i="29"/>
  <c r="H20" i="29"/>
  <c r="I20" i="29"/>
  <c r="H21" i="29"/>
  <c r="I21" i="29"/>
  <c r="H22" i="29"/>
  <c r="I22" i="29"/>
  <c r="H23" i="29"/>
  <c r="I23" i="29"/>
  <c r="H24" i="29"/>
  <c r="I24" i="29"/>
  <c r="H25" i="29"/>
  <c r="I25" i="29"/>
  <c r="H26" i="29"/>
  <c r="I26" i="29"/>
  <c r="H27" i="29"/>
  <c r="I27" i="29"/>
  <c r="H28" i="29"/>
  <c r="I28" i="29"/>
  <c r="H29" i="29"/>
  <c r="I29" i="29"/>
  <c r="H30" i="29"/>
  <c r="I30" i="29"/>
  <c r="H31" i="29"/>
  <c r="I31" i="29"/>
  <c r="E2" i="29"/>
  <c r="G2" i="29"/>
  <c r="E3" i="29"/>
  <c r="G3" i="29"/>
  <c r="E4" i="29"/>
  <c r="G4" i="29"/>
  <c r="E5" i="29"/>
  <c r="G5" i="29"/>
  <c r="E6" i="29"/>
  <c r="G6" i="29"/>
  <c r="E7" i="29"/>
  <c r="G7" i="29"/>
  <c r="E8" i="29"/>
  <c r="G8" i="29"/>
  <c r="E9" i="29"/>
  <c r="G9" i="29"/>
  <c r="E10" i="29"/>
  <c r="G10" i="29"/>
  <c r="E11" i="29"/>
  <c r="G11" i="29"/>
  <c r="E12" i="29"/>
  <c r="G12" i="29"/>
  <c r="E13" i="29"/>
  <c r="G13" i="29"/>
  <c r="E14" i="29"/>
  <c r="G14" i="29"/>
  <c r="E15" i="29"/>
  <c r="G15" i="29"/>
  <c r="E16" i="29"/>
  <c r="G16" i="29"/>
  <c r="E17" i="29"/>
  <c r="G17" i="29"/>
  <c r="E18" i="29"/>
  <c r="G18" i="29"/>
  <c r="E19" i="29"/>
  <c r="G19" i="29"/>
  <c r="E20" i="29"/>
  <c r="G20" i="29"/>
  <c r="E21" i="29"/>
  <c r="G21" i="29"/>
  <c r="E22" i="29"/>
  <c r="G22" i="29"/>
  <c r="E23" i="29"/>
  <c r="G23" i="29"/>
  <c r="E24" i="29"/>
  <c r="G24" i="29"/>
  <c r="E25" i="29"/>
  <c r="G25" i="29"/>
  <c r="E26" i="29"/>
  <c r="G26" i="29"/>
  <c r="E27" i="29"/>
  <c r="G27" i="29"/>
  <c r="E28" i="29"/>
  <c r="G28" i="29"/>
  <c r="E29" i="29"/>
  <c r="G29" i="29"/>
  <c r="E30" i="29"/>
  <c r="G30" i="29"/>
  <c r="E31" i="29"/>
  <c r="G31" i="29"/>
  <c r="C2" i="29"/>
  <c r="D2" i="29"/>
  <c r="C3" i="29"/>
  <c r="D3" i="29"/>
  <c r="C4" i="29"/>
  <c r="D4" i="29"/>
  <c r="C5" i="29"/>
  <c r="D5" i="29"/>
  <c r="C6" i="29"/>
  <c r="D6" i="29"/>
  <c r="C7" i="29"/>
  <c r="D7" i="29"/>
  <c r="C8" i="29"/>
  <c r="D8" i="29"/>
  <c r="C9" i="29"/>
  <c r="D9" i="29"/>
  <c r="C10" i="29"/>
  <c r="D10" i="29"/>
  <c r="C11" i="29"/>
  <c r="D11" i="29"/>
  <c r="C12" i="29"/>
  <c r="D12" i="29"/>
  <c r="C13" i="29"/>
  <c r="D13" i="29"/>
  <c r="C14" i="29"/>
  <c r="D14" i="29"/>
  <c r="C15" i="29"/>
  <c r="D15" i="29"/>
  <c r="C16" i="29"/>
  <c r="D16" i="29"/>
  <c r="C17" i="29"/>
  <c r="D17" i="29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D24" i="29"/>
  <c r="C25" i="29"/>
  <c r="D25" i="29"/>
  <c r="C26" i="29"/>
  <c r="D26" i="29"/>
  <c r="C27" i="29"/>
  <c r="D27" i="29"/>
  <c r="C28" i="29"/>
  <c r="D28" i="29"/>
  <c r="C29" i="29"/>
  <c r="D29" i="29"/>
  <c r="C30" i="29"/>
  <c r="D30" i="29"/>
  <c r="C31" i="29"/>
  <c r="D31" i="29"/>
  <c r="L3" i="29"/>
  <c r="P3" i="29"/>
  <c r="L4" i="29"/>
  <c r="P4" i="29"/>
  <c r="L5" i="29"/>
  <c r="P5" i="29"/>
  <c r="L6" i="29"/>
  <c r="P6" i="29"/>
  <c r="L7" i="29"/>
  <c r="P7" i="29"/>
  <c r="L8" i="29"/>
  <c r="L9" i="29"/>
  <c r="P9" i="29"/>
  <c r="L10" i="29"/>
  <c r="P10" i="29"/>
  <c r="L11" i="29"/>
  <c r="L12" i="29"/>
  <c r="P12" i="29"/>
  <c r="L13" i="29"/>
  <c r="M13" i="29" s="1"/>
  <c r="P13" i="29"/>
  <c r="L14" i="29"/>
  <c r="L15" i="29"/>
  <c r="L16" i="29"/>
  <c r="L17" i="29"/>
  <c r="P17" i="29"/>
  <c r="L18" i="29"/>
  <c r="P18" i="29"/>
  <c r="L19" i="29"/>
  <c r="P19" i="29" s="1"/>
  <c r="L20" i="29"/>
  <c r="P20" i="29" s="1"/>
  <c r="L21" i="29"/>
  <c r="P21" i="29"/>
  <c r="L22" i="29"/>
  <c r="P22" i="29"/>
  <c r="L23" i="29"/>
  <c r="L24" i="29"/>
  <c r="P24" i="29"/>
  <c r="L25" i="29"/>
  <c r="P25" i="29"/>
  <c r="L26" i="29"/>
  <c r="P26" i="29"/>
  <c r="L27" i="29"/>
  <c r="P27" i="29"/>
  <c r="L28" i="29"/>
  <c r="P28" i="29"/>
  <c r="L29" i="29"/>
  <c r="L30" i="29"/>
  <c r="P30" i="29" s="1"/>
  <c r="L31" i="29"/>
  <c r="P31" i="29"/>
  <c r="H2" i="26"/>
  <c r="I2" i="26"/>
  <c r="H3" i="26"/>
  <c r="I3" i="26"/>
  <c r="H4" i="26"/>
  <c r="I4" i="26"/>
  <c r="H5" i="26"/>
  <c r="I5" i="26"/>
  <c r="H6" i="26"/>
  <c r="I6" i="26"/>
  <c r="H7" i="26"/>
  <c r="I7" i="26"/>
  <c r="H8" i="26"/>
  <c r="I8" i="26"/>
  <c r="H9" i="26"/>
  <c r="I9" i="26"/>
  <c r="H10" i="26"/>
  <c r="I10" i="26"/>
  <c r="H11" i="26"/>
  <c r="I11" i="26"/>
  <c r="H12" i="26"/>
  <c r="I12" i="26"/>
  <c r="H13" i="26"/>
  <c r="I13" i="26"/>
  <c r="H14" i="26"/>
  <c r="I14" i="26"/>
  <c r="H15" i="26"/>
  <c r="I15" i="26"/>
  <c r="H16" i="26"/>
  <c r="I16" i="26"/>
  <c r="H17" i="26"/>
  <c r="I17" i="26"/>
  <c r="H18" i="26"/>
  <c r="I18" i="26"/>
  <c r="H19" i="26"/>
  <c r="I19" i="26"/>
  <c r="H20" i="26"/>
  <c r="I20" i="26"/>
  <c r="H21" i="26"/>
  <c r="I21" i="26"/>
  <c r="H22" i="26"/>
  <c r="I22" i="26"/>
  <c r="H23" i="26"/>
  <c r="I23" i="26"/>
  <c r="H24" i="26"/>
  <c r="I24" i="26"/>
  <c r="H25" i="26"/>
  <c r="I25" i="26"/>
  <c r="H26" i="26"/>
  <c r="I26" i="26"/>
  <c r="H27" i="26"/>
  <c r="I27" i="26"/>
  <c r="H28" i="26"/>
  <c r="I28" i="26"/>
  <c r="H29" i="26"/>
  <c r="I29" i="26"/>
  <c r="H30" i="26"/>
  <c r="I30" i="26"/>
  <c r="H31" i="26"/>
  <c r="I31" i="26"/>
  <c r="E2" i="26"/>
  <c r="G2" i="26"/>
  <c r="E3" i="26"/>
  <c r="G3" i="26"/>
  <c r="E4" i="26"/>
  <c r="G4" i="26"/>
  <c r="E5" i="26"/>
  <c r="G5" i="26"/>
  <c r="E6" i="26"/>
  <c r="G6" i="26"/>
  <c r="E7" i="26"/>
  <c r="G7" i="26"/>
  <c r="E8" i="26"/>
  <c r="G8" i="26"/>
  <c r="E9" i="26"/>
  <c r="G9" i="26"/>
  <c r="E10" i="26"/>
  <c r="G10" i="26"/>
  <c r="E11" i="26"/>
  <c r="G11" i="26"/>
  <c r="E12" i="26"/>
  <c r="G12" i="26"/>
  <c r="E13" i="26"/>
  <c r="G13" i="26"/>
  <c r="E14" i="26"/>
  <c r="G14" i="26"/>
  <c r="E15" i="26"/>
  <c r="G15" i="26"/>
  <c r="E16" i="26"/>
  <c r="G16" i="26"/>
  <c r="E17" i="26"/>
  <c r="G17" i="26"/>
  <c r="E18" i="26"/>
  <c r="G18" i="26"/>
  <c r="E19" i="26"/>
  <c r="G19" i="26"/>
  <c r="E20" i="26"/>
  <c r="G20" i="26"/>
  <c r="E21" i="26"/>
  <c r="G21" i="26"/>
  <c r="E22" i="26"/>
  <c r="G22" i="26"/>
  <c r="E23" i="26"/>
  <c r="G23" i="26"/>
  <c r="E24" i="26"/>
  <c r="G24" i="26"/>
  <c r="E25" i="26"/>
  <c r="G25" i="26"/>
  <c r="E26" i="26"/>
  <c r="G26" i="26"/>
  <c r="E27" i="26"/>
  <c r="G27" i="26"/>
  <c r="E28" i="26"/>
  <c r="G28" i="26"/>
  <c r="E29" i="26"/>
  <c r="G29" i="26"/>
  <c r="E30" i="26"/>
  <c r="G30" i="26"/>
  <c r="E31" i="26"/>
  <c r="G31" i="26"/>
  <c r="C2" i="26"/>
  <c r="D2" i="26"/>
  <c r="C3" i="26"/>
  <c r="D3" i="26"/>
  <c r="C4" i="26"/>
  <c r="D4" i="26"/>
  <c r="C5" i="26"/>
  <c r="D5" i="26"/>
  <c r="C6" i="26"/>
  <c r="D6" i="26"/>
  <c r="C7" i="26"/>
  <c r="D7" i="26"/>
  <c r="C8" i="26"/>
  <c r="D8" i="26"/>
  <c r="C9" i="26"/>
  <c r="D9" i="26"/>
  <c r="C10" i="26"/>
  <c r="D10" i="26"/>
  <c r="C11" i="26"/>
  <c r="D11" i="26"/>
  <c r="C12" i="26"/>
  <c r="D12" i="26"/>
  <c r="C13" i="26"/>
  <c r="D13" i="26"/>
  <c r="C14" i="26"/>
  <c r="D14" i="26"/>
  <c r="C15" i="26"/>
  <c r="D15" i="26"/>
  <c r="C16" i="26"/>
  <c r="D16" i="26"/>
  <c r="C17" i="26"/>
  <c r="D17" i="26"/>
  <c r="C18" i="26"/>
  <c r="D18" i="26"/>
  <c r="C19" i="26"/>
  <c r="D19" i="26"/>
  <c r="C20" i="26"/>
  <c r="D20" i="26"/>
  <c r="C21" i="26"/>
  <c r="D21" i="26"/>
  <c r="C22" i="26"/>
  <c r="D22" i="26"/>
  <c r="C23" i="26"/>
  <c r="D23" i="26"/>
  <c r="C24" i="26"/>
  <c r="D24" i="26"/>
  <c r="C25" i="26"/>
  <c r="D25" i="26"/>
  <c r="C26" i="26"/>
  <c r="D26" i="26"/>
  <c r="C27" i="26"/>
  <c r="D27" i="26"/>
  <c r="C28" i="26"/>
  <c r="D28" i="26"/>
  <c r="C29" i="26"/>
  <c r="D29" i="26"/>
  <c r="C30" i="26"/>
  <c r="D30" i="26"/>
  <c r="C31" i="26"/>
  <c r="D31" i="26"/>
  <c r="L3" i="26"/>
  <c r="P3" i="26" s="1"/>
  <c r="L4" i="26"/>
  <c r="P4" i="26" s="1"/>
  <c r="L5" i="26"/>
  <c r="P5" i="26" s="1"/>
  <c r="L6" i="26"/>
  <c r="P6" i="26" s="1"/>
  <c r="L7" i="26"/>
  <c r="P7" i="26" s="1"/>
  <c r="L8" i="26"/>
  <c r="P8" i="26"/>
  <c r="L9" i="26"/>
  <c r="P9" i="26" s="1"/>
  <c r="L10" i="26"/>
  <c r="P10" i="26" s="1"/>
  <c r="L11" i="26"/>
  <c r="P11" i="26" s="1"/>
  <c r="L12" i="26"/>
  <c r="P12" i="26" s="1"/>
  <c r="L13" i="26"/>
  <c r="P13" i="26"/>
  <c r="L14" i="26"/>
  <c r="P14" i="26"/>
  <c r="L15" i="26"/>
  <c r="P15" i="26"/>
  <c r="L16" i="26"/>
  <c r="P16" i="26"/>
  <c r="L17" i="26"/>
  <c r="P17" i="26"/>
  <c r="L18" i="26"/>
  <c r="P18" i="26"/>
  <c r="L19" i="26"/>
  <c r="P19" i="26" s="1"/>
  <c r="L20" i="26"/>
  <c r="P20" i="26"/>
  <c r="L21" i="26"/>
  <c r="P21" i="26" s="1"/>
  <c r="L22" i="26"/>
  <c r="P22" i="26" s="1"/>
  <c r="L23" i="26"/>
  <c r="P23" i="26" s="1"/>
  <c r="L24" i="26"/>
  <c r="P24" i="26" s="1"/>
  <c r="L25" i="26"/>
  <c r="L26" i="26"/>
  <c r="L27" i="26"/>
  <c r="P27" i="26"/>
  <c r="L28" i="26"/>
  <c r="P28" i="26"/>
  <c r="L29" i="26"/>
  <c r="L30" i="26"/>
  <c r="P30" i="26" s="1"/>
  <c r="L31" i="26"/>
  <c r="P31" i="26" s="1"/>
  <c r="H2" i="22"/>
  <c r="I2" i="22"/>
  <c r="H3" i="22"/>
  <c r="I3" i="22"/>
  <c r="H4" i="22"/>
  <c r="I4" i="22"/>
  <c r="H5" i="22"/>
  <c r="I5" i="22"/>
  <c r="H6" i="22"/>
  <c r="I6" i="22"/>
  <c r="H7" i="22"/>
  <c r="I7" i="22"/>
  <c r="H8" i="22"/>
  <c r="I8" i="22"/>
  <c r="H9" i="22"/>
  <c r="I9" i="22"/>
  <c r="H10" i="22"/>
  <c r="I10" i="22"/>
  <c r="H11" i="22"/>
  <c r="I11" i="22"/>
  <c r="H12" i="22"/>
  <c r="I12" i="22"/>
  <c r="H13" i="22"/>
  <c r="I13" i="22"/>
  <c r="H14" i="22"/>
  <c r="I14" i="22"/>
  <c r="H15" i="22"/>
  <c r="I15" i="22"/>
  <c r="H16" i="22"/>
  <c r="I16" i="22"/>
  <c r="H17" i="22"/>
  <c r="I17" i="22"/>
  <c r="H18" i="22"/>
  <c r="I18" i="22"/>
  <c r="H19" i="22"/>
  <c r="I19" i="22"/>
  <c r="H20" i="22"/>
  <c r="I20" i="22"/>
  <c r="H21" i="22"/>
  <c r="I21" i="22"/>
  <c r="H22" i="22"/>
  <c r="I22" i="22"/>
  <c r="H23" i="22"/>
  <c r="I23" i="22"/>
  <c r="H24" i="22"/>
  <c r="I24" i="22"/>
  <c r="H25" i="22"/>
  <c r="I25" i="22"/>
  <c r="H26" i="22"/>
  <c r="I26" i="22"/>
  <c r="H27" i="22"/>
  <c r="I27" i="22"/>
  <c r="H28" i="22"/>
  <c r="I28" i="22"/>
  <c r="H29" i="22"/>
  <c r="I29" i="22"/>
  <c r="H30" i="22"/>
  <c r="I30" i="22"/>
  <c r="H31" i="22"/>
  <c r="I31" i="22"/>
  <c r="E2" i="22"/>
  <c r="G2" i="22"/>
  <c r="E3" i="22"/>
  <c r="G3" i="22"/>
  <c r="E4" i="22"/>
  <c r="G4" i="22"/>
  <c r="E5" i="22"/>
  <c r="G5" i="22"/>
  <c r="E6" i="22"/>
  <c r="G6" i="22"/>
  <c r="E7" i="22"/>
  <c r="G7" i="22"/>
  <c r="E8" i="22"/>
  <c r="G8" i="22"/>
  <c r="E9" i="22"/>
  <c r="G9" i="22"/>
  <c r="E10" i="22"/>
  <c r="G10" i="22"/>
  <c r="E11" i="22"/>
  <c r="G11" i="22"/>
  <c r="E12" i="22"/>
  <c r="G12" i="22"/>
  <c r="E13" i="22"/>
  <c r="G13" i="22"/>
  <c r="E14" i="22"/>
  <c r="G14" i="22"/>
  <c r="E15" i="22"/>
  <c r="G15" i="22"/>
  <c r="E16" i="22"/>
  <c r="G16" i="22"/>
  <c r="E17" i="22"/>
  <c r="G17" i="22"/>
  <c r="E18" i="22"/>
  <c r="G18" i="22"/>
  <c r="E19" i="22"/>
  <c r="G19" i="22"/>
  <c r="E20" i="22"/>
  <c r="G20" i="22"/>
  <c r="E21" i="22"/>
  <c r="G21" i="22"/>
  <c r="E22" i="22"/>
  <c r="G22" i="22"/>
  <c r="E23" i="22"/>
  <c r="G23" i="22"/>
  <c r="E24" i="22"/>
  <c r="G24" i="22"/>
  <c r="E25" i="22"/>
  <c r="G25" i="22"/>
  <c r="E26" i="22"/>
  <c r="G26" i="22"/>
  <c r="E27" i="22"/>
  <c r="G27" i="22"/>
  <c r="E28" i="22"/>
  <c r="G28" i="22"/>
  <c r="E29" i="22"/>
  <c r="G29" i="22"/>
  <c r="E30" i="22"/>
  <c r="G30" i="22"/>
  <c r="E31" i="22"/>
  <c r="G31" i="22"/>
  <c r="C2" i="22"/>
  <c r="D2" i="22"/>
  <c r="C3" i="22"/>
  <c r="D3" i="22"/>
  <c r="C4" i="22"/>
  <c r="D4" i="22"/>
  <c r="C5" i="22"/>
  <c r="D5" i="22"/>
  <c r="C6" i="22"/>
  <c r="D6" i="22"/>
  <c r="C7" i="22"/>
  <c r="D7" i="22"/>
  <c r="C8" i="22"/>
  <c r="D8" i="22"/>
  <c r="C9" i="22"/>
  <c r="D9" i="22"/>
  <c r="C10" i="22"/>
  <c r="D10" i="22"/>
  <c r="C11" i="22"/>
  <c r="D11" i="22"/>
  <c r="C12" i="22"/>
  <c r="D12" i="22"/>
  <c r="C13" i="22"/>
  <c r="D13" i="22"/>
  <c r="C14" i="22"/>
  <c r="D14" i="22"/>
  <c r="C15" i="22"/>
  <c r="D15" i="22"/>
  <c r="C16" i="22"/>
  <c r="D16" i="22"/>
  <c r="C17" i="22"/>
  <c r="D17" i="22"/>
  <c r="C18" i="22"/>
  <c r="D18" i="22"/>
  <c r="C19" i="22"/>
  <c r="D19" i="22"/>
  <c r="C20" i="22"/>
  <c r="D20" i="22"/>
  <c r="C21" i="22"/>
  <c r="D21" i="22"/>
  <c r="C22" i="22"/>
  <c r="D22" i="22"/>
  <c r="C23" i="22"/>
  <c r="D23" i="22"/>
  <c r="C24" i="22"/>
  <c r="D24" i="22"/>
  <c r="C25" i="22"/>
  <c r="D25" i="22"/>
  <c r="C26" i="22"/>
  <c r="D26" i="22"/>
  <c r="C27" i="22"/>
  <c r="D27" i="22"/>
  <c r="C28" i="22"/>
  <c r="D28" i="22"/>
  <c r="C29" i="22"/>
  <c r="D29" i="22"/>
  <c r="C30" i="22"/>
  <c r="D30" i="22"/>
  <c r="C31" i="22"/>
  <c r="D31" i="22"/>
  <c r="L3" i="22"/>
  <c r="P3" i="22" s="1"/>
  <c r="L4" i="22"/>
  <c r="P4" i="22" s="1"/>
  <c r="L5" i="22"/>
  <c r="P5" i="22" s="1"/>
  <c r="L6" i="22"/>
  <c r="P6" i="22"/>
  <c r="L7" i="22"/>
  <c r="P7" i="22"/>
  <c r="L8" i="22"/>
  <c r="L9" i="22"/>
  <c r="P9" i="22"/>
  <c r="L10" i="22"/>
  <c r="P10" i="22"/>
  <c r="L11" i="22"/>
  <c r="P11" i="22" s="1"/>
  <c r="L12" i="22"/>
  <c r="P12" i="22" s="1"/>
  <c r="L13" i="22"/>
  <c r="P13" i="22" s="1"/>
  <c r="L14" i="22"/>
  <c r="P14" i="22" s="1"/>
  <c r="L15" i="22"/>
  <c r="P15" i="22" s="1"/>
  <c r="L16" i="22"/>
  <c r="P16" i="22"/>
  <c r="L17" i="22"/>
  <c r="P17" i="22" s="1"/>
  <c r="L18" i="22"/>
  <c r="P18" i="22" s="1"/>
  <c r="L19" i="22"/>
  <c r="P19" i="22" s="1"/>
  <c r="L20" i="22"/>
  <c r="P20" i="22" s="1"/>
  <c r="L21" i="22"/>
  <c r="P21" i="22" s="1"/>
  <c r="L22" i="22"/>
  <c r="L23" i="22"/>
  <c r="P23" i="22"/>
  <c r="L24" i="22"/>
  <c r="P24" i="22" s="1"/>
  <c r="L25" i="22"/>
  <c r="P25" i="22" s="1"/>
  <c r="L26" i="22"/>
  <c r="P26" i="22" s="1"/>
  <c r="L27" i="22"/>
  <c r="P27" i="22"/>
  <c r="L28" i="22"/>
  <c r="P28" i="22" s="1"/>
  <c r="L29" i="22"/>
  <c r="P29" i="22" s="1"/>
  <c r="L30" i="22"/>
  <c r="P30" i="22" s="1"/>
  <c r="L31" i="22"/>
  <c r="P31" i="22" s="1"/>
  <c r="H2" i="16"/>
  <c r="I2" i="16"/>
  <c r="H3" i="16"/>
  <c r="I3" i="16"/>
  <c r="H4" i="16"/>
  <c r="I4" i="16"/>
  <c r="H5" i="16"/>
  <c r="I5" i="16"/>
  <c r="H6" i="16"/>
  <c r="I6" i="16"/>
  <c r="H7" i="16"/>
  <c r="I7" i="16"/>
  <c r="H8" i="16"/>
  <c r="I8" i="16"/>
  <c r="H9" i="16"/>
  <c r="I9" i="16"/>
  <c r="H10" i="16"/>
  <c r="I10" i="16"/>
  <c r="H11" i="16"/>
  <c r="I11" i="16"/>
  <c r="H12" i="16"/>
  <c r="I12" i="16"/>
  <c r="H13" i="16"/>
  <c r="I13" i="16"/>
  <c r="H14" i="16"/>
  <c r="I14" i="16"/>
  <c r="H15" i="16"/>
  <c r="I15" i="16"/>
  <c r="H16" i="16"/>
  <c r="I16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28" i="16"/>
  <c r="I28" i="16"/>
  <c r="H29" i="16"/>
  <c r="I29" i="16"/>
  <c r="H30" i="16"/>
  <c r="I30" i="16"/>
  <c r="H31" i="16"/>
  <c r="I31" i="16"/>
  <c r="E2" i="16"/>
  <c r="G2" i="16"/>
  <c r="E3" i="16"/>
  <c r="G3" i="16"/>
  <c r="E4" i="16"/>
  <c r="G4" i="16"/>
  <c r="E5" i="16"/>
  <c r="G5" i="16"/>
  <c r="E6" i="16"/>
  <c r="G6" i="16"/>
  <c r="E7" i="16"/>
  <c r="G7" i="16"/>
  <c r="E8" i="16"/>
  <c r="G8" i="16"/>
  <c r="E9" i="16"/>
  <c r="G9" i="16"/>
  <c r="E10" i="16"/>
  <c r="G10" i="16"/>
  <c r="E11" i="16"/>
  <c r="G11" i="16"/>
  <c r="E12" i="16"/>
  <c r="G12" i="16"/>
  <c r="E13" i="16"/>
  <c r="G13" i="16"/>
  <c r="E14" i="16"/>
  <c r="G14" i="16"/>
  <c r="E15" i="16"/>
  <c r="G15" i="16"/>
  <c r="E16" i="16"/>
  <c r="G16" i="16"/>
  <c r="E17" i="16"/>
  <c r="G17" i="16"/>
  <c r="E18" i="16"/>
  <c r="G18" i="16"/>
  <c r="E19" i="16"/>
  <c r="G19" i="16"/>
  <c r="E20" i="16"/>
  <c r="G20" i="16"/>
  <c r="E21" i="16"/>
  <c r="G21" i="16"/>
  <c r="E22" i="16"/>
  <c r="G22" i="16"/>
  <c r="E23" i="16"/>
  <c r="G23" i="16"/>
  <c r="E24" i="16"/>
  <c r="G24" i="16"/>
  <c r="E25" i="16"/>
  <c r="G25" i="16"/>
  <c r="E26" i="16"/>
  <c r="G26" i="16"/>
  <c r="E27" i="16"/>
  <c r="G27" i="16"/>
  <c r="E28" i="16"/>
  <c r="G28" i="16"/>
  <c r="E29" i="16"/>
  <c r="G29" i="16"/>
  <c r="E30" i="16"/>
  <c r="G30" i="16"/>
  <c r="E31" i="16"/>
  <c r="G31" i="16"/>
  <c r="C2" i="16"/>
  <c r="D2" i="16"/>
  <c r="C3" i="16"/>
  <c r="D3" i="16"/>
  <c r="C4" i="16"/>
  <c r="D4" i="16"/>
  <c r="C5" i="16"/>
  <c r="D5" i="16"/>
  <c r="C6" i="16"/>
  <c r="D6" i="16"/>
  <c r="C7" i="16"/>
  <c r="D7" i="16"/>
  <c r="C8" i="16"/>
  <c r="D8" i="16"/>
  <c r="C9" i="16"/>
  <c r="D9" i="16"/>
  <c r="C10" i="16"/>
  <c r="D10" i="16"/>
  <c r="C11" i="16"/>
  <c r="D11" i="16"/>
  <c r="C12" i="16"/>
  <c r="D12" i="16"/>
  <c r="C13" i="16"/>
  <c r="D13" i="16"/>
  <c r="C14" i="16"/>
  <c r="D14" i="16"/>
  <c r="C15" i="16"/>
  <c r="D15" i="16"/>
  <c r="C16" i="16"/>
  <c r="D16" i="16"/>
  <c r="C17" i="16"/>
  <c r="D17" i="16"/>
  <c r="C18" i="16"/>
  <c r="D18" i="16"/>
  <c r="C19" i="16"/>
  <c r="D19" i="16"/>
  <c r="C20" i="16"/>
  <c r="D20" i="16"/>
  <c r="C21" i="16"/>
  <c r="D21" i="16"/>
  <c r="C22" i="16"/>
  <c r="D22" i="16"/>
  <c r="C23" i="16"/>
  <c r="D23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31" i="16"/>
  <c r="D31" i="16"/>
  <c r="L3" i="16"/>
  <c r="P3" i="16"/>
  <c r="L4" i="16"/>
  <c r="L5" i="16"/>
  <c r="L6" i="16"/>
  <c r="L7" i="16"/>
  <c r="L8" i="16"/>
  <c r="L9" i="16"/>
  <c r="P9" i="16"/>
  <c r="L10" i="16"/>
  <c r="L11" i="16"/>
  <c r="P11" i="16" s="1"/>
  <c r="L12" i="16"/>
  <c r="L13" i="16"/>
  <c r="L14" i="16"/>
  <c r="P14" i="16" s="1"/>
  <c r="L15" i="16"/>
  <c r="P15" i="16" s="1"/>
  <c r="L16" i="16"/>
  <c r="P16" i="16" s="1"/>
  <c r="L17" i="16"/>
  <c r="P17" i="16" s="1"/>
  <c r="L18" i="16"/>
  <c r="P18" i="16" s="1"/>
  <c r="L19" i="16"/>
  <c r="P19" i="16" s="1"/>
  <c r="L20" i="16"/>
  <c r="P20" i="16" s="1"/>
  <c r="L21" i="16"/>
  <c r="P21" i="16" s="1"/>
  <c r="L22" i="16"/>
  <c r="P22" i="16"/>
  <c r="L23" i="16"/>
  <c r="P23" i="16" s="1"/>
  <c r="L24" i="16"/>
  <c r="P24" i="16" s="1"/>
  <c r="L25" i="16"/>
  <c r="P25" i="16" s="1"/>
  <c r="L26" i="16"/>
  <c r="L27" i="16"/>
  <c r="P27" i="16" s="1"/>
  <c r="L28" i="16"/>
  <c r="P28" i="16" s="1"/>
  <c r="L29" i="16"/>
  <c r="P29" i="16" s="1"/>
  <c r="L30" i="16"/>
  <c r="P30" i="16" s="1"/>
  <c r="L31" i="16"/>
  <c r="P31" i="16"/>
  <c r="H2" i="10"/>
  <c r="I2" i="10"/>
  <c r="H3" i="10"/>
  <c r="I3" i="10"/>
  <c r="H4" i="10"/>
  <c r="I4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E2" i="10"/>
  <c r="G2" i="10"/>
  <c r="E3" i="10"/>
  <c r="G3" i="10"/>
  <c r="E4" i="10"/>
  <c r="G4" i="10"/>
  <c r="E5" i="10"/>
  <c r="G5" i="10"/>
  <c r="E6" i="10"/>
  <c r="G6" i="10"/>
  <c r="E7" i="10"/>
  <c r="G7" i="10"/>
  <c r="E8" i="10"/>
  <c r="G8" i="10"/>
  <c r="E9" i="10"/>
  <c r="G9" i="10"/>
  <c r="E10" i="10"/>
  <c r="G10" i="10"/>
  <c r="E11" i="10"/>
  <c r="G11" i="10"/>
  <c r="E12" i="10"/>
  <c r="G12" i="10"/>
  <c r="E13" i="10"/>
  <c r="G13" i="10"/>
  <c r="E14" i="10"/>
  <c r="G14" i="10"/>
  <c r="E15" i="10"/>
  <c r="G15" i="10"/>
  <c r="E16" i="10"/>
  <c r="G16" i="10"/>
  <c r="E17" i="10"/>
  <c r="G17" i="10"/>
  <c r="E18" i="10"/>
  <c r="G18" i="10"/>
  <c r="E19" i="10"/>
  <c r="G19" i="10"/>
  <c r="E20" i="10"/>
  <c r="G20" i="10"/>
  <c r="E21" i="10"/>
  <c r="G21" i="10"/>
  <c r="E22" i="10"/>
  <c r="G22" i="10"/>
  <c r="E23" i="10"/>
  <c r="G23" i="10"/>
  <c r="E24" i="10"/>
  <c r="G24" i="10"/>
  <c r="E25" i="10"/>
  <c r="G25" i="10"/>
  <c r="E26" i="10"/>
  <c r="G26" i="10"/>
  <c r="E27" i="10"/>
  <c r="G27" i="10"/>
  <c r="E28" i="10"/>
  <c r="G28" i="10"/>
  <c r="E29" i="10"/>
  <c r="G29" i="10"/>
  <c r="E30" i="10"/>
  <c r="G30" i="10"/>
  <c r="E31" i="10"/>
  <c r="G31" i="10"/>
  <c r="C2" i="10"/>
  <c r="D2" i="10"/>
  <c r="C3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L3" i="10"/>
  <c r="P3" i="10" s="1"/>
  <c r="L4" i="10"/>
  <c r="P4" i="10"/>
  <c r="L5" i="10"/>
  <c r="L6" i="10"/>
  <c r="P6" i="10" s="1"/>
  <c r="L7" i="10"/>
  <c r="P7" i="10" s="1"/>
  <c r="L8" i="10"/>
  <c r="P8" i="10"/>
  <c r="L9" i="10"/>
  <c r="P9" i="10" s="1"/>
  <c r="L10" i="10"/>
  <c r="P10" i="10" s="1"/>
  <c r="L11" i="10"/>
  <c r="P11" i="10" s="1"/>
  <c r="L12" i="10"/>
  <c r="P12" i="10" s="1"/>
  <c r="L13" i="10"/>
  <c r="P13" i="10"/>
  <c r="L14" i="10"/>
  <c r="P14" i="10" s="1"/>
  <c r="L15" i="10"/>
  <c r="P15" i="10" s="1"/>
  <c r="L16" i="10"/>
  <c r="L17" i="10"/>
  <c r="P17" i="10"/>
  <c r="L18" i="10"/>
  <c r="P18" i="10" s="1"/>
  <c r="L19" i="10"/>
  <c r="P19" i="10"/>
  <c r="L20" i="10"/>
  <c r="P20" i="10" s="1"/>
  <c r="L21" i="10"/>
  <c r="P21" i="10" s="1"/>
  <c r="L22" i="10"/>
  <c r="P22" i="10" s="1"/>
  <c r="L23" i="10"/>
  <c r="L24" i="10"/>
  <c r="P24" i="10" s="1"/>
  <c r="L25" i="10"/>
  <c r="P25" i="10" s="1"/>
  <c r="L26" i="10"/>
  <c r="P26" i="10" s="1"/>
  <c r="L27" i="10"/>
  <c r="P27" i="10" s="1"/>
  <c r="L28" i="10"/>
  <c r="P28" i="10" s="1"/>
  <c r="L29" i="10"/>
  <c r="P29" i="10" s="1"/>
  <c r="L30" i="10"/>
  <c r="L31" i="10"/>
  <c r="P31" i="10" s="1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H130" i="4"/>
  <c r="I130" i="4"/>
  <c r="H129" i="4"/>
  <c r="I129" i="4"/>
  <c r="H128" i="4"/>
  <c r="I128" i="4"/>
  <c r="H127" i="4"/>
  <c r="I127" i="4"/>
  <c r="H126" i="4"/>
  <c r="I126" i="4"/>
  <c r="H93" i="4"/>
  <c r="I93" i="4"/>
  <c r="H71" i="4"/>
  <c r="I71" i="4"/>
  <c r="H90" i="4"/>
  <c r="I90" i="4"/>
  <c r="H91" i="4"/>
  <c r="I91" i="4"/>
  <c r="H92" i="4"/>
  <c r="I92" i="4"/>
  <c r="H88" i="4"/>
  <c r="I88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9" i="4"/>
  <c r="I109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4" i="4"/>
  <c r="I124" i="4"/>
  <c r="H123" i="4"/>
  <c r="I123" i="4"/>
  <c r="H108" i="4"/>
  <c r="I108" i="4"/>
  <c r="H125" i="4"/>
  <c r="I125" i="4"/>
  <c r="H110" i="4"/>
  <c r="I110" i="4"/>
  <c r="H87" i="4"/>
  <c r="I87" i="4"/>
  <c r="H86" i="4"/>
  <c r="I86" i="4"/>
  <c r="H85" i="4"/>
  <c r="I85" i="4"/>
  <c r="H84" i="4"/>
  <c r="I84" i="4"/>
  <c r="H83" i="4"/>
  <c r="I83" i="4"/>
  <c r="H82" i="4"/>
  <c r="I82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2" i="4"/>
  <c r="I72" i="4"/>
  <c r="H89" i="4"/>
  <c r="I89" i="4"/>
  <c r="E2" i="4"/>
  <c r="G2" i="4"/>
  <c r="E3" i="4"/>
  <c r="G3" i="4"/>
  <c r="E4" i="4"/>
  <c r="G4" i="4"/>
  <c r="E5" i="4"/>
  <c r="G5" i="4"/>
  <c r="E6" i="4"/>
  <c r="G6" i="4"/>
  <c r="E7" i="4"/>
  <c r="G7" i="4"/>
  <c r="E8" i="4"/>
  <c r="G8" i="4"/>
  <c r="E9" i="4"/>
  <c r="G9" i="4"/>
  <c r="E10" i="4"/>
  <c r="G10" i="4"/>
  <c r="E11" i="4"/>
  <c r="G11" i="4"/>
  <c r="E12" i="4"/>
  <c r="G12" i="4"/>
  <c r="E13" i="4"/>
  <c r="G13" i="4"/>
  <c r="E14" i="4"/>
  <c r="G14" i="4"/>
  <c r="E15" i="4"/>
  <c r="G15" i="4"/>
  <c r="E16" i="4"/>
  <c r="G16" i="4"/>
  <c r="E17" i="4"/>
  <c r="G17" i="4"/>
  <c r="E18" i="4"/>
  <c r="G18" i="4"/>
  <c r="E19" i="4"/>
  <c r="G19" i="4"/>
  <c r="E20" i="4"/>
  <c r="G20" i="4"/>
  <c r="E21" i="4"/>
  <c r="G21" i="4"/>
  <c r="E22" i="4"/>
  <c r="G22" i="4"/>
  <c r="E23" i="4"/>
  <c r="G23" i="4"/>
  <c r="E24" i="4"/>
  <c r="G24" i="4"/>
  <c r="E25" i="4"/>
  <c r="G25" i="4"/>
  <c r="E26" i="4"/>
  <c r="G26" i="4"/>
  <c r="E27" i="4"/>
  <c r="G27" i="4"/>
  <c r="E28" i="4"/>
  <c r="G28" i="4"/>
  <c r="E29" i="4"/>
  <c r="G29" i="4"/>
  <c r="E30" i="4"/>
  <c r="G30" i="4"/>
  <c r="E31" i="4"/>
  <c r="G31" i="4"/>
  <c r="E32" i="4"/>
  <c r="G32" i="4"/>
  <c r="E33" i="4"/>
  <c r="G33" i="4"/>
  <c r="E34" i="4"/>
  <c r="G34" i="4"/>
  <c r="E35" i="4"/>
  <c r="G35" i="4"/>
  <c r="E36" i="4"/>
  <c r="G36" i="4"/>
  <c r="E37" i="4"/>
  <c r="G37" i="4"/>
  <c r="E38" i="4"/>
  <c r="G38" i="4"/>
  <c r="E39" i="4"/>
  <c r="G39" i="4"/>
  <c r="E40" i="4"/>
  <c r="G40" i="4"/>
  <c r="E41" i="4"/>
  <c r="G41" i="4"/>
  <c r="E42" i="4"/>
  <c r="G42" i="4"/>
  <c r="E43" i="4"/>
  <c r="G43" i="4"/>
  <c r="E44" i="4"/>
  <c r="G44" i="4"/>
  <c r="E45" i="4"/>
  <c r="G45" i="4"/>
  <c r="E46" i="4"/>
  <c r="G46" i="4"/>
  <c r="E47" i="4"/>
  <c r="G47" i="4"/>
  <c r="E48" i="4"/>
  <c r="G48" i="4"/>
  <c r="E49" i="4"/>
  <c r="G49" i="4"/>
  <c r="E50" i="4"/>
  <c r="G50" i="4"/>
  <c r="E51" i="4"/>
  <c r="G51" i="4"/>
  <c r="E52" i="4"/>
  <c r="G52" i="4"/>
  <c r="E53" i="4"/>
  <c r="G53" i="4"/>
  <c r="E54" i="4"/>
  <c r="G54" i="4"/>
  <c r="E55" i="4"/>
  <c r="G55" i="4"/>
  <c r="E56" i="4"/>
  <c r="G56" i="4"/>
  <c r="E57" i="4"/>
  <c r="G57" i="4"/>
  <c r="E58" i="4"/>
  <c r="G58" i="4"/>
  <c r="E59" i="4"/>
  <c r="G59" i="4"/>
  <c r="E60" i="4"/>
  <c r="G60" i="4"/>
  <c r="E61" i="4"/>
  <c r="G61" i="4"/>
  <c r="E62" i="4"/>
  <c r="G62" i="4"/>
  <c r="E63" i="4"/>
  <c r="G63" i="4"/>
  <c r="E64" i="4"/>
  <c r="G64" i="4"/>
  <c r="E65" i="4"/>
  <c r="G65" i="4"/>
  <c r="E66" i="4"/>
  <c r="G66" i="4"/>
  <c r="E67" i="4"/>
  <c r="G67" i="4"/>
  <c r="E68" i="4"/>
  <c r="G68" i="4"/>
  <c r="E69" i="4"/>
  <c r="G69" i="4"/>
  <c r="E70" i="4"/>
  <c r="G70" i="4"/>
  <c r="E142" i="4"/>
  <c r="G142" i="4"/>
  <c r="E141" i="4"/>
  <c r="G141" i="4"/>
  <c r="E140" i="4"/>
  <c r="G140" i="4"/>
  <c r="E139" i="4"/>
  <c r="G139" i="4"/>
  <c r="E138" i="4"/>
  <c r="G138" i="4"/>
  <c r="E137" i="4"/>
  <c r="G137" i="4"/>
  <c r="E136" i="4"/>
  <c r="G136" i="4"/>
  <c r="E135" i="4"/>
  <c r="G135" i="4"/>
  <c r="E134" i="4"/>
  <c r="G134" i="4"/>
  <c r="E133" i="4"/>
  <c r="G133" i="4"/>
  <c r="E132" i="4"/>
  <c r="G132" i="4"/>
  <c r="E131" i="4"/>
  <c r="G131" i="4"/>
  <c r="E130" i="4"/>
  <c r="G130" i="4"/>
  <c r="E129" i="4"/>
  <c r="G129" i="4"/>
  <c r="E128" i="4"/>
  <c r="G128" i="4"/>
  <c r="E127" i="4"/>
  <c r="G127" i="4"/>
  <c r="E126" i="4"/>
  <c r="G126" i="4"/>
  <c r="E93" i="4"/>
  <c r="G93" i="4"/>
  <c r="E71" i="4"/>
  <c r="G71" i="4"/>
  <c r="E90" i="4"/>
  <c r="G90" i="4"/>
  <c r="E91" i="4"/>
  <c r="G91" i="4"/>
  <c r="E92" i="4"/>
  <c r="G92" i="4"/>
  <c r="E88" i="4"/>
  <c r="G88" i="4"/>
  <c r="E94" i="4"/>
  <c r="G94" i="4"/>
  <c r="E95" i="4"/>
  <c r="G95" i="4"/>
  <c r="E96" i="4"/>
  <c r="G96" i="4"/>
  <c r="E97" i="4"/>
  <c r="G97" i="4"/>
  <c r="E98" i="4"/>
  <c r="G98" i="4"/>
  <c r="E99" i="4"/>
  <c r="G99" i="4"/>
  <c r="E100" i="4"/>
  <c r="G100" i="4"/>
  <c r="E101" i="4"/>
  <c r="G101" i="4"/>
  <c r="E102" i="4"/>
  <c r="G102" i="4"/>
  <c r="E103" i="4"/>
  <c r="G103" i="4"/>
  <c r="E104" i="4"/>
  <c r="G104" i="4"/>
  <c r="E105" i="4"/>
  <c r="G105" i="4"/>
  <c r="E106" i="4"/>
  <c r="G106" i="4"/>
  <c r="E107" i="4"/>
  <c r="G107" i="4"/>
  <c r="E109" i="4"/>
  <c r="G109" i="4"/>
  <c r="E111" i="4"/>
  <c r="G111" i="4"/>
  <c r="E112" i="4"/>
  <c r="G112" i="4"/>
  <c r="E113" i="4"/>
  <c r="G113" i="4"/>
  <c r="E114" i="4"/>
  <c r="G114" i="4"/>
  <c r="E115" i="4"/>
  <c r="G115" i="4"/>
  <c r="E116" i="4"/>
  <c r="G116" i="4"/>
  <c r="E117" i="4"/>
  <c r="G117" i="4"/>
  <c r="E118" i="4"/>
  <c r="G118" i="4"/>
  <c r="E119" i="4"/>
  <c r="G119" i="4"/>
  <c r="E120" i="4"/>
  <c r="G120" i="4"/>
  <c r="E121" i="4"/>
  <c r="G121" i="4"/>
  <c r="E122" i="4"/>
  <c r="G122" i="4"/>
  <c r="E124" i="4"/>
  <c r="G124" i="4"/>
  <c r="E123" i="4"/>
  <c r="G123" i="4"/>
  <c r="E108" i="4"/>
  <c r="G108" i="4"/>
  <c r="E125" i="4"/>
  <c r="G125" i="4"/>
  <c r="E110" i="4"/>
  <c r="G110" i="4"/>
  <c r="E87" i="4"/>
  <c r="G87" i="4"/>
  <c r="E86" i="4"/>
  <c r="G86" i="4"/>
  <c r="E85" i="4"/>
  <c r="G85" i="4"/>
  <c r="E84" i="4"/>
  <c r="G84" i="4"/>
  <c r="E83" i="4"/>
  <c r="G83" i="4"/>
  <c r="E82" i="4"/>
  <c r="G82" i="4"/>
  <c r="E81" i="4"/>
  <c r="G81" i="4"/>
  <c r="E80" i="4"/>
  <c r="G80" i="4"/>
  <c r="E79" i="4"/>
  <c r="G79" i="4"/>
  <c r="E78" i="4"/>
  <c r="G78" i="4"/>
  <c r="E77" i="4"/>
  <c r="G77" i="4"/>
  <c r="E76" i="4"/>
  <c r="G76" i="4"/>
  <c r="E75" i="4"/>
  <c r="G75" i="4"/>
  <c r="E74" i="4"/>
  <c r="G74" i="4"/>
  <c r="E73" i="4"/>
  <c r="G73" i="4"/>
  <c r="E72" i="4"/>
  <c r="G72" i="4"/>
  <c r="E89" i="4"/>
  <c r="G89" i="4"/>
  <c r="C2" i="4"/>
  <c r="D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142" i="4"/>
  <c r="D142" i="4"/>
  <c r="C141" i="4"/>
  <c r="D141" i="4"/>
  <c r="C140" i="4"/>
  <c r="D140" i="4"/>
  <c r="C139" i="4"/>
  <c r="D139" i="4"/>
  <c r="C138" i="4"/>
  <c r="D138" i="4"/>
  <c r="C137" i="4"/>
  <c r="D137" i="4"/>
  <c r="C136" i="4"/>
  <c r="D136" i="4"/>
  <c r="C135" i="4"/>
  <c r="D135" i="4"/>
  <c r="C134" i="4"/>
  <c r="D134" i="4"/>
  <c r="C133" i="4"/>
  <c r="D133" i="4"/>
  <c r="C132" i="4"/>
  <c r="D132" i="4"/>
  <c r="C131" i="4"/>
  <c r="D131" i="4"/>
  <c r="C130" i="4"/>
  <c r="D130" i="4"/>
  <c r="C129" i="4"/>
  <c r="D129" i="4"/>
  <c r="C128" i="4"/>
  <c r="D128" i="4"/>
  <c r="C127" i="4"/>
  <c r="D127" i="4"/>
  <c r="C126" i="4"/>
  <c r="D126" i="4"/>
  <c r="C93" i="4"/>
  <c r="D93" i="4"/>
  <c r="C71" i="4"/>
  <c r="D71" i="4"/>
  <c r="C90" i="4"/>
  <c r="D90" i="4"/>
  <c r="C91" i="4"/>
  <c r="D91" i="4"/>
  <c r="C92" i="4"/>
  <c r="D92" i="4"/>
  <c r="C88" i="4"/>
  <c r="D88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9" i="4"/>
  <c r="D109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4" i="4"/>
  <c r="D124" i="4"/>
  <c r="C123" i="4"/>
  <c r="D123" i="4"/>
  <c r="C108" i="4"/>
  <c r="D108" i="4"/>
  <c r="C125" i="4"/>
  <c r="D125" i="4"/>
  <c r="C110" i="4"/>
  <c r="D110" i="4"/>
  <c r="C87" i="4"/>
  <c r="D87" i="4"/>
  <c r="C86" i="4"/>
  <c r="D86" i="4"/>
  <c r="C85" i="4"/>
  <c r="D85" i="4"/>
  <c r="C84" i="4"/>
  <c r="D84" i="4"/>
  <c r="C83" i="4"/>
  <c r="D83" i="4"/>
  <c r="C82" i="4"/>
  <c r="D82" i="4"/>
  <c r="C81" i="4"/>
  <c r="D81" i="4"/>
  <c r="C80" i="4"/>
  <c r="D80" i="4"/>
  <c r="C79" i="4"/>
  <c r="D79" i="4"/>
  <c r="C78" i="4"/>
  <c r="D78" i="4"/>
  <c r="C77" i="4"/>
  <c r="D77" i="4"/>
  <c r="C76" i="4"/>
  <c r="D76" i="4"/>
  <c r="C75" i="4"/>
  <c r="D75" i="4"/>
  <c r="C74" i="4"/>
  <c r="D74" i="4"/>
  <c r="C73" i="4"/>
  <c r="D73" i="4"/>
  <c r="C72" i="4"/>
  <c r="D72" i="4"/>
  <c r="C89" i="4"/>
  <c r="D89" i="4"/>
  <c r="L3" i="4"/>
  <c r="P3" i="4" s="1"/>
  <c r="L4" i="4"/>
  <c r="P4" i="4" s="1"/>
  <c r="L5" i="4"/>
  <c r="P5" i="4" s="1"/>
  <c r="L6" i="4"/>
  <c r="P6" i="4" s="1"/>
  <c r="L7" i="4"/>
  <c r="P7" i="4" s="1"/>
  <c r="L8" i="4"/>
  <c r="P8" i="4"/>
  <c r="L9" i="4"/>
  <c r="P9" i="4" s="1"/>
  <c r="L10" i="4"/>
  <c r="P10" i="4" s="1"/>
  <c r="L11" i="4"/>
  <c r="P11" i="4" s="1"/>
  <c r="L12" i="4"/>
  <c r="P12" i="4" s="1"/>
  <c r="L13" i="4"/>
  <c r="P13" i="4" s="1"/>
  <c r="L14" i="4"/>
  <c r="L15" i="4"/>
  <c r="P15" i="4" s="1"/>
  <c r="L16" i="4"/>
  <c r="P16" i="4" s="1"/>
  <c r="L17" i="4"/>
  <c r="P17" i="4" s="1"/>
  <c r="L18" i="4"/>
  <c r="P18" i="4" s="1"/>
  <c r="L19" i="4"/>
  <c r="P19" i="4" s="1"/>
  <c r="L20" i="4"/>
  <c r="P20" i="4" s="1"/>
  <c r="L21" i="4"/>
  <c r="P21" i="4" s="1"/>
  <c r="L22" i="4"/>
  <c r="P22" i="4" s="1"/>
  <c r="L23" i="4"/>
  <c r="P23" i="4" s="1"/>
  <c r="L24" i="4"/>
  <c r="P24" i="4" s="1"/>
  <c r="L25" i="4"/>
  <c r="P25" i="4" s="1"/>
  <c r="L26" i="4"/>
  <c r="P26" i="4" s="1"/>
  <c r="L27" i="4"/>
  <c r="P27" i="4" s="1"/>
  <c r="L28" i="4"/>
  <c r="P28" i="4" s="1"/>
  <c r="L29" i="4"/>
  <c r="L30" i="4"/>
  <c r="L31" i="4"/>
  <c r="P31" i="4" s="1"/>
  <c r="L32" i="4"/>
  <c r="L33" i="4"/>
  <c r="L34" i="4"/>
  <c r="P34" i="4" s="1"/>
  <c r="L35" i="4"/>
  <c r="P35" i="4" s="1"/>
  <c r="L36" i="4"/>
  <c r="P36" i="4" s="1"/>
  <c r="L37" i="4"/>
  <c r="P37" i="4" s="1"/>
  <c r="L38" i="4"/>
  <c r="P38" i="4" s="1"/>
  <c r="L39" i="4"/>
  <c r="P39" i="4" s="1"/>
  <c r="L40" i="4"/>
  <c r="P40" i="4" s="1"/>
  <c r="L41" i="4"/>
  <c r="P41" i="4" s="1"/>
  <c r="L42" i="4"/>
  <c r="P42" i="4" s="1"/>
  <c r="L43" i="4"/>
  <c r="P43" i="4" s="1"/>
  <c r="L44" i="4"/>
  <c r="P44" i="4" s="1"/>
  <c r="L45" i="4"/>
  <c r="P45" i="4" s="1"/>
  <c r="L46" i="4"/>
  <c r="P46" i="4" s="1"/>
  <c r="L47" i="4"/>
  <c r="P47" i="4" s="1"/>
  <c r="L48" i="4"/>
  <c r="P48" i="4" s="1"/>
  <c r="L49" i="4"/>
  <c r="L50" i="4"/>
  <c r="P50" i="4" s="1"/>
  <c r="L51" i="4"/>
  <c r="P51" i="4" s="1"/>
  <c r="L52" i="4"/>
  <c r="P52" i="4" s="1"/>
  <c r="L53" i="4"/>
  <c r="P53" i="4" s="1"/>
  <c r="L54" i="4"/>
  <c r="P54" i="4" s="1"/>
  <c r="L55" i="4"/>
  <c r="P55" i="4" s="1"/>
  <c r="L56" i="4"/>
  <c r="P56" i="4"/>
  <c r="L57" i="4"/>
  <c r="P57" i="4" s="1"/>
  <c r="L58" i="4"/>
  <c r="P58" i="4" s="1"/>
  <c r="L59" i="4"/>
  <c r="P59" i="4"/>
  <c r="L60" i="4"/>
  <c r="P60" i="4" s="1"/>
  <c r="L61" i="4"/>
  <c r="P61" i="4"/>
  <c r="L62" i="4"/>
  <c r="P62" i="4"/>
  <c r="L63" i="4"/>
  <c r="P63" i="4"/>
  <c r="L64" i="4"/>
  <c r="P64" i="4" s="1"/>
  <c r="L65" i="4"/>
  <c r="P65" i="4"/>
  <c r="L66" i="4"/>
  <c r="P66" i="4" s="1"/>
  <c r="L67" i="4"/>
  <c r="P67" i="4" s="1"/>
  <c r="L68" i="4"/>
  <c r="P68" i="4" s="1"/>
  <c r="L69" i="4"/>
  <c r="P69" i="4" s="1"/>
  <c r="L70" i="4"/>
  <c r="P70" i="4" s="1"/>
  <c r="L142" i="4"/>
  <c r="P142" i="4" s="1"/>
  <c r="L141" i="4"/>
  <c r="P141" i="4" s="1"/>
  <c r="L140" i="4"/>
  <c r="P140" i="4" s="1"/>
  <c r="L139" i="4"/>
  <c r="P139" i="4" s="1"/>
  <c r="L138" i="4"/>
  <c r="P138" i="4" s="1"/>
  <c r="L137" i="4"/>
  <c r="P137" i="4" s="1"/>
  <c r="L136" i="4"/>
  <c r="P136" i="4" s="1"/>
  <c r="L135" i="4"/>
  <c r="P135" i="4" s="1"/>
  <c r="L134" i="4"/>
  <c r="P134" i="4" s="1"/>
  <c r="L133" i="4"/>
  <c r="P133" i="4" s="1"/>
  <c r="L132" i="4"/>
  <c r="P132" i="4" s="1"/>
  <c r="L131" i="4"/>
  <c r="P131" i="4" s="1"/>
  <c r="L130" i="4"/>
  <c r="P130" i="4" s="1"/>
  <c r="L129" i="4"/>
  <c r="P129" i="4" s="1"/>
  <c r="L128" i="4"/>
  <c r="P128" i="4" s="1"/>
  <c r="L127" i="4"/>
  <c r="P127" i="4" s="1"/>
  <c r="L126" i="4"/>
  <c r="P126" i="4" s="1"/>
  <c r="L93" i="4"/>
  <c r="P93" i="4" s="1"/>
  <c r="L71" i="4"/>
  <c r="P71" i="4" s="1"/>
  <c r="L90" i="4"/>
  <c r="P90" i="4"/>
  <c r="L91" i="4"/>
  <c r="P91" i="4" s="1"/>
  <c r="L92" i="4"/>
  <c r="P92" i="4" s="1"/>
  <c r="L88" i="4"/>
  <c r="P88" i="4" s="1"/>
  <c r="L94" i="4"/>
  <c r="P94" i="4" s="1"/>
  <c r="L95" i="4"/>
  <c r="P95" i="4" s="1"/>
  <c r="L96" i="4"/>
  <c r="P96" i="4" s="1"/>
  <c r="L97" i="4"/>
  <c r="P97" i="4"/>
  <c r="L98" i="4"/>
  <c r="P98" i="4" s="1"/>
  <c r="L99" i="4"/>
  <c r="P99" i="4" s="1"/>
  <c r="L100" i="4"/>
  <c r="P100" i="4" s="1"/>
  <c r="L101" i="4"/>
  <c r="P101" i="4" s="1"/>
  <c r="L102" i="4"/>
  <c r="P102" i="4" s="1"/>
  <c r="L103" i="4"/>
  <c r="P103" i="4" s="1"/>
  <c r="L104" i="4"/>
  <c r="P104" i="4" s="1"/>
  <c r="L105" i="4"/>
  <c r="P105" i="4" s="1"/>
  <c r="L106" i="4"/>
  <c r="P106" i="4" s="1"/>
  <c r="L107" i="4"/>
  <c r="L109" i="4"/>
  <c r="P109" i="4" s="1"/>
  <c r="L111" i="4"/>
  <c r="P111" i="4" s="1"/>
  <c r="L112" i="4"/>
  <c r="P112" i="4" s="1"/>
  <c r="L113" i="4"/>
  <c r="P113" i="4" s="1"/>
  <c r="L114" i="4"/>
  <c r="P114" i="4" s="1"/>
  <c r="L115" i="4"/>
  <c r="P115" i="4" s="1"/>
  <c r="L116" i="4"/>
  <c r="P116" i="4" s="1"/>
  <c r="L117" i="4"/>
  <c r="P117" i="4" s="1"/>
  <c r="L118" i="4"/>
  <c r="P118" i="4" s="1"/>
  <c r="L119" i="4"/>
  <c r="P119" i="4" s="1"/>
  <c r="L120" i="4"/>
  <c r="P120" i="4" s="1"/>
  <c r="L121" i="4"/>
  <c r="P121" i="4" s="1"/>
  <c r="L122" i="4"/>
  <c r="P122" i="4" s="1"/>
  <c r="L124" i="4"/>
  <c r="P124" i="4" s="1"/>
  <c r="L123" i="4"/>
  <c r="P123" i="4" s="1"/>
  <c r="L108" i="4"/>
  <c r="P108" i="4" s="1"/>
  <c r="L125" i="4"/>
  <c r="P125" i="4" s="1"/>
  <c r="L110" i="4"/>
  <c r="P110" i="4" s="1"/>
  <c r="L87" i="4"/>
  <c r="P87" i="4" s="1"/>
  <c r="L86" i="4"/>
  <c r="P86" i="4" s="1"/>
  <c r="L85" i="4"/>
  <c r="P85" i="4" s="1"/>
  <c r="L84" i="4"/>
  <c r="P84" i="4" s="1"/>
  <c r="L83" i="4"/>
  <c r="P83" i="4" s="1"/>
  <c r="L82" i="4"/>
  <c r="P82" i="4" s="1"/>
  <c r="L81" i="4"/>
  <c r="P81" i="4" s="1"/>
  <c r="L80" i="4"/>
  <c r="P80" i="4" s="1"/>
  <c r="L79" i="4"/>
  <c r="P79" i="4" s="1"/>
  <c r="L78" i="4"/>
  <c r="P78" i="4" s="1"/>
  <c r="L77" i="4"/>
  <c r="P77" i="4" s="1"/>
  <c r="L76" i="4"/>
  <c r="P76" i="4" s="1"/>
  <c r="L75" i="4"/>
  <c r="P75" i="4" s="1"/>
  <c r="L74" i="4"/>
  <c r="P74" i="4" s="1"/>
  <c r="L73" i="4"/>
  <c r="P73" i="4" s="1"/>
  <c r="L72" i="4"/>
  <c r="P72" i="4" s="1"/>
  <c r="L89" i="4"/>
  <c r="P89" i="4" s="1"/>
  <c r="Q8" i="32" l="1"/>
  <c r="P8" i="32"/>
  <c r="Q30" i="32"/>
  <c r="P30" i="32"/>
  <c r="Q19" i="32"/>
  <c r="P19" i="32"/>
  <c r="Q3" i="29"/>
  <c r="M3" i="29"/>
  <c r="N3" i="29"/>
  <c r="Q4" i="29"/>
  <c r="M4" i="29"/>
  <c r="N4" i="29"/>
  <c r="Q5" i="29"/>
  <c r="M5" i="29"/>
  <c r="N5" i="29"/>
  <c r="Q6" i="29"/>
  <c r="M6" i="29"/>
  <c r="N6" i="29"/>
  <c r="Q7" i="29"/>
  <c r="M7" i="29"/>
  <c r="N7" i="29"/>
  <c r="M8" i="29"/>
  <c r="N8" i="29"/>
  <c r="Q9" i="29"/>
  <c r="M9" i="29"/>
  <c r="N9" i="29"/>
  <c r="Q10" i="29"/>
  <c r="M10" i="29"/>
  <c r="N10" i="29"/>
  <c r="M11" i="29"/>
  <c r="N11" i="29"/>
  <c r="Q12" i="29"/>
  <c r="M12" i="29"/>
  <c r="N12" i="29"/>
  <c r="Q25" i="32"/>
  <c r="P25" i="32"/>
  <c r="Q11" i="29"/>
  <c r="P11" i="29"/>
  <c r="Q13" i="29"/>
  <c r="N13" i="29"/>
  <c r="M14" i="29"/>
  <c r="N14" i="29"/>
  <c r="M15" i="29"/>
  <c r="N15" i="29"/>
  <c r="M16" i="29"/>
  <c r="N16" i="29"/>
  <c r="Q17" i="29"/>
  <c r="M17" i="29"/>
  <c r="N17" i="29"/>
  <c r="Q18" i="29"/>
  <c r="M18" i="29"/>
  <c r="N18" i="29"/>
  <c r="Q19" i="29"/>
  <c r="M19" i="29"/>
  <c r="N19" i="29"/>
  <c r="Q20" i="29"/>
  <c r="M20" i="29"/>
  <c r="N20" i="29"/>
  <c r="Q21" i="29"/>
  <c r="M21" i="29"/>
  <c r="N21" i="29"/>
  <c r="Q22" i="29"/>
  <c r="M22" i="29"/>
  <c r="N22" i="29"/>
  <c r="M23" i="29"/>
  <c r="N23" i="29"/>
  <c r="Q24" i="29"/>
  <c r="M24" i="29"/>
  <c r="N24" i="29"/>
  <c r="Q25" i="29"/>
  <c r="M25" i="29"/>
  <c r="N25" i="29"/>
  <c r="Q26" i="29"/>
  <c r="M26" i="29"/>
  <c r="N26" i="29"/>
  <c r="Q27" i="29"/>
  <c r="M27" i="29"/>
  <c r="N27" i="29"/>
  <c r="Q28" i="29"/>
  <c r="M28" i="29"/>
  <c r="N28" i="29"/>
  <c r="M29" i="29"/>
  <c r="N29" i="29"/>
  <c r="Q30" i="29"/>
  <c r="M30" i="29"/>
  <c r="N30" i="29"/>
  <c r="Q31" i="29"/>
  <c r="M31" i="29"/>
  <c r="N31" i="29"/>
  <c r="Q23" i="29"/>
  <c r="P23" i="29"/>
  <c r="Q16" i="29"/>
  <c r="P16" i="29"/>
  <c r="Q14" i="29"/>
  <c r="P14" i="29"/>
  <c r="M25" i="26"/>
  <c r="P25" i="26"/>
  <c r="Q8" i="29"/>
  <c r="P8" i="29"/>
  <c r="Q15" i="29"/>
  <c r="P15" i="29"/>
  <c r="Q29" i="29"/>
  <c r="P29" i="29"/>
  <c r="Q3" i="26"/>
  <c r="M3" i="26"/>
  <c r="N3" i="26"/>
  <c r="Q4" i="26"/>
  <c r="M4" i="26"/>
  <c r="N4" i="26"/>
  <c r="Q5" i="26"/>
  <c r="M5" i="26"/>
  <c r="N5" i="26"/>
  <c r="Q6" i="26"/>
  <c r="M6" i="26"/>
  <c r="N6" i="26"/>
  <c r="Q7" i="26"/>
  <c r="M7" i="26"/>
  <c r="N7" i="26"/>
  <c r="Q8" i="26"/>
  <c r="M8" i="26"/>
  <c r="N8" i="26"/>
  <c r="Q9" i="26"/>
  <c r="M9" i="26"/>
  <c r="N9" i="26"/>
  <c r="Q10" i="26"/>
  <c r="M10" i="26"/>
  <c r="N10" i="26"/>
  <c r="Q11" i="26"/>
  <c r="M11" i="26"/>
  <c r="N11" i="26"/>
  <c r="Q12" i="26"/>
  <c r="M12" i="26"/>
  <c r="N12" i="26"/>
  <c r="Q13" i="26"/>
  <c r="M13" i="26"/>
  <c r="N13" i="26"/>
  <c r="Q14" i="26"/>
  <c r="N14" i="26"/>
  <c r="M14" i="26"/>
  <c r="Q15" i="26"/>
  <c r="M15" i="26"/>
  <c r="N15" i="26"/>
  <c r="Q16" i="26"/>
  <c r="M16" i="26"/>
  <c r="N16" i="26"/>
  <c r="Q17" i="26"/>
  <c r="M17" i="26"/>
  <c r="N17" i="26"/>
  <c r="Q18" i="26"/>
  <c r="M18" i="26"/>
  <c r="N18" i="26"/>
  <c r="Q19" i="26"/>
  <c r="M19" i="26"/>
  <c r="N19" i="26"/>
  <c r="Q20" i="26"/>
  <c r="N20" i="26"/>
  <c r="M20" i="26"/>
  <c r="Q21" i="26"/>
  <c r="M21" i="26"/>
  <c r="N21" i="26"/>
  <c r="Q22" i="26"/>
  <c r="M22" i="26"/>
  <c r="N22" i="26"/>
  <c r="Q23" i="26"/>
  <c r="M23" i="26"/>
  <c r="N23" i="26"/>
  <c r="Q24" i="26"/>
  <c r="M24" i="26"/>
  <c r="N24" i="26"/>
  <c r="Q27" i="26"/>
  <c r="M27" i="26"/>
  <c r="N27" i="26"/>
  <c r="Q25" i="26"/>
  <c r="N25" i="26"/>
  <c r="M26" i="26"/>
  <c r="N26" i="26"/>
  <c r="Q28" i="26"/>
  <c r="M28" i="26"/>
  <c r="N28" i="26"/>
  <c r="M29" i="26"/>
  <c r="N29" i="26"/>
  <c r="Q30" i="26"/>
  <c r="M30" i="26"/>
  <c r="N30" i="26"/>
  <c r="Q31" i="26"/>
  <c r="M31" i="26"/>
  <c r="N31" i="26"/>
  <c r="Q29" i="26"/>
  <c r="P29" i="26"/>
  <c r="Q26" i="26"/>
  <c r="P26" i="26"/>
  <c r="Q3" i="16"/>
  <c r="M3" i="16"/>
  <c r="N3" i="16"/>
  <c r="M4" i="16"/>
  <c r="N4" i="16"/>
  <c r="M5" i="16"/>
  <c r="N5" i="16"/>
  <c r="M6" i="16"/>
  <c r="N6" i="16"/>
  <c r="M7" i="16"/>
  <c r="N7" i="16"/>
  <c r="M8" i="16"/>
  <c r="N8" i="16"/>
  <c r="Q9" i="16"/>
  <c r="M9" i="16"/>
  <c r="N9" i="16"/>
  <c r="M10" i="16"/>
  <c r="N10" i="16"/>
  <c r="Q11" i="16"/>
  <c r="M11" i="16"/>
  <c r="N11" i="16"/>
  <c r="Q3" i="22"/>
  <c r="N3" i="22"/>
  <c r="M3" i="22"/>
  <c r="Q4" i="22"/>
  <c r="N4" i="22"/>
  <c r="M4" i="22"/>
  <c r="Q5" i="22"/>
  <c r="N5" i="22"/>
  <c r="M5" i="22"/>
  <c r="Q6" i="22"/>
  <c r="N6" i="22"/>
  <c r="M6" i="22"/>
  <c r="Q7" i="22"/>
  <c r="N7" i="22"/>
  <c r="M7" i="22"/>
  <c r="M8" i="22"/>
  <c r="N8" i="22"/>
  <c r="Q9" i="22"/>
  <c r="M9" i="22"/>
  <c r="N9" i="22"/>
  <c r="Q10" i="22"/>
  <c r="M10" i="22"/>
  <c r="N10" i="22"/>
  <c r="Q11" i="22"/>
  <c r="M11" i="22"/>
  <c r="N11" i="22"/>
  <c r="Q12" i="22"/>
  <c r="M12" i="22"/>
  <c r="N12" i="22"/>
  <c r="Q13" i="22"/>
  <c r="M13" i="22"/>
  <c r="N13" i="22"/>
  <c r="Q14" i="22"/>
  <c r="M14" i="22"/>
  <c r="N14" i="22"/>
  <c r="Q15" i="22"/>
  <c r="M15" i="22"/>
  <c r="N15" i="22"/>
  <c r="Q16" i="22"/>
  <c r="M16" i="22"/>
  <c r="N16" i="22"/>
  <c r="Q17" i="22"/>
  <c r="M17" i="22"/>
  <c r="N17" i="22"/>
  <c r="Q18" i="22"/>
  <c r="M18" i="22"/>
  <c r="N18" i="22"/>
  <c r="Q19" i="22"/>
  <c r="M19" i="22"/>
  <c r="N19" i="22"/>
  <c r="Q20" i="22"/>
  <c r="M20" i="22"/>
  <c r="N20" i="22"/>
  <c r="Q21" i="22"/>
  <c r="M21" i="22"/>
  <c r="N21" i="22"/>
  <c r="M22" i="22"/>
  <c r="N22" i="22"/>
  <c r="Q23" i="22"/>
  <c r="M23" i="22"/>
  <c r="N23" i="22"/>
  <c r="Q24" i="22"/>
  <c r="M24" i="22"/>
  <c r="N24" i="22"/>
  <c r="Q25" i="22"/>
  <c r="M25" i="22"/>
  <c r="N25" i="22"/>
  <c r="Q26" i="22"/>
  <c r="M26" i="22"/>
  <c r="N26" i="22"/>
  <c r="Q27" i="22"/>
  <c r="M27" i="22"/>
  <c r="N27" i="22"/>
  <c r="Q28" i="22"/>
  <c r="M28" i="22"/>
  <c r="N28" i="22"/>
  <c r="Q29" i="22"/>
  <c r="M29" i="22"/>
  <c r="N29" i="22"/>
  <c r="Q8" i="22"/>
  <c r="P8" i="22"/>
  <c r="Q22" i="22"/>
  <c r="P22" i="22"/>
  <c r="Q30" i="22"/>
  <c r="M30" i="22"/>
  <c r="N30" i="22"/>
  <c r="Q31" i="22"/>
  <c r="M31" i="22"/>
  <c r="N31" i="22"/>
  <c r="M14" i="4"/>
  <c r="P14" i="4"/>
  <c r="Q7" i="16"/>
  <c r="P7" i="16"/>
  <c r="Q10" i="16"/>
  <c r="P10" i="16"/>
  <c r="Q6" i="16"/>
  <c r="P6" i="16"/>
  <c r="Q8" i="16"/>
  <c r="P8" i="16"/>
  <c r="Q4" i="16"/>
  <c r="P4" i="16"/>
  <c r="Q5" i="16"/>
  <c r="P5" i="16"/>
  <c r="M12" i="16"/>
  <c r="N12" i="16"/>
  <c r="M13" i="16"/>
  <c r="N13" i="16"/>
  <c r="Q14" i="16"/>
  <c r="M14" i="16"/>
  <c r="N14" i="16"/>
  <c r="Q15" i="16"/>
  <c r="M15" i="16"/>
  <c r="N15" i="16"/>
  <c r="Q16" i="16"/>
  <c r="M16" i="16"/>
  <c r="N16" i="16"/>
  <c r="Q17" i="16"/>
  <c r="M17" i="16"/>
  <c r="N17" i="16"/>
  <c r="Q18" i="16"/>
  <c r="M18" i="16"/>
  <c r="N18" i="16"/>
  <c r="Q19" i="16"/>
  <c r="M19" i="16"/>
  <c r="N19" i="16"/>
  <c r="Q20" i="16"/>
  <c r="M20" i="16"/>
  <c r="N20" i="16"/>
  <c r="Q21" i="16"/>
  <c r="M21" i="16"/>
  <c r="N21" i="16"/>
  <c r="Q22" i="16"/>
  <c r="M22" i="16"/>
  <c r="N22" i="16"/>
  <c r="Q23" i="16"/>
  <c r="M23" i="16"/>
  <c r="N23" i="16"/>
  <c r="Q24" i="16"/>
  <c r="M24" i="16"/>
  <c r="N24" i="16"/>
  <c r="Q25" i="16"/>
  <c r="M25" i="16"/>
  <c r="N25" i="16"/>
  <c r="M26" i="16"/>
  <c r="N26" i="16"/>
  <c r="Q27" i="16"/>
  <c r="M27" i="16"/>
  <c r="N27" i="16"/>
  <c r="Q28" i="16"/>
  <c r="M28" i="16"/>
  <c r="N28" i="16"/>
  <c r="Q29" i="16"/>
  <c r="M29" i="16"/>
  <c r="N29" i="16"/>
  <c r="Q30" i="16"/>
  <c r="M30" i="16"/>
  <c r="N30" i="16"/>
  <c r="Q31" i="16"/>
  <c r="M31" i="16"/>
  <c r="N31" i="16"/>
  <c r="Q13" i="16"/>
  <c r="P13" i="16"/>
  <c r="Q12" i="16"/>
  <c r="P12" i="16"/>
  <c r="Q26" i="16"/>
  <c r="P26" i="16"/>
  <c r="M16" i="10"/>
  <c r="P16" i="10"/>
  <c r="Q3" i="10"/>
  <c r="N3" i="10"/>
  <c r="M3" i="10"/>
  <c r="Q4" i="10"/>
  <c r="M4" i="10"/>
  <c r="N4" i="10"/>
  <c r="M5" i="10"/>
  <c r="N5" i="10"/>
  <c r="Q6" i="10"/>
  <c r="M6" i="10"/>
  <c r="N6" i="10"/>
  <c r="Q7" i="10"/>
  <c r="M7" i="10"/>
  <c r="N7" i="10"/>
  <c r="Q8" i="10"/>
  <c r="N8" i="10"/>
  <c r="M8" i="10"/>
  <c r="Q9" i="10"/>
  <c r="M9" i="10"/>
  <c r="N9" i="10"/>
  <c r="Q10" i="10"/>
  <c r="M10" i="10"/>
  <c r="N10" i="10"/>
  <c r="Q11" i="10"/>
  <c r="M11" i="10"/>
  <c r="N11" i="10"/>
  <c r="Q12" i="10"/>
  <c r="M12" i="10"/>
  <c r="N12" i="10"/>
  <c r="Q13" i="10"/>
  <c r="M13" i="10"/>
  <c r="N13" i="10"/>
  <c r="Q14" i="10"/>
  <c r="M14" i="10"/>
  <c r="N14" i="10"/>
  <c r="Q15" i="10"/>
  <c r="N15" i="10"/>
  <c r="M15" i="10"/>
  <c r="Q16" i="10"/>
  <c r="N16" i="10"/>
  <c r="Q17" i="10"/>
  <c r="M17" i="10"/>
  <c r="N17" i="10"/>
  <c r="Q18" i="10"/>
  <c r="M18" i="10"/>
  <c r="N18" i="10"/>
  <c r="Q19" i="10"/>
  <c r="M19" i="10"/>
  <c r="N19" i="10"/>
  <c r="Q20" i="10"/>
  <c r="M20" i="10"/>
  <c r="N20" i="10"/>
  <c r="Q21" i="10"/>
  <c r="N21" i="10"/>
  <c r="M21" i="10"/>
  <c r="Q22" i="10"/>
  <c r="N22" i="10"/>
  <c r="M22" i="10"/>
  <c r="M23" i="10"/>
  <c r="N23" i="10"/>
  <c r="Q24" i="10"/>
  <c r="M24" i="10"/>
  <c r="N24" i="10"/>
  <c r="Q25" i="10"/>
  <c r="M25" i="10"/>
  <c r="N25" i="10"/>
  <c r="Q26" i="10"/>
  <c r="M26" i="10"/>
  <c r="N26" i="10"/>
  <c r="Q27" i="10"/>
  <c r="M27" i="10"/>
  <c r="N27" i="10"/>
  <c r="Q28" i="10"/>
  <c r="M28" i="10"/>
  <c r="N28" i="10"/>
  <c r="Q29" i="10"/>
  <c r="N29" i="10"/>
  <c r="M29" i="10"/>
  <c r="Q30" i="10"/>
  <c r="P30" i="10"/>
  <c r="M30" i="10"/>
  <c r="N30" i="10"/>
  <c r="Q31" i="10"/>
  <c r="M31" i="10"/>
  <c r="N31" i="10"/>
  <c r="Q5" i="10"/>
  <c r="P5" i="10"/>
  <c r="Q23" i="10"/>
  <c r="P23" i="10"/>
  <c r="Q27" i="4"/>
  <c r="M27" i="4"/>
  <c r="N27" i="4"/>
  <c r="Q28" i="4"/>
  <c r="M28" i="4"/>
  <c r="N28" i="4"/>
  <c r="M29" i="4"/>
  <c r="N29" i="4"/>
  <c r="M30" i="4"/>
  <c r="N30" i="4"/>
  <c r="Q31" i="4"/>
  <c r="M31" i="4"/>
  <c r="N31" i="4"/>
  <c r="M32" i="4"/>
  <c r="N32" i="4"/>
  <c r="Q33" i="4"/>
  <c r="P33" i="4"/>
  <c r="M33" i="4"/>
  <c r="N33" i="4"/>
  <c r="Q29" i="4"/>
  <c r="P29" i="4"/>
  <c r="Q30" i="4"/>
  <c r="P30" i="4"/>
  <c r="Q32" i="4"/>
  <c r="P32" i="4"/>
  <c r="Q26" i="4"/>
  <c r="M26" i="4"/>
  <c r="N26" i="4"/>
  <c r="Q3" i="4"/>
  <c r="M3" i="4"/>
  <c r="N3" i="4"/>
  <c r="Q4" i="4"/>
  <c r="M4" i="4"/>
  <c r="N4" i="4"/>
  <c r="Q5" i="4"/>
  <c r="M5" i="4"/>
  <c r="N5" i="4"/>
  <c r="Q6" i="4"/>
  <c r="M6" i="4"/>
  <c r="N6" i="4"/>
  <c r="Q7" i="4"/>
  <c r="M7" i="4"/>
  <c r="N7" i="4"/>
  <c r="Q8" i="4"/>
  <c r="M8" i="4"/>
  <c r="N8" i="4"/>
  <c r="Q9" i="4"/>
  <c r="M9" i="4"/>
  <c r="N9" i="4"/>
  <c r="Q10" i="4"/>
  <c r="M10" i="4"/>
  <c r="N10" i="4"/>
  <c r="Q11" i="4"/>
  <c r="N11" i="4"/>
  <c r="M11" i="4"/>
  <c r="Q12" i="4"/>
  <c r="N12" i="4"/>
  <c r="M12" i="4"/>
  <c r="Q13" i="4"/>
  <c r="N13" i="4"/>
  <c r="M13" i="4"/>
  <c r="Q14" i="4"/>
  <c r="N14" i="4"/>
  <c r="Q15" i="4"/>
  <c r="M15" i="4"/>
  <c r="N15" i="4"/>
  <c r="Q16" i="4"/>
  <c r="M16" i="4"/>
  <c r="N16" i="4"/>
  <c r="Q17" i="4"/>
  <c r="M17" i="4"/>
  <c r="N17" i="4"/>
  <c r="Q18" i="4"/>
  <c r="M18" i="4"/>
  <c r="N18" i="4"/>
  <c r="Q19" i="4"/>
  <c r="N19" i="4"/>
  <c r="M19" i="4"/>
  <c r="Q20" i="4"/>
  <c r="N20" i="4"/>
  <c r="M20" i="4"/>
  <c r="Q21" i="4"/>
  <c r="N21" i="4"/>
  <c r="M21" i="4"/>
  <c r="Q22" i="4"/>
  <c r="N22" i="4"/>
  <c r="M22" i="4"/>
  <c r="Q23" i="4"/>
  <c r="N23" i="4"/>
  <c r="M23" i="4"/>
  <c r="Q24" i="4"/>
  <c r="N24" i="4"/>
  <c r="M24" i="4"/>
  <c r="Q25" i="4"/>
  <c r="N25" i="4"/>
  <c r="M25" i="4"/>
  <c r="Q34" i="4"/>
  <c r="M34" i="4"/>
  <c r="N34" i="4"/>
  <c r="Q35" i="4"/>
  <c r="M35" i="4"/>
  <c r="N35" i="4"/>
  <c r="Q36" i="4"/>
  <c r="M36" i="4"/>
  <c r="N36" i="4"/>
  <c r="Q37" i="4"/>
  <c r="M37" i="4"/>
  <c r="N37" i="4"/>
  <c r="Q38" i="4"/>
  <c r="M38" i="4"/>
  <c r="N38" i="4"/>
  <c r="Q39" i="4"/>
  <c r="N39" i="4"/>
  <c r="M39" i="4"/>
  <c r="Q40" i="4"/>
  <c r="M40" i="4"/>
  <c r="N40" i="4"/>
  <c r="Q41" i="4"/>
  <c r="N41" i="4"/>
  <c r="M41" i="4"/>
  <c r="Q42" i="4"/>
  <c r="N42" i="4"/>
  <c r="M42" i="4"/>
  <c r="Q43" i="4"/>
  <c r="N43" i="4"/>
  <c r="M43" i="4"/>
  <c r="Q44" i="4"/>
  <c r="N44" i="4"/>
  <c r="M44" i="4"/>
  <c r="Q45" i="4"/>
  <c r="M45" i="4"/>
  <c r="N45" i="4"/>
  <c r="Q46" i="4"/>
  <c r="N46" i="4"/>
  <c r="M46" i="4"/>
  <c r="Q47" i="4"/>
  <c r="M47" i="4"/>
  <c r="N47" i="4"/>
  <c r="Q48" i="4"/>
  <c r="M48" i="4"/>
  <c r="N48" i="4"/>
  <c r="P49" i="4"/>
  <c r="M49" i="4"/>
  <c r="N49" i="4"/>
  <c r="Q49" i="4"/>
  <c r="Q50" i="4"/>
  <c r="N50" i="4"/>
  <c r="M50" i="4"/>
  <c r="N51" i="4"/>
  <c r="Q51" i="4"/>
  <c r="M51" i="4"/>
  <c r="Q52" i="4"/>
  <c r="N52" i="4"/>
  <c r="M52" i="4"/>
  <c r="Q53" i="4"/>
  <c r="N53" i="4"/>
  <c r="M53" i="4"/>
  <c r="Q54" i="4"/>
  <c r="N54" i="4"/>
  <c r="M54" i="4"/>
  <c r="Q55" i="4"/>
  <c r="N55" i="4"/>
  <c r="M55" i="4"/>
  <c r="Q56" i="4"/>
  <c r="N56" i="4"/>
  <c r="M56" i="4"/>
  <c r="Q57" i="4"/>
  <c r="M57" i="4"/>
  <c r="N57" i="4"/>
  <c r="Q58" i="4"/>
  <c r="M58" i="4"/>
  <c r="N58" i="4"/>
  <c r="M59" i="4"/>
  <c r="N59" i="4"/>
  <c r="Q59" i="4"/>
  <c r="M60" i="4"/>
  <c r="N60" i="4"/>
  <c r="Q60" i="4"/>
  <c r="M61" i="4"/>
  <c r="Q61" i="4"/>
  <c r="N61" i="4"/>
  <c r="M62" i="4"/>
  <c r="N62" i="4"/>
  <c r="Q62" i="4"/>
  <c r="M63" i="4"/>
  <c r="N63" i="4"/>
  <c r="Q63" i="4"/>
  <c r="N64" i="4"/>
  <c r="Q64" i="4"/>
  <c r="M64" i="4"/>
  <c r="Q65" i="4"/>
  <c r="M65" i="4"/>
  <c r="N65" i="4"/>
  <c r="Q66" i="4"/>
  <c r="M66" i="4"/>
  <c r="N66" i="4"/>
  <c r="Q67" i="4"/>
  <c r="M67" i="4"/>
  <c r="N67" i="4"/>
  <c r="Q68" i="4"/>
  <c r="M68" i="4"/>
  <c r="N68" i="4"/>
  <c r="Q69" i="4"/>
  <c r="M69" i="4"/>
  <c r="N69" i="4"/>
  <c r="M70" i="4"/>
  <c r="Q70" i="4"/>
  <c r="N70" i="4"/>
  <c r="Q142" i="4"/>
  <c r="M142" i="4"/>
  <c r="N142" i="4"/>
  <c r="N141" i="4"/>
  <c r="Q141" i="4"/>
  <c r="M141" i="4"/>
  <c r="Q140" i="4"/>
  <c r="N140" i="4"/>
  <c r="M140" i="4"/>
  <c r="Q139" i="4"/>
  <c r="N139" i="4"/>
  <c r="M139" i="4"/>
  <c r="Q138" i="4"/>
  <c r="N138" i="4"/>
  <c r="M138" i="4"/>
  <c r="Q137" i="4"/>
  <c r="N137" i="4"/>
  <c r="M137" i="4"/>
  <c r="M136" i="4"/>
  <c r="N136" i="4"/>
  <c r="Q136" i="4"/>
  <c r="Q135" i="4"/>
  <c r="M135" i="4"/>
  <c r="N135" i="4"/>
  <c r="Q134" i="4"/>
  <c r="M134" i="4"/>
  <c r="N134" i="4"/>
  <c r="Q133" i="4"/>
  <c r="M133" i="4"/>
  <c r="N133" i="4"/>
  <c r="Q132" i="4"/>
  <c r="M132" i="4"/>
  <c r="N132" i="4"/>
  <c r="Q131" i="4"/>
  <c r="M131" i="4"/>
  <c r="N131" i="4"/>
  <c r="Q130" i="4"/>
  <c r="M130" i="4"/>
  <c r="N130" i="4"/>
  <c r="Q129" i="4"/>
  <c r="M129" i="4"/>
  <c r="N129" i="4"/>
  <c r="Q128" i="4"/>
  <c r="M128" i="4"/>
  <c r="N128" i="4"/>
  <c r="Q127" i="4"/>
  <c r="N127" i="4"/>
  <c r="M127" i="4"/>
  <c r="Q126" i="4"/>
  <c r="N126" i="4"/>
  <c r="M126" i="4"/>
  <c r="M93" i="4"/>
  <c r="Q93" i="4"/>
  <c r="N93" i="4"/>
  <c r="M71" i="4"/>
  <c r="N71" i="4"/>
  <c r="Q71" i="4"/>
  <c r="M90" i="4"/>
  <c r="N90" i="4"/>
  <c r="Q90" i="4"/>
  <c r="M91" i="4"/>
  <c r="N91" i="4"/>
  <c r="Q91" i="4"/>
  <c r="N92" i="4"/>
  <c r="M92" i="4"/>
  <c r="Q92" i="4"/>
  <c r="N88" i="4"/>
  <c r="Q88" i="4"/>
  <c r="M88" i="4"/>
  <c r="Q94" i="4"/>
  <c r="N94" i="4"/>
  <c r="M94" i="4"/>
  <c r="Q95" i="4"/>
  <c r="N95" i="4"/>
  <c r="M95" i="4"/>
  <c r="Q96" i="4"/>
  <c r="N96" i="4"/>
  <c r="M96" i="4"/>
  <c r="Q97" i="4"/>
  <c r="N97" i="4"/>
  <c r="M97" i="4"/>
  <c r="M98" i="4"/>
  <c r="N98" i="4"/>
  <c r="Q98" i="4"/>
  <c r="M99" i="4"/>
  <c r="N99" i="4"/>
  <c r="Q99" i="4"/>
  <c r="N100" i="4"/>
  <c r="Q100" i="4"/>
  <c r="M100" i="4"/>
  <c r="M101" i="4"/>
  <c r="N101" i="4"/>
  <c r="Q101" i="4"/>
  <c r="M102" i="4"/>
  <c r="N102" i="4"/>
  <c r="Q102" i="4"/>
  <c r="M103" i="4"/>
  <c r="N103" i="4"/>
  <c r="Q103" i="4"/>
  <c r="M104" i="4"/>
  <c r="N104" i="4"/>
  <c r="Q104" i="4"/>
  <c r="Q105" i="4"/>
  <c r="N105" i="4"/>
  <c r="M105" i="4"/>
  <c r="N106" i="4"/>
  <c r="M106" i="4"/>
  <c r="Q106" i="4"/>
  <c r="P107" i="4"/>
  <c r="N107" i="4"/>
  <c r="M107" i="4"/>
  <c r="Q107" i="4"/>
  <c r="N109" i="4"/>
  <c r="M109" i="4"/>
  <c r="Q109" i="4"/>
  <c r="M111" i="4"/>
  <c r="N111" i="4"/>
  <c r="Q111" i="4"/>
  <c r="M112" i="4"/>
  <c r="Q112" i="4"/>
  <c r="N112" i="4"/>
  <c r="M113" i="4"/>
  <c r="N113" i="4"/>
  <c r="Q113" i="4"/>
  <c r="M114" i="4"/>
  <c r="N114" i="4"/>
  <c r="Q114" i="4"/>
  <c r="N115" i="4"/>
  <c r="Q115" i="4"/>
  <c r="M115" i="4"/>
  <c r="M116" i="4"/>
  <c r="N116" i="4"/>
  <c r="Q116" i="4"/>
  <c r="M117" i="4"/>
  <c r="N117" i="4"/>
  <c r="Q117" i="4"/>
  <c r="N118" i="4"/>
  <c r="M118" i="4"/>
  <c r="Q118" i="4"/>
  <c r="Q119" i="4"/>
  <c r="N119" i="4"/>
  <c r="M119" i="4"/>
  <c r="Q120" i="4"/>
  <c r="N120" i="4"/>
  <c r="M120" i="4"/>
  <c r="Q121" i="4"/>
  <c r="N121" i="4"/>
  <c r="M121" i="4"/>
  <c r="Q122" i="4"/>
  <c r="N122" i="4"/>
  <c r="M122" i="4"/>
  <c r="N124" i="4"/>
  <c r="Q124" i="4"/>
  <c r="M124" i="4"/>
  <c r="M123" i="4"/>
  <c r="N123" i="4"/>
  <c r="Q123" i="4"/>
  <c r="M108" i="4"/>
  <c r="N108" i="4"/>
  <c r="Q108" i="4"/>
  <c r="Q125" i="4"/>
  <c r="N125" i="4"/>
  <c r="M125" i="4"/>
  <c r="M110" i="4"/>
  <c r="N110" i="4"/>
  <c r="Q110" i="4"/>
  <c r="M87" i="4"/>
  <c r="N87" i="4"/>
  <c r="Q87" i="4"/>
  <c r="M86" i="4"/>
  <c r="N86" i="4"/>
  <c r="Q86" i="4"/>
  <c r="M85" i="4"/>
  <c r="N85" i="4"/>
  <c r="Q85" i="4"/>
  <c r="M84" i="4"/>
  <c r="N84" i="4"/>
  <c r="Q84" i="4"/>
  <c r="N83" i="4"/>
  <c r="Q83" i="4"/>
  <c r="M83" i="4"/>
  <c r="M82" i="4"/>
  <c r="Q82" i="4"/>
  <c r="N82" i="4"/>
  <c r="Q81" i="4"/>
  <c r="N81" i="4"/>
  <c r="M81" i="4"/>
  <c r="Q80" i="4"/>
  <c r="N80" i="4"/>
  <c r="M80" i="4"/>
  <c r="Q79" i="4"/>
  <c r="N79" i="4"/>
  <c r="M79" i="4"/>
  <c r="Q78" i="4"/>
  <c r="N78" i="4"/>
  <c r="M78" i="4"/>
  <c r="Q77" i="4"/>
  <c r="N77" i="4"/>
  <c r="M77" i="4"/>
  <c r="Q76" i="4"/>
  <c r="N76" i="4"/>
  <c r="M76" i="4"/>
  <c r="Q75" i="4"/>
  <c r="N75" i="4"/>
  <c r="M75" i="4"/>
  <c r="Q74" i="4"/>
  <c r="M74" i="4"/>
  <c r="N74" i="4"/>
  <c r="M73" i="4"/>
  <c r="N73" i="4"/>
  <c r="Q73" i="4"/>
  <c r="M72" i="4"/>
  <c r="N72" i="4"/>
  <c r="Q72" i="4"/>
  <c r="N89" i="4"/>
  <c r="M89" i="4"/>
  <c r="Q89" i="4"/>
</calcChain>
</file>

<file path=xl/sharedStrings.xml><?xml version="1.0" encoding="utf-8"?>
<sst xmlns="http://schemas.openxmlformats.org/spreadsheetml/2006/main" count="150" uniqueCount="22">
  <si>
    <t>Date</t>
  </si>
  <si>
    <t>Property Crimes</t>
  </si>
  <si>
    <t>Combined</t>
  </si>
  <si>
    <t>Violent Crimes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</si>
  <si>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</si>
  <si>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</si>
  <si>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</si>
  <si>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</si>
  <si>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</si>
  <si>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</si>
  <si>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</si>
  <si>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</si>
  <si>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</si>
  <si>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Calendar Year</t>
  </si>
  <si>
    <t>Annual Violent</t>
  </si>
  <si>
    <t>Annual Property</t>
  </si>
  <si>
    <t>Annual Combined</t>
  </si>
  <si>
    <t>Calendar Yr</t>
  </si>
  <si>
    <t>t^2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</si>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</sst>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33" borderId="0" xfId="0" applyNumberFormat="1" applyFill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Counts of Violent Crime in Schertz, TX    2016 - 2017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Crime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'!$K$2:$K$11</c:f>
              <c:numCache>
                <c:formatCode>0</c:formatCode>
                <c:ptCount val="10"/>
                <c:pt idx="1">
                  <c:v>14</c:v>
                </c:pt>
                <c:pt idx="2">
                  <c:v>4</c:v>
                </c:pt>
                <c:pt idx="3">
                  <c:v>17</c:v>
                </c:pt>
                <c:pt idx="4">
                  <c:v>17</c:v>
                </c:pt>
                <c:pt idx="5">
                  <c:v>24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E-2047-A431-B559653D906B}"/>
            </c:ext>
          </c:extLst>
        </c:ser>
        <c:ser>
          <c:idx val="1"/>
          <c:order val="1"/>
          <c:tx>
            <c:strRef>
              <c:f>'Annual Violent Crime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AE-2047-A431-B559653D906B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AE-2047-A431-B559653D90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'!$L$2:$L$11</c:f>
              <c:numCache>
                <c:formatCode>0</c:formatCode>
                <c:ptCount val="10"/>
                <c:pt idx="1">
                  <c:v>49.004999999999995</c:v>
                </c:pt>
                <c:pt idx="2">
                  <c:v>49.004999999999995</c:v>
                </c:pt>
                <c:pt idx="3">
                  <c:v>49.004999999999995</c:v>
                </c:pt>
                <c:pt idx="4">
                  <c:v>49.004999999999995</c:v>
                </c:pt>
                <c:pt idx="5">
                  <c:v>49.004999999999995</c:v>
                </c:pt>
                <c:pt idx="6">
                  <c:v>49.004999999999995</c:v>
                </c:pt>
                <c:pt idx="7">
                  <c:v>49.004999999999995</c:v>
                </c:pt>
                <c:pt idx="8">
                  <c:v>49.004999999999995</c:v>
                </c:pt>
                <c:pt idx="9">
                  <c:v>49.004999999999995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AE-2047-A431-B559653D906B}"/>
            </c:ext>
          </c:extLst>
        </c:ser>
        <c:ser>
          <c:idx val="2"/>
          <c:order val="2"/>
          <c:tx>
            <c:strRef>
              <c:f>'Annual Violent Crime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'!$M$2:$M$11</c:f>
              <c:numCache>
                <c:formatCode>0</c:formatCode>
                <c:ptCount val="10"/>
                <c:pt idx="1">
                  <c:v>37.669999999999995</c:v>
                </c:pt>
                <c:pt idx="2">
                  <c:v>37.669999999999995</c:v>
                </c:pt>
                <c:pt idx="3">
                  <c:v>37.669999999999995</c:v>
                </c:pt>
                <c:pt idx="4">
                  <c:v>37.669999999999995</c:v>
                </c:pt>
                <c:pt idx="5">
                  <c:v>37.669999999999995</c:v>
                </c:pt>
                <c:pt idx="6">
                  <c:v>37.669999999999995</c:v>
                </c:pt>
                <c:pt idx="7">
                  <c:v>37.669999999999995</c:v>
                </c:pt>
                <c:pt idx="8">
                  <c:v>37.669999999999995</c:v>
                </c:pt>
                <c:pt idx="9">
                  <c:v>37.669999999999995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AE-2047-A431-B559653D906B}"/>
            </c:ext>
          </c:extLst>
        </c:ser>
        <c:ser>
          <c:idx val="3"/>
          <c:order val="3"/>
          <c:tx>
            <c:strRef>
              <c:f>'Annual Violent Crime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'!$N$2:$N$11</c:f>
              <c:numCache>
                <c:formatCode>0</c:formatCode>
                <c:ptCount val="10"/>
                <c:pt idx="1">
                  <c:v>26.334999999999997</c:v>
                </c:pt>
                <c:pt idx="2">
                  <c:v>26.334999999999997</c:v>
                </c:pt>
                <c:pt idx="3">
                  <c:v>26.334999999999997</c:v>
                </c:pt>
                <c:pt idx="4">
                  <c:v>26.334999999999997</c:v>
                </c:pt>
                <c:pt idx="5">
                  <c:v>26.334999999999997</c:v>
                </c:pt>
                <c:pt idx="6">
                  <c:v>26.334999999999997</c:v>
                </c:pt>
                <c:pt idx="7">
                  <c:v>26.334999999999997</c:v>
                </c:pt>
                <c:pt idx="8">
                  <c:v>26.334999999999997</c:v>
                </c:pt>
                <c:pt idx="9">
                  <c:v>26.334999999999997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AE-2047-A431-B559653D906B}"/>
            </c:ext>
          </c:extLst>
        </c:ser>
        <c:ser>
          <c:idx val="4"/>
          <c:order val="4"/>
          <c:tx>
            <c:strRef>
              <c:f>'Annual Violent Crime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AE-2047-A431-B559653D906B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AE-2047-A431-B559653D906B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AE-2047-A431-B559653D906B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ACAE-2047-A431-B559653D906B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AE-2047-A431-B559653D906B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ACAE-2047-A431-B559653D906B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ACAE-2047-A431-B559653D906B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ACAE-2047-A431-B559653D906B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ACAE-2047-A431-B559653D906B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ACAE-2047-A431-B559653D906B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CAE-2047-A431-B559653D906B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CAE-2047-A431-B559653D90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'!$O$2:$O$11</c:f>
              <c:numCache>
                <c:formatCode>0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CAE-2047-A431-B559653D906B}"/>
            </c:ext>
          </c:extLst>
        </c:ser>
        <c:ser>
          <c:idx val="5"/>
          <c:order val="5"/>
          <c:tx>
            <c:strRef>
              <c:f>'Annual Violent Crime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'!$P$2:$P$11</c:f>
              <c:numCache>
                <c:formatCode>0</c:formatCode>
                <c:ptCount val="10"/>
                <c:pt idx="1">
                  <c:v>3.6650000000000027</c:v>
                </c:pt>
                <c:pt idx="2">
                  <c:v>3.6650000000000027</c:v>
                </c:pt>
                <c:pt idx="3">
                  <c:v>3.6650000000000027</c:v>
                </c:pt>
                <c:pt idx="4">
                  <c:v>3.6650000000000027</c:v>
                </c:pt>
                <c:pt idx="5">
                  <c:v>3.6650000000000027</c:v>
                </c:pt>
                <c:pt idx="6">
                  <c:v>3.6650000000000027</c:v>
                </c:pt>
                <c:pt idx="7">
                  <c:v>3.6650000000000027</c:v>
                </c:pt>
                <c:pt idx="8">
                  <c:v>3.6650000000000027</c:v>
                </c:pt>
                <c:pt idx="9">
                  <c:v>3.6650000000000027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CAE-2047-A431-B559653D906B}"/>
            </c:ext>
          </c:extLst>
        </c:ser>
        <c:ser>
          <c:idx val="6"/>
          <c:order val="6"/>
          <c:tx>
            <c:strRef>
              <c:f>'Annual Violent Crime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CAE-2047-A431-B559653D906B}"/>
            </c:ext>
          </c:extLst>
        </c:ser>
        <c:ser>
          <c:idx val="7"/>
          <c:order val="7"/>
          <c:tx>
            <c:strRef>
              <c:f>'Annual Violent Crime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CAE-2047-A431-B559653D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302127"/>
        <c:axId val="2034765231"/>
      </c:lineChart>
      <c:catAx>
        <c:axId val="187430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4765231"/>
        <c:crosses val="autoZero"/>
        <c:auto val="0"/>
        <c:lblAlgn val="ctr"/>
        <c:lblOffset val="100"/>
        <c:noMultiLvlLbl val="0"/>
      </c:catAx>
      <c:valAx>
        <c:axId val="2034765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7430212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Count of Violent Crime in Schertz, TX    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Crime XmR '!$B$1</c:f>
              <c:strCache>
                <c:ptCount val="1"/>
                <c:pt idx="0">
                  <c:v>Annual Violent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'!$B$2:$B$11</c:f>
              <c:numCache>
                <c:formatCode>0</c:formatCode>
                <c:ptCount val="10"/>
                <c:pt idx="0">
                  <c:v>85</c:v>
                </c:pt>
                <c:pt idx="1">
                  <c:v>99</c:v>
                </c:pt>
                <c:pt idx="2">
                  <c:v>95</c:v>
                </c:pt>
                <c:pt idx="3">
                  <c:v>78</c:v>
                </c:pt>
                <c:pt idx="4">
                  <c:v>61</c:v>
                </c:pt>
                <c:pt idx="5">
                  <c:v>37</c:v>
                </c:pt>
                <c:pt idx="6">
                  <c:v>60</c:v>
                </c:pt>
                <c:pt idx="7">
                  <c:v>71</c:v>
                </c:pt>
                <c:pt idx="8">
                  <c:v>69</c:v>
                </c:pt>
                <c:pt idx="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C-C346-8F2F-0BC4A8A347B4}"/>
            </c:ext>
          </c:extLst>
        </c:ser>
        <c:ser>
          <c:idx val="1"/>
          <c:order val="1"/>
          <c:tx>
            <c:strRef>
              <c:f>'Annual Violent Crime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'!$C$2:$C$11</c:f>
              <c:numCache>
                <c:formatCode>0</c:formatCode>
                <c:ptCount val="10"/>
                <c:pt idx="0">
                  <c:v>114.60000000000001</c:v>
                </c:pt>
                <c:pt idx="1">
                  <c:v>114.60000000000001</c:v>
                </c:pt>
                <c:pt idx="2">
                  <c:v>114.60000000000001</c:v>
                </c:pt>
                <c:pt idx="3">
                  <c:v>114.60000000000001</c:v>
                </c:pt>
                <c:pt idx="4">
                  <c:v>114.60000000000001</c:v>
                </c:pt>
                <c:pt idx="5">
                  <c:v>114.60000000000001</c:v>
                </c:pt>
                <c:pt idx="6">
                  <c:v>114.60000000000001</c:v>
                </c:pt>
                <c:pt idx="7">
                  <c:v>114.60000000000001</c:v>
                </c:pt>
                <c:pt idx="8">
                  <c:v>114.60000000000001</c:v>
                </c:pt>
                <c:pt idx="9">
                  <c:v>114.60000000000001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6C-C346-8F2F-0BC4A8A347B4}"/>
            </c:ext>
          </c:extLst>
        </c:ser>
        <c:ser>
          <c:idx val="2"/>
          <c:order val="2"/>
          <c:tx>
            <c:strRef>
              <c:f>'Annual Violent Crime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'!$D$2:$D$11</c:f>
              <c:numCache>
                <c:formatCode>0</c:formatCode>
                <c:ptCount val="10"/>
                <c:pt idx="0">
                  <c:v>101.30000000000001</c:v>
                </c:pt>
                <c:pt idx="1">
                  <c:v>101.30000000000001</c:v>
                </c:pt>
                <c:pt idx="2">
                  <c:v>101.30000000000001</c:v>
                </c:pt>
                <c:pt idx="3">
                  <c:v>101.30000000000001</c:v>
                </c:pt>
                <c:pt idx="4">
                  <c:v>101.30000000000001</c:v>
                </c:pt>
                <c:pt idx="5">
                  <c:v>101.30000000000001</c:v>
                </c:pt>
                <c:pt idx="6">
                  <c:v>101.30000000000001</c:v>
                </c:pt>
                <c:pt idx="7">
                  <c:v>101.30000000000001</c:v>
                </c:pt>
                <c:pt idx="8">
                  <c:v>101.30000000000001</c:v>
                </c:pt>
                <c:pt idx="9">
                  <c:v>101.30000000000001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6C-C346-8F2F-0BC4A8A347B4}"/>
            </c:ext>
          </c:extLst>
        </c:ser>
        <c:ser>
          <c:idx val="3"/>
          <c:order val="3"/>
          <c:tx>
            <c:strRef>
              <c:f>'Annual Violent Crime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'!$E$2:$E$11</c:f>
              <c:numCache>
                <c:formatCode>0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6C-C346-8F2F-0BC4A8A347B4}"/>
            </c:ext>
          </c:extLst>
        </c:ser>
        <c:ser>
          <c:idx val="4"/>
          <c:order val="4"/>
          <c:tx>
            <c:strRef>
              <c:f>'Annual Violent Crime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6C-C346-8F2F-0BC4A8A347B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6C-C346-8F2F-0BC4A8A347B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6C-C346-8F2F-0BC4A8A347B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6C-C346-8F2F-0BC4A8A347B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B6C-C346-8F2F-0BC4A8A347B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B6C-C346-8F2F-0BC4A8A347B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B6C-C346-8F2F-0BC4A8A347B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B6C-C346-8F2F-0BC4A8A347B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B6C-C346-8F2F-0BC4A8A347B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B6C-C346-8F2F-0BC4A8A347B4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'!$F$2:$F$11</c:f>
              <c:numCache>
                <c:formatCode>0</c:formatCode>
                <c:ptCount val="10"/>
                <c:pt idx="0">
                  <c:v>74.7</c:v>
                </c:pt>
                <c:pt idx="1">
                  <c:v>74.7</c:v>
                </c:pt>
                <c:pt idx="2">
                  <c:v>74.7</c:v>
                </c:pt>
                <c:pt idx="3">
                  <c:v>74.7</c:v>
                </c:pt>
                <c:pt idx="4">
                  <c:v>74.7</c:v>
                </c:pt>
                <c:pt idx="5">
                  <c:v>74.7</c:v>
                </c:pt>
                <c:pt idx="6">
                  <c:v>74.7</c:v>
                </c:pt>
                <c:pt idx="7">
                  <c:v>74.7</c:v>
                </c:pt>
                <c:pt idx="8">
                  <c:v>74.7</c:v>
                </c:pt>
                <c:pt idx="9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B6C-C346-8F2F-0BC4A8A347B4}"/>
            </c:ext>
          </c:extLst>
        </c:ser>
        <c:ser>
          <c:idx val="5"/>
          <c:order val="5"/>
          <c:tx>
            <c:strRef>
              <c:f>'Annual Violent Crime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'!$G$2:$G$11</c:f>
              <c:numCache>
                <c:formatCode>0</c:formatCode>
                <c:ptCount val="10"/>
                <c:pt idx="0">
                  <c:v>61.400000000000006</c:v>
                </c:pt>
                <c:pt idx="1">
                  <c:v>61.400000000000006</c:v>
                </c:pt>
                <c:pt idx="2">
                  <c:v>61.400000000000006</c:v>
                </c:pt>
                <c:pt idx="3">
                  <c:v>61.400000000000006</c:v>
                </c:pt>
                <c:pt idx="4">
                  <c:v>61.400000000000006</c:v>
                </c:pt>
                <c:pt idx="5">
                  <c:v>61.400000000000006</c:v>
                </c:pt>
                <c:pt idx="6">
                  <c:v>61.400000000000006</c:v>
                </c:pt>
                <c:pt idx="7">
                  <c:v>61.400000000000006</c:v>
                </c:pt>
                <c:pt idx="8">
                  <c:v>61.400000000000006</c:v>
                </c:pt>
                <c:pt idx="9">
                  <c:v>61.400000000000006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B6C-C346-8F2F-0BC4A8A347B4}"/>
            </c:ext>
          </c:extLst>
        </c:ser>
        <c:ser>
          <c:idx val="6"/>
          <c:order val="6"/>
          <c:tx>
            <c:strRef>
              <c:f>'Annual Violent Crime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'!$H$2:$H$11</c:f>
              <c:numCache>
                <c:formatCode>0</c:formatCode>
                <c:ptCount val="10"/>
                <c:pt idx="0">
                  <c:v>48.1</c:v>
                </c:pt>
                <c:pt idx="1">
                  <c:v>48.1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</c:v>
                </c:pt>
                <c:pt idx="6">
                  <c:v>48.1</c:v>
                </c:pt>
                <c:pt idx="7">
                  <c:v>48.1</c:v>
                </c:pt>
                <c:pt idx="8">
                  <c:v>48.1</c:v>
                </c:pt>
                <c:pt idx="9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B6C-C346-8F2F-0BC4A8A347B4}"/>
            </c:ext>
          </c:extLst>
        </c:ser>
        <c:ser>
          <c:idx val="7"/>
          <c:order val="7"/>
          <c:tx>
            <c:strRef>
              <c:f>'Annual Violent Crime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BB6C-C346-8F2F-0BC4A8A347B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B6C-C346-8F2F-0BC4A8A347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Crime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Crime XmR '!$I$2:$I$11</c:f>
              <c:numCache>
                <c:formatCode>0</c:formatCode>
                <c:ptCount val="10"/>
                <c:pt idx="0">
                  <c:v>34.799999999999997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6C-C346-8F2F-0BC4A8A3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797439"/>
        <c:axId val="1876345679"/>
      </c:lineChart>
      <c:catAx>
        <c:axId val="203479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6345679"/>
        <c:crosses val="autoZero"/>
        <c:auto val="0"/>
        <c:lblAlgn val="ctr"/>
        <c:lblOffset val="100"/>
        <c:noMultiLvlLbl val="0"/>
      </c:catAx>
      <c:valAx>
        <c:axId val="1876345679"/>
        <c:scaling>
          <c:orientation val="minMax"/>
          <c:min val="21.5"/>
        </c:scaling>
        <c:delete val="0"/>
        <c:axPos val="l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Annual Count -Violent Crime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03479743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Property Crime  2016 - 2025</a:t>
            </a:r>
          </a:p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 Crime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'!$K$2:$K$11</c:f>
              <c:numCache>
                <c:formatCode>0</c:formatCode>
                <c:ptCount val="10"/>
                <c:pt idx="1">
                  <c:v>34</c:v>
                </c:pt>
                <c:pt idx="2">
                  <c:v>24</c:v>
                </c:pt>
                <c:pt idx="3">
                  <c:v>111</c:v>
                </c:pt>
                <c:pt idx="4">
                  <c:v>100</c:v>
                </c:pt>
                <c:pt idx="5">
                  <c:v>88</c:v>
                </c:pt>
                <c:pt idx="6">
                  <c:v>129</c:v>
                </c:pt>
                <c:pt idx="7">
                  <c:v>78</c:v>
                </c:pt>
                <c:pt idx="8">
                  <c:v>33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3-814F-A987-C8CA3070F0EC}"/>
            </c:ext>
          </c:extLst>
        </c:ser>
        <c:ser>
          <c:idx val="1"/>
          <c:order val="1"/>
          <c:tx>
            <c:strRef>
              <c:f>'Annual Prop Crime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8B3-814F-A987-C8CA3070F0E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B3-814F-A987-C8CA3070F0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'!$L$2:$L$11</c:f>
              <c:numCache>
                <c:formatCode>0</c:formatCode>
                <c:ptCount val="10"/>
                <c:pt idx="1">
                  <c:v>223.971</c:v>
                </c:pt>
                <c:pt idx="2">
                  <c:v>223.971</c:v>
                </c:pt>
                <c:pt idx="3">
                  <c:v>223.971</c:v>
                </c:pt>
                <c:pt idx="4">
                  <c:v>223.971</c:v>
                </c:pt>
                <c:pt idx="5">
                  <c:v>223.971</c:v>
                </c:pt>
                <c:pt idx="6">
                  <c:v>223.971</c:v>
                </c:pt>
                <c:pt idx="7">
                  <c:v>223.971</c:v>
                </c:pt>
                <c:pt idx="8">
                  <c:v>223.971</c:v>
                </c:pt>
                <c:pt idx="9">
                  <c:v>223.971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3-814F-A987-C8CA3070F0EC}"/>
            </c:ext>
          </c:extLst>
        </c:ser>
        <c:ser>
          <c:idx val="2"/>
          <c:order val="2"/>
          <c:tx>
            <c:strRef>
              <c:f>'Annual Prop Crime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'!$M$2:$M$11</c:f>
              <c:numCache>
                <c:formatCode>0</c:formatCode>
                <c:ptCount val="10"/>
                <c:pt idx="1">
                  <c:v>172.16585185185187</c:v>
                </c:pt>
                <c:pt idx="2">
                  <c:v>172.16585185185187</c:v>
                </c:pt>
                <c:pt idx="3">
                  <c:v>172.16585185185187</c:v>
                </c:pt>
                <c:pt idx="4">
                  <c:v>172.16585185185187</c:v>
                </c:pt>
                <c:pt idx="5">
                  <c:v>172.16585185185187</c:v>
                </c:pt>
                <c:pt idx="6">
                  <c:v>172.16585185185187</c:v>
                </c:pt>
                <c:pt idx="7">
                  <c:v>172.16585185185187</c:v>
                </c:pt>
                <c:pt idx="8">
                  <c:v>172.16585185185187</c:v>
                </c:pt>
                <c:pt idx="9">
                  <c:v>172.16585185185187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3-814F-A987-C8CA3070F0EC}"/>
            </c:ext>
          </c:extLst>
        </c:ser>
        <c:ser>
          <c:idx val="3"/>
          <c:order val="3"/>
          <c:tx>
            <c:strRef>
              <c:f>'Annual Prop Crime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'!$N$2:$N$11</c:f>
              <c:numCache>
                <c:formatCode>0</c:formatCode>
                <c:ptCount val="10"/>
                <c:pt idx="1">
                  <c:v>120.36070370370371</c:v>
                </c:pt>
                <c:pt idx="2">
                  <c:v>120.36070370370371</c:v>
                </c:pt>
                <c:pt idx="3">
                  <c:v>120.36070370370371</c:v>
                </c:pt>
                <c:pt idx="4">
                  <c:v>120.36070370370371</c:v>
                </c:pt>
                <c:pt idx="5">
                  <c:v>120.36070370370371</c:v>
                </c:pt>
                <c:pt idx="6">
                  <c:v>120.36070370370371</c:v>
                </c:pt>
                <c:pt idx="7">
                  <c:v>120.36070370370371</c:v>
                </c:pt>
                <c:pt idx="8">
                  <c:v>120.36070370370371</c:v>
                </c:pt>
                <c:pt idx="9">
                  <c:v>120.36070370370371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B3-814F-A987-C8CA3070F0EC}"/>
            </c:ext>
          </c:extLst>
        </c:ser>
        <c:ser>
          <c:idx val="4"/>
          <c:order val="4"/>
          <c:tx>
            <c:strRef>
              <c:f>'Annual Prop Crime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3-814F-A987-C8CA3070F0E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3-814F-A987-C8CA3070F0E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3-814F-A987-C8CA3070F0E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3-814F-A987-C8CA3070F0E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3-814F-A987-C8CA3070F0E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B3-814F-A987-C8CA3070F0E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B3-814F-A987-C8CA3070F0E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D8B3-814F-A987-C8CA3070F0E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8B3-814F-A987-C8CA3070F0E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D8B3-814F-A987-C8CA3070F0E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8B3-814F-A987-C8CA3070F0E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8B3-814F-A987-C8CA3070F0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'!$O$2:$O$11</c:f>
              <c:numCache>
                <c:formatCode>0</c:formatCode>
                <c:ptCount val="10"/>
                <c:pt idx="0">
                  <c:v>68.555555555555557</c:v>
                </c:pt>
                <c:pt idx="1">
                  <c:v>68.555555555555557</c:v>
                </c:pt>
                <c:pt idx="2">
                  <c:v>68.555555555555557</c:v>
                </c:pt>
                <c:pt idx="3">
                  <c:v>68.555555555555557</c:v>
                </c:pt>
                <c:pt idx="4">
                  <c:v>68.555555555555557</c:v>
                </c:pt>
                <c:pt idx="5">
                  <c:v>68.555555555555557</c:v>
                </c:pt>
                <c:pt idx="6">
                  <c:v>68.555555555555557</c:v>
                </c:pt>
                <c:pt idx="7">
                  <c:v>68.555555555555557</c:v>
                </c:pt>
                <c:pt idx="8">
                  <c:v>68.555555555555557</c:v>
                </c:pt>
                <c:pt idx="9">
                  <c:v>68.555555555555557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8B3-814F-A987-C8CA3070F0EC}"/>
            </c:ext>
          </c:extLst>
        </c:ser>
        <c:ser>
          <c:idx val="5"/>
          <c:order val="5"/>
          <c:tx>
            <c:strRef>
              <c:f>'Annual Prop Crime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'!$P$2:$P$11</c:f>
              <c:numCache>
                <c:formatCode>0</c:formatCode>
                <c:ptCount val="10"/>
                <c:pt idx="1">
                  <c:v>16.750407407407408</c:v>
                </c:pt>
                <c:pt idx="2">
                  <c:v>16.750407407407408</c:v>
                </c:pt>
                <c:pt idx="3">
                  <c:v>16.750407407407408</c:v>
                </c:pt>
                <c:pt idx="4">
                  <c:v>16.750407407407408</c:v>
                </c:pt>
                <c:pt idx="5">
                  <c:v>16.750407407407408</c:v>
                </c:pt>
                <c:pt idx="6">
                  <c:v>16.750407407407408</c:v>
                </c:pt>
                <c:pt idx="7">
                  <c:v>16.750407407407408</c:v>
                </c:pt>
                <c:pt idx="8">
                  <c:v>16.750407407407408</c:v>
                </c:pt>
                <c:pt idx="9">
                  <c:v>16.750407407407408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8B3-814F-A987-C8CA3070F0EC}"/>
            </c:ext>
          </c:extLst>
        </c:ser>
        <c:ser>
          <c:idx val="6"/>
          <c:order val="6"/>
          <c:tx>
            <c:strRef>
              <c:f>'Annual Prop Crime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8B3-814F-A987-C8CA3070F0EC}"/>
            </c:ext>
          </c:extLst>
        </c:ser>
        <c:ser>
          <c:idx val="7"/>
          <c:order val="7"/>
          <c:tx>
            <c:strRef>
              <c:f>'Annual Prop Crime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8B3-814F-A987-C8CA3070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874031"/>
        <c:axId val="1875545983"/>
      </c:lineChart>
      <c:catAx>
        <c:axId val="187587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5545983"/>
        <c:crosses val="autoZero"/>
        <c:auto val="0"/>
        <c:lblAlgn val="ctr"/>
        <c:lblOffset val="100"/>
        <c:noMultiLvlLbl val="0"/>
      </c:catAx>
      <c:valAx>
        <c:axId val="1875545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7587403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Chart-Annual Property Crime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 Crime Trended XmR '!$B$1</c:f>
              <c:strCache>
                <c:ptCount val="1"/>
                <c:pt idx="0">
                  <c:v>Annual Property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'!$B$2:$B$11</c:f>
              <c:numCache>
                <c:formatCode>0</c:formatCode>
                <c:ptCount val="10"/>
                <c:pt idx="0">
                  <c:v>729</c:v>
                </c:pt>
                <c:pt idx="1">
                  <c:v>695</c:v>
                </c:pt>
                <c:pt idx="2">
                  <c:v>671</c:v>
                </c:pt>
                <c:pt idx="3">
                  <c:v>560</c:v>
                </c:pt>
                <c:pt idx="4">
                  <c:v>460</c:v>
                </c:pt>
                <c:pt idx="5">
                  <c:v>372</c:v>
                </c:pt>
                <c:pt idx="6">
                  <c:v>501</c:v>
                </c:pt>
                <c:pt idx="7">
                  <c:v>423</c:v>
                </c:pt>
                <c:pt idx="8">
                  <c:v>390</c:v>
                </c:pt>
                <c:pt idx="9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5-624D-B452-5B02B03C4A00}"/>
            </c:ext>
          </c:extLst>
        </c:ser>
        <c:ser>
          <c:idx val="1"/>
          <c:order val="1"/>
          <c:tx>
            <c:strRef>
              <c:f>'Annual Prop Crime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'!$C$2:$C$11</c:f>
              <c:numCache>
                <c:formatCode>0</c:formatCode>
                <c:ptCount val="10"/>
                <c:pt idx="0">
                  <c:v>886.84868686868697</c:v>
                </c:pt>
                <c:pt idx="1">
                  <c:v>845.20626262626274</c:v>
                </c:pt>
                <c:pt idx="2">
                  <c:v>803.5638383838384</c:v>
                </c:pt>
                <c:pt idx="3">
                  <c:v>761.92141414141417</c:v>
                </c:pt>
                <c:pt idx="4">
                  <c:v>720.27898989898995</c:v>
                </c:pt>
                <c:pt idx="5">
                  <c:v>678.63656565656572</c:v>
                </c:pt>
                <c:pt idx="6">
                  <c:v>636.99414141414138</c:v>
                </c:pt>
                <c:pt idx="7">
                  <c:v>595.35171717171715</c:v>
                </c:pt>
                <c:pt idx="8">
                  <c:v>553.70929292929293</c:v>
                </c:pt>
                <c:pt idx="9">
                  <c:v>512.0668686868687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D5-624D-B452-5B02B03C4A00}"/>
            </c:ext>
          </c:extLst>
        </c:ser>
        <c:ser>
          <c:idx val="2"/>
          <c:order val="2"/>
          <c:tx>
            <c:strRef>
              <c:f>'Annual Prop Crime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'!$D$2:$D$11</c:f>
              <c:numCache>
                <c:formatCode>0</c:formatCode>
                <c:ptCount val="10"/>
                <c:pt idx="0">
                  <c:v>826.06276094276109</c:v>
                </c:pt>
                <c:pt idx="1">
                  <c:v>784.42033670033686</c:v>
                </c:pt>
                <c:pt idx="2">
                  <c:v>742.77791245791252</c:v>
                </c:pt>
                <c:pt idx="3">
                  <c:v>701.13548821548829</c:v>
                </c:pt>
                <c:pt idx="4">
                  <c:v>659.49306397306407</c:v>
                </c:pt>
                <c:pt idx="5">
                  <c:v>617.85063973063973</c:v>
                </c:pt>
                <c:pt idx="6">
                  <c:v>576.2082154882155</c:v>
                </c:pt>
                <c:pt idx="7">
                  <c:v>534.56579124579127</c:v>
                </c:pt>
                <c:pt idx="8">
                  <c:v>492.92336700336705</c:v>
                </c:pt>
                <c:pt idx="9">
                  <c:v>451.28094276094276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D5-624D-B452-5B02B03C4A00}"/>
            </c:ext>
          </c:extLst>
        </c:ser>
        <c:ser>
          <c:idx val="3"/>
          <c:order val="3"/>
          <c:tx>
            <c:strRef>
              <c:f>'Annual Prop Crime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'!$E$2:$E$11</c:f>
              <c:numCache>
                <c:formatCode>0</c:formatCode>
                <c:ptCount val="10"/>
                <c:pt idx="0">
                  <c:v>765.27683501683509</c:v>
                </c:pt>
                <c:pt idx="1">
                  <c:v>723.63441077441087</c:v>
                </c:pt>
                <c:pt idx="2">
                  <c:v>681.99198653198653</c:v>
                </c:pt>
                <c:pt idx="3">
                  <c:v>640.3495622895623</c:v>
                </c:pt>
                <c:pt idx="4">
                  <c:v>598.70713804713807</c:v>
                </c:pt>
                <c:pt idx="5">
                  <c:v>557.06471380471385</c:v>
                </c:pt>
                <c:pt idx="6">
                  <c:v>515.42228956228951</c:v>
                </c:pt>
                <c:pt idx="7">
                  <c:v>473.77986531986534</c:v>
                </c:pt>
                <c:pt idx="8">
                  <c:v>432.13744107744111</c:v>
                </c:pt>
                <c:pt idx="9">
                  <c:v>390.49501683501683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D5-624D-B452-5B02B03C4A00}"/>
            </c:ext>
          </c:extLst>
        </c:ser>
        <c:ser>
          <c:idx val="4"/>
          <c:order val="4"/>
          <c:tx>
            <c:strRef>
              <c:f>'Annual Prop Crime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0D5-624D-B452-5B02B03C4A00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0D5-624D-B452-5B02B03C4A00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0D5-624D-B452-5B02B03C4A00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D0D5-624D-B452-5B02B03C4A00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0D5-624D-B452-5B02B03C4A00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0D5-624D-B452-5B02B03C4A00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0D5-624D-B452-5B02B03C4A00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D0D5-624D-B452-5B02B03C4A00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D0D5-624D-B452-5B02B03C4A00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D0D5-624D-B452-5B02B03C4A00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'!$F$2:$F$11</c:f>
              <c:numCache>
                <c:formatCode>0</c:formatCode>
                <c:ptCount val="10"/>
                <c:pt idx="0">
                  <c:v>704.49090909090921</c:v>
                </c:pt>
                <c:pt idx="1">
                  <c:v>662.84848484848499</c:v>
                </c:pt>
                <c:pt idx="2">
                  <c:v>621.20606060606065</c:v>
                </c:pt>
                <c:pt idx="3">
                  <c:v>579.56363636363642</c:v>
                </c:pt>
                <c:pt idx="4">
                  <c:v>537.92121212121219</c:v>
                </c:pt>
                <c:pt idx="5">
                  <c:v>496.27878787878791</c:v>
                </c:pt>
                <c:pt idx="6">
                  <c:v>454.63636363636363</c:v>
                </c:pt>
                <c:pt idx="7">
                  <c:v>412.9939393939394</c:v>
                </c:pt>
                <c:pt idx="8">
                  <c:v>371.35151515151517</c:v>
                </c:pt>
                <c:pt idx="9">
                  <c:v>329.70909090909089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0D5-624D-B452-5B02B03C4A00}"/>
            </c:ext>
          </c:extLst>
        </c:ser>
        <c:ser>
          <c:idx val="5"/>
          <c:order val="5"/>
          <c:tx>
            <c:strRef>
              <c:f>'Annual Prop Crime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'!$G$2:$G$11</c:f>
              <c:numCache>
                <c:formatCode>0</c:formatCode>
                <c:ptCount val="10"/>
                <c:pt idx="0">
                  <c:v>643.70498316498333</c:v>
                </c:pt>
                <c:pt idx="1">
                  <c:v>602.06255892255911</c:v>
                </c:pt>
                <c:pt idx="2">
                  <c:v>560.42013468013477</c:v>
                </c:pt>
                <c:pt idx="3">
                  <c:v>518.77771043771054</c:v>
                </c:pt>
                <c:pt idx="4">
                  <c:v>477.13528619528626</c:v>
                </c:pt>
                <c:pt idx="5">
                  <c:v>435.49286195286197</c:v>
                </c:pt>
                <c:pt idx="6">
                  <c:v>393.85043771043769</c:v>
                </c:pt>
                <c:pt idx="7">
                  <c:v>352.20801346801346</c:v>
                </c:pt>
                <c:pt idx="8">
                  <c:v>310.56558922558924</c:v>
                </c:pt>
                <c:pt idx="9">
                  <c:v>268.92316498316495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0D5-624D-B452-5B02B03C4A00}"/>
            </c:ext>
          </c:extLst>
        </c:ser>
        <c:ser>
          <c:idx val="6"/>
          <c:order val="6"/>
          <c:tx>
            <c:strRef>
              <c:f>'Annual Prop Crime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'!$H$2:$H$11</c:f>
              <c:numCache>
                <c:formatCode>0</c:formatCode>
                <c:ptCount val="10"/>
                <c:pt idx="0">
                  <c:v>582.91905723905734</c:v>
                </c:pt>
                <c:pt idx="1">
                  <c:v>541.27663299663311</c:v>
                </c:pt>
                <c:pt idx="2">
                  <c:v>499.63420875420877</c:v>
                </c:pt>
                <c:pt idx="3">
                  <c:v>457.99178451178454</c:v>
                </c:pt>
                <c:pt idx="4">
                  <c:v>416.34936026936032</c:v>
                </c:pt>
                <c:pt idx="5">
                  <c:v>374.70693602693603</c:v>
                </c:pt>
                <c:pt idx="6">
                  <c:v>333.06451178451175</c:v>
                </c:pt>
                <c:pt idx="7">
                  <c:v>291.42208754208752</c:v>
                </c:pt>
                <c:pt idx="8">
                  <c:v>249.7796632996633</c:v>
                </c:pt>
                <c:pt idx="9">
                  <c:v>208.13723905723901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0D5-624D-B452-5B02B03C4A00}"/>
            </c:ext>
          </c:extLst>
        </c:ser>
        <c:ser>
          <c:idx val="7"/>
          <c:order val="7"/>
          <c:tx>
            <c:strRef>
              <c:f>'Annual Prop Crime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D0D5-624D-B452-5B02B03C4A00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0D5-624D-B452-5B02B03C4A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 Crime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 Crime Trended XmR '!$I$2:$I$11</c:f>
              <c:numCache>
                <c:formatCode>0</c:formatCode>
                <c:ptCount val="10"/>
                <c:pt idx="0">
                  <c:v>522.13313131313146</c:v>
                </c:pt>
                <c:pt idx="1">
                  <c:v>480.49070707070723</c:v>
                </c:pt>
                <c:pt idx="2">
                  <c:v>438.84828282828289</c:v>
                </c:pt>
                <c:pt idx="3">
                  <c:v>397.20585858585866</c:v>
                </c:pt>
                <c:pt idx="4">
                  <c:v>355.56343434343444</c:v>
                </c:pt>
                <c:pt idx="5">
                  <c:v>313.9210101010101</c:v>
                </c:pt>
                <c:pt idx="6">
                  <c:v>272.27858585858587</c:v>
                </c:pt>
                <c:pt idx="7">
                  <c:v>230.63616161616162</c:v>
                </c:pt>
                <c:pt idx="8">
                  <c:v>188.99373737373739</c:v>
                </c:pt>
                <c:pt idx="9">
                  <c:v>147.35131313131311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0D5-624D-B452-5B02B03C4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976655"/>
        <c:axId val="785044927"/>
      </c:lineChart>
      <c:catAx>
        <c:axId val="186797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5044927"/>
        <c:crosses val="autoZero"/>
        <c:auto val="0"/>
        <c:lblAlgn val="ctr"/>
        <c:lblOffset val="100"/>
        <c:noMultiLvlLbl val="0"/>
      </c:catAx>
      <c:valAx>
        <c:axId val="785044927"/>
        <c:scaling>
          <c:orientation val="minMax"/>
          <c:min val="86.550000000000011"/>
        </c:scaling>
        <c:delete val="0"/>
        <c:axPos val="l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 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rgbClr val="000000"/>
                    </a:solidFill>
                    <a:latin typeface=" +mn-lt"/>
                  </a:rPr>
                  <a:t>Annual Counts of Prop Crime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86797665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 R Chart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Both Crimes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'!$K$2:$K$11</c:f>
              <c:numCache>
                <c:formatCode>0</c:formatCode>
                <c:ptCount val="10"/>
                <c:pt idx="1">
                  <c:v>20</c:v>
                </c:pt>
                <c:pt idx="2">
                  <c:v>28</c:v>
                </c:pt>
                <c:pt idx="3">
                  <c:v>128</c:v>
                </c:pt>
                <c:pt idx="4">
                  <c:v>117</c:v>
                </c:pt>
                <c:pt idx="5">
                  <c:v>112</c:v>
                </c:pt>
                <c:pt idx="6">
                  <c:v>152</c:v>
                </c:pt>
                <c:pt idx="7">
                  <c:v>67</c:v>
                </c:pt>
                <c:pt idx="8">
                  <c:v>35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9-8844-B081-AA9EE3960629}"/>
            </c:ext>
          </c:extLst>
        </c:ser>
        <c:ser>
          <c:idx val="1"/>
          <c:order val="1"/>
          <c:tx>
            <c:strRef>
              <c:f>'Annual Both Crimes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229-8844-B081-AA9EE3960629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29-8844-B081-AA9EE396062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'!$L$2:$L$11</c:f>
              <c:numCache>
                <c:formatCode>0</c:formatCode>
                <c:ptCount val="10"/>
                <c:pt idx="1">
                  <c:v>240.30600000000001</c:v>
                </c:pt>
                <c:pt idx="2">
                  <c:v>240.30600000000001</c:v>
                </c:pt>
                <c:pt idx="3">
                  <c:v>240.30600000000001</c:v>
                </c:pt>
                <c:pt idx="4">
                  <c:v>240.30600000000001</c:v>
                </c:pt>
                <c:pt idx="5">
                  <c:v>240.30600000000001</c:v>
                </c:pt>
                <c:pt idx="6">
                  <c:v>240.30600000000001</c:v>
                </c:pt>
                <c:pt idx="7">
                  <c:v>240.30600000000001</c:v>
                </c:pt>
                <c:pt idx="8">
                  <c:v>240.30600000000001</c:v>
                </c:pt>
                <c:pt idx="9">
                  <c:v>240.30600000000001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29-8844-B081-AA9EE3960629}"/>
            </c:ext>
          </c:extLst>
        </c:ser>
        <c:ser>
          <c:idx val="2"/>
          <c:order val="2"/>
          <c:tx>
            <c:strRef>
              <c:f>'Annual Both Crimes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'!$M$2:$M$11</c:f>
              <c:numCache>
                <c:formatCode>0</c:formatCode>
                <c:ptCount val="10"/>
                <c:pt idx="1">
                  <c:v>184.72251851851851</c:v>
                </c:pt>
                <c:pt idx="2">
                  <c:v>184.72251851851851</c:v>
                </c:pt>
                <c:pt idx="3">
                  <c:v>184.72251851851851</c:v>
                </c:pt>
                <c:pt idx="4">
                  <c:v>184.72251851851851</c:v>
                </c:pt>
                <c:pt idx="5">
                  <c:v>184.72251851851851</c:v>
                </c:pt>
                <c:pt idx="6">
                  <c:v>184.72251851851851</c:v>
                </c:pt>
                <c:pt idx="7">
                  <c:v>184.72251851851851</c:v>
                </c:pt>
                <c:pt idx="8">
                  <c:v>184.72251851851851</c:v>
                </c:pt>
                <c:pt idx="9">
                  <c:v>184.72251851851851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29-8844-B081-AA9EE3960629}"/>
            </c:ext>
          </c:extLst>
        </c:ser>
        <c:ser>
          <c:idx val="3"/>
          <c:order val="3"/>
          <c:tx>
            <c:strRef>
              <c:f>'Annual Both Crimes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'!$N$2:$N$11</c:f>
              <c:numCache>
                <c:formatCode>0</c:formatCode>
                <c:ptCount val="10"/>
                <c:pt idx="1">
                  <c:v>129.13903703703704</c:v>
                </c:pt>
                <c:pt idx="2">
                  <c:v>129.13903703703704</c:v>
                </c:pt>
                <c:pt idx="3">
                  <c:v>129.13903703703704</c:v>
                </c:pt>
                <c:pt idx="4">
                  <c:v>129.13903703703704</c:v>
                </c:pt>
                <c:pt idx="5">
                  <c:v>129.13903703703704</c:v>
                </c:pt>
                <c:pt idx="6">
                  <c:v>129.13903703703704</c:v>
                </c:pt>
                <c:pt idx="7">
                  <c:v>129.13903703703704</c:v>
                </c:pt>
                <c:pt idx="8">
                  <c:v>129.13903703703704</c:v>
                </c:pt>
                <c:pt idx="9">
                  <c:v>129.13903703703704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29-8844-B081-AA9EE3960629}"/>
            </c:ext>
          </c:extLst>
        </c:ser>
        <c:ser>
          <c:idx val="4"/>
          <c:order val="4"/>
          <c:tx>
            <c:strRef>
              <c:f>'Annual Both Crimes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29-8844-B081-AA9EE3960629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29-8844-B081-AA9EE3960629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29-8844-B081-AA9EE3960629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29-8844-B081-AA9EE3960629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29-8844-B081-AA9EE3960629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29-8844-B081-AA9EE3960629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29-8844-B081-AA9EE3960629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29-8844-B081-AA9EE3960629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29-8844-B081-AA9EE3960629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229-8844-B081-AA9EE3960629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229-8844-B081-AA9EE3960629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229-8844-B081-AA9EE396062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'!$O$2:$O$11</c:f>
              <c:numCache>
                <c:formatCode>0</c:formatCode>
                <c:ptCount val="10"/>
                <c:pt idx="0">
                  <c:v>73.555555555555557</c:v>
                </c:pt>
                <c:pt idx="1">
                  <c:v>73.555555555555557</c:v>
                </c:pt>
                <c:pt idx="2">
                  <c:v>73.555555555555557</c:v>
                </c:pt>
                <c:pt idx="3">
                  <c:v>73.555555555555557</c:v>
                </c:pt>
                <c:pt idx="4">
                  <c:v>73.555555555555557</c:v>
                </c:pt>
                <c:pt idx="5">
                  <c:v>73.555555555555557</c:v>
                </c:pt>
                <c:pt idx="6">
                  <c:v>73.555555555555557</c:v>
                </c:pt>
                <c:pt idx="7">
                  <c:v>73.555555555555557</c:v>
                </c:pt>
                <c:pt idx="8">
                  <c:v>73.555555555555557</c:v>
                </c:pt>
                <c:pt idx="9">
                  <c:v>73.555555555555557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29-8844-B081-AA9EE3960629}"/>
            </c:ext>
          </c:extLst>
        </c:ser>
        <c:ser>
          <c:idx val="5"/>
          <c:order val="5"/>
          <c:tx>
            <c:strRef>
              <c:f>'Annual Both Crimes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'!$P$2:$P$11</c:f>
              <c:numCache>
                <c:formatCode>0</c:formatCode>
                <c:ptCount val="10"/>
                <c:pt idx="1">
                  <c:v>17.972074074074079</c:v>
                </c:pt>
                <c:pt idx="2">
                  <c:v>17.972074074074079</c:v>
                </c:pt>
                <c:pt idx="3">
                  <c:v>17.972074074074079</c:v>
                </c:pt>
                <c:pt idx="4">
                  <c:v>17.972074074074079</c:v>
                </c:pt>
                <c:pt idx="5">
                  <c:v>17.972074074074079</c:v>
                </c:pt>
                <c:pt idx="6">
                  <c:v>17.972074074074079</c:v>
                </c:pt>
                <c:pt idx="7">
                  <c:v>17.972074074074079</c:v>
                </c:pt>
                <c:pt idx="8">
                  <c:v>17.972074074074079</c:v>
                </c:pt>
                <c:pt idx="9">
                  <c:v>17.972074074074079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229-8844-B081-AA9EE3960629}"/>
            </c:ext>
          </c:extLst>
        </c:ser>
        <c:ser>
          <c:idx val="6"/>
          <c:order val="6"/>
          <c:tx>
            <c:strRef>
              <c:f>'Annual Both Crimes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29-8844-B081-AA9EE3960629}"/>
            </c:ext>
          </c:extLst>
        </c:ser>
        <c:ser>
          <c:idx val="7"/>
          <c:order val="7"/>
          <c:tx>
            <c:strRef>
              <c:f>'Annual Both Crimes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229-8844-B081-AA9EE3960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251871"/>
        <c:axId val="971152479"/>
      </c:lineChart>
      <c:catAx>
        <c:axId val="758251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1152479"/>
        <c:crosses val="autoZero"/>
        <c:auto val="0"/>
        <c:lblAlgn val="ctr"/>
        <c:lblOffset val="100"/>
        <c:noMultiLvlLbl val="0"/>
      </c:catAx>
      <c:valAx>
        <c:axId val="971152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582518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layout>
        <c:manualLayout>
          <c:xMode val="edge"/>
          <c:yMode val="edge"/>
          <c:x val="0.13604646984768956"/>
          <c:y val="2.900000228346474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Both Crimes Trended XmR '!$B$1</c:f>
              <c:strCache>
                <c:ptCount val="1"/>
                <c:pt idx="0">
                  <c:v>Annual Combined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'!$B$2:$B$11</c:f>
              <c:numCache>
                <c:formatCode>0</c:formatCode>
                <c:ptCount val="10"/>
                <c:pt idx="0">
                  <c:v>814</c:v>
                </c:pt>
                <c:pt idx="1">
                  <c:v>794</c:v>
                </c:pt>
                <c:pt idx="2">
                  <c:v>766</c:v>
                </c:pt>
                <c:pt idx="3">
                  <c:v>638</c:v>
                </c:pt>
                <c:pt idx="4">
                  <c:v>521</c:v>
                </c:pt>
                <c:pt idx="5">
                  <c:v>409</c:v>
                </c:pt>
                <c:pt idx="6">
                  <c:v>561</c:v>
                </c:pt>
                <c:pt idx="7">
                  <c:v>494</c:v>
                </c:pt>
                <c:pt idx="8">
                  <c:v>459</c:v>
                </c:pt>
                <c:pt idx="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5-EC4D-B52D-FB205F46FB04}"/>
            </c:ext>
          </c:extLst>
        </c:ser>
        <c:ser>
          <c:idx val="1"/>
          <c:order val="1"/>
          <c:tx>
            <c:strRef>
              <c:f>'Annual Both Crimes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'!$C$2:$C$11</c:f>
              <c:numCache>
                <c:formatCode>0</c:formatCode>
                <c:ptCount val="10"/>
                <c:pt idx="0">
                  <c:v>984.25777777777785</c:v>
                </c:pt>
                <c:pt idx="1">
                  <c:v>940.5244444444445</c:v>
                </c:pt>
                <c:pt idx="2">
                  <c:v>896.79111111111115</c:v>
                </c:pt>
                <c:pt idx="3">
                  <c:v>853.0577777777778</c:v>
                </c:pt>
                <c:pt idx="4">
                  <c:v>809.32444444444445</c:v>
                </c:pt>
                <c:pt idx="5">
                  <c:v>765.59111111111122</c:v>
                </c:pt>
                <c:pt idx="6">
                  <c:v>721.85777777777787</c:v>
                </c:pt>
                <c:pt idx="7">
                  <c:v>678.12444444444441</c:v>
                </c:pt>
                <c:pt idx="8">
                  <c:v>634.39111111111106</c:v>
                </c:pt>
                <c:pt idx="9">
                  <c:v>590.65777777777771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5-EC4D-B52D-FB205F46FB04}"/>
            </c:ext>
          </c:extLst>
        </c:ser>
        <c:ser>
          <c:idx val="2"/>
          <c:order val="2"/>
          <c:tx>
            <c:strRef>
              <c:f>'Annual Both Crimes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'!$D$2:$D$11</c:f>
              <c:numCache>
                <c:formatCode>0</c:formatCode>
                <c:ptCount val="10"/>
                <c:pt idx="0">
                  <c:v>919.03851851851857</c:v>
                </c:pt>
                <c:pt idx="1">
                  <c:v>875.30518518518522</c:v>
                </c:pt>
                <c:pt idx="2">
                  <c:v>831.57185185185187</c:v>
                </c:pt>
                <c:pt idx="3">
                  <c:v>787.83851851851853</c:v>
                </c:pt>
                <c:pt idx="4">
                  <c:v>744.10518518518518</c:v>
                </c:pt>
                <c:pt idx="5">
                  <c:v>700.37185185185194</c:v>
                </c:pt>
                <c:pt idx="6">
                  <c:v>656.63851851851859</c:v>
                </c:pt>
                <c:pt idx="7">
                  <c:v>612.90518518518513</c:v>
                </c:pt>
                <c:pt idx="8">
                  <c:v>569.17185185185178</c:v>
                </c:pt>
                <c:pt idx="9">
                  <c:v>525.43851851851844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5-EC4D-B52D-FB205F46FB04}"/>
            </c:ext>
          </c:extLst>
        </c:ser>
        <c:ser>
          <c:idx val="3"/>
          <c:order val="3"/>
          <c:tx>
            <c:strRef>
              <c:f>'Annual Both Crimes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'!$E$2:$E$11</c:f>
              <c:numCache>
                <c:formatCode>0</c:formatCode>
                <c:ptCount val="10"/>
                <c:pt idx="0">
                  <c:v>853.8192592592593</c:v>
                </c:pt>
                <c:pt idx="1">
                  <c:v>810.08592592592595</c:v>
                </c:pt>
                <c:pt idx="2">
                  <c:v>766.3525925925926</c:v>
                </c:pt>
                <c:pt idx="3">
                  <c:v>722.61925925925925</c:v>
                </c:pt>
                <c:pt idx="4">
                  <c:v>678.8859259259259</c:v>
                </c:pt>
                <c:pt idx="5">
                  <c:v>635.15259259259267</c:v>
                </c:pt>
                <c:pt idx="6">
                  <c:v>591.41925925925932</c:v>
                </c:pt>
                <c:pt idx="7">
                  <c:v>547.68592592592586</c:v>
                </c:pt>
                <c:pt idx="8">
                  <c:v>503.95259259259257</c:v>
                </c:pt>
                <c:pt idx="9">
                  <c:v>460.21925925925922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5-EC4D-B52D-FB205F46FB04}"/>
            </c:ext>
          </c:extLst>
        </c:ser>
        <c:ser>
          <c:idx val="4"/>
          <c:order val="4"/>
          <c:tx>
            <c:strRef>
              <c:f>'Annual Both Crimes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C5-EC4D-B52D-FB205F46FB0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C5-EC4D-B52D-FB205F46FB0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C5-EC4D-B52D-FB205F46FB0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0C5-EC4D-B52D-FB205F46FB0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0C5-EC4D-B52D-FB205F46FB0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0C5-EC4D-B52D-FB205F46FB0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0C5-EC4D-B52D-FB205F46FB0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0C5-EC4D-B52D-FB205F46FB0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0C5-EC4D-B52D-FB205F46FB0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0C5-EC4D-B52D-FB205F46FB04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'!$F$2:$F$11</c:f>
              <c:numCache>
                <c:formatCode>0</c:formatCode>
                <c:ptCount val="10"/>
                <c:pt idx="0">
                  <c:v>788.6</c:v>
                </c:pt>
                <c:pt idx="1">
                  <c:v>744.86666666666667</c:v>
                </c:pt>
                <c:pt idx="2">
                  <c:v>701.13333333333333</c:v>
                </c:pt>
                <c:pt idx="3">
                  <c:v>657.4</c:v>
                </c:pt>
                <c:pt idx="4">
                  <c:v>613.66666666666663</c:v>
                </c:pt>
                <c:pt idx="5">
                  <c:v>569.93333333333339</c:v>
                </c:pt>
                <c:pt idx="6">
                  <c:v>526.20000000000005</c:v>
                </c:pt>
                <c:pt idx="7">
                  <c:v>482.46666666666664</c:v>
                </c:pt>
                <c:pt idx="8">
                  <c:v>438.73333333333329</c:v>
                </c:pt>
                <c:pt idx="9">
                  <c:v>394.99999999999994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C5-EC4D-B52D-FB205F46FB04}"/>
            </c:ext>
          </c:extLst>
        </c:ser>
        <c:ser>
          <c:idx val="5"/>
          <c:order val="5"/>
          <c:tx>
            <c:strRef>
              <c:f>'Annual Both Crimes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'!$G$2:$G$11</c:f>
              <c:numCache>
                <c:formatCode>0</c:formatCode>
                <c:ptCount val="10"/>
                <c:pt idx="0">
                  <c:v>723.38074074074075</c:v>
                </c:pt>
                <c:pt idx="1">
                  <c:v>679.6474074074074</c:v>
                </c:pt>
                <c:pt idx="2">
                  <c:v>635.91407407407405</c:v>
                </c:pt>
                <c:pt idx="3">
                  <c:v>592.1807407407407</c:v>
                </c:pt>
                <c:pt idx="4">
                  <c:v>548.44740740740735</c:v>
                </c:pt>
                <c:pt idx="5">
                  <c:v>504.71407407407412</c:v>
                </c:pt>
                <c:pt idx="6">
                  <c:v>460.98074074074077</c:v>
                </c:pt>
                <c:pt idx="7">
                  <c:v>417.24740740740737</c:v>
                </c:pt>
                <c:pt idx="8">
                  <c:v>373.51407407407402</c:v>
                </c:pt>
                <c:pt idx="9">
                  <c:v>329.78074074074067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C5-EC4D-B52D-FB205F46FB04}"/>
            </c:ext>
          </c:extLst>
        </c:ser>
        <c:ser>
          <c:idx val="6"/>
          <c:order val="6"/>
          <c:tx>
            <c:strRef>
              <c:f>'Annual Both Crimes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'!$H$2:$H$11</c:f>
              <c:numCache>
                <c:formatCode>0</c:formatCode>
                <c:ptCount val="10"/>
                <c:pt idx="0">
                  <c:v>658.16148148148147</c:v>
                </c:pt>
                <c:pt idx="1">
                  <c:v>614.42814814814813</c:v>
                </c:pt>
                <c:pt idx="2">
                  <c:v>570.69481481481478</c:v>
                </c:pt>
                <c:pt idx="3">
                  <c:v>526.96148148148143</c:v>
                </c:pt>
                <c:pt idx="4">
                  <c:v>483.22814814814808</c:v>
                </c:pt>
                <c:pt idx="5">
                  <c:v>439.49481481481484</c:v>
                </c:pt>
                <c:pt idx="6">
                  <c:v>395.7614814814815</c:v>
                </c:pt>
                <c:pt idx="7">
                  <c:v>352.02814814814815</c:v>
                </c:pt>
                <c:pt idx="8">
                  <c:v>308.2948148148148</c:v>
                </c:pt>
                <c:pt idx="9">
                  <c:v>264.56148148148145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C5-EC4D-B52D-FB205F46FB04}"/>
            </c:ext>
          </c:extLst>
        </c:ser>
        <c:ser>
          <c:idx val="7"/>
          <c:order val="7"/>
          <c:tx>
            <c:strRef>
              <c:f>'Annual Both Crimes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B0C5-EC4D-B52D-FB205F46FB04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0C5-EC4D-B52D-FB205F46FB0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Both Crimes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Both Crimes Trended XmR '!$I$2:$I$11</c:f>
              <c:numCache>
                <c:formatCode>0</c:formatCode>
                <c:ptCount val="10"/>
                <c:pt idx="0">
                  <c:v>592.9422222222222</c:v>
                </c:pt>
                <c:pt idx="1">
                  <c:v>549.20888888888885</c:v>
                </c:pt>
                <c:pt idx="2">
                  <c:v>505.4755555555555</c:v>
                </c:pt>
                <c:pt idx="3">
                  <c:v>461.74222222222215</c:v>
                </c:pt>
                <c:pt idx="4">
                  <c:v>418.00888888888881</c:v>
                </c:pt>
                <c:pt idx="5">
                  <c:v>374.27555555555557</c:v>
                </c:pt>
                <c:pt idx="6">
                  <c:v>330.54222222222222</c:v>
                </c:pt>
                <c:pt idx="7">
                  <c:v>286.80888888888887</c:v>
                </c:pt>
                <c:pt idx="8">
                  <c:v>243.0755555555555</c:v>
                </c:pt>
                <c:pt idx="9">
                  <c:v>199.34222222222215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C5-EC4D-B52D-FB205F46F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137743"/>
        <c:axId val="1336836080"/>
      </c:lineChart>
      <c:catAx>
        <c:axId val="72013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6836080"/>
        <c:crosses val="autoZero"/>
        <c:auto val="0"/>
        <c:lblAlgn val="ctr"/>
        <c:lblOffset val="100"/>
        <c:noMultiLvlLbl val="0"/>
      </c:catAx>
      <c:valAx>
        <c:axId val="1336836080"/>
        <c:scaling>
          <c:orientation val="minMax"/>
          <c:min val="134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Annual Combined 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Crime Counts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layout>
            <c:manualLayout>
              <c:xMode val="edge"/>
              <c:yMode val="edge"/>
              <c:x val="1.2794117795207479E-2"/>
              <c:y val="0.19188039896696055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2013774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Violent Crimes - Schertz, TX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Jan 2016 - Jan 2026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Violent Crimes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'!$K$2:$K$122</c:f>
              <c:numCache>
                <c:formatCode>0</c:formatCode>
                <c:ptCount val="121"/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6</c:v>
                </c:pt>
                <c:pt idx="18">
                  <c:v>6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  <c:pt idx="26">
                  <c:v>6</c:v>
                </c:pt>
                <c:pt idx="27">
                  <c:v>3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8</c:v>
                </c:pt>
                <c:pt idx="39">
                  <c:v>3</c:v>
                </c:pt>
                <c:pt idx="40">
                  <c:v>4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1</c:v>
                </c:pt>
                <c:pt idx="45">
                  <c:v>5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4</c:v>
                </c:pt>
                <c:pt idx="50">
                  <c:v>2</c:v>
                </c:pt>
                <c:pt idx="51">
                  <c:v>8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3</c:v>
                </c:pt>
                <c:pt idx="56">
                  <c:v>7</c:v>
                </c:pt>
                <c:pt idx="57">
                  <c:v>5</c:v>
                </c:pt>
                <c:pt idx="58">
                  <c:v>3</c:v>
                </c:pt>
                <c:pt idx="59">
                  <c:v>6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5</c:v>
                </c:pt>
                <c:pt idx="68">
                  <c:v>4</c:v>
                </c:pt>
                <c:pt idx="69">
                  <c:v>0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6</c:v>
                </c:pt>
                <c:pt idx="76">
                  <c:v>5</c:v>
                </c:pt>
                <c:pt idx="77">
                  <c:v>3</c:v>
                </c:pt>
                <c:pt idx="78">
                  <c:v>4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2</c:v>
                </c:pt>
                <c:pt idx="83">
                  <c:v>8</c:v>
                </c:pt>
                <c:pt idx="84">
                  <c:v>4</c:v>
                </c:pt>
                <c:pt idx="85">
                  <c:v>4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3</c:v>
                </c:pt>
                <c:pt idx="90">
                  <c:v>4</c:v>
                </c:pt>
                <c:pt idx="91">
                  <c:v>8</c:v>
                </c:pt>
                <c:pt idx="92">
                  <c:v>4</c:v>
                </c:pt>
                <c:pt idx="93">
                  <c:v>2</c:v>
                </c:pt>
                <c:pt idx="94">
                  <c:v>6</c:v>
                </c:pt>
                <c:pt idx="95">
                  <c:v>0</c:v>
                </c:pt>
                <c:pt idx="96">
                  <c:v>5</c:v>
                </c:pt>
                <c:pt idx="97">
                  <c:v>2</c:v>
                </c:pt>
                <c:pt idx="98">
                  <c:v>5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7</c:v>
                </c:pt>
                <c:pt idx="103">
                  <c:v>10</c:v>
                </c:pt>
                <c:pt idx="104">
                  <c:v>6</c:v>
                </c:pt>
                <c:pt idx="105">
                  <c:v>7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5</c:v>
                </c:pt>
                <c:pt idx="113">
                  <c:v>3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5</c:v>
                </c:pt>
                <c:pt idx="119">
                  <c:v>1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9-4F41-9679-51D6D81A818A}"/>
            </c:ext>
          </c:extLst>
        </c:ser>
        <c:ser>
          <c:idx val="1"/>
          <c:order val="1"/>
          <c:tx>
            <c:strRef>
              <c:f>'Monthly Violent Crimes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20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B9-4F41-9679-51D6D81A818A}"/>
                </c:ext>
              </c:extLst>
            </c:dLbl>
            <c:dLbl>
              <c:idx val="119"/>
              <c:layout>
                <c:manualLayout>
                  <c:x val="-1.4639639509828089E-2"/>
                  <c:y val="-2.0186334169662201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B9-4F41-9679-51D6D81A81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'!$L$2:$L$122</c:f>
              <c:numCache>
                <c:formatCode>0</c:formatCode>
                <c:ptCount val="121"/>
                <c:pt idx="1">
                  <c:v>8.4941999999999993</c:v>
                </c:pt>
                <c:pt idx="2">
                  <c:v>8.4941999999999993</c:v>
                </c:pt>
                <c:pt idx="3">
                  <c:v>8.4941999999999993</c:v>
                </c:pt>
                <c:pt idx="4">
                  <c:v>8.4941999999999993</c:v>
                </c:pt>
                <c:pt idx="5">
                  <c:v>8.4941999999999993</c:v>
                </c:pt>
                <c:pt idx="6">
                  <c:v>8.4941999999999993</c:v>
                </c:pt>
                <c:pt idx="7">
                  <c:v>8.4941999999999993</c:v>
                </c:pt>
                <c:pt idx="8">
                  <c:v>8.4941999999999993</c:v>
                </c:pt>
                <c:pt idx="9">
                  <c:v>8.4941999999999993</c:v>
                </c:pt>
                <c:pt idx="10">
                  <c:v>8.4941999999999993</c:v>
                </c:pt>
                <c:pt idx="11">
                  <c:v>8.4941999999999993</c:v>
                </c:pt>
                <c:pt idx="12">
                  <c:v>8.4941999999999993</c:v>
                </c:pt>
                <c:pt idx="13">
                  <c:v>8.4941999999999993</c:v>
                </c:pt>
                <c:pt idx="14">
                  <c:v>8.4941999999999993</c:v>
                </c:pt>
                <c:pt idx="15">
                  <c:v>8.4941999999999993</c:v>
                </c:pt>
                <c:pt idx="16">
                  <c:v>8.4941999999999993</c:v>
                </c:pt>
                <c:pt idx="17">
                  <c:v>8.4941999999999993</c:v>
                </c:pt>
                <c:pt idx="18">
                  <c:v>8.4941999999999993</c:v>
                </c:pt>
                <c:pt idx="19">
                  <c:v>8.4941999999999993</c:v>
                </c:pt>
                <c:pt idx="20">
                  <c:v>8.4941999999999993</c:v>
                </c:pt>
                <c:pt idx="21">
                  <c:v>8.4941999999999993</c:v>
                </c:pt>
                <c:pt idx="22">
                  <c:v>8.4941999999999993</c:v>
                </c:pt>
                <c:pt idx="23">
                  <c:v>8.4941999999999993</c:v>
                </c:pt>
                <c:pt idx="24">
                  <c:v>8.4941999999999993</c:v>
                </c:pt>
                <c:pt idx="25">
                  <c:v>8.4941999999999993</c:v>
                </c:pt>
                <c:pt idx="26">
                  <c:v>10.989000000000001</c:v>
                </c:pt>
                <c:pt idx="27">
                  <c:v>10.989000000000001</c:v>
                </c:pt>
                <c:pt idx="28">
                  <c:v>10.989000000000001</c:v>
                </c:pt>
                <c:pt idx="29">
                  <c:v>10.989000000000001</c:v>
                </c:pt>
                <c:pt idx="30">
                  <c:v>10.989000000000001</c:v>
                </c:pt>
                <c:pt idx="31">
                  <c:v>10.989000000000001</c:v>
                </c:pt>
                <c:pt idx="32">
                  <c:v>10.989000000000001</c:v>
                </c:pt>
                <c:pt idx="33">
                  <c:v>10.989000000000001</c:v>
                </c:pt>
                <c:pt idx="34">
                  <c:v>10.989000000000001</c:v>
                </c:pt>
                <c:pt idx="35">
                  <c:v>10.989000000000001</c:v>
                </c:pt>
                <c:pt idx="36">
                  <c:v>10.989000000000001</c:v>
                </c:pt>
                <c:pt idx="37">
                  <c:v>10.989000000000001</c:v>
                </c:pt>
                <c:pt idx="38">
                  <c:v>10.989000000000001</c:v>
                </c:pt>
                <c:pt idx="39">
                  <c:v>10.989000000000001</c:v>
                </c:pt>
                <c:pt idx="40">
                  <c:v>10.989000000000001</c:v>
                </c:pt>
                <c:pt idx="41">
                  <c:v>10.989000000000001</c:v>
                </c:pt>
                <c:pt idx="42">
                  <c:v>10.989000000000001</c:v>
                </c:pt>
                <c:pt idx="43">
                  <c:v>10.989000000000001</c:v>
                </c:pt>
                <c:pt idx="44">
                  <c:v>10.989000000000001</c:v>
                </c:pt>
                <c:pt idx="45">
                  <c:v>10.989000000000001</c:v>
                </c:pt>
                <c:pt idx="46">
                  <c:v>10.989000000000001</c:v>
                </c:pt>
                <c:pt idx="47">
                  <c:v>10.989000000000001</c:v>
                </c:pt>
                <c:pt idx="48">
                  <c:v>10.989000000000001</c:v>
                </c:pt>
                <c:pt idx="49">
                  <c:v>10.989000000000001</c:v>
                </c:pt>
                <c:pt idx="50">
                  <c:v>10.989000000000001</c:v>
                </c:pt>
                <c:pt idx="51">
                  <c:v>10.989000000000001</c:v>
                </c:pt>
                <c:pt idx="52">
                  <c:v>10.989000000000001</c:v>
                </c:pt>
                <c:pt idx="53">
                  <c:v>10.989000000000001</c:v>
                </c:pt>
                <c:pt idx="54">
                  <c:v>10.989000000000001</c:v>
                </c:pt>
                <c:pt idx="55">
                  <c:v>10.989000000000001</c:v>
                </c:pt>
                <c:pt idx="56">
                  <c:v>10.989000000000001</c:v>
                </c:pt>
                <c:pt idx="57">
                  <c:v>10.989000000000001</c:v>
                </c:pt>
                <c:pt idx="58">
                  <c:v>10.989000000000001</c:v>
                </c:pt>
                <c:pt idx="59">
                  <c:v>6.5339999999999998</c:v>
                </c:pt>
                <c:pt idx="60">
                  <c:v>6.5339999999999998</c:v>
                </c:pt>
                <c:pt idx="61">
                  <c:v>6.5339999999999998</c:v>
                </c:pt>
                <c:pt idx="62">
                  <c:v>6.5339999999999998</c:v>
                </c:pt>
                <c:pt idx="63">
                  <c:v>6.5339999999999998</c:v>
                </c:pt>
                <c:pt idx="64">
                  <c:v>6.5339999999999998</c:v>
                </c:pt>
                <c:pt idx="65">
                  <c:v>6.5339999999999998</c:v>
                </c:pt>
                <c:pt idx="66">
                  <c:v>6.5339999999999998</c:v>
                </c:pt>
                <c:pt idx="67">
                  <c:v>6.5339999999999998</c:v>
                </c:pt>
                <c:pt idx="68">
                  <c:v>6.5339999999999998</c:v>
                </c:pt>
                <c:pt idx="69">
                  <c:v>6.5339999999999998</c:v>
                </c:pt>
                <c:pt idx="70">
                  <c:v>6.5339999999999998</c:v>
                </c:pt>
                <c:pt idx="71">
                  <c:v>6.5339999999999998</c:v>
                </c:pt>
                <c:pt idx="72">
                  <c:v>6.5339999999999998</c:v>
                </c:pt>
                <c:pt idx="73">
                  <c:v>6.5339999999999998</c:v>
                </c:pt>
                <c:pt idx="74">
                  <c:v>6.5339999999999998</c:v>
                </c:pt>
                <c:pt idx="75">
                  <c:v>12.395382352941176</c:v>
                </c:pt>
                <c:pt idx="76">
                  <c:v>12.395382352941176</c:v>
                </c:pt>
                <c:pt idx="77">
                  <c:v>12.395382352941176</c:v>
                </c:pt>
                <c:pt idx="78">
                  <c:v>12.395382352941176</c:v>
                </c:pt>
                <c:pt idx="79">
                  <c:v>12.395382352941176</c:v>
                </c:pt>
                <c:pt idx="80">
                  <c:v>12.395382352941176</c:v>
                </c:pt>
                <c:pt idx="81">
                  <c:v>12.395382352941176</c:v>
                </c:pt>
                <c:pt idx="82">
                  <c:v>12.395382352941176</c:v>
                </c:pt>
                <c:pt idx="83">
                  <c:v>12.395382352941176</c:v>
                </c:pt>
                <c:pt idx="84">
                  <c:v>12.395382352941176</c:v>
                </c:pt>
                <c:pt idx="85">
                  <c:v>12.395382352941176</c:v>
                </c:pt>
                <c:pt idx="86">
                  <c:v>12.395382352941176</c:v>
                </c:pt>
                <c:pt idx="87">
                  <c:v>12.395382352941176</c:v>
                </c:pt>
                <c:pt idx="88">
                  <c:v>12.395382352941176</c:v>
                </c:pt>
                <c:pt idx="89">
                  <c:v>12.395382352941176</c:v>
                </c:pt>
                <c:pt idx="90">
                  <c:v>12.395382352941176</c:v>
                </c:pt>
                <c:pt idx="91">
                  <c:v>12.395382352941176</c:v>
                </c:pt>
                <c:pt idx="92">
                  <c:v>12.395382352941176</c:v>
                </c:pt>
                <c:pt idx="93">
                  <c:v>12.395382352941176</c:v>
                </c:pt>
                <c:pt idx="94">
                  <c:v>12.395382352941176</c:v>
                </c:pt>
                <c:pt idx="95">
                  <c:v>12.395382352941176</c:v>
                </c:pt>
                <c:pt idx="96">
                  <c:v>12.395382352941176</c:v>
                </c:pt>
                <c:pt idx="97">
                  <c:v>12.395382352941176</c:v>
                </c:pt>
                <c:pt idx="98">
                  <c:v>12.395382352941176</c:v>
                </c:pt>
                <c:pt idx="99">
                  <c:v>12.395382352941176</c:v>
                </c:pt>
                <c:pt idx="100">
                  <c:v>12.395382352941176</c:v>
                </c:pt>
                <c:pt idx="101">
                  <c:v>12.395382352941176</c:v>
                </c:pt>
                <c:pt idx="102">
                  <c:v>12.395382352941176</c:v>
                </c:pt>
                <c:pt idx="103">
                  <c:v>12.395382352941176</c:v>
                </c:pt>
                <c:pt idx="104">
                  <c:v>12.395382352941176</c:v>
                </c:pt>
                <c:pt idx="105">
                  <c:v>12.395382352941176</c:v>
                </c:pt>
                <c:pt idx="106">
                  <c:v>12.395382352941176</c:v>
                </c:pt>
                <c:pt idx="107">
                  <c:v>12.395382352941176</c:v>
                </c:pt>
                <c:pt idx="108">
                  <c:v>12.395382352941176</c:v>
                </c:pt>
                <c:pt idx="109">
                  <c:v>8.7119999999999997</c:v>
                </c:pt>
                <c:pt idx="110">
                  <c:v>8.7119999999999997</c:v>
                </c:pt>
                <c:pt idx="111">
                  <c:v>8.7119999999999997</c:v>
                </c:pt>
                <c:pt idx="112">
                  <c:v>8.7119999999999997</c:v>
                </c:pt>
                <c:pt idx="113">
                  <c:v>8.7119999999999997</c:v>
                </c:pt>
                <c:pt idx="114">
                  <c:v>8.7119999999999997</c:v>
                </c:pt>
                <c:pt idx="115">
                  <c:v>8.7119999999999997</c:v>
                </c:pt>
                <c:pt idx="116">
                  <c:v>8.7119999999999997</c:v>
                </c:pt>
                <c:pt idx="117">
                  <c:v>8.7119999999999997</c:v>
                </c:pt>
                <c:pt idx="118">
                  <c:v>7.6230000000000002</c:v>
                </c:pt>
                <c:pt idx="119">
                  <c:v>7.6230000000000002</c:v>
                </c:pt>
                <c:pt idx="120">
                  <c:v>7.6230000000000002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B9-4F41-9679-51D6D81A818A}"/>
            </c:ext>
          </c:extLst>
        </c:ser>
        <c:ser>
          <c:idx val="2"/>
          <c:order val="2"/>
          <c:tx>
            <c:strRef>
              <c:f>'Monthly Violent Crimes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'!$M$2:$M$122</c:f>
              <c:numCache>
                <c:formatCode>0</c:formatCode>
                <c:ptCount val="121"/>
                <c:pt idx="1">
                  <c:v>6.5294666666666661</c:v>
                </c:pt>
                <c:pt idx="2">
                  <c:v>6.5294666666666661</c:v>
                </c:pt>
                <c:pt idx="3">
                  <c:v>6.5294666666666661</c:v>
                </c:pt>
                <c:pt idx="4">
                  <c:v>6.5294666666666661</c:v>
                </c:pt>
                <c:pt idx="5">
                  <c:v>6.5294666666666661</c:v>
                </c:pt>
                <c:pt idx="6">
                  <c:v>6.5294666666666661</c:v>
                </c:pt>
                <c:pt idx="7">
                  <c:v>6.5294666666666661</c:v>
                </c:pt>
                <c:pt idx="8">
                  <c:v>6.5294666666666661</c:v>
                </c:pt>
                <c:pt idx="9">
                  <c:v>6.5294666666666661</c:v>
                </c:pt>
                <c:pt idx="10">
                  <c:v>6.5294666666666661</c:v>
                </c:pt>
                <c:pt idx="11">
                  <c:v>6.5294666666666661</c:v>
                </c:pt>
                <c:pt idx="12">
                  <c:v>6.5294666666666661</c:v>
                </c:pt>
                <c:pt idx="13">
                  <c:v>6.5294666666666661</c:v>
                </c:pt>
                <c:pt idx="14">
                  <c:v>6.5294666666666661</c:v>
                </c:pt>
                <c:pt idx="15">
                  <c:v>6.5294666666666661</c:v>
                </c:pt>
                <c:pt idx="16">
                  <c:v>6.5294666666666661</c:v>
                </c:pt>
                <c:pt idx="17">
                  <c:v>6.5294666666666661</c:v>
                </c:pt>
                <c:pt idx="18">
                  <c:v>6.5294666666666661</c:v>
                </c:pt>
                <c:pt idx="19">
                  <c:v>6.5294666666666661</c:v>
                </c:pt>
                <c:pt idx="20">
                  <c:v>6.5294666666666661</c:v>
                </c:pt>
                <c:pt idx="21">
                  <c:v>6.5294666666666661</c:v>
                </c:pt>
                <c:pt idx="22">
                  <c:v>6.5294666666666661</c:v>
                </c:pt>
                <c:pt idx="23">
                  <c:v>6.5294666666666661</c:v>
                </c:pt>
                <c:pt idx="24">
                  <c:v>6.5294666666666661</c:v>
                </c:pt>
                <c:pt idx="25">
                  <c:v>6.5294666666666661</c:v>
                </c:pt>
                <c:pt idx="26">
                  <c:v>8.4472121212121216</c:v>
                </c:pt>
                <c:pt idx="27">
                  <c:v>8.4472121212121216</c:v>
                </c:pt>
                <c:pt idx="28">
                  <c:v>8.4472121212121216</c:v>
                </c:pt>
                <c:pt idx="29">
                  <c:v>8.4472121212121216</c:v>
                </c:pt>
                <c:pt idx="30">
                  <c:v>8.4472121212121216</c:v>
                </c:pt>
                <c:pt idx="31">
                  <c:v>8.4472121212121216</c:v>
                </c:pt>
                <c:pt idx="32">
                  <c:v>8.4472121212121216</c:v>
                </c:pt>
                <c:pt idx="33">
                  <c:v>8.4472121212121216</c:v>
                </c:pt>
                <c:pt idx="34">
                  <c:v>8.4472121212121216</c:v>
                </c:pt>
                <c:pt idx="35">
                  <c:v>8.4472121212121216</c:v>
                </c:pt>
                <c:pt idx="36">
                  <c:v>8.4472121212121216</c:v>
                </c:pt>
                <c:pt idx="37">
                  <c:v>8.4472121212121216</c:v>
                </c:pt>
                <c:pt idx="38">
                  <c:v>8.4472121212121216</c:v>
                </c:pt>
                <c:pt idx="39">
                  <c:v>8.4472121212121216</c:v>
                </c:pt>
                <c:pt idx="40">
                  <c:v>8.4472121212121216</c:v>
                </c:pt>
                <c:pt idx="41">
                  <c:v>8.4472121212121216</c:v>
                </c:pt>
                <c:pt idx="42">
                  <c:v>8.4472121212121216</c:v>
                </c:pt>
                <c:pt idx="43">
                  <c:v>8.4472121212121216</c:v>
                </c:pt>
                <c:pt idx="44">
                  <c:v>8.4472121212121216</c:v>
                </c:pt>
                <c:pt idx="45">
                  <c:v>8.4472121212121216</c:v>
                </c:pt>
                <c:pt idx="46">
                  <c:v>8.4472121212121216</c:v>
                </c:pt>
                <c:pt idx="47">
                  <c:v>8.4472121212121216</c:v>
                </c:pt>
                <c:pt idx="48">
                  <c:v>8.4472121212121216</c:v>
                </c:pt>
                <c:pt idx="49">
                  <c:v>8.4472121212121216</c:v>
                </c:pt>
                <c:pt idx="50">
                  <c:v>8.4472121212121216</c:v>
                </c:pt>
                <c:pt idx="51">
                  <c:v>8.4472121212121216</c:v>
                </c:pt>
                <c:pt idx="52">
                  <c:v>8.4472121212121216</c:v>
                </c:pt>
                <c:pt idx="53">
                  <c:v>8.4472121212121216</c:v>
                </c:pt>
                <c:pt idx="54">
                  <c:v>8.4472121212121216</c:v>
                </c:pt>
                <c:pt idx="55">
                  <c:v>8.4472121212121216</c:v>
                </c:pt>
                <c:pt idx="56">
                  <c:v>8.4472121212121216</c:v>
                </c:pt>
                <c:pt idx="57">
                  <c:v>8.4472121212121216</c:v>
                </c:pt>
                <c:pt idx="58">
                  <c:v>8.4472121212121216</c:v>
                </c:pt>
                <c:pt idx="59">
                  <c:v>5.0226666666666659</c:v>
                </c:pt>
                <c:pt idx="60">
                  <c:v>5.0226666666666659</c:v>
                </c:pt>
                <c:pt idx="61">
                  <c:v>5.0226666666666659</c:v>
                </c:pt>
                <c:pt idx="62">
                  <c:v>5.0226666666666659</c:v>
                </c:pt>
                <c:pt idx="63">
                  <c:v>5.0226666666666659</c:v>
                </c:pt>
                <c:pt idx="64">
                  <c:v>5.0226666666666659</c:v>
                </c:pt>
                <c:pt idx="65">
                  <c:v>5.0226666666666659</c:v>
                </c:pt>
                <c:pt idx="66">
                  <c:v>5.0226666666666659</c:v>
                </c:pt>
                <c:pt idx="67">
                  <c:v>5.0226666666666659</c:v>
                </c:pt>
                <c:pt idx="68">
                  <c:v>5.0226666666666659</c:v>
                </c:pt>
                <c:pt idx="69">
                  <c:v>5.0226666666666659</c:v>
                </c:pt>
                <c:pt idx="70">
                  <c:v>5.0226666666666659</c:v>
                </c:pt>
                <c:pt idx="71">
                  <c:v>5.0226666666666659</c:v>
                </c:pt>
                <c:pt idx="72">
                  <c:v>5.0226666666666659</c:v>
                </c:pt>
                <c:pt idx="73">
                  <c:v>5.0226666666666659</c:v>
                </c:pt>
                <c:pt idx="74">
                  <c:v>5.0226666666666659</c:v>
                </c:pt>
                <c:pt idx="75">
                  <c:v>9.528294117647059</c:v>
                </c:pt>
                <c:pt idx="76">
                  <c:v>9.528294117647059</c:v>
                </c:pt>
                <c:pt idx="77">
                  <c:v>9.528294117647059</c:v>
                </c:pt>
                <c:pt idx="78">
                  <c:v>9.528294117647059</c:v>
                </c:pt>
                <c:pt idx="79">
                  <c:v>9.528294117647059</c:v>
                </c:pt>
                <c:pt idx="80">
                  <c:v>9.528294117647059</c:v>
                </c:pt>
                <c:pt idx="81">
                  <c:v>9.528294117647059</c:v>
                </c:pt>
                <c:pt idx="82">
                  <c:v>9.528294117647059</c:v>
                </c:pt>
                <c:pt idx="83">
                  <c:v>9.528294117647059</c:v>
                </c:pt>
                <c:pt idx="84">
                  <c:v>9.528294117647059</c:v>
                </c:pt>
                <c:pt idx="85">
                  <c:v>9.528294117647059</c:v>
                </c:pt>
                <c:pt idx="86">
                  <c:v>9.528294117647059</c:v>
                </c:pt>
                <c:pt idx="87">
                  <c:v>9.528294117647059</c:v>
                </c:pt>
                <c:pt idx="88">
                  <c:v>9.528294117647059</c:v>
                </c:pt>
                <c:pt idx="89">
                  <c:v>9.528294117647059</c:v>
                </c:pt>
                <c:pt idx="90">
                  <c:v>9.528294117647059</c:v>
                </c:pt>
                <c:pt idx="91">
                  <c:v>9.528294117647059</c:v>
                </c:pt>
                <c:pt idx="92">
                  <c:v>9.528294117647059</c:v>
                </c:pt>
                <c:pt idx="93">
                  <c:v>9.528294117647059</c:v>
                </c:pt>
                <c:pt idx="94">
                  <c:v>9.528294117647059</c:v>
                </c:pt>
                <c:pt idx="95">
                  <c:v>9.528294117647059</c:v>
                </c:pt>
                <c:pt idx="96">
                  <c:v>9.528294117647059</c:v>
                </c:pt>
                <c:pt idx="97">
                  <c:v>9.528294117647059</c:v>
                </c:pt>
                <c:pt idx="98">
                  <c:v>9.528294117647059</c:v>
                </c:pt>
                <c:pt idx="99">
                  <c:v>9.528294117647059</c:v>
                </c:pt>
                <c:pt idx="100">
                  <c:v>9.528294117647059</c:v>
                </c:pt>
                <c:pt idx="101">
                  <c:v>9.528294117647059</c:v>
                </c:pt>
                <c:pt idx="102">
                  <c:v>9.528294117647059</c:v>
                </c:pt>
                <c:pt idx="103">
                  <c:v>9.528294117647059</c:v>
                </c:pt>
                <c:pt idx="104">
                  <c:v>9.528294117647059</c:v>
                </c:pt>
                <c:pt idx="105">
                  <c:v>9.528294117647059</c:v>
                </c:pt>
                <c:pt idx="106">
                  <c:v>9.528294117647059</c:v>
                </c:pt>
                <c:pt idx="107">
                  <c:v>9.528294117647059</c:v>
                </c:pt>
                <c:pt idx="108">
                  <c:v>9.528294117647059</c:v>
                </c:pt>
                <c:pt idx="109">
                  <c:v>6.6968888888888891</c:v>
                </c:pt>
                <c:pt idx="110">
                  <c:v>6.6968888888888891</c:v>
                </c:pt>
                <c:pt idx="111">
                  <c:v>6.6968888888888891</c:v>
                </c:pt>
                <c:pt idx="112">
                  <c:v>6.6968888888888891</c:v>
                </c:pt>
                <c:pt idx="113">
                  <c:v>6.6968888888888891</c:v>
                </c:pt>
                <c:pt idx="114">
                  <c:v>6.6968888888888891</c:v>
                </c:pt>
                <c:pt idx="115">
                  <c:v>6.6968888888888891</c:v>
                </c:pt>
                <c:pt idx="116">
                  <c:v>6.6968888888888891</c:v>
                </c:pt>
                <c:pt idx="117">
                  <c:v>6.6968888888888891</c:v>
                </c:pt>
                <c:pt idx="118">
                  <c:v>5.8597777777777775</c:v>
                </c:pt>
                <c:pt idx="119">
                  <c:v>5.8597777777777775</c:v>
                </c:pt>
                <c:pt idx="120">
                  <c:v>5.8597777777777775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B9-4F41-9679-51D6D81A818A}"/>
            </c:ext>
          </c:extLst>
        </c:ser>
        <c:ser>
          <c:idx val="3"/>
          <c:order val="3"/>
          <c:tx>
            <c:strRef>
              <c:f>'Monthly Violent Crimes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'!$N$2:$N$122</c:f>
              <c:numCache>
                <c:formatCode>0</c:formatCode>
                <c:ptCount val="121"/>
                <c:pt idx="1">
                  <c:v>4.5647333333333329</c:v>
                </c:pt>
                <c:pt idx="2">
                  <c:v>4.5647333333333329</c:v>
                </c:pt>
                <c:pt idx="3">
                  <c:v>4.5647333333333329</c:v>
                </c:pt>
                <c:pt idx="4">
                  <c:v>4.5647333333333329</c:v>
                </c:pt>
                <c:pt idx="5">
                  <c:v>4.5647333333333329</c:v>
                </c:pt>
                <c:pt idx="6">
                  <c:v>4.5647333333333329</c:v>
                </c:pt>
                <c:pt idx="7">
                  <c:v>4.5647333333333329</c:v>
                </c:pt>
                <c:pt idx="8">
                  <c:v>4.5647333333333329</c:v>
                </c:pt>
                <c:pt idx="9">
                  <c:v>4.5647333333333329</c:v>
                </c:pt>
                <c:pt idx="10">
                  <c:v>4.5647333333333329</c:v>
                </c:pt>
                <c:pt idx="11">
                  <c:v>4.5647333333333329</c:v>
                </c:pt>
                <c:pt idx="12">
                  <c:v>4.5647333333333329</c:v>
                </c:pt>
                <c:pt idx="13">
                  <c:v>4.5647333333333329</c:v>
                </c:pt>
                <c:pt idx="14">
                  <c:v>4.5647333333333329</c:v>
                </c:pt>
                <c:pt idx="15">
                  <c:v>4.5647333333333329</c:v>
                </c:pt>
                <c:pt idx="16">
                  <c:v>4.5647333333333329</c:v>
                </c:pt>
                <c:pt idx="17">
                  <c:v>4.5647333333333329</c:v>
                </c:pt>
                <c:pt idx="18">
                  <c:v>4.5647333333333329</c:v>
                </c:pt>
                <c:pt idx="19">
                  <c:v>4.5647333333333329</c:v>
                </c:pt>
                <c:pt idx="20">
                  <c:v>4.5647333333333329</c:v>
                </c:pt>
                <c:pt idx="21">
                  <c:v>4.5647333333333329</c:v>
                </c:pt>
                <c:pt idx="22">
                  <c:v>4.5647333333333329</c:v>
                </c:pt>
                <c:pt idx="23">
                  <c:v>4.5647333333333329</c:v>
                </c:pt>
                <c:pt idx="24">
                  <c:v>4.5647333333333329</c:v>
                </c:pt>
                <c:pt idx="25">
                  <c:v>4.5647333333333329</c:v>
                </c:pt>
                <c:pt idx="26">
                  <c:v>5.9054242424242425</c:v>
                </c:pt>
                <c:pt idx="27">
                  <c:v>5.9054242424242425</c:v>
                </c:pt>
                <c:pt idx="28">
                  <c:v>5.9054242424242425</c:v>
                </c:pt>
                <c:pt idx="29">
                  <c:v>5.9054242424242425</c:v>
                </c:pt>
                <c:pt idx="30">
                  <c:v>5.9054242424242425</c:v>
                </c:pt>
                <c:pt idx="31">
                  <c:v>5.9054242424242425</c:v>
                </c:pt>
                <c:pt idx="32">
                  <c:v>5.9054242424242425</c:v>
                </c:pt>
                <c:pt idx="33">
                  <c:v>5.9054242424242425</c:v>
                </c:pt>
                <c:pt idx="34">
                  <c:v>5.9054242424242425</c:v>
                </c:pt>
                <c:pt idx="35">
                  <c:v>5.9054242424242425</c:v>
                </c:pt>
                <c:pt idx="36">
                  <c:v>5.9054242424242425</c:v>
                </c:pt>
                <c:pt idx="37">
                  <c:v>5.9054242424242425</c:v>
                </c:pt>
                <c:pt idx="38">
                  <c:v>5.9054242424242425</c:v>
                </c:pt>
                <c:pt idx="39">
                  <c:v>5.9054242424242425</c:v>
                </c:pt>
                <c:pt idx="40">
                  <c:v>5.9054242424242425</c:v>
                </c:pt>
                <c:pt idx="41">
                  <c:v>5.9054242424242425</c:v>
                </c:pt>
                <c:pt idx="42">
                  <c:v>5.9054242424242425</c:v>
                </c:pt>
                <c:pt idx="43">
                  <c:v>5.9054242424242425</c:v>
                </c:pt>
                <c:pt idx="44">
                  <c:v>5.9054242424242425</c:v>
                </c:pt>
                <c:pt idx="45">
                  <c:v>5.9054242424242425</c:v>
                </c:pt>
                <c:pt idx="46">
                  <c:v>5.9054242424242425</c:v>
                </c:pt>
                <c:pt idx="47">
                  <c:v>5.9054242424242425</c:v>
                </c:pt>
                <c:pt idx="48">
                  <c:v>5.9054242424242425</c:v>
                </c:pt>
                <c:pt idx="49">
                  <c:v>5.9054242424242425</c:v>
                </c:pt>
                <c:pt idx="50">
                  <c:v>5.9054242424242425</c:v>
                </c:pt>
                <c:pt idx="51">
                  <c:v>5.9054242424242425</c:v>
                </c:pt>
                <c:pt idx="52">
                  <c:v>5.9054242424242425</c:v>
                </c:pt>
                <c:pt idx="53">
                  <c:v>5.9054242424242425</c:v>
                </c:pt>
                <c:pt idx="54">
                  <c:v>5.9054242424242425</c:v>
                </c:pt>
                <c:pt idx="55">
                  <c:v>5.9054242424242425</c:v>
                </c:pt>
                <c:pt idx="56">
                  <c:v>5.9054242424242425</c:v>
                </c:pt>
                <c:pt idx="57">
                  <c:v>5.9054242424242425</c:v>
                </c:pt>
                <c:pt idx="58">
                  <c:v>5.9054242424242425</c:v>
                </c:pt>
                <c:pt idx="59">
                  <c:v>3.511333333333333</c:v>
                </c:pt>
                <c:pt idx="60">
                  <c:v>3.511333333333333</c:v>
                </c:pt>
                <c:pt idx="61">
                  <c:v>3.511333333333333</c:v>
                </c:pt>
                <c:pt idx="62">
                  <c:v>3.511333333333333</c:v>
                </c:pt>
                <c:pt idx="63">
                  <c:v>3.511333333333333</c:v>
                </c:pt>
                <c:pt idx="64">
                  <c:v>3.511333333333333</c:v>
                </c:pt>
                <c:pt idx="65">
                  <c:v>3.511333333333333</c:v>
                </c:pt>
                <c:pt idx="66">
                  <c:v>3.511333333333333</c:v>
                </c:pt>
                <c:pt idx="67">
                  <c:v>3.511333333333333</c:v>
                </c:pt>
                <c:pt idx="68">
                  <c:v>3.511333333333333</c:v>
                </c:pt>
                <c:pt idx="69">
                  <c:v>3.511333333333333</c:v>
                </c:pt>
                <c:pt idx="70">
                  <c:v>3.511333333333333</c:v>
                </c:pt>
                <c:pt idx="71">
                  <c:v>3.511333333333333</c:v>
                </c:pt>
                <c:pt idx="72">
                  <c:v>3.511333333333333</c:v>
                </c:pt>
                <c:pt idx="73">
                  <c:v>3.511333333333333</c:v>
                </c:pt>
                <c:pt idx="74">
                  <c:v>3.511333333333333</c:v>
                </c:pt>
                <c:pt idx="75">
                  <c:v>6.6612058823529416</c:v>
                </c:pt>
                <c:pt idx="76">
                  <c:v>6.6612058823529416</c:v>
                </c:pt>
                <c:pt idx="77">
                  <c:v>6.6612058823529416</c:v>
                </c:pt>
                <c:pt idx="78">
                  <c:v>6.6612058823529416</c:v>
                </c:pt>
                <c:pt idx="79">
                  <c:v>6.6612058823529416</c:v>
                </c:pt>
                <c:pt idx="80">
                  <c:v>6.6612058823529416</c:v>
                </c:pt>
                <c:pt idx="81">
                  <c:v>6.6612058823529416</c:v>
                </c:pt>
                <c:pt idx="82">
                  <c:v>6.6612058823529416</c:v>
                </c:pt>
                <c:pt idx="83">
                  <c:v>6.6612058823529416</c:v>
                </c:pt>
                <c:pt idx="84">
                  <c:v>6.6612058823529416</c:v>
                </c:pt>
                <c:pt idx="85">
                  <c:v>6.6612058823529416</c:v>
                </c:pt>
                <c:pt idx="86">
                  <c:v>6.6612058823529416</c:v>
                </c:pt>
                <c:pt idx="87">
                  <c:v>6.6612058823529416</c:v>
                </c:pt>
                <c:pt idx="88">
                  <c:v>6.6612058823529416</c:v>
                </c:pt>
                <c:pt idx="89">
                  <c:v>6.6612058823529416</c:v>
                </c:pt>
                <c:pt idx="90">
                  <c:v>6.6612058823529416</c:v>
                </c:pt>
                <c:pt idx="91">
                  <c:v>6.6612058823529416</c:v>
                </c:pt>
                <c:pt idx="92">
                  <c:v>6.6612058823529416</c:v>
                </c:pt>
                <c:pt idx="93">
                  <c:v>6.6612058823529416</c:v>
                </c:pt>
                <c:pt idx="94">
                  <c:v>6.6612058823529416</c:v>
                </c:pt>
                <c:pt idx="95">
                  <c:v>6.6612058823529416</c:v>
                </c:pt>
                <c:pt idx="96">
                  <c:v>6.6612058823529416</c:v>
                </c:pt>
                <c:pt idx="97">
                  <c:v>6.6612058823529416</c:v>
                </c:pt>
                <c:pt idx="98">
                  <c:v>6.6612058823529416</c:v>
                </c:pt>
                <c:pt idx="99">
                  <c:v>6.6612058823529416</c:v>
                </c:pt>
                <c:pt idx="100">
                  <c:v>6.6612058823529416</c:v>
                </c:pt>
                <c:pt idx="101">
                  <c:v>6.6612058823529416</c:v>
                </c:pt>
                <c:pt idx="102">
                  <c:v>6.6612058823529416</c:v>
                </c:pt>
                <c:pt idx="103">
                  <c:v>6.6612058823529416</c:v>
                </c:pt>
                <c:pt idx="104">
                  <c:v>6.6612058823529416</c:v>
                </c:pt>
                <c:pt idx="105">
                  <c:v>6.6612058823529416</c:v>
                </c:pt>
                <c:pt idx="106">
                  <c:v>6.6612058823529416</c:v>
                </c:pt>
                <c:pt idx="107">
                  <c:v>6.6612058823529416</c:v>
                </c:pt>
                <c:pt idx="108">
                  <c:v>6.6612058823529416</c:v>
                </c:pt>
                <c:pt idx="109">
                  <c:v>4.6817777777777776</c:v>
                </c:pt>
                <c:pt idx="110">
                  <c:v>4.6817777777777776</c:v>
                </c:pt>
                <c:pt idx="111">
                  <c:v>4.6817777777777776</c:v>
                </c:pt>
                <c:pt idx="112">
                  <c:v>4.6817777777777776</c:v>
                </c:pt>
                <c:pt idx="113">
                  <c:v>4.6817777777777776</c:v>
                </c:pt>
                <c:pt idx="114">
                  <c:v>4.6817777777777776</c:v>
                </c:pt>
                <c:pt idx="115">
                  <c:v>4.6817777777777776</c:v>
                </c:pt>
                <c:pt idx="116">
                  <c:v>4.6817777777777776</c:v>
                </c:pt>
                <c:pt idx="117">
                  <c:v>4.6817777777777776</c:v>
                </c:pt>
                <c:pt idx="118">
                  <c:v>4.0965555555555557</c:v>
                </c:pt>
                <c:pt idx="119">
                  <c:v>4.0965555555555557</c:v>
                </c:pt>
                <c:pt idx="120">
                  <c:v>4.0965555555555557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B9-4F41-9679-51D6D81A818A}"/>
            </c:ext>
          </c:extLst>
        </c:ser>
        <c:ser>
          <c:idx val="4"/>
          <c:order val="4"/>
          <c:tx>
            <c:strRef>
              <c:f>'Monthly Violent Crimes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B9-4F41-9679-51D6D81A818A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B9-4F41-9679-51D6D81A818A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B9-4F41-9679-51D6D81A818A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B9-4F41-9679-51D6D81A818A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B9-4F41-9679-51D6D81A818A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7B9-4F41-9679-51D6D81A818A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7B9-4F41-9679-51D6D81A818A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7B9-4F41-9679-51D6D81A818A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7B9-4F41-9679-51D6D81A818A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7B9-4F41-9679-51D6D81A818A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17B9-4F41-9679-51D6D81A818A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17B9-4F41-9679-51D6D81A818A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17B9-4F41-9679-51D6D81A818A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17B9-4F41-9679-51D6D81A818A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17B9-4F41-9679-51D6D81A818A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17B9-4F41-9679-51D6D81A818A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17B9-4F41-9679-51D6D81A818A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17B9-4F41-9679-51D6D81A818A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17B9-4F41-9679-51D6D81A818A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17B9-4F41-9679-51D6D81A818A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17B9-4F41-9679-51D6D81A818A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17B9-4F41-9679-51D6D81A818A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17B9-4F41-9679-51D6D81A818A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17B9-4F41-9679-51D6D81A818A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17B9-4F41-9679-51D6D81A818A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17B9-4F41-9679-51D6D81A818A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17B9-4F41-9679-51D6D81A818A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17B9-4F41-9679-51D6D81A818A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17B9-4F41-9679-51D6D81A818A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17B9-4F41-9679-51D6D81A818A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17B9-4F41-9679-51D6D81A818A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17B9-4F41-9679-51D6D81A818A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17B9-4F41-9679-51D6D81A818A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17B9-4F41-9679-51D6D81A818A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17B9-4F41-9679-51D6D81A818A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17B9-4F41-9679-51D6D81A818A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17B9-4F41-9679-51D6D81A818A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17B9-4F41-9679-51D6D81A818A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17B9-4F41-9679-51D6D81A818A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17B9-4F41-9679-51D6D81A818A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17B9-4F41-9679-51D6D81A818A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17B9-4F41-9679-51D6D81A818A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17B9-4F41-9679-51D6D81A818A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17B9-4F41-9679-51D6D81A818A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17B9-4F41-9679-51D6D81A818A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17B9-4F41-9679-51D6D81A818A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17B9-4F41-9679-51D6D81A818A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17B9-4F41-9679-51D6D81A818A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17B9-4F41-9679-51D6D81A818A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17B9-4F41-9679-51D6D81A818A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17B9-4F41-9679-51D6D81A818A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17B9-4F41-9679-51D6D81A818A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17B9-4F41-9679-51D6D81A818A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17B9-4F41-9679-51D6D81A818A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17B9-4F41-9679-51D6D81A818A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17B9-4F41-9679-51D6D81A818A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17B9-4F41-9679-51D6D81A818A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17B9-4F41-9679-51D6D81A818A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17B9-4F41-9679-51D6D81A818A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17B9-4F41-9679-51D6D81A818A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17B9-4F41-9679-51D6D81A818A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17B9-4F41-9679-51D6D81A818A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17B9-4F41-9679-51D6D81A818A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17B9-4F41-9679-51D6D81A818A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17B9-4F41-9679-51D6D81A818A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17B9-4F41-9679-51D6D81A818A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17B9-4F41-9679-51D6D81A818A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17B9-4F41-9679-51D6D81A818A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17B9-4F41-9679-51D6D81A818A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17B9-4F41-9679-51D6D81A818A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17B9-4F41-9679-51D6D81A818A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17B9-4F41-9679-51D6D81A818A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17B9-4F41-9679-51D6D81A818A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17B9-4F41-9679-51D6D81A818A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17B9-4F41-9679-51D6D81A818A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17B9-4F41-9679-51D6D81A818A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17B9-4F41-9679-51D6D81A818A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17B9-4F41-9679-51D6D81A818A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17B9-4F41-9679-51D6D81A818A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17B9-4F41-9679-51D6D81A818A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17B9-4F41-9679-51D6D81A818A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17B9-4F41-9679-51D6D81A818A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17B9-4F41-9679-51D6D81A818A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17B9-4F41-9679-51D6D81A818A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17B9-4F41-9679-51D6D81A818A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17B9-4F41-9679-51D6D81A818A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17B9-4F41-9679-51D6D81A818A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17B9-4F41-9679-51D6D81A818A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17B9-4F41-9679-51D6D81A818A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17B9-4F41-9679-51D6D81A818A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17B9-4F41-9679-51D6D81A818A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17B9-4F41-9679-51D6D81A818A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17B9-4F41-9679-51D6D81A818A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17B9-4F41-9679-51D6D81A818A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17B9-4F41-9679-51D6D81A818A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17B9-4F41-9679-51D6D81A818A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17B9-4F41-9679-51D6D81A818A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17B9-4F41-9679-51D6D81A818A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17B9-4F41-9679-51D6D81A818A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17B9-4F41-9679-51D6D81A818A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17B9-4F41-9679-51D6D81A818A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17B9-4F41-9679-51D6D81A818A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17B9-4F41-9679-51D6D81A818A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17B9-4F41-9679-51D6D81A818A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17B9-4F41-9679-51D6D81A818A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17B9-4F41-9679-51D6D81A818A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17B9-4F41-9679-51D6D81A818A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17B9-4F41-9679-51D6D81A818A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17B9-4F41-9679-51D6D81A818A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17B9-4F41-9679-51D6D81A818A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17B9-4F41-9679-51D6D81A818A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17B9-4F41-9679-51D6D81A818A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17B9-4F41-9679-51D6D81A818A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17B9-4F41-9679-51D6D81A818A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17B9-4F41-9679-51D6D81A818A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17B9-4F41-9679-51D6D81A818A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17B9-4F41-9679-51D6D81A818A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17B9-4F41-9679-51D6D81A818A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17B9-4F41-9679-51D6D81A818A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17B9-4F41-9679-51D6D81A818A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17B9-4F41-9679-51D6D81A818A}"/>
              </c:ext>
            </c:extLst>
          </c:dPt>
          <c:dLbls>
            <c:dLbl>
              <c:idx val="1"/>
              <c:layout>
                <c:manualLayout>
                  <c:x val="-1.4639639509827981E-2"/>
                  <c:y val="-2.01863341696622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B9-4F41-9679-51D6D81A818A}"/>
                </c:ext>
              </c:extLst>
            </c:dLbl>
            <c:dLbl>
              <c:idx val="119"/>
              <c:layout>
                <c:manualLayout>
                  <c:x val="-1.4639639509828196E-2"/>
                  <c:y val="-2.018633416966223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17B9-4F41-9679-51D6D81A818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'!$O$2:$O$122</c:f>
              <c:numCache>
                <c:formatCode>0</c:formatCode>
                <c:ptCount val="121"/>
                <c:pt idx="0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2.6</c:v>
                </c:pt>
                <c:pt idx="6">
                  <c:v>2.6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3.3636363636363638</c:v>
                </c:pt>
                <c:pt idx="27">
                  <c:v>3.3636363636363638</c:v>
                </c:pt>
                <c:pt idx="28">
                  <c:v>3.3636363636363638</c:v>
                </c:pt>
                <c:pt idx="29">
                  <c:v>3.3636363636363638</c:v>
                </c:pt>
                <c:pt idx="30">
                  <c:v>3.3636363636363638</c:v>
                </c:pt>
                <c:pt idx="31">
                  <c:v>3.3636363636363638</c:v>
                </c:pt>
                <c:pt idx="32">
                  <c:v>3.3636363636363638</c:v>
                </c:pt>
                <c:pt idx="33">
                  <c:v>3.3636363636363638</c:v>
                </c:pt>
                <c:pt idx="34">
                  <c:v>3.3636363636363638</c:v>
                </c:pt>
                <c:pt idx="35">
                  <c:v>3.3636363636363638</c:v>
                </c:pt>
                <c:pt idx="36">
                  <c:v>3.3636363636363638</c:v>
                </c:pt>
                <c:pt idx="37">
                  <c:v>3.3636363636363638</c:v>
                </c:pt>
                <c:pt idx="38">
                  <c:v>3.3636363636363638</c:v>
                </c:pt>
                <c:pt idx="39">
                  <c:v>3.3636363636363638</c:v>
                </c:pt>
                <c:pt idx="40">
                  <c:v>3.3636363636363638</c:v>
                </c:pt>
                <c:pt idx="41">
                  <c:v>3.3636363636363638</c:v>
                </c:pt>
                <c:pt idx="42">
                  <c:v>3.3636363636363638</c:v>
                </c:pt>
                <c:pt idx="43">
                  <c:v>3.3636363636363638</c:v>
                </c:pt>
                <c:pt idx="44">
                  <c:v>3.3636363636363638</c:v>
                </c:pt>
                <c:pt idx="45">
                  <c:v>3.3636363636363638</c:v>
                </c:pt>
                <c:pt idx="46">
                  <c:v>3.3636363636363638</c:v>
                </c:pt>
                <c:pt idx="47">
                  <c:v>3.3636363636363638</c:v>
                </c:pt>
                <c:pt idx="48">
                  <c:v>3.3636363636363638</c:v>
                </c:pt>
                <c:pt idx="49">
                  <c:v>3.3636363636363638</c:v>
                </c:pt>
                <c:pt idx="50">
                  <c:v>3.3636363636363638</c:v>
                </c:pt>
                <c:pt idx="51">
                  <c:v>3.3636363636363638</c:v>
                </c:pt>
                <c:pt idx="52">
                  <c:v>3.3636363636363638</c:v>
                </c:pt>
                <c:pt idx="53">
                  <c:v>3.3636363636363638</c:v>
                </c:pt>
                <c:pt idx="54">
                  <c:v>3.3636363636363638</c:v>
                </c:pt>
                <c:pt idx="55">
                  <c:v>3.3636363636363638</c:v>
                </c:pt>
                <c:pt idx="56">
                  <c:v>3.3636363636363638</c:v>
                </c:pt>
                <c:pt idx="57">
                  <c:v>3.3636363636363638</c:v>
                </c:pt>
                <c:pt idx="58">
                  <c:v>3.3636363636363638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3.7941176470588234</c:v>
                </c:pt>
                <c:pt idx="76">
                  <c:v>3.7941176470588234</c:v>
                </c:pt>
                <c:pt idx="77">
                  <c:v>3.7941176470588234</c:v>
                </c:pt>
                <c:pt idx="78">
                  <c:v>3.7941176470588234</c:v>
                </c:pt>
                <c:pt idx="79">
                  <c:v>3.7941176470588234</c:v>
                </c:pt>
                <c:pt idx="80">
                  <c:v>3.7941176470588234</c:v>
                </c:pt>
                <c:pt idx="81">
                  <c:v>3.7941176470588234</c:v>
                </c:pt>
                <c:pt idx="82">
                  <c:v>3.7941176470588234</c:v>
                </c:pt>
                <c:pt idx="83">
                  <c:v>3.7941176470588234</c:v>
                </c:pt>
                <c:pt idx="84">
                  <c:v>3.7941176470588234</c:v>
                </c:pt>
                <c:pt idx="85">
                  <c:v>3.7941176470588234</c:v>
                </c:pt>
                <c:pt idx="86">
                  <c:v>3.7941176470588234</c:v>
                </c:pt>
                <c:pt idx="87">
                  <c:v>3.7941176470588234</c:v>
                </c:pt>
                <c:pt idx="88">
                  <c:v>3.7941176470588234</c:v>
                </c:pt>
                <c:pt idx="89">
                  <c:v>3.7941176470588234</c:v>
                </c:pt>
                <c:pt idx="90">
                  <c:v>3.7941176470588234</c:v>
                </c:pt>
                <c:pt idx="91">
                  <c:v>3.7941176470588234</c:v>
                </c:pt>
                <c:pt idx="92">
                  <c:v>3.7941176470588234</c:v>
                </c:pt>
                <c:pt idx="93">
                  <c:v>3.7941176470588234</c:v>
                </c:pt>
                <c:pt idx="94">
                  <c:v>3.7941176470588234</c:v>
                </c:pt>
                <c:pt idx="95">
                  <c:v>3.7941176470588234</c:v>
                </c:pt>
                <c:pt idx="96">
                  <c:v>3.7941176470588234</c:v>
                </c:pt>
                <c:pt idx="97">
                  <c:v>3.7941176470588234</c:v>
                </c:pt>
                <c:pt idx="98">
                  <c:v>3.7941176470588234</c:v>
                </c:pt>
                <c:pt idx="99">
                  <c:v>3.7941176470588234</c:v>
                </c:pt>
                <c:pt idx="100">
                  <c:v>3.7941176470588234</c:v>
                </c:pt>
                <c:pt idx="101">
                  <c:v>3.7941176470588234</c:v>
                </c:pt>
                <c:pt idx="102">
                  <c:v>3.7941176470588234</c:v>
                </c:pt>
                <c:pt idx="103">
                  <c:v>3.7941176470588234</c:v>
                </c:pt>
                <c:pt idx="104">
                  <c:v>3.7941176470588234</c:v>
                </c:pt>
                <c:pt idx="105">
                  <c:v>3.7941176470588234</c:v>
                </c:pt>
                <c:pt idx="106">
                  <c:v>3.7941176470588234</c:v>
                </c:pt>
                <c:pt idx="107">
                  <c:v>3.7941176470588234</c:v>
                </c:pt>
                <c:pt idx="108">
                  <c:v>3.7941176470588234</c:v>
                </c:pt>
                <c:pt idx="109">
                  <c:v>2.6666666666666665</c:v>
                </c:pt>
                <c:pt idx="110">
                  <c:v>2.6666666666666665</c:v>
                </c:pt>
                <c:pt idx="111">
                  <c:v>2.6666666666666665</c:v>
                </c:pt>
                <c:pt idx="112">
                  <c:v>2.6666666666666665</c:v>
                </c:pt>
                <c:pt idx="113">
                  <c:v>2.6666666666666665</c:v>
                </c:pt>
                <c:pt idx="114">
                  <c:v>2.6666666666666665</c:v>
                </c:pt>
                <c:pt idx="115">
                  <c:v>2.6666666666666665</c:v>
                </c:pt>
                <c:pt idx="116">
                  <c:v>2.6666666666666665</c:v>
                </c:pt>
                <c:pt idx="117">
                  <c:v>2.6666666666666665</c:v>
                </c:pt>
                <c:pt idx="118">
                  <c:v>2.3333333333333335</c:v>
                </c:pt>
                <c:pt idx="119">
                  <c:v>2.3333333333333335</c:v>
                </c:pt>
                <c:pt idx="120">
                  <c:v>2.3333333333333335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7B9-4F41-9679-51D6D81A818A}"/>
            </c:ext>
          </c:extLst>
        </c:ser>
        <c:ser>
          <c:idx val="5"/>
          <c:order val="5"/>
          <c:tx>
            <c:strRef>
              <c:f>'Monthly Violent Crimes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'!$P$2:$P$122</c:f>
              <c:numCache>
                <c:formatCode>0</c:formatCode>
                <c:ptCount val="121"/>
                <c:pt idx="1">
                  <c:v>0.63526666666666687</c:v>
                </c:pt>
                <c:pt idx="2">
                  <c:v>0.63526666666666687</c:v>
                </c:pt>
                <c:pt idx="3">
                  <c:v>0.63526666666666687</c:v>
                </c:pt>
                <c:pt idx="4">
                  <c:v>0.63526666666666687</c:v>
                </c:pt>
                <c:pt idx="5">
                  <c:v>0.63526666666666687</c:v>
                </c:pt>
                <c:pt idx="6">
                  <c:v>0.63526666666666687</c:v>
                </c:pt>
                <c:pt idx="7">
                  <c:v>0.63526666666666687</c:v>
                </c:pt>
                <c:pt idx="8">
                  <c:v>0.63526666666666687</c:v>
                </c:pt>
                <c:pt idx="9">
                  <c:v>0.63526666666666687</c:v>
                </c:pt>
                <c:pt idx="10">
                  <c:v>0.63526666666666687</c:v>
                </c:pt>
                <c:pt idx="11">
                  <c:v>0.63526666666666687</c:v>
                </c:pt>
                <c:pt idx="12">
                  <c:v>0.63526666666666687</c:v>
                </c:pt>
                <c:pt idx="13">
                  <c:v>0.63526666666666687</c:v>
                </c:pt>
                <c:pt idx="14">
                  <c:v>0.63526666666666687</c:v>
                </c:pt>
                <c:pt idx="15">
                  <c:v>0.63526666666666687</c:v>
                </c:pt>
                <c:pt idx="16">
                  <c:v>0.63526666666666687</c:v>
                </c:pt>
                <c:pt idx="17">
                  <c:v>0.63526666666666687</c:v>
                </c:pt>
                <c:pt idx="18">
                  <c:v>0.63526666666666687</c:v>
                </c:pt>
                <c:pt idx="19">
                  <c:v>0.63526666666666687</c:v>
                </c:pt>
                <c:pt idx="20">
                  <c:v>0.63526666666666687</c:v>
                </c:pt>
                <c:pt idx="21">
                  <c:v>0.63526666666666687</c:v>
                </c:pt>
                <c:pt idx="22">
                  <c:v>0.63526666666666687</c:v>
                </c:pt>
                <c:pt idx="23">
                  <c:v>0.63526666666666687</c:v>
                </c:pt>
                <c:pt idx="24">
                  <c:v>0.63526666666666687</c:v>
                </c:pt>
                <c:pt idx="25">
                  <c:v>0.63526666666666687</c:v>
                </c:pt>
                <c:pt idx="26">
                  <c:v>0.82184848484848461</c:v>
                </c:pt>
                <c:pt idx="27">
                  <c:v>0.82184848484848461</c:v>
                </c:pt>
                <c:pt idx="28">
                  <c:v>0.82184848484848461</c:v>
                </c:pt>
                <c:pt idx="29">
                  <c:v>0.82184848484848461</c:v>
                </c:pt>
                <c:pt idx="30">
                  <c:v>0.82184848484848461</c:v>
                </c:pt>
                <c:pt idx="31">
                  <c:v>0.82184848484848461</c:v>
                </c:pt>
                <c:pt idx="32">
                  <c:v>0.82184848484848461</c:v>
                </c:pt>
                <c:pt idx="33">
                  <c:v>0.82184848484848461</c:v>
                </c:pt>
                <c:pt idx="34">
                  <c:v>0.82184848484848461</c:v>
                </c:pt>
                <c:pt idx="35">
                  <c:v>0.82184848484848461</c:v>
                </c:pt>
                <c:pt idx="36">
                  <c:v>0.82184848484848461</c:v>
                </c:pt>
                <c:pt idx="37">
                  <c:v>0.82184848484848461</c:v>
                </c:pt>
                <c:pt idx="38">
                  <c:v>0.82184848484848461</c:v>
                </c:pt>
                <c:pt idx="39">
                  <c:v>0.82184848484848461</c:v>
                </c:pt>
                <c:pt idx="40">
                  <c:v>0.82184848484848461</c:v>
                </c:pt>
                <c:pt idx="41">
                  <c:v>0.82184848484848461</c:v>
                </c:pt>
                <c:pt idx="42">
                  <c:v>0.82184848484848461</c:v>
                </c:pt>
                <c:pt idx="43">
                  <c:v>0.82184848484848461</c:v>
                </c:pt>
                <c:pt idx="44">
                  <c:v>0.82184848484848461</c:v>
                </c:pt>
                <c:pt idx="45">
                  <c:v>0.82184848484848461</c:v>
                </c:pt>
                <c:pt idx="46">
                  <c:v>0.82184848484848461</c:v>
                </c:pt>
                <c:pt idx="47">
                  <c:v>0.82184848484848461</c:v>
                </c:pt>
                <c:pt idx="48">
                  <c:v>0.82184848484848461</c:v>
                </c:pt>
                <c:pt idx="49">
                  <c:v>0.82184848484848461</c:v>
                </c:pt>
                <c:pt idx="50">
                  <c:v>0.82184848484848461</c:v>
                </c:pt>
                <c:pt idx="51">
                  <c:v>0.82184848484848461</c:v>
                </c:pt>
                <c:pt idx="52">
                  <c:v>0.82184848484848461</c:v>
                </c:pt>
                <c:pt idx="53">
                  <c:v>0.82184848484848461</c:v>
                </c:pt>
                <c:pt idx="54">
                  <c:v>0.82184848484848461</c:v>
                </c:pt>
                <c:pt idx="55">
                  <c:v>0.82184848484848461</c:v>
                </c:pt>
                <c:pt idx="56">
                  <c:v>0.82184848484848461</c:v>
                </c:pt>
                <c:pt idx="57">
                  <c:v>0.82184848484848461</c:v>
                </c:pt>
                <c:pt idx="58">
                  <c:v>0.82184848484848461</c:v>
                </c:pt>
                <c:pt idx="59">
                  <c:v>0.4886666666666668</c:v>
                </c:pt>
                <c:pt idx="60">
                  <c:v>0.4886666666666668</c:v>
                </c:pt>
                <c:pt idx="61">
                  <c:v>0.4886666666666668</c:v>
                </c:pt>
                <c:pt idx="62">
                  <c:v>0.4886666666666668</c:v>
                </c:pt>
                <c:pt idx="63">
                  <c:v>0.4886666666666668</c:v>
                </c:pt>
                <c:pt idx="64">
                  <c:v>0.4886666666666668</c:v>
                </c:pt>
                <c:pt idx="65">
                  <c:v>0.4886666666666668</c:v>
                </c:pt>
                <c:pt idx="66">
                  <c:v>0.4886666666666668</c:v>
                </c:pt>
                <c:pt idx="67">
                  <c:v>0.4886666666666668</c:v>
                </c:pt>
                <c:pt idx="68">
                  <c:v>0.4886666666666668</c:v>
                </c:pt>
                <c:pt idx="69">
                  <c:v>0.4886666666666668</c:v>
                </c:pt>
                <c:pt idx="70">
                  <c:v>0.4886666666666668</c:v>
                </c:pt>
                <c:pt idx="71">
                  <c:v>0.4886666666666668</c:v>
                </c:pt>
                <c:pt idx="72">
                  <c:v>0.4886666666666668</c:v>
                </c:pt>
                <c:pt idx="73">
                  <c:v>0.4886666666666668</c:v>
                </c:pt>
                <c:pt idx="74">
                  <c:v>0.4886666666666668</c:v>
                </c:pt>
                <c:pt idx="75">
                  <c:v>0.92702941176470555</c:v>
                </c:pt>
                <c:pt idx="76">
                  <c:v>0.92702941176470555</c:v>
                </c:pt>
                <c:pt idx="77">
                  <c:v>0.92702941176470555</c:v>
                </c:pt>
                <c:pt idx="78">
                  <c:v>0.92702941176470555</c:v>
                </c:pt>
                <c:pt idx="79">
                  <c:v>0.92702941176470555</c:v>
                </c:pt>
                <c:pt idx="80">
                  <c:v>0.92702941176470555</c:v>
                </c:pt>
                <c:pt idx="81">
                  <c:v>0.92702941176470555</c:v>
                </c:pt>
                <c:pt idx="82">
                  <c:v>0.92702941176470555</c:v>
                </c:pt>
                <c:pt idx="83">
                  <c:v>0.92702941176470555</c:v>
                </c:pt>
                <c:pt idx="84">
                  <c:v>0.92702941176470555</c:v>
                </c:pt>
                <c:pt idx="85">
                  <c:v>0.92702941176470555</c:v>
                </c:pt>
                <c:pt idx="86">
                  <c:v>0.92702941176470555</c:v>
                </c:pt>
                <c:pt idx="87">
                  <c:v>0.92702941176470555</c:v>
                </c:pt>
                <c:pt idx="88">
                  <c:v>0.92702941176470555</c:v>
                </c:pt>
                <c:pt idx="89">
                  <c:v>0.92702941176470555</c:v>
                </c:pt>
                <c:pt idx="90">
                  <c:v>0.92702941176470555</c:v>
                </c:pt>
                <c:pt idx="91">
                  <c:v>0.92702941176470555</c:v>
                </c:pt>
                <c:pt idx="92">
                  <c:v>0.92702941176470555</c:v>
                </c:pt>
                <c:pt idx="93">
                  <c:v>0.92702941176470555</c:v>
                </c:pt>
                <c:pt idx="94">
                  <c:v>0.92702941176470555</c:v>
                </c:pt>
                <c:pt idx="95">
                  <c:v>0.92702941176470555</c:v>
                </c:pt>
                <c:pt idx="96">
                  <c:v>0.92702941176470555</c:v>
                </c:pt>
                <c:pt idx="97">
                  <c:v>0.92702941176470555</c:v>
                </c:pt>
                <c:pt idx="98">
                  <c:v>0.92702941176470555</c:v>
                </c:pt>
                <c:pt idx="99">
                  <c:v>0.92702941176470555</c:v>
                </c:pt>
                <c:pt idx="100">
                  <c:v>0.92702941176470555</c:v>
                </c:pt>
                <c:pt idx="101">
                  <c:v>0.92702941176470555</c:v>
                </c:pt>
                <c:pt idx="102">
                  <c:v>0.92702941176470555</c:v>
                </c:pt>
                <c:pt idx="103">
                  <c:v>0.92702941176470555</c:v>
                </c:pt>
                <c:pt idx="104">
                  <c:v>0.92702941176470555</c:v>
                </c:pt>
                <c:pt idx="105">
                  <c:v>0.92702941176470555</c:v>
                </c:pt>
                <c:pt idx="106">
                  <c:v>0.92702941176470555</c:v>
                </c:pt>
                <c:pt idx="107">
                  <c:v>0.92702941176470555</c:v>
                </c:pt>
                <c:pt idx="108">
                  <c:v>0.92702941176470555</c:v>
                </c:pt>
                <c:pt idx="109">
                  <c:v>0.65155555555555544</c:v>
                </c:pt>
                <c:pt idx="110">
                  <c:v>0.65155555555555544</c:v>
                </c:pt>
                <c:pt idx="111">
                  <c:v>0.65155555555555544</c:v>
                </c:pt>
                <c:pt idx="112">
                  <c:v>0.65155555555555544</c:v>
                </c:pt>
                <c:pt idx="113">
                  <c:v>0.65155555555555544</c:v>
                </c:pt>
                <c:pt idx="114">
                  <c:v>0.65155555555555544</c:v>
                </c:pt>
                <c:pt idx="115">
                  <c:v>0.65155555555555544</c:v>
                </c:pt>
                <c:pt idx="116">
                  <c:v>0.65155555555555544</c:v>
                </c:pt>
                <c:pt idx="117">
                  <c:v>0.65155555555555544</c:v>
                </c:pt>
                <c:pt idx="118">
                  <c:v>0.57011111111111124</c:v>
                </c:pt>
                <c:pt idx="119">
                  <c:v>0.57011111111111124</c:v>
                </c:pt>
                <c:pt idx="120">
                  <c:v>0.57011111111111124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17B9-4F41-9679-51D6D81A818A}"/>
            </c:ext>
          </c:extLst>
        </c:ser>
        <c:ser>
          <c:idx val="6"/>
          <c:order val="6"/>
          <c:tx>
            <c:strRef>
              <c:f>'Monthly Violent Crimes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'!$Q$2:$Q$122</c:f>
              <c:numCache>
                <c:formatCode>0</c:formatCode>
                <c:ptCount val="1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7B9-4F41-9679-51D6D81A818A}"/>
            </c:ext>
          </c:extLst>
        </c:ser>
        <c:ser>
          <c:idx val="7"/>
          <c:order val="7"/>
          <c:tx>
            <c:strRef>
              <c:f>'Monthly Violent Crimes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'!$R$2:$R$122</c:f>
              <c:numCache>
                <c:formatCode>0</c:formatCode>
                <c:ptCount val="1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17B9-4F41-9679-51D6D81A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392319"/>
        <c:axId val="1249889919"/>
      </c:lineChart>
      <c:catAx>
        <c:axId val="124939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2016-01-01 - 2026-01-01</a:t>
                </a:r>
              </a:p>
            </c:rich>
          </c:tx>
          <c:overlay val="0"/>
        </c:title>
        <c:numFmt formatCode="yyyy\-mm\-dd;@" sourceLinked="1"/>
        <c:majorTickMark val="out"/>
        <c:minorTickMark val="none"/>
        <c:tickLblPos val="nextTo"/>
        <c:crossAx val="1249889919"/>
        <c:crosses val="autoZero"/>
        <c:auto val="0"/>
        <c:lblAlgn val="ctr"/>
        <c:lblOffset val="100"/>
        <c:noMultiLvlLbl val="0"/>
      </c:catAx>
      <c:valAx>
        <c:axId val="1249889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24939231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Violent Crimes - Schertz, TX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Jan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2016 - Jan 2026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Violent Crimes XmR '!$B$1</c:f>
              <c:strCache>
                <c:ptCount val="1"/>
                <c:pt idx="0">
                  <c:v>Violent Crimes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2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9-4BAA-6140-B6DF-5D103BD8A8B4}"/>
              </c:ext>
            </c:extLst>
          </c:dPt>
          <c:dPt>
            <c:idx val="2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A-4BAA-6140-B6DF-5D103BD8A8B4}"/>
              </c:ext>
            </c:extLst>
          </c:dPt>
          <c:dPt>
            <c:idx val="2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B-4BAA-6140-B6DF-5D103BD8A8B4}"/>
              </c:ext>
            </c:extLst>
          </c:dPt>
          <c:dPt>
            <c:idx val="2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C-4BAA-6140-B6DF-5D103BD8A8B4}"/>
              </c:ext>
            </c:extLst>
          </c:dPt>
          <c:dPt>
            <c:idx val="3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D-4BAA-6140-B6DF-5D103BD8A8B4}"/>
              </c:ext>
            </c:extLst>
          </c:dPt>
          <c:dPt>
            <c:idx val="3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E-4BAA-6140-B6DF-5D103BD8A8B4}"/>
              </c:ext>
            </c:extLst>
          </c:dPt>
          <c:dPt>
            <c:idx val="3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F-4BAA-6140-B6DF-5D103BD8A8B4}"/>
              </c:ext>
            </c:extLst>
          </c:dPt>
          <c:dPt>
            <c:idx val="3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0-4BAA-6140-B6DF-5D103BD8A8B4}"/>
              </c:ext>
            </c:extLst>
          </c:dPt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'!$B$2:$B$122</c:f>
              <c:numCache>
                <c:formatCode>0</c:formatCode>
                <c:ptCount val="121"/>
                <c:pt idx="0">
                  <c:v>5</c:v>
                </c:pt>
                <c:pt idx="1">
                  <c:v>9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2</c:v>
                </c:pt>
                <c:pt idx="18">
                  <c:v>8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9</c:v>
                </c:pt>
                <c:pt idx="24">
                  <c:v>5</c:v>
                </c:pt>
                <c:pt idx="25">
                  <c:v>4</c:v>
                </c:pt>
                <c:pt idx="26">
                  <c:v>10</c:v>
                </c:pt>
                <c:pt idx="27">
                  <c:v>13</c:v>
                </c:pt>
                <c:pt idx="28">
                  <c:v>8</c:v>
                </c:pt>
                <c:pt idx="29">
                  <c:v>10</c:v>
                </c:pt>
                <c:pt idx="30">
                  <c:v>7</c:v>
                </c:pt>
                <c:pt idx="31">
                  <c:v>7</c:v>
                </c:pt>
                <c:pt idx="32">
                  <c:v>9</c:v>
                </c:pt>
                <c:pt idx="33">
                  <c:v>8</c:v>
                </c:pt>
                <c:pt idx="34">
                  <c:v>5</c:v>
                </c:pt>
                <c:pt idx="35">
                  <c:v>9</c:v>
                </c:pt>
                <c:pt idx="36">
                  <c:v>8</c:v>
                </c:pt>
                <c:pt idx="37">
                  <c:v>4</c:v>
                </c:pt>
                <c:pt idx="38">
                  <c:v>12</c:v>
                </c:pt>
                <c:pt idx="39">
                  <c:v>9</c:v>
                </c:pt>
                <c:pt idx="40">
                  <c:v>13</c:v>
                </c:pt>
                <c:pt idx="41">
                  <c:v>7</c:v>
                </c:pt>
                <c:pt idx="42">
                  <c:v>2</c:v>
                </c:pt>
                <c:pt idx="43">
                  <c:v>7</c:v>
                </c:pt>
                <c:pt idx="44">
                  <c:v>6</c:v>
                </c:pt>
                <c:pt idx="45">
                  <c:v>1</c:v>
                </c:pt>
                <c:pt idx="46">
                  <c:v>4</c:v>
                </c:pt>
                <c:pt idx="47">
                  <c:v>5</c:v>
                </c:pt>
                <c:pt idx="48">
                  <c:v>4</c:v>
                </c:pt>
                <c:pt idx="49">
                  <c:v>8</c:v>
                </c:pt>
                <c:pt idx="50">
                  <c:v>10</c:v>
                </c:pt>
                <c:pt idx="51">
                  <c:v>2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2</c:v>
                </c:pt>
                <c:pt idx="56">
                  <c:v>9</c:v>
                </c:pt>
                <c:pt idx="57">
                  <c:v>4</c:v>
                </c:pt>
                <c:pt idx="58">
                  <c:v>7</c:v>
                </c:pt>
                <c:pt idx="59">
                  <c:v>1</c:v>
                </c:pt>
                <c:pt idx="60">
                  <c:v>2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6</c:v>
                </c:pt>
                <c:pt idx="68">
                  <c:v>2</c:v>
                </c:pt>
                <c:pt idx="69">
                  <c:v>2</c:v>
                </c:pt>
                <c:pt idx="70">
                  <c:v>4</c:v>
                </c:pt>
                <c:pt idx="71">
                  <c:v>3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9</c:v>
                </c:pt>
                <c:pt idx="76">
                  <c:v>4</c:v>
                </c:pt>
                <c:pt idx="77">
                  <c:v>7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5</c:v>
                </c:pt>
                <c:pt idx="82">
                  <c:v>3</c:v>
                </c:pt>
                <c:pt idx="83">
                  <c:v>11</c:v>
                </c:pt>
                <c:pt idx="84">
                  <c:v>7</c:v>
                </c:pt>
                <c:pt idx="85">
                  <c:v>3</c:v>
                </c:pt>
                <c:pt idx="86">
                  <c:v>6</c:v>
                </c:pt>
                <c:pt idx="87">
                  <c:v>4</c:v>
                </c:pt>
                <c:pt idx="88">
                  <c:v>3</c:v>
                </c:pt>
                <c:pt idx="89">
                  <c:v>6</c:v>
                </c:pt>
                <c:pt idx="90">
                  <c:v>2</c:v>
                </c:pt>
                <c:pt idx="91">
                  <c:v>10</c:v>
                </c:pt>
                <c:pt idx="92">
                  <c:v>6</c:v>
                </c:pt>
                <c:pt idx="93">
                  <c:v>4</c:v>
                </c:pt>
                <c:pt idx="94">
                  <c:v>10</c:v>
                </c:pt>
                <c:pt idx="95">
                  <c:v>10</c:v>
                </c:pt>
                <c:pt idx="96">
                  <c:v>5</c:v>
                </c:pt>
                <c:pt idx="97">
                  <c:v>3</c:v>
                </c:pt>
                <c:pt idx="98">
                  <c:v>8</c:v>
                </c:pt>
                <c:pt idx="99">
                  <c:v>6</c:v>
                </c:pt>
                <c:pt idx="100">
                  <c:v>8</c:v>
                </c:pt>
                <c:pt idx="101">
                  <c:v>6</c:v>
                </c:pt>
                <c:pt idx="102">
                  <c:v>13</c:v>
                </c:pt>
                <c:pt idx="103">
                  <c:v>3</c:v>
                </c:pt>
                <c:pt idx="104">
                  <c:v>9</c:v>
                </c:pt>
                <c:pt idx="105">
                  <c:v>2</c:v>
                </c:pt>
                <c:pt idx="106">
                  <c:v>5</c:v>
                </c:pt>
                <c:pt idx="107">
                  <c:v>1</c:v>
                </c:pt>
                <c:pt idx="108">
                  <c:v>4</c:v>
                </c:pt>
                <c:pt idx="109">
                  <c:v>7</c:v>
                </c:pt>
                <c:pt idx="110">
                  <c:v>9</c:v>
                </c:pt>
                <c:pt idx="111">
                  <c:v>7</c:v>
                </c:pt>
                <c:pt idx="112">
                  <c:v>12</c:v>
                </c:pt>
                <c:pt idx="113">
                  <c:v>9</c:v>
                </c:pt>
                <c:pt idx="114">
                  <c:v>7</c:v>
                </c:pt>
                <c:pt idx="115">
                  <c:v>9</c:v>
                </c:pt>
                <c:pt idx="116">
                  <c:v>7</c:v>
                </c:pt>
                <c:pt idx="117">
                  <c:v>10</c:v>
                </c:pt>
                <c:pt idx="118">
                  <c:v>5</c:v>
                </c:pt>
                <c:pt idx="119">
                  <c:v>6</c:v>
                </c:pt>
                <c:pt idx="12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A-6140-B6DF-5D103BD8A8B4}"/>
            </c:ext>
          </c:extLst>
        </c:ser>
        <c:ser>
          <c:idx val="1"/>
          <c:order val="1"/>
          <c:tx>
            <c:strRef>
              <c:f>'Monthly Violent Crimes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BAA-6140-B6DF-5D103BD8A8B4}"/>
                </c:ext>
              </c:extLst>
            </c:dLbl>
            <c:dLbl>
              <c:idx val="119"/>
              <c:layout>
                <c:manualLayout>
                  <c:x val="-1.4639639509828089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'!$C$2:$C$122</c:f>
              <c:numCache>
                <c:formatCode>0</c:formatCode>
                <c:ptCount val="121"/>
                <c:pt idx="0">
                  <c:v>14.339076923076924</c:v>
                </c:pt>
                <c:pt idx="1">
                  <c:v>14.339076923076924</c:v>
                </c:pt>
                <c:pt idx="2">
                  <c:v>14.339076923076924</c:v>
                </c:pt>
                <c:pt idx="3">
                  <c:v>14.339076923076924</c:v>
                </c:pt>
                <c:pt idx="4">
                  <c:v>14.339076923076924</c:v>
                </c:pt>
                <c:pt idx="5">
                  <c:v>14.339076923076924</c:v>
                </c:pt>
                <c:pt idx="6">
                  <c:v>14.339076923076924</c:v>
                </c:pt>
                <c:pt idx="7">
                  <c:v>14.339076923076924</c:v>
                </c:pt>
                <c:pt idx="8">
                  <c:v>14.339076923076924</c:v>
                </c:pt>
                <c:pt idx="9">
                  <c:v>14.339076923076924</c:v>
                </c:pt>
                <c:pt idx="10">
                  <c:v>14.339076923076924</c:v>
                </c:pt>
                <c:pt idx="11">
                  <c:v>14.339076923076924</c:v>
                </c:pt>
                <c:pt idx="12">
                  <c:v>14.339076923076924</c:v>
                </c:pt>
                <c:pt idx="13">
                  <c:v>14.339076923076924</c:v>
                </c:pt>
                <c:pt idx="14">
                  <c:v>14.339076923076924</c:v>
                </c:pt>
                <c:pt idx="15">
                  <c:v>14.339076923076924</c:v>
                </c:pt>
                <c:pt idx="16">
                  <c:v>14.339076923076924</c:v>
                </c:pt>
                <c:pt idx="17">
                  <c:v>14.339076923076924</c:v>
                </c:pt>
                <c:pt idx="18">
                  <c:v>14.339076923076924</c:v>
                </c:pt>
                <c:pt idx="19">
                  <c:v>14.339076923076924</c:v>
                </c:pt>
                <c:pt idx="20">
                  <c:v>14.339076923076924</c:v>
                </c:pt>
                <c:pt idx="21">
                  <c:v>14.339076923076924</c:v>
                </c:pt>
                <c:pt idx="22">
                  <c:v>14.339076923076924</c:v>
                </c:pt>
                <c:pt idx="23">
                  <c:v>14.339076923076924</c:v>
                </c:pt>
                <c:pt idx="24">
                  <c:v>14.339076923076924</c:v>
                </c:pt>
                <c:pt idx="25">
                  <c:v>14.339076923076924</c:v>
                </c:pt>
                <c:pt idx="26">
                  <c:v>15.735151515151514</c:v>
                </c:pt>
                <c:pt idx="27">
                  <c:v>15.735151515151514</c:v>
                </c:pt>
                <c:pt idx="28">
                  <c:v>15.735151515151514</c:v>
                </c:pt>
                <c:pt idx="29">
                  <c:v>15.735151515151514</c:v>
                </c:pt>
                <c:pt idx="30">
                  <c:v>15.735151515151514</c:v>
                </c:pt>
                <c:pt idx="31">
                  <c:v>15.735151515151514</c:v>
                </c:pt>
                <c:pt idx="32">
                  <c:v>15.735151515151514</c:v>
                </c:pt>
                <c:pt idx="33">
                  <c:v>15.735151515151514</c:v>
                </c:pt>
                <c:pt idx="34">
                  <c:v>15.735151515151514</c:v>
                </c:pt>
                <c:pt idx="35">
                  <c:v>15.735151515151514</c:v>
                </c:pt>
                <c:pt idx="36">
                  <c:v>15.735151515151514</c:v>
                </c:pt>
                <c:pt idx="37">
                  <c:v>15.735151515151514</c:v>
                </c:pt>
                <c:pt idx="38">
                  <c:v>15.735151515151514</c:v>
                </c:pt>
                <c:pt idx="39">
                  <c:v>15.735151515151514</c:v>
                </c:pt>
                <c:pt idx="40">
                  <c:v>15.735151515151514</c:v>
                </c:pt>
                <c:pt idx="41">
                  <c:v>15.735151515151514</c:v>
                </c:pt>
                <c:pt idx="42">
                  <c:v>15.735151515151514</c:v>
                </c:pt>
                <c:pt idx="43">
                  <c:v>15.735151515151514</c:v>
                </c:pt>
                <c:pt idx="44">
                  <c:v>15.735151515151514</c:v>
                </c:pt>
                <c:pt idx="45">
                  <c:v>15.735151515151514</c:v>
                </c:pt>
                <c:pt idx="46">
                  <c:v>15.735151515151514</c:v>
                </c:pt>
                <c:pt idx="47">
                  <c:v>15.735151515151514</c:v>
                </c:pt>
                <c:pt idx="48">
                  <c:v>15.735151515151514</c:v>
                </c:pt>
                <c:pt idx="49">
                  <c:v>15.735151515151514</c:v>
                </c:pt>
                <c:pt idx="50">
                  <c:v>15.735151515151514</c:v>
                </c:pt>
                <c:pt idx="51">
                  <c:v>15.735151515151514</c:v>
                </c:pt>
                <c:pt idx="52">
                  <c:v>15.735151515151514</c:v>
                </c:pt>
                <c:pt idx="53">
                  <c:v>15.735151515151514</c:v>
                </c:pt>
                <c:pt idx="54">
                  <c:v>15.735151515151514</c:v>
                </c:pt>
                <c:pt idx="55">
                  <c:v>15.735151515151514</c:v>
                </c:pt>
                <c:pt idx="56">
                  <c:v>15.735151515151514</c:v>
                </c:pt>
                <c:pt idx="57">
                  <c:v>15.735151515151514</c:v>
                </c:pt>
                <c:pt idx="58">
                  <c:v>15.735151515151514</c:v>
                </c:pt>
                <c:pt idx="59">
                  <c:v>8.4450000000000003</c:v>
                </c:pt>
                <c:pt idx="60">
                  <c:v>8.4450000000000003</c:v>
                </c:pt>
                <c:pt idx="61">
                  <c:v>8.4450000000000003</c:v>
                </c:pt>
                <c:pt idx="62">
                  <c:v>8.4450000000000003</c:v>
                </c:pt>
                <c:pt idx="63">
                  <c:v>8.4450000000000003</c:v>
                </c:pt>
                <c:pt idx="64">
                  <c:v>8.4450000000000003</c:v>
                </c:pt>
                <c:pt idx="65">
                  <c:v>8.4450000000000003</c:v>
                </c:pt>
                <c:pt idx="66">
                  <c:v>8.4450000000000003</c:v>
                </c:pt>
                <c:pt idx="67">
                  <c:v>8.4450000000000003</c:v>
                </c:pt>
                <c:pt idx="68">
                  <c:v>8.4450000000000003</c:v>
                </c:pt>
                <c:pt idx="69">
                  <c:v>8.4450000000000003</c:v>
                </c:pt>
                <c:pt idx="70">
                  <c:v>8.4450000000000003</c:v>
                </c:pt>
                <c:pt idx="71">
                  <c:v>8.4450000000000003</c:v>
                </c:pt>
                <c:pt idx="72">
                  <c:v>8.4450000000000003</c:v>
                </c:pt>
                <c:pt idx="73">
                  <c:v>8.4450000000000003</c:v>
                </c:pt>
                <c:pt idx="74">
                  <c:v>8.4450000000000003</c:v>
                </c:pt>
                <c:pt idx="75">
                  <c:v>15.739411764705881</c:v>
                </c:pt>
                <c:pt idx="76">
                  <c:v>15.739411764705881</c:v>
                </c:pt>
                <c:pt idx="77">
                  <c:v>15.739411764705881</c:v>
                </c:pt>
                <c:pt idx="78">
                  <c:v>15.739411764705881</c:v>
                </c:pt>
                <c:pt idx="79">
                  <c:v>15.739411764705881</c:v>
                </c:pt>
                <c:pt idx="80">
                  <c:v>15.739411764705881</c:v>
                </c:pt>
                <c:pt idx="81">
                  <c:v>15.739411764705881</c:v>
                </c:pt>
                <c:pt idx="82">
                  <c:v>15.739411764705881</c:v>
                </c:pt>
                <c:pt idx="83">
                  <c:v>15.739411764705881</c:v>
                </c:pt>
                <c:pt idx="84">
                  <c:v>15.739411764705881</c:v>
                </c:pt>
                <c:pt idx="85">
                  <c:v>15.739411764705881</c:v>
                </c:pt>
                <c:pt idx="86">
                  <c:v>15.739411764705881</c:v>
                </c:pt>
                <c:pt idx="87">
                  <c:v>15.739411764705881</c:v>
                </c:pt>
                <c:pt idx="88">
                  <c:v>15.739411764705881</c:v>
                </c:pt>
                <c:pt idx="89">
                  <c:v>15.739411764705881</c:v>
                </c:pt>
                <c:pt idx="90">
                  <c:v>15.739411764705881</c:v>
                </c:pt>
                <c:pt idx="91">
                  <c:v>15.739411764705881</c:v>
                </c:pt>
                <c:pt idx="92">
                  <c:v>15.739411764705881</c:v>
                </c:pt>
                <c:pt idx="93">
                  <c:v>15.739411764705881</c:v>
                </c:pt>
                <c:pt idx="94">
                  <c:v>15.739411764705881</c:v>
                </c:pt>
                <c:pt idx="95">
                  <c:v>15.739411764705881</c:v>
                </c:pt>
                <c:pt idx="96">
                  <c:v>15.739411764705881</c:v>
                </c:pt>
                <c:pt idx="97">
                  <c:v>15.739411764705881</c:v>
                </c:pt>
                <c:pt idx="98">
                  <c:v>15.739411764705881</c:v>
                </c:pt>
                <c:pt idx="99">
                  <c:v>15.739411764705881</c:v>
                </c:pt>
                <c:pt idx="100">
                  <c:v>15.739411764705881</c:v>
                </c:pt>
                <c:pt idx="101">
                  <c:v>15.739411764705881</c:v>
                </c:pt>
                <c:pt idx="102">
                  <c:v>15.739411764705881</c:v>
                </c:pt>
                <c:pt idx="103">
                  <c:v>15.739411764705881</c:v>
                </c:pt>
                <c:pt idx="104">
                  <c:v>15.739411764705881</c:v>
                </c:pt>
                <c:pt idx="105">
                  <c:v>15.739411764705881</c:v>
                </c:pt>
                <c:pt idx="106">
                  <c:v>15.739411764705881</c:v>
                </c:pt>
                <c:pt idx="107">
                  <c:v>15.739411764705881</c:v>
                </c:pt>
                <c:pt idx="108">
                  <c:v>15.739411764705881</c:v>
                </c:pt>
                <c:pt idx="109">
                  <c:v>15.648888888888889</c:v>
                </c:pt>
                <c:pt idx="110">
                  <c:v>15.648888888888889</c:v>
                </c:pt>
                <c:pt idx="111">
                  <c:v>15.648888888888889</c:v>
                </c:pt>
                <c:pt idx="112">
                  <c:v>15.648888888888889</c:v>
                </c:pt>
                <c:pt idx="113">
                  <c:v>15.648888888888889</c:v>
                </c:pt>
                <c:pt idx="114">
                  <c:v>15.648888888888889</c:v>
                </c:pt>
                <c:pt idx="115">
                  <c:v>15.648888888888889</c:v>
                </c:pt>
                <c:pt idx="116">
                  <c:v>15.648888888888889</c:v>
                </c:pt>
                <c:pt idx="117">
                  <c:v>15.648888888888889</c:v>
                </c:pt>
                <c:pt idx="118">
                  <c:v>11.54</c:v>
                </c:pt>
                <c:pt idx="119">
                  <c:v>11.54</c:v>
                </c:pt>
                <c:pt idx="120">
                  <c:v>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AA-6140-B6DF-5D103BD8A8B4}"/>
            </c:ext>
          </c:extLst>
        </c:ser>
        <c:ser>
          <c:idx val="2"/>
          <c:order val="2"/>
          <c:tx>
            <c:strRef>
              <c:f>'Monthly Violent Crimes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'!$D$2:$D$122</c:f>
              <c:numCache>
                <c:formatCode>0</c:formatCode>
                <c:ptCount val="121"/>
                <c:pt idx="0">
                  <c:v>12.03374358974359</c:v>
                </c:pt>
                <c:pt idx="1">
                  <c:v>12.03374358974359</c:v>
                </c:pt>
                <c:pt idx="2">
                  <c:v>12.03374358974359</c:v>
                </c:pt>
                <c:pt idx="3">
                  <c:v>12.03374358974359</c:v>
                </c:pt>
                <c:pt idx="4">
                  <c:v>12.03374358974359</c:v>
                </c:pt>
                <c:pt idx="5">
                  <c:v>12.03374358974359</c:v>
                </c:pt>
                <c:pt idx="6">
                  <c:v>12.03374358974359</c:v>
                </c:pt>
                <c:pt idx="7">
                  <c:v>12.03374358974359</c:v>
                </c:pt>
                <c:pt idx="8">
                  <c:v>12.03374358974359</c:v>
                </c:pt>
                <c:pt idx="9">
                  <c:v>12.03374358974359</c:v>
                </c:pt>
                <c:pt idx="10">
                  <c:v>12.03374358974359</c:v>
                </c:pt>
                <c:pt idx="11">
                  <c:v>12.03374358974359</c:v>
                </c:pt>
                <c:pt idx="12">
                  <c:v>12.03374358974359</c:v>
                </c:pt>
                <c:pt idx="13">
                  <c:v>12.03374358974359</c:v>
                </c:pt>
                <c:pt idx="14">
                  <c:v>12.03374358974359</c:v>
                </c:pt>
                <c:pt idx="15">
                  <c:v>12.03374358974359</c:v>
                </c:pt>
                <c:pt idx="16">
                  <c:v>12.03374358974359</c:v>
                </c:pt>
                <c:pt idx="17">
                  <c:v>12.03374358974359</c:v>
                </c:pt>
                <c:pt idx="18">
                  <c:v>12.03374358974359</c:v>
                </c:pt>
                <c:pt idx="19">
                  <c:v>12.03374358974359</c:v>
                </c:pt>
                <c:pt idx="20">
                  <c:v>12.03374358974359</c:v>
                </c:pt>
                <c:pt idx="21">
                  <c:v>12.03374358974359</c:v>
                </c:pt>
                <c:pt idx="22">
                  <c:v>12.03374358974359</c:v>
                </c:pt>
                <c:pt idx="23">
                  <c:v>12.03374358974359</c:v>
                </c:pt>
                <c:pt idx="24">
                  <c:v>12.03374358974359</c:v>
                </c:pt>
                <c:pt idx="25">
                  <c:v>12.03374358974359</c:v>
                </c:pt>
                <c:pt idx="26">
                  <c:v>12.752727272727274</c:v>
                </c:pt>
                <c:pt idx="27">
                  <c:v>12.752727272727274</c:v>
                </c:pt>
                <c:pt idx="28">
                  <c:v>12.752727272727274</c:v>
                </c:pt>
                <c:pt idx="29">
                  <c:v>12.752727272727274</c:v>
                </c:pt>
                <c:pt idx="30">
                  <c:v>12.752727272727274</c:v>
                </c:pt>
                <c:pt idx="31">
                  <c:v>12.752727272727274</c:v>
                </c:pt>
                <c:pt idx="32">
                  <c:v>12.752727272727274</c:v>
                </c:pt>
                <c:pt idx="33">
                  <c:v>12.752727272727274</c:v>
                </c:pt>
                <c:pt idx="34">
                  <c:v>12.752727272727274</c:v>
                </c:pt>
                <c:pt idx="35">
                  <c:v>12.752727272727274</c:v>
                </c:pt>
                <c:pt idx="36">
                  <c:v>12.752727272727274</c:v>
                </c:pt>
                <c:pt idx="37">
                  <c:v>12.752727272727274</c:v>
                </c:pt>
                <c:pt idx="38">
                  <c:v>12.752727272727274</c:v>
                </c:pt>
                <c:pt idx="39">
                  <c:v>12.752727272727274</c:v>
                </c:pt>
                <c:pt idx="40">
                  <c:v>12.752727272727274</c:v>
                </c:pt>
                <c:pt idx="41">
                  <c:v>12.752727272727274</c:v>
                </c:pt>
                <c:pt idx="42">
                  <c:v>12.752727272727274</c:v>
                </c:pt>
                <c:pt idx="43">
                  <c:v>12.752727272727274</c:v>
                </c:pt>
                <c:pt idx="44">
                  <c:v>12.752727272727274</c:v>
                </c:pt>
                <c:pt idx="45">
                  <c:v>12.752727272727274</c:v>
                </c:pt>
                <c:pt idx="46">
                  <c:v>12.752727272727274</c:v>
                </c:pt>
                <c:pt idx="47">
                  <c:v>12.752727272727274</c:v>
                </c:pt>
                <c:pt idx="48">
                  <c:v>12.752727272727274</c:v>
                </c:pt>
                <c:pt idx="49">
                  <c:v>12.752727272727274</c:v>
                </c:pt>
                <c:pt idx="50">
                  <c:v>12.752727272727274</c:v>
                </c:pt>
                <c:pt idx="51">
                  <c:v>12.752727272727274</c:v>
                </c:pt>
                <c:pt idx="52">
                  <c:v>12.752727272727274</c:v>
                </c:pt>
                <c:pt idx="53">
                  <c:v>12.752727272727274</c:v>
                </c:pt>
                <c:pt idx="54">
                  <c:v>12.752727272727274</c:v>
                </c:pt>
                <c:pt idx="55">
                  <c:v>12.752727272727274</c:v>
                </c:pt>
                <c:pt idx="56">
                  <c:v>12.752727272727274</c:v>
                </c:pt>
                <c:pt idx="57">
                  <c:v>12.752727272727274</c:v>
                </c:pt>
                <c:pt idx="58">
                  <c:v>12.752727272727274</c:v>
                </c:pt>
                <c:pt idx="59">
                  <c:v>6.6716666666666669</c:v>
                </c:pt>
                <c:pt idx="60">
                  <c:v>6.6716666666666669</c:v>
                </c:pt>
                <c:pt idx="61">
                  <c:v>6.6716666666666669</c:v>
                </c:pt>
                <c:pt idx="62">
                  <c:v>6.6716666666666669</c:v>
                </c:pt>
                <c:pt idx="63">
                  <c:v>6.6716666666666669</c:v>
                </c:pt>
                <c:pt idx="64">
                  <c:v>6.6716666666666669</c:v>
                </c:pt>
                <c:pt idx="65">
                  <c:v>6.6716666666666669</c:v>
                </c:pt>
                <c:pt idx="66">
                  <c:v>6.6716666666666669</c:v>
                </c:pt>
                <c:pt idx="67">
                  <c:v>6.6716666666666669</c:v>
                </c:pt>
                <c:pt idx="68">
                  <c:v>6.6716666666666669</c:v>
                </c:pt>
                <c:pt idx="69">
                  <c:v>6.6716666666666669</c:v>
                </c:pt>
                <c:pt idx="70">
                  <c:v>6.6716666666666669</c:v>
                </c:pt>
                <c:pt idx="71">
                  <c:v>6.6716666666666669</c:v>
                </c:pt>
                <c:pt idx="72">
                  <c:v>6.6716666666666669</c:v>
                </c:pt>
                <c:pt idx="73">
                  <c:v>6.6716666666666669</c:v>
                </c:pt>
                <c:pt idx="74">
                  <c:v>6.6716666666666669</c:v>
                </c:pt>
                <c:pt idx="75">
                  <c:v>12.375294117647059</c:v>
                </c:pt>
                <c:pt idx="76">
                  <c:v>12.375294117647059</c:v>
                </c:pt>
                <c:pt idx="77">
                  <c:v>12.375294117647059</c:v>
                </c:pt>
                <c:pt idx="78">
                  <c:v>12.375294117647059</c:v>
                </c:pt>
                <c:pt idx="79">
                  <c:v>12.375294117647059</c:v>
                </c:pt>
                <c:pt idx="80">
                  <c:v>12.375294117647059</c:v>
                </c:pt>
                <c:pt idx="81">
                  <c:v>12.375294117647059</c:v>
                </c:pt>
                <c:pt idx="82">
                  <c:v>12.375294117647059</c:v>
                </c:pt>
                <c:pt idx="83">
                  <c:v>12.375294117647059</c:v>
                </c:pt>
                <c:pt idx="84">
                  <c:v>12.375294117647059</c:v>
                </c:pt>
                <c:pt idx="85">
                  <c:v>12.375294117647059</c:v>
                </c:pt>
                <c:pt idx="86">
                  <c:v>12.375294117647059</c:v>
                </c:pt>
                <c:pt idx="87">
                  <c:v>12.375294117647059</c:v>
                </c:pt>
                <c:pt idx="88">
                  <c:v>12.375294117647059</c:v>
                </c:pt>
                <c:pt idx="89">
                  <c:v>12.375294117647059</c:v>
                </c:pt>
                <c:pt idx="90">
                  <c:v>12.375294117647059</c:v>
                </c:pt>
                <c:pt idx="91">
                  <c:v>12.375294117647059</c:v>
                </c:pt>
                <c:pt idx="92">
                  <c:v>12.375294117647059</c:v>
                </c:pt>
                <c:pt idx="93">
                  <c:v>12.375294117647059</c:v>
                </c:pt>
                <c:pt idx="94">
                  <c:v>12.375294117647059</c:v>
                </c:pt>
                <c:pt idx="95">
                  <c:v>12.375294117647059</c:v>
                </c:pt>
                <c:pt idx="96">
                  <c:v>12.375294117647059</c:v>
                </c:pt>
                <c:pt idx="97">
                  <c:v>12.375294117647059</c:v>
                </c:pt>
                <c:pt idx="98">
                  <c:v>12.375294117647059</c:v>
                </c:pt>
                <c:pt idx="99">
                  <c:v>12.375294117647059</c:v>
                </c:pt>
                <c:pt idx="100">
                  <c:v>12.375294117647059</c:v>
                </c:pt>
                <c:pt idx="101">
                  <c:v>12.375294117647059</c:v>
                </c:pt>
                <c:pt idx="102">
                  <c:v>12.375294117647059</c:v>
                </c:pt>
                <c:pt idx="103">
                  <c:v>12.375294117647059</c:v>
                </c:pt>
                <c:pt idx="104">
                  <c:v>12.375294117647059</c:v>
                </c:pt>
                <c:pt idx="105">
                  <c:v>12.375294117647059</c:v>
                </c:pt>
                <c:pt idx="106">
                  <c:v>12.375294117647059</c:v>
                </c:pt>
                <c:pt idx="107">
                  <c:v>12.375294117647059</c:v>
                </c:pt>
                <c:pt idx="108">
                  <c:v>12.375294117647059</c:v>
                </c:pt>
                <c:pt idx="109">
                  <c:v>13.284444444444444</c:v>
                </c:pt>
                <c:pt idx="110">
                  <c:v>13.284444444444444</c:v>
                </c:pt>
                <c:pt idx="111">
                  <c:v>13.284444444444444</c:v>
                </c:pt>
                <c:pt idx="112">
                  <c:v>13.284444444444444</c:v>
                </c:pt>
                <c:pt idx="113">
                  <c:v>13.284444444444444</c:v>
                </c:pt>
                <c:pt idx="114">
                  <c:v>13.284444444444444</c:v>
                </c:pt>
                <c:pt idx="115">
                  <c:v>13.284444444444444</c:v>
                </c:pt>
                <c:pt idx="116">
                  <c:v>13.284444444444444</c:v>
                </c:pt>
                <c:pt idx="117">
                  <c:v>13.284444444444444</c:v>
                </c:pt>
                <c:pt idx="118">
                  <c:v>9.4711111111111101</c:v>
                </c:pt>
                <c:pt idx="119">
                  <c:v>9.4711111111111101</c:v>
                </c:pt>
                <c:pt idx="120">
                  <c:v>9.4711111111111101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AA-6140-B6DF-5D103BD8A8B4}"/>
            </c:ext>
          </c:extLst>
        </c:ser>
        <c:ser>
          <c:idx val="3"/>
          <c:order val="3"/>
          <c:tx>
            <c:strRef>
              <c:f>'Monthly Violent Crimes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'!$E$2:$E$122</c:f>
              <c:numCache>
                <c:formatCode>0</c:formatCode>
                <c:ptCount val="121"/>
                <c:pt idx="0">
                  <c:v>9.7284102564102568</c:v>
                </c:pt>
                <c:pt idx="1">
                  <c:v>9.7284102564102568</c:v>
                </c:pt>
                <c:pt idx="2">
                  <c:v>9.7284102564102568</c:v>
                </c:pt>
                <c:pt idx="3">
                  <c:v>9.7284102564102568</c:v>
                </c:pt>
                <c:pt idx="4">
                  <c:v>9.7284102564102568</c:v>
                </c:pt>
                <c:pt idx="5">
                  <c:v>9.7284102564102568</c:v>
                </c:pt>
                <c:pt idx="6">
                  <c:v>9.7284102564102568</c:v>
                </c:pt>
                <c:pt idx="7">
                  <c:v>9.7284102564102568</c:v>
                </c:pt>
                <c:pt idx="8">
                  <c:v>9.7284102564102568</c:v>
                </c:pt>
                <c:pt idx="9">
                  <c:v>9.7284102564102568</c:v>
                </c:pt>
                <c:pt idx="10">
                  <c:v>9.7284102564102568</c:v>
                </c:pt>
                <c:pt idx="11">
                  <c:v>9.7284102564102568</c:v>
                </c:pt>
                <c:pt idx="12">
                  <c:v>9.7284102564102568</c:v>
                </c:pt>
                <c:pt idx="13">
                  <c:v>9.7284102564102568</c:v>
                </c:pt>
                <c:pt idx="14">
                  <c:v>9.7284102564102568</c:v>
                </c:pt>
                <c:pt idx="15">
                  <c:v>9.7284102564102568</c:v>
                </c:pt>
                <c:pt idx="16">
                  <c:v>9.7284102564102568</c:v>
                </c:pt>
                <c:pt idx="17">
                  <c:v>9.7284102564102568</c:v>
                </c:pt>
                <c:pt idx="18">
                  <c:v>9.7284102564102568</c:v>
                </c:pt>
                <c:pt idx="19">
                  <c:v>9.7284102564102568</c:v>
                </c:pt>
                <c:pt idx="20">
                  <c:v>9.7284102564102568</c:v>
                </c:pt>
                <c:pt idx="21">
                  <c:v>9.7284102564102568</c:v>
                </c:pt>
                <c:pt idx="22">
                  <c:v>9.7284102564102568</c:v>
                </c:pt>
                <c:pt idx="23">
                  <c:v>9.7284102564102568</c:v>
                </c:pt>
                <c:pt idx="24">
                  <c:v>9.7284102564102568</c:v>
                </c:pt>
                <c:pt idx="25">
                  <c:v>9.7284102564102568</c:v>
                </c:pt>
                <c:pt idx="26">
                  <c:v>9.7703030303030314</c:v>
                </c:pt>
                <c:pt idx="27">
                  <c:v>9.7703030303030314</c:v>
                </c:pt>
                <c:pt idx="28">
                  <c:v>9.7703030303030314</c:v>
                </c:pt>
                <c:pt idx="29">
                  <c:v>9.7703030303030314</c:v>
                </c:pt>
                <c:pt idx="30">
                  <c:v>9.7703030303030314</c:v>
                </c:pt>
                <c:pt idx="31">
                  <c:v>9.7703030303030314</c:v>
                </c:pt>
                <c:pt idx="32">
                  <c:v>9.7703030303030314</c:v>
                </c:pt>
                <c:pt idx="33">
                  <c:v>9.7703030303030314</c:v>
                </c:pt>
                <c:pt idx="34">
                  <c:v>9.7703030303030314</c:v>
                </c:pt>
                <c:pt idx="35">
                  <c:v>9.7703030303030314</c:v>
                </c:pt>
                <c:pt idx="36">
                  <c:v>9.7703030303030314</c:v>
                </c:pt>
                <c:pt idx="37">
                  <c:v>9.7703030303030314</c:v>
                </c:pt>
                <c:pt idx="38">
                  <c:v>9.7703030303030314</c:v>
                </c:pt>
                <c:pt idx="39">
                  <c:v>9.7703030303030314</c:v>
                </c:pt>
                <c:pt idx="40">
                  <c:v>9.7703030303030314</c:v>
                </c:pt>
                <c:pt idx="41">
                  <c:v>9.7703030303030314</c:v>
                </c:pt>
                <c:pt idx="42">
                  <c:v>9.7703030303030314</c:v>
                </c:pt>
                <c:pt idx="43">
                  <c:v>9.7703030303030314</c:v>
                </c:pt>
                <c:pt idx="44">
                  <c:v>9.7703030303030314</c:v>
                </c:pt>
                <c:pt idx="45">
                  <c:v>9.7703030303030314</c:v>
                </c:pt>
                <c:pt idx="46">
                  <c:v>9.7703030303030314</c:v>
                </c:pt>
                <c:pt idx="47">
                  <c:v>9.7703030303030314</c:v>
                </c:pt>
                <c:pt idx="48">
                  <c:v>9.7703030303030314</c:v>
                </c:pt>
                <c:pt idx="49">
                  <c:v>9.7703030303030314</c:v>
                </c:pt>
                <c:pt idx="50">
                  <c:v>9.7703030303030314</c:v>
                </c:pt>
                <c:pt idx="51">
                  <c:v>9.7703030303030314</c:v>
                </c:pt>
                <c:pt idx="52">
                  <c:v>9.7703030303030314</c:v>
                </c:pt>
                <c:pt idx="53">
                  <c:v>9.7703030303030314</c:v>
                </c:pt>
                <c:pt idx="54">
                  <c:v>9.7703030303030314</c:v>
                </c:pt>
                <c:pt idx="55">
                  <c:v>9.7703030303030314</c:v>
                </c:pt>
                <c:pt idx="56">
                  <c:v>9.7703030303030314</c:v>
                </c:pt>
                <c:pt idx="57">
                  <c:v>9.7703030303030314</c:v>
                </c:pt>
                <c:pt idx="58">
                  <c:v>9.7703030303030314</c:v>
                </c:pt>
                <c:pt idx="59">
                  <c:v>4.8983333333333334</c:v>
                </c:pt>
                <c:pt idx="60">
                  <c:v>4.8983333333333334</c:v>
                </c:pt>
                <c:pt idx="61">
                  <c:v>4.8983333333333334</c:v>
                </c:pt>
                <c:pt idx="62">
                  <c:v>4.8983333333333334</c:v>
                </c:pt>
                <c:pt idx="63">
                  <c:v>4.8983333333333334</c:v>
                </c:pt>
                <c:pt idx="64">
                  <c:v>4.8983333333333334</c:v>
                </c:pt>
                <c:pt idx="65">
                  <c:v>4.8983333333333334</c:v>
                </c:pt>
                <c:pt idx="66">
                  <c:v>4.8983333333333334</c:v>
                </c:pt>
                <c:pt idx="67">
                  <c:v>4.8983333333333334</c:v>
                </c:pt>
                <c:pt idx="68">
                  <c:v>4.8983333333333334</c:v>
                </c:pt>
                <c:pt idx="69">
                  <c:v>4.8983333333333334</c:v>
                </c:pt>
                <c:pt idx="70">
                  <c:v>4.8983333333333334</c:v>
                </c:pt>
                <c:pt idx="71">
                  <c:v>4.8983333333333334</c:v>
                </c:pt>
                <c:pt idx="72">
                  <c:v>4.8983333333333334</c:v>
                </c:pt>
                <c:pt idx="73">
                  <c:v>4.8983333333333334</c:v>
                </c:pt>
                <c:pt idx="74">
                  <c:v>4.8983333333333334</c:v>
                </c:pt>
                <c:pt idx="75">
                  <c:v>9.0111764705882358</c:v>
                </c:pt>
                <c:pt idx="76">
                  <c:v>9.0111764705882358</c:v>
                </c:pt>
                <c:pt idx="77">
                  <c:v>9.0111764705882358</c:v>
                </c:pt>
                <c:pt idx="78">
                  <c:v>9.0111764705882358</c:v>
                </c:pt>
                <c:pt idx="79">
                  <c:v>9.0111764705882358</c:v>
                </c:pt>
                <c:pt idx="80">
                  <c:v>9.0111764705882358</c:v>
                </c:pt>
                <c:pt idx="81">
                  <c:v>9.0111764705882358</c:v>
                </c:pt>
                <c:pt idx="82">
                  <c:v>9.0111764705882358</c:v>
                </c:pt>
                <c:pt idx="83">
                  <c:v>9.0111764705882358</c:v>
                </c:pt>
                <c:pt idx="84">
                  <c:v>9.0111764705882358</c:v>
                </c:pt>
                <c:pt idx="85">
                  <c:v>9.0111764705882358</c:v>
                </c:pt>
                <c:pt idx="86">
                  <c:v>9.0111764705882358</c:v>
                </c:pt>
                <c:pt idx="87">
                  <c:v>9.0111764705882358</c:v>
                </c:pt>
                <c:pt idx="88">
                  <c:v>9.0111764705882358</c:v>
                </c:pt>
                <c:pt idx="89">
                  <c:v>9.0111764705882358</c:v>
                </c:pt>
                <c:pt idx="90">
                  <c:v>9.0111764705882358</c:v>
                </c:pt>
                <c:pt idx="91">
                  <c:v>9.0111764705882358</c:v>
                </c:pt>
                <c:pt idx="92">
                  <c:v>9.0111764705882358</c:v>
                </c:pt>
                <c:pt idx="93">
                  <c:v>9.0111764705882358</c:v>
                </c:pt>
                <c:pt idx="94">
                  <c:v>9.0111764705882358</c:v>
                </c:pt>
                <c:pt idx="95">
                  <c:v>9.0111764705882358</c:v>
                </c:pt>
                <c:pt idx="96">
                  <c:v>9.0111764705882358</c:v>
                </c:pt>
                <c:pt idx="97">
                  <c:v>9.0111764705882358</c:v>
                </c:pt>
                <c:pt idx="98">
                  <c:v>9.0111764705882358</c:v>
                </c:pt>
                <c:pt idx="99">
                  <c:v>9.0111764705882358</c:v>
                </c:pt>
                <c:pt idx="100">
                  <c:v>9.0111764705882358</c:v>
                </c:pt>
                <c:pt idx="101">
                  <c:v>9.0111764705882358</c:v>
                </c:pt>
                <c:pt idx="102">
                  <c:v>9.0111764705882358</c:v>
                </c:pt>
                <c:pt idx="103">
                  <c:v>9.0111764705882358</c:v>
                </c:pt>
                <c:pt idx="104">
                  <c:v>9.0111764705882358</c:v>
                </c:pt>
                <c:pt idx="105">
                  <c:v>9.0111764705882358</c:v>
                </c:pt>
                <c:pt idx="106">
                  <c:v>9.0111764705882358</c:v>
                </c:pt>
                <c:pt idx="107">
                  <c:v>9.0111764705882358</c:v>
                </c:pt>
                <c:pt idx="108">
                  <c:v>9.0111764705882358</c:v>
                </c:pt>
                <c:pt idx="109">
                  <c:v>10.92</c:v>
                </c:pt>
                <c:pt idx="110">
                  <c:v>10.92</c:v>
                </c:pt>
                <c:pt idx="111">
                  <c:v>10.92</c:v>
                </c:pt>
                <c:pt idx="112">
                  <c:v>10.92</c:v>
                </c:pt>
                <c:pt idx="113">
                  <c:v>10.92</c:v>
                </c:pt>
                <c:pt idx="114">
                  <c:v>10.92</c:v>
                </c:pt>
                <c:pt idx="115">
                  <c:v>10.92</c:v>
                </c:pt>
                <c:pt idx="116">
                  <c:v>10.92</c:v>
                </c:pt>
                <c:pt idx="117">
                  <c:v>10.92</c:v>
                </c:pt>
                <c:pt idx="118">
                  <c:v>7.402222222222222</c:v>
                </c:pt>
                <c:pt idx="119">
                  <c:v>7.402222222222222</c:v>
                </c:pt>
                <c:pt idx="120">
                  <c:v>7.402222222222222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AA-6140-B6DF-5D103BD8A8B4}"/>
            </c:ext>
          </c:extLst>
        </c:ser>
        <c:ser>
          <c:idx val="4"/>
          <c:order val="4"/>
          <c:tx>
            <c:strRef>
              <c:f>'Monthly Violent Crimes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AA-6140-B6DF-5D103BD8A8B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AA-6140-B6DF-5D103BD8A8B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AA-6140-B6DF-5D103BD8A8B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AA-6140-B6DF-5D103BD8A8B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AA-6140-B6DF-5D103BD8A8B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AA-6140-B6DF-5D103BD8A8B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AA-6140-B6DF-5D103BD8A8B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AA-6140-B6DF-5D103BD8A8B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AA-6140-B6DF-5D103BD8A8B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AA-6140-B6DF-5D103BD8A8B4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4BAA-6140-B6DF-5D103BD8A8B4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4BAA-6140-B6DF-5D103BD8A8B4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4BAA-6140-B6DF-5D103BD8A8B4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4BAA-6140-B6DF-5D103BD8A8B4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4BAA-6140-B6DF-5D103BD8A8B4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4BAA-6140-B6DF-5D103BD8A8B4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4BAA-6140-B6DF-5D103BD8A8B4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4BAA-6140-B6DF-5D103BD8A8B4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4BAA-6140-B6DF-5D103BD8A8B4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4BAA-6140-B6DF-5D103BD8A8B4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4BAA-6140-B6DF-5D103BD8A8B4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4BAA-6140-B6DF-5D103BD8A8B4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4BAA-6140-B6DF-5D103BD8A8B4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4BAA-6140-B6DF-5D103BD8A8B4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4BAA-6140-B6DF-5D103BD8A8B4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4BAA-6140-B6DF-5D103BD8A8B4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4BAA-6140-B6DF-5D103BD8A8B4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4BAA-6140-B6DF-5D103BD8A8B4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4BAA-6140-B6DF-5D103BD8A8B4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4BAA-6140-B6DF-5D103BD8A8B4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4BAA-6140-B6DF-5D103BD8A8B4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4BAA-6140-B6DF-5D103BD8A8B4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4BAA-6140-B6DF-5D103BD8A8B4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4BAA-6140-B6DF-5D103BD8A8B4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4BAA-6140-B6DF-5D103BD8A8B4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4BAA-6140-B6DF-5D103BD8A8B4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4BAA-6140-B6DF-5D103BD8A8B4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4BAA-6140-B6DF-5D103BD8A8B4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4BAA-6140-B6DF-5D103BD8A8B4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4BAA-6140-B6DF-5D103BD8A8B4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4BAA-6140-B6DF-5D103BD8A8B4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4BAA-6140-B6DF-5D103BD8A8B4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4BAA-6140-B6DF-5D103BD8A8B4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4BAA-6140-B6DF-5D103BD8A8B4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4BAA-6140-B6DF-5D103BD8A8B4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4BAA-6140-B6DF-5D103BD8A8B4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4BAA-6140-B6DF-5D103BD8A8B4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4BAA-6140-B6DF-5D103BD8A8B4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4BAA-6140-B6DF-5D103BD8A8B4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4BAA-6140-B6DF-5D103BD8A8B4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4BAA-6140-B6DF-5D103BD8A8B4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4BAA-6140-B6DF-5D103BD8A8B4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4BAA-6140-B6DF-5D103BD8A8B4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4BAA-6140-B6DF-5D103BD8A8B4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4BAA-6140-B6DF-5D103BD8A8B4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4BAA-6140-B6DF-5D103BD8A8B4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4BAA-6140-B6DF-5D103BD8A8B4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4BAA-6140-B6DF-5D103BD8A8B4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4BAA-6140-B6DF-5D103BD8A8B4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4BAA-6140-B6DF-5D103BD8A8B4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4BAA-6140-B6DF-5D103BD8A8B4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4BAA-6140-B6DF-5D103BD8A8B4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4BAA-6140-B6DF-5D103BD8A8B4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4BAA-6140-B6DF-5D103BD8A8B4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4BAA-6140-B6DF-5D103BD8A8B4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4BAA-6140-B6DF-5D103BD8A8B4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4BAA-6140-B6DF-5D103BD8A8B4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4BAA-6140-B6DF-5D103BD8A8B4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4BAA-6140-B6DF-5D103BD8A8B4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4BAA-6140-B6DF-5D103BD8A8B4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4BAA-6140-B6DF-5D103BD8A8B4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4BAA-6140-B6DF-5D103BD8A8B4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4BAA-6140-B6DF-5D103BD8A8B4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4BAA-6140-B6DF-5D103BD8A8B4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4BAA-6140-B6DF-5D103BD8A8B4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4BAA-6140-B6DF-5D103BD8A8B4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4BAA-6140-B6DF-5D103BD8A8B4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4BAA-6140-B6DF-5D103BD8A8B4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4BAA-6140-B6DF-5D103BD8A8B4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4BAA-6140-B6DF-5D103BD8A8B4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4BAA-6140-B6DF-5D103BD8A8B4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4BAA-6140-B6DF-5D103BD8A8B4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4BAA-6140-B6DF-5D103BD8A8B4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4BAA-6140-B6DF-5D103BD8A8B4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4BAA-6140-B6DF-5D103BD8A8B4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4BAA-6140-B6DF-5D103BD8A8B4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4BAA-6140-B6DF-5D103BD8A8B4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4BAA-6140-B6DF-5D103BD8A8B4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4BAA-6140-B6DF-5D103BD8A8B4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4BAA-6140-B6DF-5D103BD8A8B4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4BAA-6140-B6DF-5D103BD8A8B4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4BAA-6140-B6DF-5D103BD8A8B4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4BAA-6140-B6DF-5D103BD8A8B4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4BAA-6140-B6DF-5D103BD8A8B4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4BAA-6140-B6DF-5D103BD8A8B4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4BAA-6140-B6DF-5D103BD8A8B4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4BAA-6140-B6DF-5D103BD8A8B4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4BAA-6140-B6DF-5D103BD8A8B4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4BAA-6140-B6DF-5D103BD8A8B4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4BAA-6140-B6DF-5D103BD8A8B4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4BAA-6140-B6DF-5D103BD8A8B4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4BAA-6140-B6DF-5D103BD8A8B4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4BAA-6140-B6DF-5D103BD8A8B4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4BAA-6140-B6DF-5D103BD8A8B4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4BAA-6140-B6DF-5D103BD8A8B4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4BAA-6140-B6DF-5D103BD8A8B4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4BAA-6140-B6DF-5D103BD8A8B4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4BAA-6140-B6DF-5D103BD8A8B4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4BAA-6140-B6DF-5D103BD8A8B4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4BAA-6140-B6DF-5D103BD8A8B4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4BAA-6140-B6DF-5D103BD8A8B4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4BAA-6140-B6DF-5D103BD8A8B4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4BAA-6140-B6DF-5D103BD8A8B4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4BAA-6140-B6DF-5D103BD8A8B4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4BAA-6140-B6DF-5D103BD8A8B4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4BAA-6140-B6DF-5D103BD8A8B4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4BAA-6140-B6DF-5D103BD8A8B4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4BAA-6140-B6DF-5D103BD8A8B4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4BAA-6140-B6DF-5D103BD8A8B4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4BAA-6140-B6DF-5D103BD8A8B4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4BAA-6140-B6DF-5D103BD8A8B4}"/>
              </c:ext>
            </c:extLst>
          </c:dPt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BAA-6140-B6DF-5D103BD8A8B4}"/>
                </c:ext>
              </c:extLst>
            </c:dLbl>
            <c:dLbl>
              <c:idx val="119"/>
              <c:layout>
                <c:manualLayout>
                  <c:x val="-1.4639639509828196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'!$F$2:$F$122</c:f>
              <c:numCache>
                <c:formatCode>0</c:formatCode>
                <c:ptCount val="121"/>
                <c:pt idx="0">
                  <c:v>7.4230769230769234</c:v>
                </c:pt>
                <c:pt idx="1">
                  <c:v>7.4230769230769234</c:v>
                </c:pt>
                <c:pt idx="2">
                  <c:v>7.4230769230769234</c:v>
                </c:pt>
                <c:pt idx="3">
                  <c:v>7.4230769230769234</c:v>
                </c:pt>
                <c:pt idx="4">
                  <c:v>7.4230769230769234</c:v>
                </c:pt>
                <c:pt idx="5">
                  <c:v>7.4230769230769234</c:v>
                </c:pt>
                <c:pt idx="6">
                  <c:v>7.4230769230769234</c:v>
                </c:pt>
                <c:pt idx="7">
                  <c:v>7.4230769230769234</c:v>
                </c:pt>
                <c:pt idx="8">
                  <c:v>7.4230769230769234</c:v>
                </c:pt>
                <c:pt idx="9">
                  <c:v>7.4230769230769234</c:v>
                </c:pt>
                <c:pt idx="10">
                  <c:v>7.4230769230769234</c:v>
                </c:pt>
                <c:pt idx="11">
                  <c:v>7.4230769230769234</c:v>
                </c:pt>
                <c:pt idx="12">
                  <c:v>7.4230769230769234</c:v>
                </c:pt>
                <c:pt idx="13">
                  <c:v>7.4230769230769234</c:v>
                </c:pt>
                <c:pt idx="14">
                  <c:v>7.4230769230769234</c:v>
                </c:pt>
                <c:pt idx="15">
                  <c:v>7.4230769230769234</c:v>
                </c:pt>
                <c:pt idx="16">
                  <c:v>7.4230769230769234</c:v>
                </c:pt>
                <c:pt idx="17">
                  <c:v>7.4230769230769234</c:v>
                </c:pt>
                <c:pt idx="18">
                  <c:v>7.4230769230769234</c:v>
                </c:pt>
                <c:pt idx="19">
                  <c:v>7.4230769230769234</c:v>
                </c:pt>
                <c:pt idx="20">
                  <c:v>7.4230769230769234</c:v>
                </c:pt>
                <c:pt idx="21">
                  <c:v>7.4230769230769234</c:v>
                </c:pt>
                <c:pt idx="22">
                  <c:v>7.4230769230769234</c:v>
                </c:pt>
                <c:pt idx="23">
                  <c:v>7.4230769230769234</c:v>
                </c:pt>
                <c:pt idx="24">
                  <c:v>7.4230769230769234</c:v>
                </c:pt>
                <c:pt idx="25">
                  <c:v>7.4230769230769234</c:v>
                </c:pt>
                <c:pt idx="26">
                  <c:v>6.7878787878787881</c:v>
                </c:pt>
                <c:pt idx="27">
                  <c:v>6.7878787878787881</c:v>
                </c:pt>
                <c:pt idx="28">
                  <c:v>6.7878787878787881</c:v>
                </c:pt>
                <c:pt idx="29">
                  <c:v>6.7878787878787881</c:v>
                </c:pt>
                <c:pt idx="30">
                  <c:v>6.7878787878787881</c:v>
                </c:pt>
                <c:pt idx="31">
                  <c:v>6.7878787878787881</c:v>
                </c:pt>
                <c:pt idx="32">
                  <c:v>6.7878787878787881</c:v>
                </c:pt>
                <c:pt idx="33">
                  <c:v>6.7878787878787881</c:v>
                </c:pt>
                <c:pt idx="34">
                  <c:v>6.7878787878787881</c:v>
                </c:pt>
                <c:pt idx="35">
                  <c:v>6.7878787878787881</c:v>
                </c:pt>
                <c:pt idx="36">
                  <c:v>6.7878787878787881</c:v>
                </c:pt>
                <c:pt idx="37">
                  <c:v>6.7878787878787881</c:v>
                </c:pt>
                <c:pt idx="38">
                  <c:v>6.7878787878787881</c:v>
                </c:pt>
                <c:pt idx="39">
                  <c:v>6.7878787878787881</c:v>
                </c:pt>
                <c:pt idx="40">
                  <c:v>6.7878787878787881</c:v>
                </c:pt>
                <c:pt idx="41">
                  <c:v>6.7878787878787881</c:v>
                </c:pt>
                <c:pt idx="42">
                  <c:v>6.7878787878787881</c:v>
                </c:pt>
                <c:pt idx="43">
                  <c:v>6.7878787878787881</c:v>
                </c:pt>
                <c:pt idx="44">
                  <c:v>6.7878787878787881</c:v>
                </c:pt>
                <c:pt idx="45">
                  <c:v>6.7878787878787881</c:v>
                </c:pt>
                <c:pt idx="46">
                  <c:v>6.7878787878787881</c:v>
                </c:pt>
                <c:pt idx="47">
                  <c:v>6.7878787878787881</c:v>
                </c:pt>
                <c:pt idx="48">
                  <c:v>6.7878787878787881</c:v>
                </c:pt>
                <c:pt idx="49">
                  <c:v>6.7878787878787881</c:v>
                </c:pt>
                <c:pt idx="50">
                  <c:v>6.7878787878787881</c:v>
                </c:pt>
                <c:pt idx="51">
                  <c:v>6.7878787878787881</c:v>
                </c:pt>
                <c:pt idx="52">
                  <c:v>6.7878787878787881</c:v>
                </c:pt>
                <c:pt idx="53">
                  <c:v>6.7878787878787881</c:v>
                </c:pt>
                <c:pt idx="54">
                  <c:v>6.7878787878787881</c:v>
                </c:pt>
                <c:pt idx="55">
                  <c:v>6.7878787878787881</c:v>
                </c:pt>
                <c:pt idx="56">
                  <c:v>6.7878787878787881</c:v>
                </c:pt>
                <c:pt idx="57">
                  <c:v>6.7878787878787881</c:v>
                </c:pt>
                <c:pt idx="58">
                  <c:v>6.7878787878787881</c:v>
                </c:pt>
                <c:pt idx="59">
                  <c:v>3.125</c:v>
                </c:pt>
                <c:pt idx="60">
                  <c:v>3.125</c:v>
                </c:pt>
                <c:pt idx="61">
                  <c:v>3.125</c:v>
                </c:pt>
                <c:pt idx="62">
                  <c:v>3.125</c:v>
                </c:pt>
                <c:pt idx="63">
                  <c:v>3.125</c:v>
                </c:pt>
                <c:pt idx="64">
                  <c:v>3.125</c:v>
                </c:pt>
                <c:pt idx="65">
                  <c:v>3.125</c:v>
                </c:pt>
                <c:pt idx="66">
                  <c:v>3.125</c:v>
                </c:pt>
                <c:pt idx="67">
                  <c:v>3.125</c:v>
                </c:pt>
                <c:pt idx="68">
                  <c:v>3.125</c:v>
                </c:pt>
                <c:pt idx="69">
                  <c:v>3.125</c:v>
                </c:pt>
                <c:pt idx="70">
                  <c:v>3.125</c:v>
                </c:pt>
                <c:pt idx="71">
                  <c:v>3.125</c:v>
                </c:pt>
                <c:pt idx="72">
                  <c:v>3.125</c:v>
                </c:pt>
                <c:pt idx="73">
                  <c:v>3.125</c:v>
                </c:pt>
                <c:pt idx="74">
                  <c:v>3.125</c:v>
                </c:pt>
                <c:pt idx="75">
                  <c:v>5.6470588235294121</c:v>
                </c:pt>
                <c:pt idx="76">
                  <c:v>5.6470588235294121</c:v>
                </c:pt>
                <c:pt idx="77">
                  <c:v>5.6470588235294121</c:v>
                </c:pt>
                <c:pt idx="78">
                  <c:v>5.6470588235294121</c:v>
                </c:pt>
                <c:pt idx="79">
                  <c:v>5.6470588235294121</c:v>
                </c:pt>
                <c:pt idx="80">
                  <c:v>5.6470588235294121</c:v>
                </c:pt>
                <c:pt idx="81">
                  <c:v>5.6470588235294121</c:v>
                </c:pt>
                <c:pt idx="82">
                  <c:v>5.6470588235294121</c:v>
                </c:pt>
                <c:pt idx="83">
                  <c:v>5.6470588235294121</c:v>
                </c:pt>
                <c:pt idx="84">
                  <c:v>5.6470588235294121</c:v>
                </c:pt>
                <c:pt idx="85">
                  <c:v>5.6470588235294121</c:v>
                </c:pt>
                <c:pt idx="86">
                  <c:v>5.6470588235294121</c:v>
                </c:pt>
                <c:pt idx="87">
                  <c:v>5.6470588235294121</c:v>
                </c:pt>
                <c:pt idx="88">
                  <c:v>5.6470588235294121</c:v>
                </c:pt>
                <c:pt idx="89">
                  <c:v>5.6470588235294121</c:v>
                </c:pt>
                <c:pt idx="90">
                  <c:v>5.6470588235294121</c:v>
                </c:pt>
                <c:pt idx="91">
                  <c:v>5.6470588235294121</c:v>
                </c:pt>
                <c:pt idx="92">
                  <c:v>5.6470588235294121</c:v>
                </c:pt>
                <c:pt idx="93">
                  <c:v>5.6470588235294121</c:v>
                </c:pt>
                <c:pt idx="94">
                  <c:v>5.6470588235294121</c:v>
                </c:pt>
                <c:pt idx="95">
                  <c:v>5.6470588235294121</c:v>
                </c:pt>
                <c:pt idx="96">
                  <c:v>5.6470588235294121</c:v>
                </c:pt>
                <c:pt idx="97">
                  <c:v>5.6470588235294121</c:v>
                </c:pt>
                <c:pt idx="98">
                  <c:v>5.6470588235294121</c:v>
                </c:pt>
                <c:pt idx="99">
                  <c:v>5.6470588235294121</c:v>
                </c:pt>
                <c:pt idx="100">
                  <c:v>5.6470588235294121</c:v>
                </c:pt>
                <c:pt idx="101">
                  <c:v>5.6470588235294121</c:v>
                </c:pt>
                <c:pt idx="102">
                  <c:v>5.6470588235294121</c:v>
                </c:pt>
                <c:pt idx="103">
                  <c:v>5.6470588235294121</c:v>
                </c:pt>
                <c:pt idx="104">
                  <c:v>5.6470588235294121</c:v>
                </c:pt>
                <c:pt idx="105">
                  <c:v>5.6470588235294121</c:v>
                </c:pt>
                <c:pt idx="106">
                  <c:v>5.6470588235294121</c:v>
                </c:pt>
                <c:pt idx="107">
                  <c:v>5.6470588235294121</c:v>
                </c:pt>
                <c:pt idx="108">
                  <c:v>5.6470588235294121</c:v>
                </c:pt>
                <c:pt idx="109">
                  <c:v>8.5555555555555554</c:v>
                </c:pt>
                <c:pt idx="110">
                  <c:v>8.5555555555555554</c:v>
                </c:pt>
                <c:pt idx="111">
                  <c:v>8.5555555555555554</c:v>
                </c:pt>
                <c:pt idx="112">
                  <c:v>8.5555555555555554</c:v>
                </c:pt>
                <c:pt idx="113">
                  <c:v>8.5555555555555554</c:v>
                </c:pt>
                <c:pt idx="114">
                  <c:v>8.5555555555555554</c:v>
                </c:pt>
                <c:pt idx="115">
                  <c:v>8.5555555555555554</c:v>
                </c:pt>
                <c:pt idx="116">
                  <c:v>8.5555555555555554</c:v>
                </c:pt>
                <c:pt idx="117">
                  <c:v>8.5555555555555554</c:v>
                </c:pt>
                <c:pt idx="118">
                  <c:v>5.333333333333333</c:v>
                </c:pt>
                <c:pt idx="119">
                  <c:v>5.333333333333333</c:v>
                </c:pt>
                <c:pt idx="120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4BAA-6140-B6DF-5D103BD8A8B4}"/>
            </c:ext>
          </c:extLst>
        </c:ser>
        <c:ser>
          <c:idx val="5"/>
          <c:order val="5"/>
          <c:tx>
            <c:strRef>
              <c:f>'Monthly Violent Crimes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'!$G$2:$G$122</c:f>
              <c:numCache>
                <c:formatCode>0</c:formatCode>
                <c:ptCount val="121"/>
                <c:pt idx="0">
                  <c:v>5.1177435897435899</c:v>
                </c:pt>
                <c:pt idx="1">
                  <c:v>5.1177435897435899</c:v>
                </c:pt>
                <c:pt idx="2">
                  <c:v>5.1177435897435899</c:v>
                </c:pt>
                <c:pt idx="3">
                  <c:v>5.1177435897435899</c:v>
                </c:pt>
                <c:pt idx="4">
                  <c:v>5.1177435897435899</c:v>
                </c:pt>
                <c:pt idx="5">
                  <c:v>5.1177435897435899</c:v>
                </c:pt>
                <c:pt idx="6">
                  <c:v>5.1177435897435899</c:v>
                </c:pt>
                <c:pt idx="7">
                  <c:v>5.1177435897435899</c:v>
                </c:pt>
                <c:pt idx="8">
                  <c:v>5.1177435897435899</c:v>
                </c:pt>
                <c:pt idx="9">
                  <c:v>5.1177435897435899</c:v>
                </c:pt>
                <c:pt idx="10">
                  <c:v>5.1177435897435899</c:v>
                </c:pt>
                <c:pt idx="11">
                  <c:v>5.1177435897435899</c:v>
                </c:pt>
                <c:pt idx="12">
                  <c:v>5.1177435897435899</c:v>
                </c:pt>
                <c:pt idx="13">
                  <c:v>5.1177435897435899</c:v>
                </c:pt>
                <c:pt idx="14">
                  <c:v>5.1177435897435899</c:v>
                </c:pt>
                <c:pt idx="15">
                  <c:v>5.1177435897435899</c:v>
                </c:pt>
                <c:pt idx="16">
                  <c:v>5.1177435897435899</c:v>
                </c:pt>
                <c:pt idx="17">
                  <c:v>5.1177435897435899</c:v>
                </c:pt>
                <c:pt idx="18">
                  <c:v>5.1177435897435899</c:v>
                </c:pt>
                <c:pt idx="19">
                  <c:v>5.1177435897435899</c:v>
                </c:pt>
                <c:pt idx="20">
                  <c:v>5.1177435897435899</c:v>
                </c:pt>
                <c:pt idx="21">
                  <c:v>5.1177435897435899</c:v>
                </c:pt>
                <c:pt idx="22">
                  <c:v>5.1177435897435899</c:v>
                </c:pt>
                <c:pt idx="23">
                  <c:v>5.1177435897435899</c:v>
                </c:pt>
                <c:pt idx="24">
                  <c:v>5.1177435897435899</c:v>
                </c:pt>
                <c:pt idx="25">
                  <c:v>5.1177435897435899</c:v>
                </c:pt>
                <c:pt idx="26">
                  <c:v>3.8054545454545452</c:v>
                </c:pt>
                <c:pt idx="27">
                  <c:v>3.8054545454545452</c:v>
                </c:pt>
                <c:pt idx="28">
                  <c:v>3.8054545454545452</c:v>
                </c:pt>
                <c:pt idx="29">
                  <c:v>3.8054545454545452</c:v>
                </c:pt>
                <c:pt idx="30">
                  <c:v>3.8054545454545452</c:v>
                </c:pt>
                <c:pt idx="31">
                  <c:v>3.8054545454545452</c:v>
                </c:pt>
                <c:pt idx="32">
                  <c:v>3.8054545454545452</c:v>
                </c:pt>
                <c:pt idx="33">
                  <c:v>3.8054545454545452</c:v>
                </c:pt>
                <c:pt idx="34">
                  <c:v>3.8054545454545452</c:v>
                </c:pt>
                <c:pt idx="35">
                  <c:v>3.8054545454545452</c:v>
                </c:pt>
                <c:pt idx="36">
                  <c:v>3.8054545454545452</c:v>
                </c:pt>
                <c:pt idx="37">
                  <c:v>3.8054545454545452</c:v>
                </c:pt>
                <c:pt idx="38">
                  <c:v>3.8054545454545452</c:v>
                </c:pt>
                <c:pt idx="39">
                  <c:v>3.8054545454545452</c:v>
                </c:pt>
                <c:pt idx="40">
                  <c:v>3.8054545454545452</c:v>
                </c:pt>
                <c:pt idx="41">
                  <c:v>3.8054545454545452</c:v>
                </c:pt>
                <c:pt idx="42">
                  <c:v>3.8054545454545452</c:v>
                </c:pt>
                <c:pt idx="43">
                  <c:v>3.8054545454545452</c:v>
                </c:pt>
                <c:pt idx="44">
                  <c:v>3.8054545454545452</c:v>
                </c:pt>
                <c:pt idx="45">
                  <c:v>3.8054545454545452</c:v>
                </c:pt>
                <c:pt idx="46">
                  <c:v>3.8054545454545452</c:v>
                </c:pt>
                <c:pt idx="47">
                  <c:v>3.8054545454545452</c:v>
                </c:pt>
                <c:pt idx="48">
                  <c:v>3.8054545454545452</c:v>
                </c:pt>
                <c:pt idx="49">
                  <c:v>3.8054545454545452</c:v>
                </c:pt>
                <c:pt idx="50">
                  <c:v>3.8054545454545452</c:v>
                </c:pt>
                <c:pt idx="51">
                  <c:v>3.8054545454545452</c:v>
                </c:pt>
                <c:pt idx="52">
                  <c:v>3.8054545454545452</c:v>
                </c:pt>
                <c:pt idx="53">
                  <c:v>3.8054545454545452</c:v>
                </c:pt>
                <c:pt idx="54">
                  <c:v>3.8054545454545452</c:v>
                </c:pt>
                <c:pt idx="55">
                  <c:v>3.8054545454545452</c:v>
                </c:pt>
                <c:pt idx="56">
                  <c:v>3.8054545454545452</c:v>
                </c:pt>
                <c:pt idx="57">
                  <c:v>3.8054545454545452</c:v>
                </c:pt>
                <c:pt idx="58">
                  <c:v>3.8054545454545452</c:v>
                </c:pt>
                <c:pt idx="59">
                  <c:v>1.3516666666666666</c:v>
                </c:pt>
                <c:pt idx="60">
                  <c:v>1.3516666666666666</c:v>
                </c:pt>
                <c:pt idx="61">
                  <c:v>1.3516666666666666</c:v>
                </c:pt>
                <c:pt idx="62">
                  <c:v>1.3516666666666666</c:v>
                </c:pt>
                <c:pt idx="63">
                  <c:v>1.3516666666666666</c:v>
                </c:pt>
                <c:pt idx="64">
                  <c:v>1.3516666666666666</c:v>
                </c:pt>
                <c:pt idx="65">
                  <c:v>1.3516666666666666</c:v>
                </c:pt>
                <c:pt idx="66">
                  <c:v>1.3516666666666666</c:v>
                </c:pt>
                <c:pt idx="67">
                  <c:v>1.3516666666666666</c:v>
                </c:pt>
                <c:pt idx="68">
                  <c:v>1.3516666666666666</c:v>
                </c:pt>
                <c:pt idx="69">
                  <c:v>1.3516666666666666</c:v>
                </c:pt>
                <c:pt idx="70">
                  <c:v>1.3516666666666666</c:v>
                </c:pt>
                <c:pt idx="71">
                  <c:v>1.3516666666666666</c:v>
                </c:pt>
                <c:pt idx="72">
                  <c:v>1.3516666666666666</c:v>
                </c:pt>
                <c:pt idx="73">
                  <c:v>1.3516666666666666</c:v>
                </c:pt>
                <c:pt idx="74">
                  <c:v>1.3516666666666666</c:v>
                </c:pt>
                <c:pt idx="75">
                  <c:v>2.2829411764705885</c:v>
                </c:pt>
                <c:pt idx="76">
                  <c:v>2.2829411764705885</c:v>
                </c:pt>
                <c:pt idx="77">
                  <c:v>2.2829411764705885</c:v>
                </c:pt>
                <c:pt idx="78">
                  <c:v>2.2829411764705885</c:v>
                </c:pt>
                <c:pt idx="79">
                  <c:v>2.2829411764705885</c:v>
                </c:pt>
                <c:pt idx="80">
                  <c:v>2.2829411764705885</c:v>
                </c:pt>
                <c:pt idx="81">
                  <c:v>2.2829411764705885</c:v>
                </c:pt>
                <c:pt idx="82">
                  <c:v>2.2829411764705885</c:v>
                </c:pt>
                <c:pt idx="83">
                  <c:v>2.2829411764705885</c:v>
                </c:pt>
                <c:pt idx="84">
                  <c:v>2.2829411764705885</c:v>
                </c:pt>
                <c:pt idx="85">
                  <c:v>2.2829411764705885</c:v>
                </c:pt>
                <c:pt idx="86">
                  <c:v>2.2829411764705885</c:v>
                </c:pt>
                <c:pt idx="87">
                  <c:v>2.2829411764705885</c:v>
                </c:pt>
                <c:pt idx="88">
                  <c:v>2.2829411764705885</c:v>
                </c:pt>
                <c:pt idx="89">
                  <c:v>2.2829411764705885</c:v>
                </c:pt>
                <c:pt idx="90">
                  <c:v>2.2829411764705885</c:v>
                </c:pt>
                <c:pt idx="91">
                  <c:v>2.2829411764705885</c:v>
                </c:pt>
                <c:pt idx="92">
                  <c:v>2.2829411764705885</c:v>
                </c:pt>
                <c:pt idx="93">
                  <c:v>2.2829411764705885</c:v>
                </c:pt>
                <c:pt idx="94">
                  <c:v>2.2829411764705885</c:v>
                </c:pt>
                <c:pt idx="95">
                  <c:v>2.2829411764705885</c:v>
                </c:pt>
                <c:pt idx="96">
                  <c:v>2.2829411764705885</c:v>
                </c:pt>
                <c:pt idx="97">
                  <c:v>2.2829411764705885</c:v>
                </c:pt>
                <c:pt idx="98">
                  <c:v>2.2829411764705885</c:v>
                </c:pt>
                <c:pt idx="99">
                  <c:v>2.2829411764705885</c:v>
                </c:pt>
                <c:pt idx="100">
                  <c:v>2.2829411764705885</c:v>
                </c:pt>
                <c:pt idx="101">
                  <c:v>2.2829411764705885</c:v>
                </c:pt>
                <c:pt idx="102">
                  <c:v>2.2829411764705885</c:v>
                </c:pt>
                <c:pt idx="103">
                  <c:v>2.2829411764705885</c:v>
                </c:pt>
                <c:pt idx="104">
                  <c:v>2.2829411764705885</c:v>
                </c:pt>
                <c:pt idx="105">
                  <c:v>2.2829411764705885</c:v>
                </c:pt>
                <c:pt idx="106">
                  <c:v>2.2829411764705885</c:v>
                </c:pt>
                <c:pt idx="107">
                  <c:v>2.2829411764705885</c:v>
                </c:pt>
                <c:pt idx="108">
                  <c:v>2.2829411764705885</c:v>
                </c:pt>
                <c:pt idx="109">
                  <c:v>6.1911111111111108</c:v>
                </c:pt>
                <c:pt idx="110">
                  <c:v>6.1911111111111108</c:v>
                </c:pt>
                <c:pt idx="111">
                  <c:v>6.1911111111111108</c:v>
                </c:pt>
                <c:pt idx="112">
                  <c:v>6.1911111111111108</c:v>
                </c:pt>
                <c:pt idx="113">
                  <c:v>6.1911111111111108</c:v>
                </c:pt>
                <c:pt idx="114">
                  <c:v>6.1911111111111108</c:v>
                </c:pt>
                <c:pt idx="115">
                  <c:v>6.1911111111111108</c:v>
                </c:pt>
                <c:pt idx="116">
                  <c:v>6.1911111111111108</c:v>
                </c:pt>
                <c:pt idx="117">
                  <c:v>6.1911111111111108</c:v>
                </c:pt>
                <c:pt idx="118">
                  <c:v>3.264444444444444</c:v>
                </c:pt>
                <c:pt idx="119">
                  <c:v>3.264444444444444</c:v>
                </c:pt>
                <c:pt idx="120">
                  <c:v>3.264444444444444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4BAA-6140-B6DF-5D103BD8A8B4}"/>
            </c:ext>
          </c:extLst>
        </c:ser>
        <c:ser>
          <c:idx val="6"/>
          <c:order val="6"/>
          <c:tx>
            <c:strRef>
              <c:f>'Monthly Violent Crimes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'!$H$2:$H$122</c:f>
              <c:numCache>
                <c:formatCode>0</c:formatCode>
                <c:ptCount val="121"/>
                <c:pt idx="0">
                  <c:v>2.8124102564102564</c:v>
                </c:pt>
                <c:pt idx="1">
                  <c:v>2.8124102564102564</c:v>
                </c:pt>
                <c:pt idx="2">
                  <c:v>2.8124102564102564</c:v>
                </c:pt>
                <c:pt idx="3">
                  <c:v>2.8124102564102564</c:v>
                </c:pt>
                <c:pt idx="4">
                  <c:v>2.8124102564102564</c:v>
                </c:pt>
                <c:pt idx="5">
                  <c:v>2.8124102564102564</c:v>
                </c:pt>
                <c:pt idx="6">
                  <c:v>2.8124102564102564</c:v>
                </c:pt>
                <c:pt idx="7">
                  <c:v>2.8124102564102564</c:v>
                </c:pt>
                <c:pt idx="8">
                  <c:v>2.8124102564102564</c:v>
                </c:pt>
                <c:pt idx="9">
                  <c:v>2.8124102564102564</c:v>
                </c:pt>
                <c:pt idx="10">
                  <c:v>2.8124102564102564</c:v>
                </c:pt>
                <c:pt idx="11">
                  <c:v>2.8124102564102564</c:v>
                </c:pt>
                <c:pt idx="12">
                  <c:v>2.8124102564102564</c:v>
                </c:pt>
                <c:pt idx="13">
                  <c:v>2.8124102564102564</c:v>
                </c:pt>
                <c:pt idx="14">
                  <c:v>2.8124102564102564</c:v>
                </c:pt>
                <c:pt idx="15">
                  <c:v>2.8124102564102564</c:v>
                </c:pt>
                <c:pt idx="16">
                  <c:v>2.8124102564102564</c:v>
                </c:pt>
                <c:pt idx="17">
                  <c:v>2.8124102564102564</c:v>
                </c:pt>
                <c:pt idx="18">
                  <c:v>2.8124102564102564</c:v>
                </c:pt>
                <c:pt idx="19">
                  <c:v>2.8124102564102564</c:v>
                </c:pt>
                <c:pt idx="20">
                  <c:v>2.8124102564102564</c:v>
                </c:pt>
                <c:pt idx="21">
                  <c:v>2.8124102564102564</c:v>
                </c:pt>
                <c:pt idx="22">
                  <c:v>2.8124102564102564</c:v>
                </c:pt>
                <c:pt idx="23">
                  <c:v>2.8124102564102564</c:v>
                </c:pt>
                <c:pt idx="24">
                  <c:v>2.8124102564102564</c:v>
                </c:pt>
                <c:pt idx="25">
                  <c:v>2.8124102564102564</c:v>
                </c:pt>
                <c:pt idx="26">
                  <c:v>0.82303030303030233</c:v>
                </c:pt>
                <c:pt idx="27">
                  <c:v>0.82303030303030233</c:v>
                </c:pt>
                <c:pt idx="28">
                  <c:v>0.82303030303030233</c:v>
                </c:pt>
                <c:pt idx="29">
                  <c:v>0.82303030303030233</c:v>
                </c:pt>
                <c:pt idx="30">
                  <c:v>0.82303030303030233</c:v>
                </c:pt>
                <c:pt idx="31">
                  <c:v>0.82303030303030233</c:v>
                </c:pt>
                <c:pt idx="32">
                  <c:v>0.82303030303030233</c:v>
                </c:pt>
                <c:pt idx="33">
                  <c:v>0.82303030303030233</c:v>
                </c:pt>
                <c:pt idx="34">
                  <c:v>0.82303030303030233</c:v>
                </c:pt>
                <c:pt idx="35">
                  <c:v>0.82303030303030233</c:v>
                </c:pt>
                <c:pt idx="36">
                  <c:v>0.82303030303030233</c:v>
                </c:pt>
                <c:pt idx="37">
                  <c:v>0.82303030303030233</c:v>
                </c:pt>
                <c:pt idx="38">
                  <c:v>0.82303030303030233</c:v>
                </c:pt>
                <c:pt idx="39">
                  <c:v>0.82303030303030233</c:v>
                </c:pt>
                <c:pt idx="40">
                  <c:v>0.82303030303030233</c:v>
                </c:pt>
                <c:pt idx="41">
                  <c:v>0.82303030303030233</c:v>
                </c:pt>
                <c:pt idx="42">
                  <c:v>0.82303030303030233</c:v>
                </c:pt>
                <c:pt idx="43">
                  <c:v>0.82303030303030233</c:v>
                </c:pt>
                <c:pt idx="44">
                  <c:v>0.82303030303030233</c:v>
                </c:pt>
                <c:pt idx="45">
                  <c:v>0.82303030303030233</c:v>
                </c:pt>
                <c:pt idx="46">
                  <c:v>0.82303030303030233</c:v>
                </c:pt>
                <c:pt idx="47">
                  <c:v>0.82303030303030233</c:v>
                </c:pt>
                <c:pt idx="48">
                  <c:v>0.82303030303030233</c:v>
                </c:pt>
                <c:pt idx="49">
                  <c:v>0.82303030303030233</c:v>
                </c:pt>
                <c:pt idx="50">
                  <c:v>0.82303030303030233</c:v>
                </c:pt>
                <c:pt idx="51">
                  <c:v>0.82303030303030233</c:v>
                </c:pt>
                <c:pt idx="52">
                  <c:v>0.82303030303030233</c:v>
                </c:pt>
                <c:pt idx="53">
                  <c:v>0.82303030303030233</c:v>
                </c:pt>
                <c:pt idx="54">
                  <c:v>0.82303030303030233</c:v>
                </c:pt>
                <c:pt idx="55">
                  <c:v>0.82303030303030233</c:v>
                </c:pt>
                <c:pt idx="56">
                  <c:v>0.82303030303030233</c:v>
                </c:pt>
                <c:pt idx="57">
                  <c:v>0.82303030303030233</c:v>
                </c:pt>
                <c:pt idx="58">
                  <c:v>0.82303030303030233</c:v>
                </c:pt>
                <c:pt idx="59">
                  <c:v>-0.42166666666666686</c:v>
                </c:pt>
                <c:pt idx="60">
                  <c:v>-0.42166666666666686</c:v>
                </c:pt>
                <c:pt idx="61">
                  <c:v>-0.42166666666666686</c:v>
                </c:pt>
                <c:pt idx="62">
                  <c:v>-0.42166666666666686</c:v>
                </c:pt>
                <c:pt idx="63">
                  <c:v>-0.42166666666666686</c:v>
                </c:pt>
                <c:pt idx="64">
                  <c:v>-0.42166666666666686</c:v>
                </c:pt>
                <c:pt idx="65">
                  <c:v>-0.42166666666666686</c:v>
                </c:pt>
                <c:pt idx="66">
                  <c:v>-0.42166666666666686</c:v>
                </c:pt>
                <c:pt idx="67">
                  <c:v>-0.42166666666666686</c:v>
                </c:pt>
                <c:pt idx="68">
                  <c:v>-0.42166666666666686</c:v>
                </c:pt>
                <c:pt idx="69">
                  <c:v>-0.42166666666666686</c:v>
                </c:pt>
                <c:pt idx="70">
                  <c:v>-0.42166666666666686</c:v>
                </c:pt>
                <c:pt idx="71">
                  <c:v>-0.42166666666666686</c:v>
                </c:pt>
                <c:pt idx="72">
                  <c:v>-0.42166666666666686</c:v>
                </c:pt>
                <c:pt idx="73">
                  <c:v>-0.42166666666666686</c:v>
                </c:pt>
                <c:pt idx="74">
                  <c:v>-0.42166666666666686</c:v>
                </c:pt>
                <c:pt idx="75">
                  <c:v>-1.0811764705882352</c:v>
                </c:pt>
                <c:pt idx="76">
                  <c:v>-1.0811764705882352</c:v>
                </c:pt>
                <c:pt idx="77">
                  <c:v>-1.0811764705882352</c:v>
                </c:pt>
                <c:pt idx="78">
                  <c:v>-1.0811764705882352</c:v>
                </c:pt>
                <c:pt idx="79">
                  <c:v>-1.0811764705882352</c:v>
                </c:pt>
                <c:pt idx="80">
                  <c:v>-1.0811764705882352</c:v>
                </c:pt>
                <c:pt idx="81">
                  <c:v>-1.0811764705882352</c:v>
                </c:pt>
                <c:pt idx="82">
                  <c:v>-1.0811764705882352</c:v>
                </c:pt>
                <c:pt idx="83">
                  <c:v>-1.0811764705882352</c:v>
                </c:pt>
                <c:pt idx="84">
                  <c:v>-1.0811764705882352</c:v>
                </c:pt>
                <c:pt idx="85">
                  <c:v>-1.0811764705882352</c:v>
                </c:pt>
                <c:pt idx="86">
                  <c:v>-1.0811764705882352</c:v>
                </c:pt>
                <c:pt idx="87">
                  <c:v>-1.0811764705882352</c:v>
                </c:pt>
                <c:pt idx="88">
                  <c:v>-1.0811764705882352</c:v>
                </c:pt>
                <c:pt idx="89">
                  <c:v>-1.0811764705882352</c:v>
                </c:pt>
                <c:pt idx="90">
                  <c:v>-1.0811764705882352</c:v>
                </c:pt>
                <c:pt idx="91">
                  <c:v>-1.0811764705882352</c:v>
                </c:pt>
                <c:pt idx="92">
                  <c:v>-1.0811764705882352</c:v>
                </c:pt>
                <c:pt idx="93">
                  <c:v>-1.0811764705882352</c:v>
                </c:pt>
                <c:pt idx="94">
                  <c:v>-1.0811764705882352</c:v>
                </c:pt>
                <c:pt idx="95">
                  <c:v>-1.0811764705882352</c:v>
                </c:pt>
                <c:pt idx="96">
                  <c:v>-1.0811764705882352</c:v>
                </c:pt>
                <c:pt idx="97">
                  <c:v>-1.0811764705882352</c:v>
                </c:pt>
                <c:pt idx="98">
                  <c:v>-1.0811764705882352</c:v>
                </c:pt>
                <c:pt idx="99">
                  <c:v>-1.0811764705882352</c:v>
                </c:pt>
                <c:pt idx="100">
                  <c:v>-1.0811764705882352</c:v>
                </c:pt>
                <c:pt idx="101">
                  <c:v>-1.0811764705882352</c:v>
                </c:pt>
                <c:pt idx="102">
                  <c:v>-1.0811764705882352</c:v>
                </c:pt>
                <c:pt idx="103">
                  <c:v>-1.0811764705882352</c:v>
                </c:pt>
                <c:pt idx="104">
                  <c:v>-1.0811764705882352</c:v>
                </c:pt>
                <c:pt idx="105">
                  <c:v>-1.0811764705882352</c:v>
                </c:pt>
                <c:pt idx="106">
                  <c:v>-1.0811764705882352</c:v>
                </c:pt>
                <c:pt idx="107">
                  <c:v>-1.0811764705882352</c:v>
                </c:pt>
                <c:pt idx="108">
                  <c:v>-1.0811764705882352</c:v>
                </c:pt>
                <c:pt idx="109">
                  <c:v>3.8266666666666662</c:v>
                </c:pt>
                <c:pt idx="110">
                  <c:v>3.8266666666666662</c:v>
                </c:pt>
                <c:pt idx="111">
                  <c:v>3.8266666666666662</c:v>
                </c:pt>
                <c:pt idx="112">
                  <c:v>3.8266666666666662</c:v>
                </c:pt>
                <c:pt idx="113">
                  <c:v>3.8266666666666662</c:v>
                </c:pt>
                <c:pt idx="114">
                  <c:v>3.8266666666666662</c:v>
                </c:pt>
                <c:pt idx="115">
                  <c:v>3.8266666666666662</c:v>
                </c:pt>
                <c:pt idx="116">
                  <c:v>3.8266666666666662</c:v>
                </c:pt>
                <c:pt idx="117">
                  <c:v>3.8266666666666662</c:v>
                </c:pt>
                <c:pt idx="118">
                  <c:v>1.195555555555555</c:v>
                </c:pt>
                <c:pt idx="119">
                  <c:v>1.195555555555555</c:v>
                </c:pt>
                <c:pt idx="120">
                  <c:v>1.195555555555555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4BAA-6140-B6DF-5D103BD8A8B4}"/>
            </c:ext>
          </c:extLst>
        </c:ser>
        <c:ser>
          <c:idx val="7"/>
          <c:order val="7"/>
          <c:tx>
            <c:strRef>
              <c:f>'Monthly Violent Crimes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9639509827981E-2"/>
                  <c:y val="-2.01863341696621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4BAA-6140-B6DF-5D103BD8A8B4}"/>
                </c:ext>
              </c:extLst>
            </c:dLbl>
            <c:dLbl>
              <c:idx val="119"/>
              <c:layout>
                <c:manualLayout>
                  <c:x val="-1.4639639509827981E-2"/>
                  <c:y val="-2.018633416966216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C-4BAA-6140-B6DF-5D103BD8A8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Violent Crimes XmR '!$A$2:$A$122</c:f>
              <c:numCache>
                <c:formatCode>yyyy\-mm\-dd;@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'Monthly Violent Crimes XmR '!$I$2:$I$122</c:f>
              <c:numCache>
                <c:formatCode>0</c:formatCode>
                <c:ptCount val="121"/>
                <c:pt idx="0">
                  <c:v>0.50707692307692298</c:v>
                </c:pt>
                <c:pt idx="1">
                  <c:v>0.50707692307692298</c:v>
                </c:pt>
                <c:pt idx="2">
                  <c:v>0.50707692307692298</c:v>
                </c:pt>
                <c:pt idx="3">
                  <c:v>0.50707692307692298</c:v>
                </c:pt>
                <c:pt idx="4">
                  <c:v>0.50707692307692298</c:v>
                </c:pt>
                <c:pt idx="5">
                  <c:v>0.50707692307692298</c:v>
                </c:pt>
                <c:pt idx="6">
                  <c:v>0.50707692307692298</c:v>
                </c:pt>
                <c:pt idx="7">
                  <c:v>0.50707692307692298</c:v>
                </c:pt>
                <c:pt idx="8">
                  <c:v>0.50707692307692298</c:v>
                </c:pt>
                <c:pt idx="9">
                  <c:v>0.50707692307692298</c:v>
                </c:pt>
                <c:pt idx="10">
                  <c:v>0.50707692307692298</c:v>
                </c:pt>
                <c:pt idx="11">
                  <c:v>0.50707692307692298</c:v>
                </c:pt>
                <c:pt idx="12">
                  <c:v>0.50707692307692298</c:v>
                </c:pt>
                <c:pt idx="13">
                  <c:v>0.50707692307692298</c:v>
                </c:pt>
                <c:pt idx="14">
                  <c:v>0.50707692307692298</c:v>
                </c:pt>
                <c:pt idx="15">
                  <c:v>0.50707692307692298</c:v>
                </c:pt>
                <c:pt idx="16">
                  <c:v>0.50707692307692298</c:v>
                </c:pt>
                <c:pt idx="17">
                  <c:v>0.50707692307692298</c:v>
                </c:pt>
                <c:pt idx="18">
                  <c:v>0.50707692307692298</c:v>
                </c:pt>
                <c:pt idx="19">
                  <c:v>0.50707692307692298</c:v>
                </c:pt>
                <c:pt idx="20">
                  <c:v>0.50707692307692298</c:v>
                </c:pt>
                <c:pt idx="21">
                  <c:v>0.50707692307692298</c:v>
                </c:pt>
                <c:pt idx="22">
                  <c:v>0.50707692307692298</c:v>
                </c:pt>
                <c:pt idx="23">
                  <c:v>0.50707692307692298</c:v>
                </c:pt>
                <c:pt idx="24">
                  <c:v>0.50707692307692298</c:v>
                </c:pt>
                <c:pt idx="25">
                  <c:v>0.50707692307692298</c:v>
                </c:pt>
                <c:pt idx="26">
                  <c:v>-2.1593939393939392</c:v>
                </c:pt>
                <c:pt idx="27">
                  <c:v>-2.1593939393939392</c:v>
                </c:pt>
                <c:pt idx="28">
                  <c:v>-2.1593939393939392</c:v>
                </c:pt>
                <c:pt idx="29">
                  <c:v>-2.1593939393939392</c:v>
                </c:pt>
                <c:pt idx="30">
                  <c:v>-2.1593939393939392</c:v>
                </c:pt>
                <c:pt idx="31">
                  <c:v>-2.1593939393939392</c:v>
                </c:pt>
                <c:pt idx="32">
                  <c:v>-2.1593939393939392</c:v>
                </c:pt>
                <c:pt idx="33">
                  <c:v>-2.1593939393939392</c:v>
                </c:pt>
                <c:pt idx="34">
                  <c:v>-2.1593939393939392</c:v>
                </c:pt>
                <c:pt idx="35">
                  <c:v>-2.1593939393939392</c:v>
                </c:pt>
                <c:pt idx="36">
                  <c:v>-2.1593939393939392</c:v>
                </c:pt>
                <c:pt idx="37">
                  <c:v>-2.1593939393939392</c:v>
                </c:pt>
                <c:pt idx="38">
                  <c:v>-2.1593939393939392</c:v>
                </c:pt>
                <c:pt idx="39">
                  <c:v>-2.1593939393939392</c:v>
                </c:pt>
                <c:pt idx="40">
                  <c:v>-2.1593939393939392</c:v>
                </c:pt>
                <c:pt idx="41">
                  <c:v>-2.1593939393939392</c:v>
                </c:pt>
                <c:pt idx="42">
                  <c:v>-2.1593939393939392</c:v>
                </c:pt>
                <c:pt idx="43">
                  <c:v>-2.1593939393939392</c:v>
                </c:pt>
                <c:pt idx="44">
                  <c:v>-2.1593939393939392</c:v>
                </c:pt>
                <c:pt idx="45">
                  <c:v>-2.1593939393939392</c:v>
                </c:pt>
                <c:pt idx="46">
                  <c:v>-2.1593939393939392</c:v>
                </c:pt>
                <c:pt idx="47">
                  <c:v>-2.1593939393939392</c:v>
                </c:pt>
                <c:pt idx="48">
                  <c:v>-2.1593939393939392</c:v>
                </c:pt>
                <c:pt idx="49">
                  <c:v>-2.1593939393939392</c:v>
                </c:pt>
                <c:pt idx="50">
                  <c:v>-2.1593939393939392</c:v>
                </c:pt>
                <c:pt idx="51">
                  <c:v>-2.1593939393939392</c:v>
                </c:pt>
                <c:pt idx="52">
                  <c:v>-2.1593939393939392</c:v>
                </c:pt>
                <c:pt idx="53">
                  <c:v>-2.1593939393939392</c:v>
                </c:pt>
                <c:pt idx="54">
                  <c:v>-2.1593939393939392</c:v>
                </c:pt>
                <c:pt idx="55">
                  <c:v>-2.1593939393939392</c:v>
                </c:pt>
                <c:pt idx="56">
                  <c:v>-2.1593939393939392</c:v>
                </c:pt>
                <c:pt idx="57">
                  <c:v>-2.1593939393939392</c:v>
                </c:pt>
                <c:pt idx="58">
                  <c:v>-2.1593939393939392</c:v>
                </c:pt>
                <c:pt idx="59">
                  <c:v>-2.1950000000000003</c:v>
                </c:pt>
                <c:pt idx="60">
                  <c:v>-2.1950000000000003</c:v>
                </c:pt>
                <c:pt idx="61">
                  <c:v>-2.1950000000000003</c:v>
                </c:pt>
                <c:pt idx="62">
                  <c:v>-2.1950000000000003</c:v>
                </c:pt>
                <c:pt idx="63">
                  <c:v>-2.1950000000000003</c:v>
                </c:pt>
                <c:pt idx="64">
                  <c:v>-2.1950000000000003</c:v>
                </c:pt>
                <c:pt idx="65">
                  <c:v>-2.1950000000000003</c:v>
                </c:pt>
                <c:pt idx="66">
                  <c:v>-2.1950000000000003</c:v>
                </c:pt>
                <c:pt idx="67">
                  <c:v>-2.1950000000000003</c:v>
                </c:pt>
                <c:pt idx="68">
                  <c:v>-2.1950000000000003</c:v>
                </c:pt>
                <c:pt idx="69">
                  <c:v>-2.1950000000000003</c:v>
                </c:pt>
                <c:pt idx="70">
                  <c:v>-2.1950000000000003</c:v>
                </c:pt>
                <c:pt idx="71">
                  <c:v>-2.1950000000000003</c:v>
                </c:pt>
                <c:pt idx="72">
                  <c:v>-2.1950000000000003</c:v>
                </c:pt>
                <c:pt idx="73">
                  <c:v>-2.1950000000000003</c:v>
                </c:pt>
                <c:pt idx="74">
                  <c:v>-2.1950000000000003</c:v>
                </c:pt>
                <c:pt idx="75">
                  <c:v>-4.445294117647058</c:v>
                </c:pt>
                <c:pt idx="76">
                  <c:v>-4.445294117647058</c:v>
                </c:pt>
                <c:pt idx="77">
                  <c:v>-4.445294117647058</c:v>
                </c:pt>
                <c:pt idx="78">
                  <c:v>-4.445294117647058</c:v>
                </c:pt>
                <c:pt idx="79">
                  <c:v>-4.445294117647058</c:v>
                </c:pt>
                <c:pt idx="80">
                  <c:v>-4.445294117647058</c:v>
                </c:pt>
                <c:pt idx="81">
                  <c:v>-4.445294117647058</c:v>
                </c:pt>
                <c:pt idx="82">
                  <c:v>-4.445294117647058</c:v>
                </c:pt>
                <c:pt idx="83">
                  <c:v>-4.445294117647058</c:v>
                </c:pt>
                <c:pt idx="84">
                  <c:v>-4.445294117647058</c:v>
                </c:pt>
                <c:pt idx="85">
                  <c:v>-4.445294117647058</c:v>
                </c:pt>
                <c:pt idx="86">
                  <c:v>-4.445294117647058</c:v>
                </c:pt>
                <c:pt idx="87">
                  <c:v>-4.445294117647058</c:v>
                </c:pt>
                <c:pt idx="88">
                  <c:v>-4.445294117647058</c:v>
                </c:pt>
                <c:pt idx="89">
                  <c:v>-4.445294117647058</c:v>
                </c:pt>
                <c:pt idx="90">
                  <c:v>-4.445294117647058</c:v>
                </c:pt>
                <c:pt idx="91">
                  <c:v>-4.445294117647058</c:v>
                </c:pt>
                <c:pt idx="92">
                  <c:v>-4.445294117647058</c:v>
                </c:pt>
                <c:pt idx="93">
                  <c:v>-4.445294117647058</c:v>
                </c:pt>
                <c:pt idx="94">
                  <c:v>-4.445294117647058</c:v>
                </c:pt>
                <c:pt idx="95">
                  <c:v>-4.445294117647058</c:v>
                </c:pt>
                <c:pt idx="96">
                  <c:v>-4.445294117647058</c:v>
                </c:pt>
                <c:pt idx="97">
                  <c:v>-4.445294117647058</c:v>
                </c:pt>
                <c:pt idx="98">
                  <c:v>-4.445294117647058</c:v>
                </c:pt>
                <c:pt idx="99">
                  <c:v>-4.445294117647058</c:v>
                </c:pt>
                <c:pt idx="100">
                  <c:v>-4.445294117647058</c:v>
                </c:pt>
                <c:pt idx="101">
                  <c:v>-4.445294117647058</c:v>
                </c:pt>
                <c:pt idx="102">
                  <c:v>-4.445294117647058</c:v>
                </c:pt>
                <c:pt idx="103">
                  <c:v>-4.445294117647058</c:v>
                </c:pt>
                <c:pt idx="104">
                  <c:v>-4.445294117647058</c:v>
                </c:pt>
                <c:pt idx="105">
                  <c:v>-4.445294117647058</c:v>
                </c:pt>
                <c:pt idx="106">
                  <c:v>-4.445294117647058</c:v>
                </c:pt>
                <c:pt idx="107">
                  <c:v>-4.445294117647058</c:v>
                </c:pt>
                <c:pt idx="108">
                  <c:v>-4.445294117647058</c:v>
                </c:pt>
                <c:pt idx="109">
                  <c:v>1.4622222222222216</c:v>
                </c:pt>
                <c:pt idx="110">
                  <c:v>1.4622222222222216</c:v>
                </c:pt>
                <c:pt idx="111">
                  <c:v>1.4622222222222216</c:v>
                </c:pt>
                <c:pt idx="112">
                  <c:v>1.4622222222222216</c:v>
                </c:pt>
                <c:pt idx="113">
                  <c:v>1.4622222222222216</c:v>
                </c:pt>
                <c:pt idx="114">
                  <c:v>1.4622222222222216</c:v>
                </c:pt>
                <c:pt idx="115">
                  <c:v>1.4622222222222216</c:v>
                </c:pt>
                <c:pt idx="116">
                  <c:v>1.4622222222222216</c:v>
                </c:pt>
                <c:pt idx="117">
                  <c:v>1.4622222222222216</c:v>
                </c:pt>
                <c:pt idx="118">
                  <c:v>-0.87333333333333396</c:v>
                </c:pt>
                <c:pt idx="119">
                  <c:v>-0.87333333333333396</c:v>
                </c:pt>
                <c:pt idx="120">
                  <c:v>-0.87333333333333396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4BAA-6140-B6DF-5D103BD8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225231"/>
        <c:axId val="713269151"/>
      </c:lineChart>
      <c:catAx>
        <c:axId val="98222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2016-01-01 - 2026-01-01</a:t>
                </a:r>
              </a:p>
            </c:rich>
          </c:tx>
          <c:overlay val="0"/>
        </c:title>
        <c:numFmt formatCode="yyyy\-mm\-dd;@" sourceLinked="1"/>
        <c:majorTickMark val="out"/>
        <c:minorTickMark val="none"/>
        <c:tickLblPos val="nextTo"/>
        <c:crossAx val="713269151"/>
        <c:crossesAt val="-4"/>
        <c:auto val="0"/>
        <c:lblAlgn val="ctr"/>
        <c:lblOffset val="100"/>
        <c:noMultiLvlLbl val="0"/>
      </c:catAx>
      <c:valAx>
        <c:axId val="713269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Combined Figures Violent Crimes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8222523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Counts of Violent Crime in Schertz, TX    2016 - 2017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XmR'!$K$1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XmR'!$K$2:$K$11</c:f>
              <c:numCache>
                <c:formatCode>0</c:formatCode>
                <c:ptCount val="10"/>
                <c:pt idx="1">
                  <c:v>14</c:v>
                </c:pt>
                <c:pt idx="2">
                  <c:v>4</c:v>
                </c:pt>
                <c:pt idx="3">
                  <c:v>17</c:v>
                </c:pt>
                <c:pt idx="4">
                  <c:v>17</c:v>
                </c:pt>
                <c:pt idx="5">
                  <c:v>24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B-AB45-8C83-8A881F723918}"/>
            </c:ext>
          </c:extLst>
        </c:ser>
        <c:ser>
          <c:idx val="1"/>
          <c:order val="1"/>
          <c:tx>
            <c:strRef>
              <c:f>'Annual Violent XmR'!$L$1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B5B-AB45-8C83-8A881F723918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5B-AB45-8C83-8A881F7239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XmR'!$L$2:$L$11</c:f>
              <c:numCache>
                <c:formatCode>0</c:formatCode>
                <c:ptCount val="10"/>
                <c:pt idx="1">
                  <c:v>49.004999999999995</c:v>
                </c:pt>
                <c:pt idx="2">
                  <c:v>49.004999999999995</c:v>
                </c:pt>
                <c:pt idx="3">
                  <c:v>49.004999999999995</c:v>
                </c:pt>
                <c:pt idx="4">
                  <c:v>49.004999999999995</c:v>
                </c:pt>
                <c:pt idx="5">
                  <c:v>49.004999999999995</c:v>
                </c:pt>
                <c:pt idx="6">
                  <c:v>49.004999999999995</c:v>
                </c:pt>
                <c:pt idx="7">
                  <c:v>49.004999999999995</c:v>
                </c:pt>
                <c:pt idx="8">
                  <c:v>49.004999999999995</c:v>
                </c:pt>
                <c:pt idx="9">
                  <c:v>49.004999999999995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5B-AB45-8C83-8A881F723918}"/>
            </c:ext>
          </c:extLst>
        </c:ser>
        <c:ser>
          <c:idx val="2"/>
          <c:order val="2"/>
          <c:tx>
            <c:strRef>
              <c:f>'Annual Violent XmR'!$M$1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XmR'!$M$2:$M$11</c:f>
              <c:numCache>
                <c:formatCode>0</c:formatCode>
                <c:ptCount val="10"/>
                <c:pt idx="1">
                  <c:v>37.669999999999995</c:v>
                </c:pt>
                <c:pt idx="2">
                  <c:v>37.669999999999995</c:v>
                </c:pt>
                <c:pt idx="3">
                  <c:v>37.669999999999995</c:v>
                </c:pt>
                <c:pt idx="4">
                  <c:v>37.669999999999995</c:v>
                </c:pt>
                <c:pt idx="5">
                  <c:v>37.669999999999995</c:v>
                </c:pt>
                <c:pt idx="6">
                  <c:v>37.669999999999995</c:v>
                </c:pt>
                <c:pt idx="7">
                  <c:v>37.669999999999995</c:v>
                </c:pt>
                <c:pt idx="8">
                  <c:v>37.669999999999995</c:v>
                </c:pt>
                <c:pt idx="9">
                  <c:v>37.669999999999995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5B-AB45-8C83-8A881F723918}"/>
            </c:ext>
          </c:extLst>
        </c:ser>
        <c:ser>
          <c:idx val="3"/>
          <c:order val="3"/>
          <c:tx>
            <c:strRef>
              <c:f>'Annual Violent XmR'!$N$1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XmR'!$N$2:$N$11</c:f>
              <c:numCache>
                <c:formatCode>0</c:formatCode>
                <c:ptCount val="10"/>
                <c:pt idx="1">
                  <c:v>26.334999999999997</c:v>
                </c:pt>
                <c:pt idx="2">
                  <c:v>26.334999999999997</c:v>
                </c:pt>
                <c:pt idx="3">
                  <c:v>26.334999999999997</c:v>
                </c:pt>
                <c:pt idx="4">
                  <c:v>26.334999999999997</c:v>
                </c:pt>
                <c:pt idx="5">
                  <c:v>26.334999999999997</c:v>
                </c:pt>
                <c:pt idx="6">
                  <c:v>26.334999999999997</c:v>
                </c:pt>
                <c:pt idx="7">
                  <c:v>26.334999999999997</c:v>
                </c:pt>
                <c:pt idx="8">
                  <c:v>26.334999999999997</c:v>
                </c:pt>
                <c:pt idx="9">
                  <c:v>26.334999999999997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5B-AB45-8C83-8A881F723918}"/>
            </c:ext>
          </c:extLst>
        </c:ser>
        <c:ser>
          <c:idx val="4"/>
          <c:order val="4"/>
          <c:tx>
            <c:strRef>
              <c:f>'Annual Violent XmR'!$O$1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5B-AB45-8C83-8A881F723918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5B-AB45-8C83-8A881F723918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5B-AB45-8C83-8A881F723918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B5B-AB45-8C83-8A881F723918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B5B-AB45-8C83-8A881F723918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B5B-AB45-8C83-8A881F723918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5B-AB45-8C83-8A881F723918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5B-AB45-8C83-8A881F723918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B5B-AB45-8C83-8A881F723918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B5B-AB45-8C83-8A881F723918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B5B-AB45-8C83-8A881F723918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B5B-AB45-8C83-8A881F72391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XmR'!$O$2:$O$11</c:f>
              <c:numCache>
                <c:formatCode>0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5B-AB45-8C83-8A881F723918}"/>
            </c:ext>
          </c:extLst>
        </c:ser>
        <c:ser>
          <c:idx val="5"/>
          <c:order val="5"/>
          <c:tx>
            <c:strRef>
              <c:f>'Annual Violent XmR'!$P$1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XmR'!$P$2:$P$11</c:f>
              <c:numCache>
                <c:formatCode>0</c:formatCode>
                <c:ptCount val="10"/>
                <c:pt idx="1">
                  <c:v>3.6650000000000027</c:v>
                </c:pt>
                <c:pt idx="2">
                  <c:v>3.6650000000000027</c:v>
                </c:pt>
                <c:pt idx="3">
                  <c:v>3.6650000000000027</c:v>
                </c:pt>
                <c:pt idx="4">
                  <c:v>3.6650000000000027</c:v>
                </c:pt>
                <c:pt idx="5">
                  <c:v>3.6650000000000027</c:v>
                </c:pt>
                <c:pt idx="6">
                  <c:v>3.6650000000000027</c:v>
                </c:pt>
                <c:pt idx="7">
                  <c:v>3.6650000000000027</c:v>
                </c:pt>
                <c:pt idx="8">
                  <c:v>3.6650000000000027</c:v>
                </c:pt>
                <c:pt idx="9">
                  <c:v>3.6650000000000027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5B-AB45-8C83-8A881F723918}"/>
            </c:ext>
          </c:extLst>
        </c:ser>
        <c:ser>
          <c:idx val="6"/>
          <c:order val="6"/>
          <c:tx>
            <c:strRef>
              <c:f>'Annual Violent XmR'!$Q$1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5B-AB45-8C83-8A881F723918}"/>
            </c:ext>
          </c:extLst>
        </c:ser>
        <c:ser>
          <c:idx val="7"/>
          <c:order val="7"/>
          <c:tx>
            <c:strRef>
              <c:f>'Annual Violent XmR'!$R$1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B5B-AB45-8C83-8A881F723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85263"/>
        <c:axId val="709686031"/>
      </c:lineChart>
      <c:catAx>
        <c:axId val="70928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9686031"/>
        <c:crosses val="autoZero"/>
        <c:auto val="0"/>
        <c:lblAlgn val="ctr"/>
        <c:lblOffset val="100"/>
        <c:noMultiLvlLbl val="0"/>
      </c:catAx>
      <c:valAx>
        <c:axId val="709686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0928526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Annual Count of Violent Crime in Schertz, TX    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Violent XmR'!$B$1</c:f>
              <c:strCache>
                <c:ptCount val="1"/>
                <c:pt idx="0">
                  <c:v>Annual Violent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XmR'!$B$2:$B$11</c:f>
              <c:numCache>
                <c:formatCode>0</c:formatCode>
                <c:ptCount val="10"/>
                <c:pt idx="0">
                  <c:v>85</c:v>
                </c:pt>
                <c:pt idx="1">
                  <c:v>99</c:v>
                </c:pt>
                <c:pt idx="2">
                  <c:v>95</c:v>
                </c:pt>
                <c:pt idx="3">
                  <c:v>78</c:v>
                </c:pt>
                <c:pt idx="4">
                  <c:v>61</c:v>
                </c:pt>
                <c:pt idx="5">
                  <c:v>37</c:v>
                </c:pt>
                <c:pt idx="6">
                  <c:v>60</c:v>
                </c:pt>
                <c:pt idx="7">
                  <c:v>71</c:v>
                </c:pt>
                <c:pt idx="8">
                  <c:v>69</c:v>
                </c:pt>
                <c:pt idx="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4-784D-9E14-69098BAD0617}"/>
            </c:ext>
          </c:extLst>
        </c:ser>
        <c:ser>
          <c:idx val="1"/>
          <c:order val="1"/>
          <c:tx>
            <c:strRef>
              <c:f>'Annual Violent XmR'!$C$1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XmR'!$C$2:$C$11</c:f>
              <c:numCache>
                <c:formatCode>0</c:formatCode>
                <c:ptCount val="10"/>
                <c:pt idx="0">
                  <c:v>114.60000000000001</c:v>
                </c:pt>
                <c:pt idx="1">
                  <c:v>114.60000000000001</c:v>
                </c:pt>
                <c:pt idx="2">
                  <c:v>114.60000000000001</c:v>
                </c:pt>
                <c:pt idx="3">
                  <c:v>114.60000000000001</c:v>
                </c:pt>
                <c:pt idx="4">
                  <c:v>114.60000000000001</c:v>
                </c:pt>
                <c:pt idx="5">
                  <c:v>114.60000000000001</c:v>
                </c:pt>
                <c:pt idx="6">
                  <c:v>114.60000000000001</c:v>
                </c:pt>
                <c:pt idx="7">
                  <c:v>114.60000000000001</c:v>
                </c:pt>
                <c:pt idx="8">
                  <c:v>114.60000000000001</c:v>
                </c:pt>
                <c:pt idx="9">
                  <c:v>114.60000000000001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4-784D-9E14-69098BAD0617}"/>
            </c:ext>
          </c:extLst>
        </c:ser>
        <c:ser>
          <c:idx val="2"/>
          <c:order val="2"/>
          <c:tx>
            <c:strRef>
              <c:f>'Annual Violent XmR'!$D$1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XmR'!$D$2:$D$11</c:f>
              <c:numCache>
                <c:formatCode>0</c:formatCode>
                <c:ptCount val="10"/>
                <c:pt idx="0">
                  <c:v>101.30000000000001</c:v>
                </c:pt>
                <c:pt idx="1">
                  <c:v>101.30000000000001</c:v>
                </c:pt>
                <c:pt idx="2">
                  <c:v>101.30000000000001</c:v>
                </c:pt>
                <c:pt idx="3">
                  <c:v>101.30000000000001</c:v>
                </c:pt>
                <c:pt idx="4">
                  <c:v>101.30000000000001</c:v>
                </c:pt>
                <c:pt idx="5">
                  <c:v>101.30000000000001</c:v>
                </c:pt>
                <c:pt idx="6">
                  <c:v>101.30000000000001</c:v>
                </c:pt>
                <c:pt idx="7">
                  <c:v>101.30000000000001</c:v>
                </c:pt>
                <c:pt idx="8">
                  <c:v>101.30000000000001</c:v>
                </c:pt>
                <c:pt idx="9">
                  <c:v>101.30000000000001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84-784D-9E14-69098BAD0617}"/>
            </c:ext>
          </c:extLst>
        </c:ser>
        <c:ser>
          <c:idx val="3"/>
          <c:order val="3"/>
          <c:tx>
            <c:strRef>
              <c:f>'Annual Violent XmR'!$E$1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XmR'!$E$2:$E$11</c:f>
              <c:numCache>
                <c:formatCode>0</c:formatCode>
                <c:ptCount val="10"/>
                <c:pt idx="0">
                  <c:v>88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88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84-784D-9E14-69098BAD0617}"/>
            </c:ext>
          </c:extLst>
        </c:ser>
        <c:ser>
          <c:idx val="4"/>
          <c:order val="4"/>
          <c:tx>
            <c:strRef>
              <c:f>'Annual Violent XmR'!$F$1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84-784D-9E14-69098BAD0617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84-784D-9E14-69098BAD0617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84-784D-9E14-69098BAD0617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F84-784D-9E14-69098BAD0617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F84-784D-9E14-69098BAD0617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F84-784D-9E14-69098BAD0617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F84-784D-9E14-69098BAD0617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F84-784D-9E14-69098BAD0617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F84-784D-9E14-69098BAD0617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F84-784D-9E14-69098BAD0617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XmR'!$F$2:$F$11</c:f>
              <c:numCache>
                <c:formatCode>0</c:formatCode>
                <c:ptCount val="10"/>
                <c:pt idx="0">
                  <c:v>74.7</c:v>
                </c:pt>
                <c:pt idx="1">
                  <c:v>74.7</c:v>
                </c:pt>
                <c:pt idx="2">
                  <c:v>74.7</c:v>
                </c:pt>
                <c:pt idx="3">
                  <c:v>74.7</c:v>
                </c:pt>
                <c:pt idx="4">
                  <c:v>74.7</c:v>
                </c:pt>
                <c:pt idx="5">
                  <c:v>74.7</c:v>
                </c:pt>
                <c:pt idx="6">
                  <c:v>74.7</c:v>
                </c:pt>
                <c:pt idx="7">
                  <c:v>74.7</c:v>
                </c:pt>
                <c:pt idx="8">
                  <c:v>74.7</c:v>
                </c:pt>
                <c:pt idx="9">
                  <c:v>74.7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84-784D-9E14-69098BAD0617}"/>
            </c:ext>
          </c:extLst>
        </c:ser>
        <c:ser>
          <c:idx val="5"/>
          <c:order val="5"/>
          <c:tx>
            <c:strRef>
              <c:f>'Annual Violent XmR'!$G$1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XmR'!$G$2:$G$11</c:f>
              <c:numCache>
                <c:formatCode>0</c:formatCode>
                <c:ptCount val="10"/>
                <c:pt idx="0">
                  <c:v>61.400000000000006</c:v>
                </c:pt>
                <c:pt idx="1">
                  <c:v>61.400000000000006</c:v>
                </c:pt>
                <c:pt idx="2">
                  <c:v>61.400000000000006</c:v>
                </c:pt>
                <c:pt idx="3">
                  <c:v>61.400000000000006</c:v>
                </c:pt>
                <c:pt idx="4">
                  <c:v>61.400000000000006</c:v>
                </c:pt>
                <c:pt idx="5">
                  <c:v>61.400000000000006</c:v>
                </c:pt>
                <c:pt idx="6">
                  <c:v>61.400000000000006</c:v>
                </c:pt>
                <c:pt idx="7">
                  <c:v>61.400000000000006</c:v>
                </c:pt>
                <c:pt idx="8">
                  <c:v>61.400000000000006</c:v>
                </c:pt>
                <c:pt idx="9">
                  <c:v>61.400000000000006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84-784D-9E14-69098BAD0617}"/>
            </c:ext>
          </c:extLst>
        </c:ser>
        <c:ser>
          <c:idx val="6"/>
          <c:order val="6"/>
          <c:tx>
            <c:strRef>
              <c:f>'Annual Violent XmR'!$H$1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XmR'!$H$2:$H$11</c:f>
              <c:numCache>
                <c:formatCode>0</c:formatCode>
                <c:ptCount val="10"/>
                <c:pt idx="0">
                  <c:v>48.1</c:v>
                </c:pt>
                <c:pt idx="1">
                  <c:v>48.1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</c:v>
                </c:pt>
                <c:pt idx="6">
                  <c:v>48.1</c:v>
                </c:pt>
                <c:pt idx="7">
                  <c:v>48.1</c:v>
                </c:pt>
                <c:pt idx="8">
                  <c:v>48.1</c:v>
                </c:pt>
                <c:pt idx="9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84-784D-9E14-69098BAD0617}"/>
            </c:ext>
          </c:extLst>
        </c:ser>
        <c:ser>
          <c:idx val="7"/>
          <c:order val="7"/>
          <c:tx>
            <c:strRef>
              <c:f>'Annual Violent XmR'!$I$1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F84-784D-9E14-69098BAD0617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F84-784D-9E14-69098BAD06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Violent XmR'!$A$2:$A$11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Violent XmR'!$I$2:$I$11</c:f>
              <c:numCache>
                <c:formatCode>0</c:formatCode>
                <c:ptCount val="10"/>
                <c:pt idx="0">
                  <c:v>34.799999999999997</c:v>
                </c:pt>
                <c:pt idx="1">
                  <c:v>34.799999999999997</c:v>
                </c:pt>
                <c:pt idx="2">
                  <c:v>34.799999999999997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34.799999999999997</c:v>
                </c:pt>
                <c:pt idx="9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F84-784D-9E14-69098BAD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569727"/>
        <c:axId val="970238943"/>
      </c:lineChart>
      <c:catAx>
        <c:axId val="133856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0238943"/>
        <c:crosses val="autoZero"/>
        <c:auto val="0"/>
        <c:lblAlgn val="ctr"/>
        <c:lblOffset val="100"/>
        <c:noMultiLvlLbl val="0"/>
      </c:catAx>
      <c:valAx>
        <c:axId val="970238943"/>
        <c:scaling>
          <c:orientation val="minMax"/>
          <c:min val="21.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Annual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Count -Violent Crime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33856972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Chart-Annual Property Crime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2016 - 2025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Property Trended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'!$K$2:$K$11</c:f>
              <c:numCache>
                <c:formatCode>0</c:formatCode>
                <c:ptCount val="10"/>
                <c:pt idx="1">
                  <c:v>34</c:v>
                </c:pt>
                <c:pt idx="2">
                  <c:v>24</c:v>
                </c:pt>
                <c:pt idx="3">
                  <c:v>111</c:v>
                </c:pt>
                <c:pt idx="4">
                  <c:v>100</c:v>
                </c:pt>
                <c:pt idx="5">
                  <c:v>88</c:v>
                </c:pt>
                <c:pt idx="6">
                  <c:v>129</c:v>
                </c:pt>
                <c:pt idx="7">
                  <c:v>78</c:v>
                </c:pt>
                <c:pt idx="8">
                  <c:v>33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0-F640-8F7F-673F903FF58C}"/>
            </c:ext>
          </c:extLst>
        </c:ser>
        <c:ser>
          <c:idx val="1"/>
          <c:order val="1"/>
          <c:tx>
            <c:strRef>
              <c:f>'Annual Property Trended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5D0-F640-8F7F-673F903FF58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D0-F640-8F7F-673F903FF5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'!$L$2:$L$11</c:f>
              <c:numCache>
                <c:formatCode>0</c:formatCode>
                <c:ptCount val="10"/>
                <c:pt idx="1">
                  <c:v>223.971</c:v>
                </c:pt>
                <c:pt idx="2">
                  <c:v>223.971</c:v>
                </c:pt>
                <c:pt idx="3">
                  <c:v>223.971</c:v>
                </c:pt>
                <c:pt idx="4">
                  <c:v>223.971</c:v>
                </c:pt>
                <c:pt idx="5">
                  <c:v>223.971</c:v>
                </c:pt>
                <c:pt idx="6">
                  <c:v>223.971</c:v>
                </c:pt>
                <c:pt idx="7">
                  <c:v>223.971</c:v>
                </c:pt>
                <c:pt idx="8">
                  <c:v>223.971</c:v>
                </c:pt>
                <c:pt idx="9">
                  <c:v>223.971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D0-F640-8F7F-673F903FF58C}"/>
            </c:ext>
          </c:extLst>
        </c:ser>
        <c:ser>
          <c:idx val="2"/>
          <c:order val="2"/>
          <c:tx>
            <c:strRef>
              <c:f>'Annual Property Trended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'!$M$2:$M$11</c:f>
              <c:numCache>
                <c:formatCode>0</c:formatCode>
                <c:ptCount val="10"/>
                <c:pt idx="1">
                  <c:v>172.16585185185187</c:v>
                </c:pt>
                <c:pt idx="2">
                  <c:v>172.16585185185187</c:v>
                </c:pt>
                <c:pt idx="3">
                  <c:v>172.16585185185187</c:v>
                </c:pt>
                <c:pt idx="4">
                  <c:v>172.16585185185187</c:v>
                </c:pt>
                <c:pt idx="5">
                  <c:v>172.16585185185187</c:v>
                </c:pt>
                <c:pt idx="6">
                  <c:v>172.16585185185187</c:v>
                </c:pt>
                <c:pt idx="7">
                  <c:v>172.16585185185187</c:v>
                </c:pt>
                <c:pt idx="8">
                  <c:v>172.16585185185187</c:v>
                </c:pt>
                <c:pt idx="9">
                  <c:v>172.16585185185187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D0-F640-8F7F-673F903FF58C}"/>
            </c:ext>
          </c:extLst>
        </c:ser>
        <c:ser>
          <c:idx val="3"/>
          <c:order val="3"/>
          <c:tx>
            <c:strRef>
              <c:f>'Annual Property Trended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'!$N$2:$N$11</c:f>
              <c:numCache>
                <c:formatCode>0</c:formatCode>
                <c:ptCount val="10"/>
                <c:pt idx="1">
                  <c:v>120.36070370370371</c:v>
                </c:pt>
                <c:pt idx="2">
                  <c:v>120.36070370370371</c:v>
                </c:pt>
                <c:pt idx="3">
                  <c:v>120.36070370370371</c:v>
                </c:pt>
                <c:pt idx="4">
                  <c:v>120.36070370370371</c:v>
                </c:pt>
                <c:pt idx="5">
                  <c:v>120.36070370370371</c:v>
                </c:pt>
                <c:pt idx="6">
                  <c:v>120.36070370370371</c:v>
                </c:pt>
                <c:pt idx="7">
                  <c:v>120.36070370370371</c:v>
                </c:pt>
                <c:pt idx="8">
                  <c:v>120.36070370370371</c:v>
                </c:pt>
                <c:pt idx="9">
                  <c:v>120.36070370370371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D0-F640-8F7F-673F903FF58C}"/>
            </c:ext>
          </c:extLst>
        </c:ser>
        <c:ser>
          <c:idx val="4"/>
          <c:order val="4"/>
          <c:tx>
            <c:strRef>
              <c:f>'Annual Property Trended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D0-F640-8F7F-673F903FF58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D0-F640-8F7F-673F903FF58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D0-F640-8F7F-673F903FF58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5D0-F640-8F7F-673F903FF58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5D0-F640-8F7F-673F903FF58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5D0-F640-8F7F-673F903FF58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5D0-F640-8F7F-673F903FF58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5D0-F640-8F7F-673F903FF58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5D0-F640-8F7F-673F903FF58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45D0-F640-8F7F-673F903FF58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5D0-F640-8F7F-673F903FF58C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5D0-F640-8F7F-673F903FF5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'!$O$2:$O$11</c:f>
              <c:numCache>
                <c:formatCode>0</c:formatCode>
                <c:ptCount val="10"/>
                <c:pt idx="0">
                  <c:v>68.555555555555557</c:v>
                </c:pt>
                <c:pt idx="1">
                  <c:v>68.555555555555557</c:v>
                </c:pt>
                <c:pt idx="2">
                  <c:v>68.555555555555557</c:v>
                </c:pt>
                <c:pt idx="3">
                  <c:v>68.555555555555557</c:v>
                </c:pt>
                <c:pt idx="4">
                  <c:v>68.555555555555557</c:v>
                </c:pt>
                <c:pt idx="5">
                  <c:v>68.555555555555557</c:v>
                </c:pt>
                <c:pt idx="6">
                  <c:v>68.555555555555557</c:v>
                </c:pt>
                <c:pt idx="7">
                  <c:v>68.555555555555557</c:v>
                </c:pt>
                <c:pt idx="8">
                  <c:v>68.555555555555557</c:v>
                </c:pt>
                <c:pt idx="9">
                  <c:v>68.555555555555557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D0-F640-8F7F-673F903FF58C}"/>
            </c:ext>
          </c:extLst>
        </c:ser>
        <c:ser>
          <c:idx val="5"/>
          <c:order val="5"/>
          <c:tx>
            <c:strRef>
              <c:f>'Annual Property Trended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'!$P$2:$P$11</c:f>
              <c:numCache>
                <c:formatCode>0</c:formatCode>
                <c:ptCount val="10"/>
                <c:pt idx="1">
                  <c:v>16.750407407407408</c:v>
                </c:pt>
                <c:pt idx="2">
                  <c:v>16.750407407407408</c:v>
                </c:pt>
                <c:pt idx="3">
                  <c:v>16.750407407407408</c:v>
                </c:pt>
                <c:pt idx="4">
                  <c:v>16.750407407407408</c:v>
                </c:pt>
                <c:pt idx="5">
                  <c:v>16.750407407407408</c:v>
                </c:pt>
                <c:pt idx="6">
                  <c:v>16.750407407407408</c:v>
                </c:pt>
                <c:pt idx="7">
                  <c:v>16.750407407407408</c:v>
                </c:pt>
                <c:pt idx="8">
                  <c:v>16.750407407407408</c:v>
                </c:pt>
                <c:pt idx="9">
                  <c:v>16.750407407407408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5D0-F640-8F7F-673F903FF58C}"/>
            </c:ext>
          </c:extLst>
        </c:ser>
        <c:ser>
          <c:idx val="6"/>
          <c:order val="6"/>
          <c:tx>
            <c:strRef>
              <c:f>'Annual Property Trended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D0-F640-8F7F-673F903FF58C}"/>
            </c:ext>
          </c:extLst>
        </c:ser>
        <c:ser>
          <c:idx val="7"/>
          <c:order val="7"/>
          <c:tx>
            <c:strRef>
              <c:f>'Annual Property Trended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5D0-F640-8F7F-673F903FF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114207"/>
        <c:axId val="729182255"/>
      </c:lineChart>
      <c:catAx>
        <c:axId val="175411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9182255"/>
        <c:crosses val="autoZero"/>
        <c:auto val="0"/>
        <c:lblAlgn val="ctr"/>
        <c:lblOffset val="100"/>
        <c:noMultiLvlLbl val="0"/>
      </c:catAx>
      <c:valAx>
        <c:axId val="729182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754114207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Chart-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Annual Property Crime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Property Trended XmR '!$B$1</c:f>
              <c:strCache>
                <c:ptCount val="1"/>
                <c:pt idx="0">
                  <c:v>Annual Property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'!$B$2:$B$11</c:f>
              <c:numCache>
                <c:formatCode>0</c:formatCode>
                <c:ptCount val="10"/>
                <c:pt idx="0">
                  <c:v>729</c:v>
                </c:pt>
                <c:pt idx="1">
                  <c:v>695</c:v>
                </c:pt>
                <c:pt idx="2">
                  <c:v>671</c:v>
                </c:pt>
                <c:pt idx="3">
                  <c:v>560</c:v>
                </c:pt>
                <c:pt idx="4">
                  <c:v>460</c:v>
                </c:pt>
                <c:pt idx="5">
                  <c:v>372</c:v>
                </c:pt>
                <c:pt idx="6">
                  <c:v>501</c:v>
                </c:pt>
                <c:pt idx="7">
                  <c:v>423</c:v>
                </c:pt>
                <c:pt idx="8">
                  <c:v>390</c:v>
                </c:pt>
                <c:pt idx="9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4-5446-9197-E634FE430B7F}"/>
            </c:ext>
          </c:extLst>
        </c:ser>
        <c:ser>
          <c:idx val="1"/>
          <c:order val="1"/>
          <c:tx>
            <c:strRef>
              <c:f>'Annual Property Trended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'!$C$2:$C$11</c:f>
              <c:numCache>
                <c:formatCode>0</c:formatCode>
                <c:ptCount val="10"/>
                <c:pt idx="0">
                  <c:v>886.84868686868697</c:v>
                </c:pt>
                <c:pt idx="1">
                  <c:v>845.20626262626274</c:v>
                </c:pt>
                <c:pt idx="2">
                  <c:v>803.5638383838384</c:v>
                </c:pt>
                <c:pt idx="3">
                  <c:v>761.92141414141417</c:v>
                </c:pt>
                <c:pt idx="4">
                  <c:v>720.27898989898995</c:v>
                </c:pt>
                <c:pt idx="5">
                  <c:v>678.63656565656572</c:v>
                </c:pt>
                <c:pt idx="6">
                  <c:v>636.99414141414138</c:v>
                </c:pt>
                <c:pt idx="7">
                  <c:v>595.35171717171715</c:v>
                </c:pt>
                <c:pt idx="8">
                  <c:v>553.70929292929293</c:v>
                </c:pt>
                <c:pt idx="9">
                  <c:v>512.0668686868687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24-5446-9197-E634FE430B7F}"/>
            </c:ext>
          </c:extLst>
        </c:ser>
        <c:ser>
          <c:idx val="2"/>
          <c:order val="2"/>
          <c:tx>
            <c:strRef>
              <c:f>'Annual Property Trended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'!$D$2:$D$11</c:f>
              <c:numCache>
                <c:formatCode>0</c:formatCode>
                <c:ptCount val="10"/>
                <c:pt idx="0">
                  <c:v>826.06276094276109</c:v>
                </c:pt>
                <c:pt idx="1">
                  <c:v>784.42033670033686</c:v>
                </c:pt>
                <c:pt idx="2">
                  <c:v>742.77791245791252</c:v>
                </c:pt>
                <c:pt idx="3">
                  <c:v>701.13548821548829</c:v>
                </c:pt>
                <c:pt idx="4">
                  <c:v>659.49306397306407</c:v>
                </c:pt>
                <c:pt idx="5">
                  <c:v>617.85063973063973</c:v>
                </c:pt>
                <c:pt idx="6">
                  <c:v>576.2082154882155</c:v>
                </c:pt>
                <c:pt idx="7">
                  <c:v>534.56579124579127</c:v>
                </c:pt>
                <c:pt idx="8">
                  <c:v>492.92336700336705</c:v>
                </c:pt>
                <c:pt idx="9">
                  <c:v>451.28094276094276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24-5446-9197-E634FE430B7F}"/>
            </c:ext>
          </c:extLst>
        </c:ser>
        <c:ser>
          <c:idx val="3"/>
          <c:order val="3"/>
          <c:tx>
            <c:strRef>
              <c:f>'Annual Property Trended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'!$E$2:$E$11</c:f>
              <c:numCache>
                <c:formatCode>0</c:formatCode>
                <c:ptCount val="10"/>
                <c:pt idx="0">
                  <c:v>765.27683501683509</c:v>
                </c:pt>
                <c:pt idx="1">
                  <c:v>723.63441077441087</c:v>
                </c:pt>
                <c:pt idx="2">
                  <c:v>681.99198653198653</c:v>
                </c:pt>
                <c:pt idx="3">
                  <c:v>640.3495622895623</c:v>
                </c:pt>
                <c:pt idx="4">
                  <c:v>598.70713804713807</c:v>
                </c:pt>
                <c:pt idx="5">
                  <c:v>557.06471380471385</c:v>
                </c:pt>
                <c:pt idx="6">
                  <c:v>515.42228956228951</c:v>
                </c:pt>
                <c:pt idx="7">
                  <c:v>473.77986531986534</c:v>
                </c:pt>
                <c:pt idx="8">
                  <c:v>432.13744107744111</c:v>
                </c:pt>
                <c:pt idx="9">
                  <c:v>390.49501683501683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24-5446-9197-E634FE430B7F}"/>
            </c:ext>
          </c:extLst>
        </c:ser>
        <c:ser>
          <c:idx val="4"/>
          <c:order val="4"/>
          <c:tx>
            <c:strRef>
              <c:f>'Annual Property Trended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24-5446-9197-E634FE430B7F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24-5446-9197-E634FE430B7F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24-5446-9197-E634FE430B7F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D24-5446-9197-E634FE430B7F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D24-5446-9197-E634FE430B7F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D24-5446-9197-E634FE430B7F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D24-5446-9197-E634FE430B7F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D24-5446-9197-E634FE430B7F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D24-5446-9197-E634FE430B7F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9D24-5446-9197-E634FE430B7F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'!$F$2:$F$11</c:f>
              <c:numCache>
                <c:formatCode>0</c:formatCode>
                <c:ptCount val="10"/>
                <c:pt idx="0">
                  <c:v>704.49090909090921</c:v>
                </c:pt>
                <c:pt idx="1">
                  <c:v>662.84848484848499</c:v>
                </c:pt>
                <c:pt idx="2">
                  <c:v>621.20606060606065</c:v>
                </c:pt>
                <c:pt idx="3">
                  <c:v>579.56363636363642</c:v>
                </c:pt>
                <c:pt idx="4">
                  <c:v>537.92121212121219</c:v>
                </c:pt>
                <c:pt idx="5">
                  <c:v>496.27878787878791</c:v>
                </c:pt>
                <c:pt idx="6">
                  <c:v>454.63636363636363</c:v>
                </c:pt>
                <c:pt idx="7">
                  <c:v>412.9939393939394</c:v>
                </c:pt>
                <c:pt idx="8">
                  <c:v>371.35151515151517</c:v>
                </c:pt>
                <c:pt idx="9">
                  <c:v>329.70909090909089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24-5446-9197-E634FE430B7F}"/>
            </c:ext>
          </c:extLst>
        </c:ser>
        <c:ser>
          <c:idx val="5"/>
          <c:order val="5"/>
          <c:tx>
            <c:strRef>
              <c:f>'Annual Property Trended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'!$G$2:$G$11</c:f>
              <c:numCache>
                <c:formatCode>0</c:formatCode>
                <c:ptCount val="10"/>
                <c:pt idx="0">
                  <c:v>643.70498316498333</c:v>
                </c:pt>
                <c:pt idx="1">
                  <c:v>602.06255892255911</c:v>
                </c:pt>
                <c:pt idx="2">
                  <c:v>560.42013468013477</c:v>
                </c:pt>
                <c:pt idx="3">
                  <c:v>518.77771043771054</c:v>
                </c:pt>
                <c:pt idx="4">
                  <c:v>477.13528619528626</c:v>
                </c:pt>
                <c:pt idx="5">
                  <c:v>435.49286195286197</c:v>
                </c:pt>
                <c:pt idx="6">
                  <c:v>393.85043771043769</c:v>
                </c:pt>
                <c:pt idx="7">
                  <c:v>352.20801346801346</c:v>
                </c:pt>
                <c:pt idx="8">
                  <c:v>310.56558922558924</c:v>
                </c:pt>
                <c:pt idx="9">
                  <c:v>268.92316498316495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D24-5446-9197-E634FE430B7F}"/>
            </c:ext>
          </c:extLst>
        </c:ser>
        <c:ser>
          <c:idx val="6"/>
          <c:order val="6"/>
          <c:tx>
            <c:strRef>
              <c:f>'Annual Property Trended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'!$H$2:$H$11</c:f>
              <c:numCache>
                <c:formatCode>0</c:formatCode>
                <c:ptCount val="10"/>
                <c:pt idx="0">
                  <c:v>582.91905723905734</c:v>
                </c:pt>
                <c:pt idx="1">
                  <c:v>541.27663299663311</c:v>
                </c:pt>
                <c:pt idx="2">
                  <c:v>499.63420875420877</c:v>
                </c:pt>
                <c:pt idx="3">
                  <c:v>457.99178451178454</c:v>
                </c:pt>
                <c:pt idx="4">
                  <c:v>416.34936026936032</c:v>
                </c:pt>
                <c:pt idx="5">
                  <c:v>374.70693602693603</c:v>
                </c:pt>
                <c:pt idx="6">
                  <c:v>333.06451178451175</c:v>
                </c:pt>
                <c:pt idx="7">
                  <c:v>291.42208754208752</c:v>
                </c:pt>
                <c:pt idx="8">
                  <c:v>249.7796632996633</c:v>
                </c:pt>
                <c:pt idx="9">
                  <c:v>208.13723905723901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24-5446-9197-E634FE430B7F}"/>
            </c:ext>
          </c:extLst>
        </c:ser>
        <c:ser>
          <c:idx val="7"/>
          <c:order val="7"/>
          <c:tx>
            <c:strRef>
              <c:f>'Annual Property Trended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D24-5446-9197-E634FE430B7F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D24-5446-9197-E634FE430B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Property Trended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'Annual Property Trended XmR '!$I$2:$I$11</c:f>
              <c:numCache>
                <c:formatCode>0</c:formatCode>
                <c:ptCount val="10"/>
                <c:pt idx="0">
                  <c:v>522.13313131313146</c:v>
                </c:pt>
                <c:pt idx="1">
                  <c:v>480.49070707070723</c:v>
                </c:pt>
                <c:pt idx="2">
                  <c:v>438.84828282828289</c:v>
                </c:pt>
                <c:pt idx="3">
                  <c:v>397.20585858585866</c:v>
                </c:pt>
                <c:pt idx="4">
                  <c:v>355.56343434343444</c:v>
                </c:pt>
                <c:pt idx="5">
                  <c:v>313.9210101010101</c:v>
                </c:pt>
                <c:pt idx="6">
                  <c:v>272.27858585858587</c:v>
                </c:pt>
                <c:pt idx="7">
                  <c:v>230.63616161616162</c:v>
                </c:pt>
                <c:pt idx="8">
                  <c:v>188.99373737373739</c:v>
                </c:pt>
                <c:pt idx="9">
                  <c:v>147.35131313131311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D24-5446-9197-E634FE430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022495"/>
        <c:axId val="790738767"/>
      </c:lineChart>
      <c:catAx>
        <c:axId val="79102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0738767"/>
        <c:crosses val="autoZero"/>
        <c:auto val="0"/>
        <c:lblAlgn val="ctr"/>
        <c:lblOffset val="100"/>
        <c:noMultiLvlLbl val="0"/>
      </c:catAx>
      <c:valAx>
        <c:axId val="790738767"/>
        <c:scaling>
          <c:orientation val="minMax"/>
          <c:min val="86.55000000000001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Counts of Prop Crime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7910224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Figures Annual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'!$K$2:$K$11</c:f>
              <c:numCache>
                <c:formatCode>0</c:formatCode>
                <c:ptCount val="10"/>
                <c:pt idx="1">
                  <c:v>20</c:v>
                </c:pt>
                <c:pt idx="2">
                  <c:v>28</c:v>
                </c:pt>
                <c:pt idx="3">
                  <c:v>128</c:v>
                </c:pt>
                <c:pt idx="4">
                  <c:v>117</c:v>
                </c:pt>
                <c:pt idx="5">
                  <c:v>112</c:v>
                </c:pt>
                <c:pt idx="6">
                  <c:v>152</c:v>
                </c:pt>
                <c:pt idx="7">
                  <c:v>67</c:v>
                </c:pt>
                <c:pt idx="8">
                  <c:v>35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4-9F46-8127-FDA072293894}"/>
            </c:ext>
          </c:extLst>
        </c:ser>
        <c:ser>
          <c:idx val="1"/>
          <c:order val="1"/>
          <c:tx>
            <c:strRef>
              <c:f>'Combined Figures Annual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DB4-9F46-8127-FDA07229389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B4-9F46-8127-FDA0722938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'!$L$2:$L$11</c:f>
              <c:numCache>
                <c:formatCode>0</c:formatCode>
                <c:ptCount val="10"/>
                <c:pt idx="1">
                  <c:v>240.30600000000001</c:v>
                </c:pt>
                <c:pt idx="2">
                  <c:v>240.30600000000001</c:v>
                </c:pt>
                <c:pt idx="3">
                  <c:v>240.30600000000001</c:v>
                </c:pt>
                <c:pt idx="4">
                  <c:v>240.30600000000001</c:v>
                </c:pt>
                <c:pt idx="5">
                  <c:v>240.30600000000001</c:v>
                </c:pt>
                <c:pt idx="6">
                  <c:v>240.30600000000001</c:v>
                </c:pt>
                <c:pt idx="7">
                  <c:v>240.30600000000001</c:v>
                </c:pt>
                <c:pt idx="8">
                  <c:v>240.30600000000001</c:v>
                </c:pt>
                <c:pt idx="9">
                  <c:v>240.30600000000001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4-9F46-8127-FDA072293894}"/>
            </c:ext>
          </c:extLst>
        </c:ser>
        <c:ser>
          <c:idx val="2"/>
          <c:order val="2"/>
          <c:tx>
            <c:strRef>
              <c:f>'Combined Figures Annual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'!$M$2:$M$11</c:f>
              <c:numCache>
                <c:formatCode>0</c:formatCode>
                <c:ptCount val="10"/>
                <c:pt idx="1">
                  <c:v>184.72251851851851</c:v>
                </c:pt>
                <c:pt idx="2">
                  <c:v>184.72251851851851</c:v>
                </c:pt>
                <c:pt idx="3">
                  <c:v>184.72251851851851</c:v>
                </c:pt>
                <c:pt idx="4">
                  <c:v>184.72251851851851</c:v>
                </c:pt>
                <c:pt idx="5">
                  <c:v>184.72251851851851</c:v>
                </c:pt>
                <c:pt idx="6">
                  <c:v>184.72251851851851</c:v>
                </c:pt>
                <c:pt idx="7">
                  <c:v>184.72251851851851</c:v>
                </c:pt>
                <c:pt idx="8">
                  <c:v>184.72251851851851</c:v>
                </c:pt>
                <c:pt idx="9">
                  <c:v>184.72251851851851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B4-9F46-8127-FDA072293894}"/>
            </c:ext>
          </c:extLst>
        </c:ser>
        <c:ser>
          <c:idx val="3"/>
          <c:order val="3"/>
          <c:tx>
            <c:strRef>
              <c:f>'Combined Figures Annual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'!$N$2:$N$11</c:f>
              <c:numCache>
                <c:formatCode>0</c:formatCode>
                <c:ptCount val="10"/>
                <c:pt idx="1">
                  <c:v>129.13903703703704</c:v>
                </c:pt>
                <c:pt idx="2">
                  <c:v>129.13903703703704</c:v>
                </c:pt>
                <c:pt idx="3">
                  <c:v>129.13903703703704</c:v>
                </c:pt>
                <c:pt idx="4">
                  <c:v>129.13903703703704</c:v>
                </c:pt>
                <c:pt idx="5">
                  <c:v>129.13903703703704</c:v>
                </c:pt>
                <c:pt idx="6">
                  <c:v>129.13903703703704</c:v>
                </c:pt>
                <c:pt idx="7">
                  <c:v>129.13903703703704</c:v>
                </c:pt>
                <c:pt idx="8">
                  <c:v>129.13903703703704</c:v>
                </c:pt>
                <c:pt idx="9">
                  <c:v>129.13903703703704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B4-9F46-8127-FDA072293894}"/>
            </c:ext>
          </c:extLst>
        </c:ser>
        <c:ser>
          <c:idx val="4"/>
          <c:order val="4"/>
          <c:tx>
            <c:strRef>
              <c:f>'Combined Figures Annual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B4-9F46-8127-FDA072293894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B4-9F46-8127-FDA072293894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B4-9F46-8127-FDA072293894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DB4-9F46-8127-FDA072293894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DB4-9F46-8127-FDA072293894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FDB4-9F46-8127-FDA072293894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B4-9F46-8127-FDA072293894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FDB4-9F46-8127-FDA072293894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FDB4-9F46-8127-FDA072293894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FDB4-9F46-8127-FDA072293894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DB4-9F46-8127-FDA072293894}"/>
                </c:ext>
              </c:extLst>
            </c:dLbl>
            <c:dLbl>
              <c:idx val="8"/>
              <c:layout>
                <c:manualLayout>
                  <c:x val="-1.4638026388327691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B4-9F46-8127-FDA07229389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'!$O$2:$O$11</c:f>
              <c:numCache>
                <c:formatCode>0</c:formatCode>
                <c:ptCount val="10"/>
                <c:pt idx="0">
                  <c:v>73.555555555555557</c:v>
                </c:pt>
                <c:pt idx="1">
                  <c:v>73.555555555555557</c:v>
                </c:pt>
                <c:pt idx="2">
                  <c:v>73.555555555555557</c:v>
                </c:pt>
                <c:pt idx="3">
                  <c:v>73.555555555555557</c:v>
                </c:pt>
                <c:pt idx="4">
                  <c:v>73.555555555555557</c:v>
                </c:pt>
                <c:pt idx="5">
                  <c:v>73.555555555555557</c:v>
                </c:pt>
                <c:pt idx="6">
                  <c:v>73.555555555555557</c:v>
                </c:pt>
                <c:pt idx="7">
                  <c:v>73.555555555555557</c:v>
                </c:pt>
                <c:pt idx="8">
                  <c:v>73.555555555555557</c:v>
                </c:pt>
                <c:pt idx="9">
                  <c:v>73.555555555555557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DB4-9F46-8127-FDA072293894}"/>
            </c:ext>
          </c:extLst>
        </c:ser>
        <c:ser>
          <c:idx val="5"/>
          <c:order val="5"/>
          <c:tx>
            <c:strRef>
              <c:f>'Combined Figures Annual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'!$P$2:$P$11</c:f>
              <c:numCache>
                <c:formatCode>0</c:formatCode>
                <c:ptCount val="10"/>
                <c:pt idx="1">
                  <c:v>17.972074074074079</c:v>
                </c:pt>
                <c:pt idx="2">
                  <c:v>17.972074074074079</c:v>
                </c:pt>
                <c:pt idx="3">
                  <c:v>17.972074074074079</c:v>
                </c:pt>
                <c:pt idx="4">
                  <c:v>17.972074074074079</c:v>
                </c:pt>
                <c:pt idx="5">
                  <c:v>17.972074074074079</c:v>
                </c:pt>
                <c:pt idx="6">
                  <c:v>17.972074074074079</c:v>
                </c:pt>
                <c:pt idx="7">
                  <c:v>17.972074074074079</c:v>
                </c:pt>
                <c:pt idx="8">
                  <c:v>17.972074074074079</c:v>
                </c:pt>
                <c:pt idx="9">
                  <c:v>17.972074074074079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DB4-9F46-8127-FDA072293894}"/>
            </c:ext>
          </c:extLst>
        </c:ser>
        <c:ser>
          <c:idx val="6"/>
          <c:order val="6"/>
          <c:tx>
            <c:strRef>
              <c:f>'Combined Figures Annual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'!$Q$2:$Q$11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DB4-9F46-8127-FDA072293894}"/>
            </c:ext>
          </c:extLst>
        </c:ser>
        <c:ser>
          <c:idx val="7"/>
          <c:order val="7"/>
          <c:tx>
            <c:strRef>
              <c:f>'Combined Figures Annual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'!$R$2:$R$11</c:f>
              <c:numCache>
                <c:formatCode>0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DB4-9F46-8127-FDA072293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187071"/>
        <c:axId val="1875685615"/>
      </c:lineChart>
      <c:catAx>
        <c:axId val="94018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5685615"/>
        <c:crosses val="autoZero"/>
        <c:auto val="0"/>
        <c:lblAlgn val="ctr"/>
        <c:lblOffset val="100"/>
        <c:noMultiLvlLbl val="0"/>
      </c:catAx>
      <c:valAx>
        <c:axId val="1875685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401870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Expectation Chart - Annual Combined Violent and Property Crimes</a:t>
            </a:r>
            <a:br>
              <a:rPr lang="en-US" sz="2000" b="1" i="0">
                <a:solidFill>
                  <a:srgbClr val="000000"/>
                </a:solidFill>
                <a:latin typeface=" +mn-lt"/>
              </a:rPr>
            </a:br>
            <a:r>
              <a:rPr lang="en-US" sz="2000" b="1" i="0">
                <a:solidFill>
                  <a:srgbClr val="000000"/>
                </a:solidFill>
                <a:latin typeface=" +mn-lt"/>
              </a:rPr>
              <a:t>2016 - 2025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Figures Annual XmR '!$B$1</c:f>
              <c:strCache>
                <c:ptCount val="1"/>
                <c:pt idx="0">
                  <c:v>Annual Combined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'!$B$2:$B$11</c:f>
              <c:numCache>
                <c:formatCode>0</c:formatCode>
                <c:ptCount val="10"/>
                <c:pt idx="0">
                  <c:v>814</c:v>
                </c:pt>
                <c:pt idx="1">
                  <c:v>794</c:v>
                </c:pt>
                <c:pt idx="2">
                  <c:v>766</c:v>
                </c:pt>
                <c:pt idx="3">
                  <c:v>638</c:v>
                </c:pt>
                <c:pt idx="4">
                  <c:v>521</c:v>
                </c:pt>
                <c:pt idx="5">
                  <c:v>409</c:v>
                </c:pt>
                <c:pt idx="6">
                  <c:v>561</c:v>
                </c:pt>
                <c:pt idx="7">
                  <c:v>494</c:v>
                </c:pt>
                <c:pt idx="8">
                  <c:v>459</c:v>
                </c:pt>
                <c:pt idx="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F-C045-A47C-ACF7ABC4D37E}"/>
            </c:ext>
          </c:extLst>
        </c:ser>
        <c:ser>
          <c:idx val="1"/>
          <c:order val="1"/>
          <c:tx>
            <c:strRef>
              <c:f>'Combined Figures Annual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'!$C$2:$C$11</c:f>
              <c:numCache>
                <c:formatCode>0</c:formatCode>
                <c:ptCount val="10"/>
                <c:pt idx="0">
                  <c:v>984.25777777777785</c:v>
                </c:pt>
                <c:pt idx="1">
                  <c:v>940.5244444444445</c:v>
                </c:pt>
                <c:pt idx="2">
                  <c:v>896.79111111111115</c:v>
                </c:pt>
                <c:pt idx="3">
                  <c:v>853.0577777777778</c:v>
                </c:pt>
                <c:pt idx="4">
                  <c:v>809.32444444444445</c:v>
                </c:pt>
                <c:pt idx="5">
                  <c:v>765.59111111111122</c:v>
                </c:pt>
                <c:pt idx="6">
                  <c:v>721.85777777777787</c:v>
                </c:pt>
                <c:pt idx="7">
                  <c:v>678.12444444444441</c:v>
                </c:pt>
                <c:pt idx="8">
                  <c:v>634.39111111111106</c:v>
                </c:pt>
                <c:pt idx="9">
                  <c:v>590.65777777777771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DF-C045-A47C-ACF7ABC4D37E}"/>
            </c:ext>
          </c:extLst>
        </c:ser>
        <c:ser>
          <c:idx val="2"/>
          <c:order val="2"/>
          <c:tx>
            <c:strRef>
              <c:f>'Combined Figures Annual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'!$D$2:$D$11</c:f>
              <c:numCache>
                <c:formatCode>0</c:formatCode>
                <c:ptCount val="10"/>
                <c:pt idx="0">
                  <c:v>919.03851851851857</c:v>
                </c:pt>
                <c:pt idx="1">
                  <c:v>875.30518518518522</c:v>
                </c:pt>
                <c:pt idx="2">
                  <c:v>831.57185185185187</c:v>
                </c:pt>
                <c:pt idx="3">
                  <c:v>787.83851851851853</c:v>
                </c:pt>
                <c:pt idx="4">
                  <c:v>744.10518518518518</c:v>
                </c:pt>
                <c:pt idx="5">
                  <c:v>700.37185185185194</c:v>
                </c:pt>
                <c:pt idx="6">
                  <c:v>656.63851851851859</c:v>
                </c:pt>
                <c:pt idx="7">
                  <c:v>612.90518518518513</c:v>
                </c:pt>
                <c:pt idx="8">
                  <c:v>569.17185185185178</c:v>
                </c:pt>
                <c:pt idx="9">
                  <c:v>525.43851851851844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DF-C045-A47C-ACF7ABC4D37E}"/>
            </c:ext>
          </c:extLst>
        </c:ser>
        <c:ser>
          <c:idx val="3"/>
          <c:order val="3"/>
          <c:tx>
            <c:strRef>
              <c:f>'Combined Figures Annual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'!$E$2:$E$11</c:f>
              <c:numCache>
                <c:formatCode>0</c:formatCode>
                <c:ptCount val="10"/>
                <c:pt idx="0">
                  <c:v>853.8192592592593</c:v>
                </c:pt>
                <c:pt idx="1">
                  <c:v>810.08592592592595</c:v>
                </c:pt>
                <c:pt idx="2">
                  <c:v>766.3525925925926</c:v>
                </c:pt>
                <c:pt idx="3">
                  <c:v>722.61925925925925</c:v>
                </c:pt>
                <c:pt idx="4">
                  <c:v>678.8859259259259</c:v>
                </c:pt>
                <c:pt idx="5">
                  <c:v>635.15259259259267</c:v>
                </c:pt>
                <c:pt idx="6">
                  <c:v>591.41925925925932</c:v>
                </c:pt>
                <c:pt idx="7">
                  <c:v>547.68592592592586</c:v>
                </c:pt>
                <c:pt idx="8">
                  <c:v>503.95259259259257</c:v>
                </c:pt>
                <c:pt idx="9">
                  <c:v>460.21925925925922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DF-C045-A47C-ACF7ABC4D37E}"/>
            </c:ext>
          </c:extLst>
        </c:ser>
        <c:ser>
          <c:idx val="4"/>
          <c:order val="4"/>
          <c:tx>
            <c:strRef>
              <c:f>'Combined Figures Annual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DF-C045-A47C-ACF7ABC4D37E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DF-C045-A47C-ACF7ABC4D37E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DF-C045-A47C-ACF7ABC4D37E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DF-C045-A47C-ACF7ABC4D37E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DF-C045-A47C-ACF7ABC4D37E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7DF-C045-A47C-ACF7ABC4D37E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7DF-C045-A47C-ACF7ABC4D37E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7DF-C045-A47C-ACF7ABC4D37E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7DF-C045-A47C-ACF7ABC4D37E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7DF-C045-A47C-ACF7ABC4D37E}"/>
              </c:ext>
            </c:extLst>
          </c:dPt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'!$F$2:$F$11</c:f>
              <c:numCache>
                <c:formatCode>0</c:formatCode>
                <c:ptCount val="10"/>
                <c:pt idx="0">
                  <c:v>788.6</c:v>
                </c:pt>
                <c:pt idx="1">
                  <c:v>744.86666666666667</c:v>
                </c:pt>
                <c:pt idx="2">
                  <c:v>701.13333333333333</c:v>
                </c:pt>
                <c:pt idx="3">
                  <c:v>657.4</c:v>
                </c:pt>
                <c:pt idx="4">
                  <c:v>613.66666666666663</c:v>
                </c:pt>
                <c:pt idx="5">
                  <c:v>569.93333333333339</c:v>
                </c:pt>
                <c:pt idx="6">
                  <c:v>526.20000000000005</c:v>
                </c:pt>
                <c:pt idx="7">
                  <c:v>482.46666666666664</c:v>
                </c:pt>
                <c:pt idx="8">
                  <c:v>438.73333333333329</c:v>
                </c:pt>
                <c:pt idx="9">
                  <c:v>394.99999999999994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7DF-C045-A47C-ACF7ABC4D37E}"/>
            </c:ext>
          </c:extLst>
        </c:ser>
        <c:ser>
          <c:idx val="5"/>
          <c:order val="5"/>
          <c:tx>
            <c:strRef>
              <c:f>'Combined Figures Annual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'!$G$2:$G$11</c:f>
              <c:numCache>
                <c:formatCode>0</c:formatCode>
                <c:ptCount val="10"/>
                <c:pt idx="0">
                  <c:v>723.38074074074075</c:v>
                </c:pt>
                <c:pt idx="1">
                  <c:v>679.6474074074074</c:v>
                </c:pt>
                <c:pt idx="2">
                  <c:v>635.91407407407405</c:v>
                </c:pt>
                <c:pt idx="3">
                  <c:v>592.1807407407407</c:v>
                </c:pt>
                <c:pt idx="4">
                  <c:v>548.44740740740735</c:v>
                </c:pt>
                <c:pt idx="5">
                  <c:v>504.71407407407412</c:v>
                </c:pt>
                <c:pt idx="6">
                  <c:v>460.98074074074077</c:v>
                </c:pt>
                <c:pt idx="7">
                  <c:v>417.24740740740737</c:v>
                </c:pt>
                <c:pt idx="8">
                  <c:v>373.51407407407402</c:v>
                </c:pt>
                <c:pt idx="9">
                  <c:v>329.78074074074067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7DF-C045-A47C-ACF7ABC4D37E}"/>
            </c:ext>
          </c:extLst>
        </c:ser>
        <c:ser>
          <c:idx val="6"/>
          <c:order val="6"/>
          <c:tx>
            <c:strRef>
              <c:f>'Combined Figures Annual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'!$H$2:$H$11</c:f>
              <c:numCache>
                <c:formatCode>0</c:formatCode>
                <c:ptCount val="10"/>
                <c:pt idx="0">
                  <c:v>658.16148148148147</c:v>
                </c:pt>
                <c:pt idx="1">
                  <c:v>614.42814814814813</c:v>
                </c:pt>
                <c:pt idx="2">
                  <c:v>570.69481481481478</c:v>
                </c:pt>
                <c:pt idx="3">
                  <c:v>526.96148148148143</c:v>
                </c:pt>
                <c:pt idx="4">
                  <c:v>483.22814814814808</c:v>
                </c:pt>
                <c:pt idx="5">
                  <c:v>439.49481481481484</c:v>
                </c:pt>
                <c:pt idx="6">
                  <c:v>395.7614814814815</c:v>
                </c:pt>
                <c:pt idx="7">
                  <c:v>352.02814814814815</c:v>
                </c:pt>
                <c:pt idx="8">
                  <c:v>308.2948148148148</c:v>
                </c:pt>
                <c:pt idx="9">
                  <c:v>264.56148148148145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7DF-C045-A47C-ACF7ABC4D37E}"/>
            </c:ext>
          </c:extLst>
        </c:ser>
        <c:ser>
          <c:idx val="7"/>
          <c:order val="7"/>
          <c:tx>
            <c:strRef>
              <c:f>'Combined Figures Annual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5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17DF-C045-A47C-ACF7ABC4D37E}"/>
                </c:ext>
              </c:extLst>
            </c:dLbl>
            <c:dLbl>
              <c:idx val="8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7DF-C045-A47C-ACF7ABC4D3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'Combined Figures Annual XmR '!$A$2:$A$11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'Combined Figures Annual XmR '!$I$2:$I$11</c:f>
              <c:numCache>
                <c:formatCode>0</c:formatCode>
                <c:ptCount val="10"/>
                <c:pt idx="0">
                  <c:v>592.9422222222222</c:v>
                </c:pt>
                <c:pt idx="1">
                  <c:v>549.20888888888885</c:v>
                </c:pt>
                <c:pt idx="2">
                  <c:v>505.4755555555555</c:v>
                </c:pt>
                <c:pt idx="3">
                  <c:v>461.74222222222215</c:v>
                </c:pt>
                <c:pt idx="4">
                  <c:v>418.00888888888881</c:v>
                </c:pt>
                <c:pt idx="5">
                  <c:v>374.27555555555557</c:v>
                </c:pt>
                <c:pt idx="6">
                  <c:v>330.54222222222222</c:v>
                </c:pt>
                <c:pt idx="7">
                  <c:v>286.80888888888887</c:v>
                </c:pt>
                <c:pt idx="8">
                  <c:v>243.0755555555555</c:v>
                </c:pt>
                <c:pt idx="9">
                  <c:v>199.34222222222215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7DF-C045-A47C-ACF7ABC4D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971199"/>
        <c:axId val="749207983"/>
      </c:lineChart>
      <c:catAx>
        <c:axId val="53197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Calendar Yr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9207983"/>
        <c:crosses val="autoZero"/>
        <c:auto val="0"/>
        <c:lblAlgn val="ctr"/>
        <c:lblOffset val="100"/>
        <c:noMultiLvlLbl val="0"/>
      </c:catAx>
      <c:valAx>
        <c:axId val="749207983"/>
        <c:scaling>
          <c:orientation val="minMax"/>
          <c:min val="134.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31971199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14598</xdr:colOff>
      <xdr:row>26</xdr:row>
      <xdr:rowOff>7299</xdr:rowOff>
    </xdr:from>
    <xdr:to>
      <xdr:col>18</xdr:col>
      <xdr:colOff>14598</xdr:colOff>
      <xdr:row>51</xdr:row>
      <xdr:rowOff>145977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88F2175-FCF2-8DD9-34F2-ABE7E8AEF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18</xdr:col>
      <xdr:colOff>0</xdr:colOff>
      <xdr:row>26</xdr:row>
      <xdr:rowOff>14597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D39742A-7F5D-9613-EB2A-3BAA0B8A4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26</xdr:row>
      <xdr:rowOff>14597</xdr:rowOff>
    </xdr:from>
    <xdr:to>
      <xdr:col>20</xdr:col>
      <xdr:colOff>7299</xdr:colOff>
      <xdr:row>51</xdr:row>
      <xdr:rowOff>160575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15D1590-B805-C6B9-19F2-C29C6C249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25</xdr:row>
      <xdr:rowOff>160574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945FE12-06B5-E8F6-8F26-BDA3F16F3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0.43595</cdr:x>
      <cdr:y>0.18696</cdr:y>
    </cdr:from>
    <cdr:ext cx="1065997" cy="264559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213EA35-57EE-2E5A-5ED6-4585625C9621}"/>
            </a:ext>
          </a:extLst>
        </cdr:cNvPr>
        <cdr:cNvSpPr txBox="1"/>
      </cdr:nvSpPr>
      <cdr:spPr>
        <a:xfrm xmlns:a="http://schemas.openxmlformats.org/drawingml/2006/main">
          <a:off x="3894667" y="848761"/>
          <a:ext cx="1065997" cy="264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-41.642</a:t>
          </a:r>
        </a:p>
      </cdr:txBody>
    </cdr:sp>
  </cdr:abs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26</xdr:row>
      <xdr:rowOff>7299</xdr:rowOff>
    </xdr:from>
    <xdr:to>
      <xdr:col>20</xdr:col>
      <xdr:colOff>7299</xdr:colOff>
      <xdr:row>52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F7EB440-B6CE-842C-A5FC-B31D87687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25</xdr:row>
      <xdr:rowOff>167874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94D77A1-13C6-59D3-1CA8-05461503B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0.47108</cdr:x>
      <cdr:y>0.22037</cdr:y>
    </cdr:from>
    <cdr:ext cx="106599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8A661D5-550D-C60D-17CF-89CC6859C37B}"/>
            </a:ext>
          </a:extLst>
        </cdr:cNvPr>
        <cdr:cNvSpPr txBox="1"/>
      </cdr:nvSpPr>
      <cdr:spPr>
        <a:xfrm xmlns:a="http://schemas.openxmlformats.org/drawingml/2006/main">
          <a:off x="4208517" y="772056"/>
          <a:ext cx="106599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-43.733</a:t>
          </a:r>
        </a:p>
      </cdr:txBody>
    </cdr:sp>
  </cdr:abs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499317</xdr:colOff>
      <xdr:row>28</xdr:row>
      <xdr:rowOff>21709</xdr:rowOff>
    </xdr:from>
    <xdr:to>
      <xdr:col>23</xdr:col>
      <xdr:colOff>0</xdr:colOff>
      <xdr:row>56</xdr:row>
      <xdr:rowOff>21710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8CD9B09-5938-538F-FEF2-E7D43CDA7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23</xdr:col>
      <xdr:colOff>10855</xdr:colOff>
      <xdr:row>28</xdr:row>
      <xdr:rowOff>10854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0FD82D7-1C6D-84A9-FD1B-C277C2531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2EB65DC-1643-2F5D-733A-FFA937C62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496322</xdr:colOff>
      <xdr:row>0</xdr:row>
      <xdr:rowOff>36494</xdr:rowOff>
    </xdr:from>
    <xdr:to>
      <xdr:col>17</xdr:col>
      <xdr:colOff>496321</xdr:colOff>
      <xdr:row>20</xdr:row>
      <xdr:rowOff>36494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59B4DA0-7F58-C943-C809-88AE0FBA4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19</xdr:col>
      <xdr:colOff>496321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417A079-CA68-4FD0-C1CF-6091ECD71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19</xdr:col>
      <xdr:colOff>496321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ACB56F9-8D74-BCBA-6670-C11A233FF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absSizeAnchor xmlns:cdr="http://schemas.openxmlformats.org/drawingml/2006/chartDrawing">
    <cdr:from>
      <cdr:x>0.44984</cdr:x>
      <cdr:y>0.26204</cdr:y>
    </cdr:from>
    <cdr:ext cx="1065979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8CE724B-5E44-A9B4-9D53-20D6C95C7D9A}"/>
            </a:ext>
          </a:extLst>
        </cdr:cNvPr>
        <cdr:cNvSpPr txBox="1"/>
      </cdr:nvSpPr>
      <cdr:spPr>
        <a:xfrm xmlns:a="http://schemas.openxmlformats.org/drawingml/2006/main">
          <a:off x="4018739" y="918032"/>
          <a:ext cx="1065979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-41.642</a:t>
          </a:r>
        </a:p>
      </cdr:txBody>
    </cdr:sp>
  </cdr:abs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7299</xdr:colOff>
      <xdr:row>25</xdr:row>
      <xdr:rowOff>131379</xdr:rowOff>
    </xdr:from>
    <xdr:to>
      <xdr:col>20</xdr:col>
      <xdr:colOff>7299</xdr:colOff>
      <xdr:row>41</xdr:row>
      <xdr:rowOff>131379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9F3922C-DFE2-E226-8056-5A84CAC1A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29196</xdr:colOff>
      <xdr:row>0</xdr:row>
      <xdr:rowOff>0</xdr:rowOff>
    </xdr:from>
    <xdr:to>
      <xdr:col>20</xdr:col>
      <xdr:colOff>29196</xdr:colOff>
      <xdr:row>25</xdr:row>
      <xdr:rowOff>138678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40646F5-7608-0B1A-6514-66EE4916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absSizeAnchor xmlns:cdr="http://schemas.openxmlformats.org/drawingml/2006/chartDrawing">
    <cdr:from>
      <cdr:x>0.43676</cdr:x>
      <cdr:y>0.21494</cdr:y>
    </cdr:from>
    <cdr:ext cx="1065997" cy="264558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39239ED-7D9A-02BB-904F-6E2A060376D0}"/>
            </a:ext>
          </a:extLst>
        </cdr:cNvPr>
        <cdr:cNvSpPr txBox="1"/>
      </cdr:nvSpPr>
      <cdr:spPr>
        <a:xfrm xmlns:a="http://schemas.openxmlformats.org/drawingml/2006/main">
          <a:off x="3901965" y="971118"/>
          <a:ext cx="1065997" cy="26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-43.733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76AB-4457-4B49-B5BF-6B01BB5A5507}">
  <dimension ref="A1:K121"/>
  <sheetViews>
    <sheetView tabSelected="1" workbookViewId="0">
      <selection activeCell="G2" sqref="G2"/>
    </sheetView>
  </sheetViews>
  <sheetFormatPr baseColWidth="10" defaultRowHeight="16" x14ac:dyDescent="0.2"/>
  <cols>
    <col min="1" max="1" width="10.5" style="1" bestFit="1" customWidth="1"/>
    <col min="2" max="2" width="13" bestFit="1" customWidth="1"/>
    <col min="3" max="3" width="14.1640625" bestFit="1" customWidth="1"/>
    <col min="4" max="4" width="9.5" bestFit="1" customWidth="1"/>
    <col min="5" max="6" width="9.5" customWidth="1"/>
  </cols>
  <sheetData>
    <row r="1" spans="1:11" x14ac:dyDescent="0.2">
      <c r="A1" t="s">
        <v>0</v>
      </c>
      <c r="B1" t="s">
        <v>3</v>
      </c>
      <c r="C1" t="s">
        <v>1</v>
      </c>
      <c r="D1" t="s">
        <v>2</v>
      </c>
    </row>
    <row r="2" spans="1:11" x14ac:dyDescent="0.2">
      <c r="A2" s="2">
        <v>42370</v>
      </c>
      <c r="B2" s="3">
        <v>5</v>
      </c>
      <c r="C2" s="3">
        <v>39</v>
      </c>
      <c r="D2" s="3">
        <v>44</v>
      </c>
      <c r="E2" s="3"/>
      <c r="F2" s="3"/>
      <c r="I2" s="3"/>
      <c r="J2" s="3"/>
      <c r="K2" s="3"/>
    </row>
    <row r="3" spans="1:11" x14ac:dyDescent="0.2">
      <c r="A3" s="2">
        <v>42401</v>
      </c>
      <c r="B3" s="3">
        <v>9</v>
      </c>
      <c r="C3" s="3">
        <v>48</v>
      </c>
      <c r="D3" s="3">
        <v>57</v>
      </c>
      <c r="E3" s="3"/>
      <c r="F3" s="3"/>
      <c r="I3" s="3"/>
      <c r="J3" s="3"/>
      <c r="K3" s="3"/>
    </row>
    <row r="4" spans="1:11" x14ac:dyDescent="0.2">
      <c r="A4" s="2">
        <v>42430</v>
      </c>
      <c r="B4" s="3">
        <v>4</v>
      </c>
      <c r="C4" s="3">
        <v>50</v>
      </c>
      <c r="D4" s="3">
        <v>54</v>
      </c>
      <c r="E4" s="3"/>
      <c r="F4" s="3"/>
      <c r="I4" s="3"/>
      <c r="J4" s="3"/>
      <c r="K4" s="3"/>
    </row>
    <row r="5" spans="1:11" x14ac:dyDescent="0.2">
      <c r="A5" s="2">
        <v>42461</v>
      </c>
      <c r="B5" s="3">
        <v>10</v>
      </c>
      <c r="C5" s="3">
        <v>58</v>
      </c>
      <c r="D5" s="3">
        <v>68</v>
      </c>
      <c r="E5" s="3"/>
      <c r="F5" s="3"/>
      <c r="I5" s="3"/>
      <c r="J5" s="3"/>
      <c r="K5" s="3"/>
    </row>
    <row r="6" spans="1:11" x14ac:dyDescent="0.2">
      <c r="A6" s="2">
        <v>42491</v>
      </c>
      <c r="B6" s="3">
        <v>9</v>
      </c>
      <c r="C6" s="3">
        <v>56</v>
      </c>
      <c r="D6" s="3">
        <v>65</v>
      </c>
      <c r="E6" s="3"/>
      <c r="F6" s="3"/>
      <c r="I6" s="3"/>
      <c r="J6" s="3"/>
      <c r="K6" s="3"/>
    </row>
    <row r="7" spans="1:11" x14ac:dyDescent="0.2">
      <c r="A7" s="2">
        <v>42522</v>
      </c>
      <c r="B7" s="3">
        <v>10</v>
      </c>
      <c r="C7" s="3">
        <v>52</v>
      </c>
      <c r="D7" s="3">
        <v>62</v>
      </c>
      <c r="E7" s="3"/>
      <c r="F7" s="3"/>
      <c r="I7" s="3"/>
      <c r="J7" s="3"/>
      <c r="K7" s="3"/>
    </row>
    <row r="8" spans="1:11" x14ac:dyDescent="0.2">
      <c r="A8" s="2">
        <v>42552</v>
      </c>
      <c r="B8" s="3">
        <v>11</v>
      </c>
      <c r="C8" s="3">
        <v>57</v>
      </c>
      <c r="D8" s="3">
        <v>68</v>
      </c>
      <c r="E8" s="3"/>
      <c r="F8" s="3"/>
      <c r="I8" s="3"/>
      <c r="J8" s="3"/>
      <c r="K8" s="3"/>
    </row>
    <row r="9" spans="1:11" x14ac:dyDescent="0.2">
      <c r="A9" s="2">
        <v>42583</v>
      </c>
      <c r="B9" s="3">
        <v>4</v>
      </c>
      <c r="C9" s="3">
        <v>67</v>
      </c>
      <c r="D9" s="3">
        <v>71</v>
      </c>
      <c r="E9" s="3"/>
      <c r="F9" s="3"/>
      <c r="I9" s="3"/>
      <c r="J9" s="3"/>
      <c r="K9" s="3"/>
    </row>
    <row r="10" spans="1:11" x14ac:dyDescent="0.2">
      <c r="A10" s="2">
        <v>42614</v>
      </c>
      <c r="B10" s="3">
        <v>3</v>
      </c>
      <c r="C10" s="3">
        <v>74</v>
      </c>
      <c r="D10" s="3">
        <v>77</v>
      </c>
      <c r="E10" s="3"/>
      <c r="F10" s="3"/>
      <c r="I10" s="3"/>
      <c r="J10" s="3"/>
      <c r="K10" s="3"/>
    </row>
    <row r="11" spans="1:11" x14ac:dyDescent="0.2">
      <c r="A11" s="2">
        <v>42644</v>
      </c>
      <c r="B11" s="3">
        <v>6</v>
      </c>
      <c r="C11" s="3">
        <v>72</v>
      </c>
      <c r="D11" s="3">
        <v>78</v>
      </c>
      <c r="E11" s="3"/>
      <c r="F11" s="3"/>
      <c r="I11" s="3"/>
      <c r="J11" s="3"/>
      <c r="K11" s="3"/>
    </row>
    <row r="12" spans="1:11" x14ac:dyDescent="0.2">
      <c r="A12" s="2">
        <v>42675</v>
      </c>
      <c r="B12" s="3">
        <v>6</v>
      </c>
      <c r="C12" s="3">
        <v>78</v>
      </c>
      <c r="D12" s="3">
        <v>84</v>
      </c>
      <c r="E12" s="3"/>
      <c r="F12" s="3"/>
    </row>
    <row r="13" spans="1:11" x14ac:dyDescent="0.2">
      <c r="A13" s="2">
        <v>42705</v>
      </c>
      <c r="B13" s="3">
        <v>8</v>
      </c>
      <c r="C13" s="3">
        <v>78</v>
      </c>
      <c r="D13" s="3">
        <v>86</v>
      </c>
      <c r="E13" s="3"/>
      <c r="F13" s="3"/>
    </row>
    <row r="14" spans="1:11" x14ac:dyDescent="0.2">
      <c r="A14" s="2">
        <v>42736</v>
      </c>
      <c r="B14" s="3">
        <v>13</v>
      </c>
      <c r="C14" s="3">
        <v>74</v>
      </c>
      <c r="D14" s="3">
        <v>87</v>
      </c>
      <c r="E14" s="3"/>
      <c r="F14" s="3"/>
    </row>
    <row r="15" spans="1:11" x14ac:dyDescent="0.2">
      <c r="A15" s="2">
        <v>42767</v>
      </c>
      <c r="B15" s="3">
        <v>8</v>
      </c>
      <c r="C15" s="3">
        <v>60</v>
      </c>
      <c r="D15" s="3">
        <v>68</v>
      </c>
      <c r="E15" s="3"/>
      <c r="F15" s="3"/>
    </row>
    <row r="16" spans="1:11" x14ac:dyDescent="0.2">
      <c r="A16" s="2">
        <v>42795</v>
      </c>
      <c r="B16" s="3">
        <v>7</v>
      </c>
      <c r="C16" s="3">
        <v>36</v>
      </c>
      <c r="D16" s="3">
        <v>43</v>
      </c>
      <c r="E16" s="3"/>
      <c r="F16" s="3"/>
    </row>
    <row r="17" spans="1:6" x14ac:dyDescent="0.2">
      <c r="A17" s="2">
        <v>42826</v>
      </c>
      <c r="B17" s="3">
        <v>7</v>
      </c>
      <c r="C17" s="3">
        <v>63</v>
      </c>
      <c r="D17" s="3">
        <v>70</v>
      </c>
      <c r="E17" s="3"/>
      <c r="F17" s="3"/>
    </row>
    <row r="18" spans="1:6" x14ac:dyDescent="0.2">
      <c r="A18" s="2">
        <v>42856</v>
      </c>
      <c r="B18" s="3">
        <v>8</v>
      </c>
      <c r="C18" s="3">
        <v>55</v>
      </c>
      <c r="D18" s="3">
        <v>63</v>
      </c>
      <c r="E18" s="3"/>
      <c r="F18" s="3"/>
    </row>
    <row r="19" spans="1:6" x14ac:dyDescent="0.2">
      <c r="A19" s="2">
        <v>42887</v>
      </c>
      <c r="B19" s="3">
        <v>2</v>
      </c>
      <c r="C19" s="3">
        <v>63</v>
      </c>
      <c r="D19" s="3">
        <v>65</v>
      </c>
      <c r="E19" s="3"/>
      <c r="F19" s="3"/>
    </row>
    <row r="20" spans="1:6" x14ac:dyDescent="0.2">
      <c r="A20" s="2">
        <v>42917</v>
      </c>
      <c r="B20" s="3">
        <v>8</v>
      </c>
      <c r="C20" s="3">
        <v>60</v>
      </c>
      <c r="D20" s="3">
        <v>68</v>
      </c>
      <c r="E20" s="3"/>
      <c r="F20" s="3"/>
    </row>
    <row r="21" spans="1:6" x14ac:dyDescent="0.2">
      <c r="A21" s="2">
        <v>42948</v>
      </c>
      <c r="B21" s="3">
        <v>10</v>
      </c>
      <c r="C21" s="3">
        <v>57</v>
      </c>
      <c r="D21" s="3">
        <v>67</v>
      </c>
      <c r="E21" s="3"/>
      <c r="F21" s="3"/>
    </row>
    <row r="22" spans="1:6" x14ac:dyDescent="0.2">
      <c r="A22" s="2">
        <v>42979</v>
      </c>
      <c r="B22" s="3">
        <v>10</v>
      </c>
      <c r="C22" s="3">
        <v>37</v>
      </c>
      <c r="D22" s="3">
        <v>47</v>
      </c>
      <c r="E22" s="3"/>
      <c r="F22" s="3"/>
    </row>
    <row r="23" spans="1:6" x14ac:dyDescent="0.2">
      <c r="A23" s="2">
        <v>43009</v>
      </c>
      <c r="B23" s="3">
        <v>9</v>
      </c>
      <c r="C23" s="3">
        <v>68</v>
      </c>
      <c r="D23" s="3">
        <v>77</v>
      </c>
      <c r="E23" s="3"/>
      <c r="F23" s="3"/>
    </row>
    <row r="24" spans="1:6" x14ac:dyDescent="0.2">
      <c r="A24" s="2">
        <v>43040</v>
      </c>
      <c r="B24" s="3">
        <v>8</v>
      </c>
      <c r="C24" s="3">
        <v>55</v>
      </c>
      <c r="D24" s="3">
        <v>63</v>
      </c>
      <c r="E24" s="3"/>
      <c r="F24" s="3"/>
    </row>
    <row r="25" spans="1:6" x14ac:dyDescent="0.2">
      <c r="A25" s="2">
        <v>43070</v>
      </c>
      <c r="B25" s="3">
        <v>9</v>
      </c>
      <c r="C25" s="3">
        <v>67</v>
      </c>
      <c r="D25" s="3">
        <v>76</v>
      </c>
      <c r="E25" s="3"/>
      <c r="F25" s="3"/>
    </row>
    <row r="26" spans="1:6" x14ac:dyDescent="0.2">
      <c r="A26" s="2">
        <v>43101</v>
      </c>
      <c r="B26" s="3">
        <v>5</v>
      </c>
      <c r="C26" s="3">
        <v>55</v>
      </c>
      <c r="D26" s="3">
        <v>60</v>
      </c>
      <c r="E26" s="3"/>
      <c r="F26" s="3"/>
    </row>
    <row r="27" spans="1:6" x14ac:dyDescent="0.2">
      <c r="A27" s="2">
        <v>43132</v>
      </c>
      <c r="B27" s="3">
        <v>4</v>
      </c>
      <c r="C27" s="3">
        <v>62</v>
      </c>
      <c r="D27" s="3">
        <v>66</v>
      </c>
      <c r="E27" s="3"/>
      <c r="F27" s="3"/>
    </row>
    <row r="28" spans="1:6" x14ac:dyDescent="0.2">
      <c r="A28" s="2">
        <v>43160</v>
      </c>
      <c r="B28" s="3">
        <v>10</v>
      </c>
      <c r="C28" s="3">
        <v>52</v>
      </c>
      <c r="D28" s="3">
        <v>62</v>
      </c>
      <c r="E28" s="3"/>
      <c r="F28" s="3"/>
    </row>
    <row r="29" spans="1:6" x14ac:dyDescent="0.2">
      <c r="A29" s="2">
        <v>43191</v>
      </c>
      <c r="B29" s="3">
        <v>13</v>
      </c>
      <c r="C29" s="3">
        <v>63</v>
      </c>
      <c r="D29" s="3">
        <v>76</v>
      </c>
      <c r="E29" s="3"/>
      <c r="F29" s="3"/>
    </row>
    <row r="30" spans="1:6" x14ac:dyDescent="0.2">
      <c r="A30" s="2">
        <v>43221</v>
      </c>
      <c r="B30" s="3">
        <v>8</v>
      </c>
      <c r="C30" s="3">
        <v>49</v>
      </c>
      <c r="D30" s="3">
        <v>57</v>
      </c>
      <c r="E30" s="3"/>
      <c r="F30" s="3"/>
    </row>
    <row r="31" spans="1:6" x14ac:dyDescent="0.2">
      <c r="A31" s="2">
        <v>43252</v>
      </c>
      <c r="B31" s="3">
        <v>10</v>
      </c>
      <c r="C31" s="3">
        <v>55</v>
      </c>
      <c r="D31" s="3">
        <v>65</v>
      </c>
      <c r="E31" s="3"/>
      <c r="F31" s="3"/>
    </row>
    <row r="32" spans="1:6" x14ac:dyDescent="0.2">
      <c r="A32" s="2">
        <v>43282</v>
      </c>
      <c r="B32" s="3">
        <v>7</v>
      </c>
      <c r="C32" s="3">
        <v>56</v>
      </c>
      <c r="D32" s="3">
        <v>63</v>
      </c>
      <c r="E32" s="3"/>
      <c r="F32" s="3"/>
    </row>
    <row r="33" spans="1:6" x14ac:dyDescent="0.2">
      <c r="A33" s="2">
        <v>43313</v>
      </c>
      <c r="B33" s="3">
        <v>7</v>
      </c>
      <c r="C33" s="3">
        <v>60</v>
      </c>
      <c r="D33" s="3">
        <v>67</v>
      </c>
      <c r="E33" s="3"/>
      <c r="F33" s="3"/>
    </row>
    <row r="34" spans="1:6" x14ac:dyDescent="0.2">
      <c r="A34" s="2">
        <v>43344</v>
      </c>
      <c r="B34" s="3">
        <v>9</v>
      </c>
      <c r="C34" s="3">
        <v>32</v>
      </c>
      <c r="D34" s="3">
        <v>41</v>
      </c>
      <c r="E34" s="3"/>
      <c r="F34" s="3"/>
    </row>
    <row r="35" spans="1:6" x14ac:dyDescent="0.2">
      <c r="A35" s="2">
        <v>43374</v>
      </c>
      <c r="B35" s="3">
        <v>8</v>
      </c>
      <c r="C35" s="3">
        <v>54</v>
      </c>
      <c r="D35" s="3">
        <v>62</v>
      </c>
      <c r="E35" s="3"/>
      <c r="F35" s="3"/>
    </row>
    <row r="36" spans="1:6" x14ac:dyDescent="0.2">
      <c r="A36" s="2">
        <v>43405</v>
      </c>
      <c r="B36" s="3">
        <v>5</v>
      </c>
      <c r="C36" s="3">
        <v>79</v>
      </c>
      <c r="D36" s="3">
        <v>84</v>
      </c>
      <c r="E36" s="3"/>
      <c r="F36" s="3"/>
    </row>
    <row r="37" spans="1:6" x14ac:dyDescent="0.2">
      <c r="A37" s="2">
        <v>43435</v>
      </c>
      <c r="B37" s="3">
        <v>9</v>
      </c>
      <c r="C37" s="3">
        <v>54</v>
      </c>
      <c r="D37" s="3">
        <v>63</v>
      </c>
      <c r="E37" s="3"/>
      <c r="F37" s="3"/>
    </row>
    <row r="38" spans="1:6" x14ac:dyDescent="0.2">
      <c r="A38" s="2">
        <v>43466</v>
      </c>
      <c r="B38" s="3">
        <v>8</v>
      </c>
      <c r="C38" s="3">
        <v>50</v>
      </c>
      <c r="D38" s="3">
        <v>58</v>
      </c>
      <c r="E38" s="3"/>
      <c r="F38" s="3"/>
    </row>
    <row r="39" spans="1:6" x14ac:dyDescent="0.2">
      <c r="A39" s="2">
        <v>43497</v>
      </c>
      <c r="B39" s="3">
        <v>4</v>
      </c>
      <c r="C39" s="3">
        <v>32</v>
      </c>
      <c r="D39" s="3">
        <v>36</v>
      </c>
      <c r="E39" s="3"/>
      <c r="F39" s="3"/>
    </row>
    <row r="40" spans="1:6" x14ac:dyDescent="0.2">
      <c r="A40" s="2">
        <v>43525</v>
      </c>
      <c r="B40" s="3">
        <v>12</v>
      </c>
      <c r="C40" s="3">
        <v>41</v>
      </c>
      <c r="D40" s="3">
        <v>53</v>
      </c>
      <c r="E40" s="3"/>
      <c r="F40" s="3"/>
    </row>
    <row r="41" spans="1:6" x14ac:dyDescent="0.2">
      <c r="A41" s="2">
        <v>43556</v>
      </c>
      <c r="B41" s="3">
        <v>9</v>
      </c>
      <c r="C41" s="3">
        <v>65</v>
      </c>
      <c r="D41" s="3">
        <v>74</v>
      </c>
      <c r="E41" s="3"/>
      <c r="F41" s="3"/>
    </row>
    <row r="42" spans="1:6" x14ac:dyDescent="0.2">
      <c r="A42" s="2">
        <v>43586</v>
      </c>
      <c r="B42" s="3">
        <v>13</v>
      </c>
      <c r="C42" s="3">
        <v>59</v>
      </c>
      <c r="D42" s="3">
        <v>72</v>
      </c>
      <c r="E42" s="3"/>
      <c r="F42" s="3"/>
    </row>
    <row r="43" spans="1:6" x14ac:dyDescent="0.2">
      <c r="A43" s="2">
        <v>43617</v>
      </c>
      <c r="B43" s="3">
        <v>7</v>
      </c>
      <c r="C43" s="3">
        <v>52</v>
      </c>
      <c r="D43" s="3">
        <v>59</v>
      </c>
      <c r="E43" s="3"/>
      <c r="F43" s="3"/>
    </row>
    <row r="44" spans="1:6" x14ac:dyDescent="0.2">
      <c r="A44" s="2">
        <v>43647</v>
      </c>
      <c r="B44" s="3">
        <v>2</v>
      </c>
      <c r="C44" s="3">
        <v>48</v>
      </c>
      <c r="D44" s="3">
        <v>50</v>
      </c>
      <c r="E44" s="3"/>
      <c r="F44" s="3"/>
    </row>
    <row r="45" spans="1:6" x14ac:dyDescent="0.2">
      <c r="A45" s="2">
        <v>43678</v>
      </c>
      <c r="B45" s="3">
        <v>7</v>
      </c>
      <c r="C45" s="3">
        <v>35</v>
      </c>
      <c r="D45" s="3">
        <v>42</v>
      </c>
      <c r="E45" s="3"/>
      <c r="F45" s="3"/>
    </row>
    <row r="46" spans="1:6" x14ac:dyDescent="0.2">
      <c r="A46" s="2">
        <v>43709</v>
      </c>
      <c r="B46" s="3">
        <v>6</v>
      </c>
      <c r="C46" s="3">
        <v>35</v>
      </c>
      <c r="D46" s="3">
        <v>41</v>
      </c>
      <c r="E46" s="3"/>
      <c r="F46" s="3"/>
    </row>
    <row r="47" spans="1:6" x14ac:dyDescent="0.2">
      <c r="A47" s="2">
        <v>43739</v>
      </c>
      <c r="B47" s="3">
        <v>1</v>
      </c>
      <c r="C47" s="3">
        <v>46</v>
      </c>
      <c r="D47" s="3">
        <v>47</v>
      </c>
      <c r="E47" s="3"/>
      <c r="F47" s="3"/>
    </row>
    <row r="48" spans="1:6" x14ac:dyDescent="0.2">
      <c r="A48" s="2">
        <v>43770</v>
      </c>
      <c r="B48" s="3">
        <v>4</v>
      </c>
      <c r="C48" s="3">
        <v>38</v>
      </c>
      <c r="D48" s="3">
        <v>42</v>
      </c>
      <c r="E48" s="3"/>
      <c r="F48" s="3"/>
    </row>
    <row r="49" spans="1:6" x14ac:dyDescent="0.2">
      <c r="A49" s="2">
        <v>43800</v>
      </c>
      <c r="B49" s="3">
        <v>5</v>
      </c>
      <c r="C49" s="3">
        <v>59</v>
      </c>
      <c r="D49" s="3">
        <v>64</v>
      </c>
      <c r="E49" s="3"/>
      <c r="F49" s="3"/>
    </row>
    <row r="50" spans="1:6" x14ac:dyDescent="0.2">
      <c r="A50" s="2">
        <v>43831</v>
      </c>
      <c r="B50" s="3">
        <v>4</v>
      </c>
      <c r="C50" s="3">
        <v>40</v>
      </c>
      <c r="D50" s="3">
        <v>44</v>
      </c>
      <c r="E50" s="3"/>
      <c r="F50" s="3"/>
    </row>
    <row r="51" spans="1:6" x14ac:dyDescent="0.2">
      <c r="A51" s="2">
        <v>43862</v>
      </c>
      <c r="B51" s="3">
        <v>8</v>
      </c>
      <c r="C51" s="3">
        <v>47</v>
      </c>
      <c r="D51" s="3">
        <v>55</v>
      </c>
      <c r="E51" s="3"/>
      <c r="F51" s="3"/>
    </row>
    <row r="52" spans="1:6" x14ac:dyDescent="0.2">
      <c r="A52" s="2">
        <v>43891</v>
      </c>
      <c r="B52" s="3">
        <v>10</v>
      </c>
      <c r="C52" s="3">
        <v>40</v>
      </c>
      <c r="D52" s="3">
        <v>50</v>
      </c>
      <c r="E52" s="3"/>
      <c r="F52" s="3"/>
    </row>
    <row r="53" spans="1:6" x14ac:dyDescent="0.2">
      <c r="A53" s="2">
        <v>43922</v>
      </c>
      <c r="B53" s="3">
        <v>2</v>
      </c>
      <c r="C53" s="3">
        <v>29</v>
      </c>
      <c r="D53" s="3">
        <v>31</v>
      </c>
      <c r="E53" s="3"/>
      <c r="F53" s="3"/>
    </row>
    <row r="54" spans="1:6" x14ac:dyDescent="0.2">
      <c r="A54" s="2">
        <v>43952</v>
      </c>
      <c r="B54" s="3">
        <v>4</v>
      </c>
      <c r="C54" s="3">
        <v>40</v>
      </c>
      <c r="D54" s="3">
        <v>44</v>
      </c>
      <c r="E54" s="3"/>
      <c r="F54" s="3"/>
    </row>
    <row r="55" spans="1:6" x14ac:dyDescent="0.2">
      <c r="A55" s="2">
        <v>43983</v>
      </c>
      <c r="B55" s="3">
        <v>5</v>
      </c>
      <c r="C55" s="3">
        <v>32</v>
      </c>
      <c r="D55" s="3">
        <v>37</v>
      </c>
      <c r="E55" s="3"/>
      <c r="F55" s="3"/>
    </row>
    <row r="56" spans="1:6" x14ac:dyDescent="0.2">
      <c r="A56" s="2">
        <v>44013</v>
      </c>
      <c r="B56" s="3">
        <v>5</v>
      </c>
      <c r="C56" s="3">
        <v>37</v>
      </c>
      <c r="D56" s="3">
        <v>42</v>
      </c>
      <c r="E56" s="3"/>
      <c r="F56" s="3"/>
    </row>
    <row r="57" spans="1:6" x14ac:dyDescent="0.2">
      <c r="A57" s="2">
        <v>44044</v>
      </c>
      <c r="B57" s="3">
        <v>2</v>
      </c>
      <c r="C57" s="3">
        <v>42</v>
      </c>
      <c r="D57" s="3">
        <v>44</v>
      </c>
      <c r="E57" s="3"/>
      <c r="F57" s="3"/>
    </row>
    <row r="58" spans="1:6" x14ac:dyDescent="0.2">
      <c r="A58" s="2">
        <v>44075</v>
      </c>
      <c r="B58" s="3">
        <v>9</v>
      </c>
      <c r="C58" s="3">
        <v>45</v>
      </c>
      <c r="D58" s="3">
        <v>54</v>
      </c>
      <c r="E58" s="3"/>
      <c r="F58" s="3"/>
    </row>
    <row r="59" spans="1:6" x14ac:dyDescent="0.2">
      <c r="A59" s="2">
        <v>44105</v>
      </c>
      <c r="B59" s="3">
        <v>4</v>
      </c>
      <c r="C59" s="3">
        <v>46</v>
      </c>
      <c r="D59" s="3">
        <v>50</v>
      </c>
      <c r="E59" s="3"/>
      <c r="F59" s="3"/>
    </row>
    <row r="60" spans="1:6" x14ac:dyDescent="0.2">
      <c r="A60" s="2">
        <v>44136</v>
      </c>
      <c r="B60" s="3">
        <v>7</v>
      </c>
      <c r="C60" s="3">
        <v>26</v>
      </c>
      <c r="D60" s="3">
        <v>33</v>
      </c>
      <c r="E60" s="3"/>
      <c r="F60" s="3"/>
    </row>
    <row r="61" spans="1:6" x14ac:dyDescent="0.2">
      <c r="A61" s="2">
        <v>44166</v>
      </c>
      <c r="B61" s="3">
        <v>1</v>
      </c>
      <c r="C61" s="3">
        <v>36</v>
      </c>
      <c r="D61" s="3">
        <v>37</v>
      </c>
      <c r="E61" s="3"/>
      <c r="F61" s="3"/>
    </row>
    <row r="62" spans="1:6" x14ac:dyDescent="0.2">
      <c r="A62" s="2">
        <v>44197</v>
      </c>
      <c r="B62" s="3">
        <v>2</v>
      </c>
      <c r="C62" s="3">
        <v>25</v>
      </c>
      <c r="D62" s="3">
        <v>27</v>
      </c>
      <c r="E62" s="3"/>
      <c r="F62" s="3"/>
    </row>
    <row r="63" spans="1:6" x14ac:dyDescent="0.2">
      <c r="A63" s="2">
        <v>44228</v>
      </c>
      <c r="B63" s="3">
        <v>4</v>
      </c>
      <c r="C63" s="3">
        <v>28</v>
      </c>
      <c r="D63" s="3">
        <v>32</v>
      </c>
      <c r="E63" s="3"/>
      <c r="F63" s="3"/>
    </row>
    <row r="64" spans="1:6" x14ac:dyDescent="0.2">
      <c r="A64" s="2">
        <v>44256</v>
      </c>
      <c r="B64" s="3">
        <v>5</v>
      </c>
      <c r="C64" s="3">
        <v>36</v>
      </c>
      <c r="D64" s="3">
        <v>41</v>
      </c>
      <c r="E64" s="3"/>
      <c r="F64" s="3"/>
    </row>
    <row r="65" spans="1:6" x14ac:dyDescent="0.2">
      <c r="A65" s="2">
        <v>44287</v>
      </c>
      <c r="B65" s="3">
        <v>3</v>
      </c>
      <c r="C65" s="3">
        <v>20</v>
      </c>
      <c r="D65" s="3">
        <v>23</v>
      </c>
      <c r="E65" s="3"/>
      <c r="F65" s="3"/>
    </row>
    <row r="66" spans="1:6" x14ac:dyDescent="0.2">
      <c r="A66" s="2">
        <v>44317</v>
      </c>
      <c r="B66" s="3">
        <v>2</v>
      </c>
      <c r="C66" s="3">
        <v>38</v>
      </c>
      <c r="D66" s="3">
        <v>40</v>
      </c>
      <c r="E66" s="3"/>
      <c r="F66" s="3"/>
    </row>
    <row r="67" spans="1:6" x14ac:dyDescent="0.2">
      <c r="A67" s="2">
        <v>44348</v>
      </c>
      <c r="B67" s="3">
        <v>3</v>
      </c>
      <c r="C67" s="3">
        <v>26</v>
      </c>
      <c r="D67" s="3">
        <v>29</v>
      </c>
      <c r="E67" s="3"/>
      <c r="F67" s="3"/>
    </row>
    <row r="68" spans="1:6" x14ac:dyDescent="0.2">
      <c r="A68" s="2">
        <v>44378</v>
      </c>
      <c r="B68" s="3">
        <v>1</v>
      </c>
      <c r="C68" s="3">
        <v>28</v>
      </c>
      <c r="D68" s="3">
        <v>29</v>
      </c>
      <c r="E68" s="3"/>
      <c r="F68" s="3"/>
    </row>
    <row r="69" spans="1:6" x14ac:dyDescent="0.2">
      <c r="A69" s="2">
        <v>44409</v>
      </c>
      <c r="B69" s="3">
        <v>6</v>
      </c>
      <c r="C69" s="3">
        <v>30</v>
      </c>
      <c r="D69" s="3">
        <v>36</v>
      </c>
      <c r="E69" s="3"/>
      <c r="F69" s="3"/>
    </row>
    <row r="70" spans="1:6" x14ac:dyDescent="0.2">
      <c r="A70" s="2">
        <v>44440</v>
      </c>
      <c r="B70" s="3">
        <v>2</v>
      </c>
      <c r="C70" s="3">
        <v>32</v>
      </c>
      <c r="D70" s="3">
        <v>34</v>
      </c>
      <c r="E70" s="3"/>
      <c r="F70" s="3"/>
    </row>
    <row r="71" spans="1:6" x14ac:dyDescent="0.2">
      <c r="A71" s="2">
        <v>44470</v>
      </c>
      <c r="B71" s="3">
        <v>2</v>
      </c>
      <c r="C71" s="3">
        <v>30</v>
      </c>
      <c r="D71" s="3">
        <v>32</v>
      </c>
      <c r="E71" s="3"/>
      <c r="F71" s="3"/>
    </row>
    <row r="72" spans="1:6" x14ac:dyDescent="0.2">
      <c r="A72" s="2">
        <v>44501</v>
      </c>
      <c r="B72" s="3">
        <v>4</v>
      </c>
      <c r="C72" s="3">
        <v>31</v>
      </c>
      <c r="D72" s="3">
        <v>35</v>
      </c>
      <c r="E72" s="3"/>
      <c r="F72" s="3"/>
    </row>
    <row r="73" spans="1:6" x14ac:dyDescent="0.2">
      <c r="A73" s="2">
        <v>44531</v>
      </c>
      <c r="B73" s="3">
        <v>3</v>
      </c>
      <c r="C73" s="3">
        <v>48</v>
      </c>
      <c r="D73" s="3">
        <v>51</v>
      </c>
      <c r="E73" s="3"/>
      <c r="F73" s="3"/>
    </row>
    <row r="74" spans="1:6" x14ac:dyDescent="0.2">
      <c r="A74" s="2">
        <v>44562</v>
      </c>
      <c r="B74" s="3">
        <v>5</v>
      </c>
      <c r="C74" s="3">
        <v>27</v>
      </c>
      <c r="D74" s="3">
        <v>32</v>
      </c>
      <c r="E74" s="3"/>
      <c r="F74" s="3"/>
    </row>
    <row r="75" spans="1:6" x14ac:dyDescent="0.2">
      <c r="A75" s="2">
        <v>44593</v>
      </c>
      <c r="B75" s="3">
        <v>4</v>
      </c>
      <c r="C75" s="3">
        <v>24</v>
      </c>
      <c r="D75" s="3">
        <v>28</v>
      </c>
      <c r="E75" s="3"/>
      <c r="F75" s="3"/>
    </row>
    <row r="76" spans="1:6" x14ac:dyDescent="0.2">
      <c r="A76" s="2">
        <v>44621</v>
      </c>
      <c r="B76" s="3">
        <v>3</v>
      </c>
      <c r="C76" s="3">
        <v>37</v>
      </c>
      <c r="D76" s="3">
        <v>40</v>
      </c>
      <c r="E76" s="3"/>
      <c r="F76" s="3"/>
    </row>
    <row r="77" spans="1:6" x14ac:dyDescent="0.2">
      <c r="A77" s="2">
        <v>44652</v>
      </c>
      <c r="B77" s="3">
        <v>9</v>
      </c>
      <c r="C77" s="3">
        <v>43</v>
      </c>
      <c r="D77" s="3">
        <v>52</v>
      </c>
      <c r="E77" s="3"/>
      <c r="F77" s="3"/>
    </row>
    <row r="78" spans="1:6" x14ac:dyDescent="0.2">
      <c r="A78" s="2">
        <v>44682</v>
      </c>
      <c r="B78" s="3">
        <v>4</v>
      </c>
      <c r="C78" s="3">
        <v>47</v>
      </c>
      <c r="D78" s="3">
        <v>51</v>
      </c>
      <c r="E78" s="3"/>
      <c r="F78" s="3"/>
    </row>
    <row r="79" spans="1:6" x14ac:dyDescent="0.2">
      <c r="A79" s="2">
        <v>44713</v>
      </c>
      <c r="B79" s="3">
        <v>7</v>
      </c>
      <c r="C79" s="3">
        <v>42</v>
      </c>
      <c r="D79" s="3">
        <v>49</v>
      </c>
      <c r="E79" s="3"/>
      <c r="F79" s="3"/>
    </row>
    <row r="80" spans="1:6" x14ac:dyDescent="0.2">
      <c r="A80" s="2">
        <v>44743</v>
      </c>
      <c r="B80" s="3">
        <v>3</v>
      </c>
      <c r="C80" s="3">
        <v>50</v>
      </c>
      <c r="D80" s="3">
        <v>53</v>
      </c>
      <c r="E80" s="3"/>
      <c r="F80" s="3"/>
    </row>
    <row r="81" spans="1:6" x14ac:dyDescent="0.2">
      <c r="A81" s="2">
        <v>44774</v>
      </c>
      <c r="B81" s="3">
        <v>3</v>
      </c>
      <c r="C81" s="3">
        <v>39</v>
      </c>
      <c r="D81" s="3">
        <v>42</v>
      </c>
      <c r="E81" s="3"/>
      <c r="F81" s="3"/>
    </row>
    <row r="82" spans="1:6" x14ac:dyDescent="0.2">
      <c r="A82" s="2">
        <v>44805</v>
      </c>
      <c r="B82" s="3">
        <v>3</v>
      </c>
      <c r="C82" s="3">
        <v>35</v>
      </c>
      <c r="D82" s="3">
        <v>38</v>
      </c>
      <c r="E82" s="3"/>
      <c r="F82" s="3"/>
    </row>
    <row r="83" spans="1:6" x14ac:dyDescent="0.2">
      <c r="A83" s="2">
        <v>44835</v>
      </c>
      <c r="B83" s="3">
        <v>5</v>
      </c>
      <c r="C83" s="3">
        <v>67</v>
      </c>
      <c r="D83" s="3">
        <v>72</v>
      </c>
      <c r="E83" s="3"/>
      <c r="F83" s="3"/>
    </row>
    <row r="84" spans="1:6" x14ac:dyDescent="0.2">
      <c r="A84" s="2">
        <v>44866</v>
      </c>
      <c r="B84" s="3">
        <v>3</v>
      </c>
      <c r="C84" s="3">
        <v>52</v>
      </c>
      <c r="D84" s="3">
        <v>55</v>
      </c>
      <c r="E84" s="3"/>
      <c r="F84" s="3"/>
    </row>
    <row r="85" spans="1:6" x14ac:dyDescent="0.2">
      <c r="A85" s="2">
        <v>44896</v>
      </c>
      <c r="B85" s="3">
        <v>11</v>
      </c>
      <c r="C85" s="3">
        <v>38</v>
      </c>
      <c r="D85" s="3">
        <v>49</v>
      </c>
      <c r="E85" s="3"/>
      <c r="F85" s="3"/>
    </row>
    <row r="86" spans="1:6" x14ac:dyDescent="0.2">
      <c r="A86" s="2">
        <v>44927</v>
      </c>
      <c r="B86" s="3">
        <v>7</v>
      </c>
      <c r="C86" s="3">
        <v>40</v>
      </c>
      <c r="D86" s="3">
        <v>47</v>
      </c>
      <c r="E86" s="3"/>
      <c r="F86" s="3"/>
    </row>
    <row r="87" spans="1:6" x14ac:dyDescent="0.2">
      <c r="A87" s="2">
        <v>44958</v>
      </c>
      <c r="B87" s="3">
        <v>3</v>
      </c>
      <c r="C87" s="3">
        <v>36</v>
      </c>
      <c r="D87" s="3">
        <v>39</v>
      </c>
      <c r="E87" s="3"/>
      <c r="F87" s="3"/>
    </row>
    <row r="88" spans="1:6" x14ac:dyDescent="0.2">
      <c r="A88" s="2">
        <v>44986</v>
      </c>
      <c r="B88" s="3">
        <v>6</v>
      </c>
      <c r="C88" s="3">
        <v>31</v>
      </c>
      <c r="D88" s="3">
        <v>37</v>
      </c>
      <c r="E88" s="3"/>
      <c r="F88" s="3"/>
    </row>
    <row r="89" spans="1:6" x14ac:dyDescent="0.2">
      <c r="A89" s="2">
        <v>45017</v>
      </c>
      <c r="B89" s="3">
        <v>4</v>
      </c>
      <c r="C89" s="3">
        <v>39</v>
      </c>
      <c r="D89" s="3">
        <v>43</v>
      </c>
      <c r="E89" s="3"/>
      <c r="F89" s="3"/>
    </row>
    <row r="90" spans="1:6" x14ac:dyDescent="0.2">
      <c r="A90" s="2">
        <v>45047</v>
      </c>
      <c r="B90" s="3">
        <v>3</v>
      </c>
      <c r="C90" s="3">
        <v>41</v>
      </c>
      <c r="D90" s="3">
        <v>44</v>
      </c>
      <c r="E90" s="3"/>
      <c r="F90" s="3"/>
    </row>
    <row r="91" spans="1:6" x14ac:dyDescent="0.2">
      <c r="A91" s="2">
        <v>45078</v>
      </c>
      <c r="B91" s="3">
        <v>6</v>
      </c>
      <c r="C91" s="3">
        <v>32</v>
      </c>
      <c r="D91" s="3">
        <v>38</v>
      </c>
      <c r="E91" s="3"/>
      <c r="F91" s="3"/>
    </row>
    <row r="92" spans="1:6" x14ac:dyDescent="0.2">
      <c r="A92" s="2">
        <v>45108</v>
      </c>
      <c r="B92" s="3">
        <v>2</v>
      </c>
      <c r="C92" s="3">
        <v>35</v>
      </c>
      <c r="D92" s="3">
        <v>37</v>
      </c>
      <c r="E92" s="3"/>
      <c r="F92" s="3"/>
    </row>
    <row r="93" spans="1:6" x14ac:dyDescent="0.2">
      <c r="A93" s="2">
        <v>45139</v>
      </c>
      <c r="B93" s="3">
        <v>10</v>
      </c>
      <c r="C93" s="3">
        <v>43</v>
      </c>
      <c r="D93" s="3">
        <v>53</v>
      </c>
      <c r="E93" s="3"/>
      <c r="F93" s="3"/>
    </row>
    <row r="94" spans="1:6" x14ac:dyDescent="0.2">
      <c r="A94" s="2">
        <v>45170</v>
      </c>
      <c r="B94" s="3">
        <v>6</v>
      </c>
      <c r="C94" s="3">
        <v>28</v>
      </c>
      <c r="D94" s="3">
        <v>34</v>
      </c>
      <c r="E94" s="3"/>
      <c r="F94" s="3"/>
    </row>
    <row r="95" spans="1:6" x14ac:dyDescent="0.2">
      <c r="A95" s="2">
        <v>45200</v>
      </c>
      <c r="B95" s="3">
        <v>4</v>
      </c>
      <c r="C95" s="3">
        <v>32</v>
      </c>
      <c r="D95" s="3">
        <v>36</v>
      </c>
      <c r="E95" s="3"/>
      <c r="F95" s="3"/>
    </row>
    <row r="96" spans="1:6" x14ac:dyDescent="0.2">
      <c r="A96" s="2">
        <v>45231</v>
      </c>
      <c r="B96" s="3">
        <v>10</v>
      </c>
      <c r="C96" s="3">
        <v>28</v>
      </c>
      <c r="D96" s="3">
        <v>38</v>
      </c>
      <c r="E96" s="3"/>
      <c r="F96" s="3"/>
    </row>
    <row r="97" spans="1:6" x14ac:dyDescent="0.2">
      <c r="A97" s="2">
        <v>45261</v>
      </c>
      <c r="B97" s="3">
        <v>10</v>
      </c>
      <c r="C97" s="3">
        <v>38</v>
      </c>
      <c r="D97" s="3">
        <v>48</v>
      </c>
      <c r="E97" s="3"/>
      <c r="F97" s="3"/>
    </row>
    <row r="98" spans="1:6" x14ac:dyDescent="0.2">
      <c r="A98" s="2">
        <v>45292</v>
      </c>
      <c r="B98" s="3">
        <v>5</v>
      </c>
      <c r="C98" s="3">
        <v>63</v>
      </c>
      <c r="D98" s="3">
        <v>68</v>
      </c>
      <c r="E98" s="3"/>
      <c r="F98" s="3"/>
    </row>
    <row r="99" spans="1:6" x14ac:dyDescent="0.2">
      <c r="A99" s="2">
        <v>45323</v>
      </c>
      <c r="B99" s="3">
        <v>3</v>
      </c>
      <c r="C99" s="3">
        <v>32</v>
      </c>
      <c r="D99" s="3">
        <v>35</v>
      </c>
      <c r="E99" s="3"/>
      <c r="F99" s="3"/>
    </row>
    <row r="100" spans="1:6" x14ac:dyDescent="0.2">
      <c r="A100" s="2">
        <v>45352</v>
      </c>
      <c r="B100" s="3">
        <v>8</v>
      </c>
      <c r="C100" s="3">
        <v>39</v>
      </c>
      <c r="D100" s="3">
        <v>47</v>
      </c>
      <c r="E100" s="3"/>
      <c r="F100" s="3"/>
    </row>
    <row r="101" spans="1:6" x14ac:dyDescent="0.2">
      <c r="A101" s="2">
        <v>45383</v>
      </c>
      <c r="B101" s="3">
        <v>6</v>
      </c>
      <c r="C101" s="3">
        <v>30</v>
      </c>
      <c r="D101" s="3">
        <v>36</v>
      </c>
      <c r="E101" s="3"/>
      <c r="F101" s="3"/>
    </row>
    <row r="102" spans="1:6" x14ac:dyDescent="0.2">
      <c r="A102" s="2">
        <v>45413</v>
      </c>
      <c r="B102" s="3">
        <v>8</v>
      </c>
      <c r="C102" s="3">
        <v>28</v>
      </c>
      <c r="D102" s="3">
        <v>36</v>
      </c>
      <c r="E102" s="3"/>
      <c r="F102" s="3"/>
    </row>
    <row r="103" spans="1:6" x14ac:dyDescent="0.2">
      <c r="A103" s="2">
        <v>45444</v>
      </c>
      <c r="B103" s="3">
        <v>6</v>
      </c>
      <c r="C103" s="3">
        <v>46</v>
      </c>
      <c r="D103" s="3">
        <v>52</v>
      </c>
      <c r="E103" s="3"/>
      <c r="F103" s="3"/>
    </row>
    <row r="104" spans="1:6" x14ac:dyDescent="0.2">
      <c r="A104" s="2">
        <v>45474</v>
      </c>
      <c r="B104" s="3">
        <v>13</v>
      </c>
      <c r="C104" s="3">
        <v>30</v>
      </c>
      <c r="D104" s="3">
        <v>43</v>
      </c>
      <c r="E104" s="3"/>
      <c r="F104" s="3"/>
    </row>
    <row r="105" spans="1:6" x14ac:dyDescent="0.2">
      <c r="A105" s="2">
        <v>45505</v>
      </c>
      <c r="B105" s="3">
        <v>3</v>
      </c>
      <c r="C105" s="3">
        <v>28</v>
      </c>
      <c r="D105" s="3">
        <v>31</v>
      </c>
      <c r="E105" s="3"/>
      <c r="F105" s="3"/>
    </row>
    <row r="106" spans="1:6" x14ac:dyDescent="0.2">
      <c r="A106" s="2">
        <v>45536</v>
      </c>
      <c r="B106" s="3">
        <v>9</v>
      </c>
      <c r="C106" s="3">
        <v>23</v>
      </c>
      <c r="D106" s="3">
        <v>32</v>
      </c>
      <c r="E106" s="3"/>
      <c r="F106" s="3"/>
    </row>
    <row r="107" spans="1:6" x14ac:dyDescent="0.2">
      <c r="A107" s="2">
        <v>45566</v>
      </c>
      <c r="B107" s="3">
        <v>2</v>
      </c>
      <c r="C107" s="3">
        <v>22</v>
      </c>
      <c r="D107" s="3">
        <v>24</v>
      </c>
      <c r="E107" s="3"/>
      <c r="F107" s="3"/>
    </row>
    <row r="108" spans="1:6" x14ac:dyDescent="0.2">
      <c r="A108" s="2">
        <v>45597</v>
      </c>
      <c r="B108" s="3">
        <v>5</v>
      </c>
      <c r="C108" s="3">
        <v>23</v>
      </c>
      <c r="D108" s="3">
        <v>28</v>
      </c>
      <c r="E108" s="3"/>
      <c r="F108" s="3"/>
    </row>
    <row r="109" spans="1:6" x14ac:dyDescent="0.2">
      <c r="A109" s="2">
        <v>45627</v>
      </c>
      <c r="B109" s="3">
        <v>1</v>
      </c>
      <c r="C109" s="3">
        <v>26</v>
      </c>
      <c r="D109" s="3">
        <v>27</v>
      </c>
      <c r="E109" s="3"/>
      <c r="F109" s="3"/>
    </row>
    <row r="110" spans="1:6" x14ac:dyDescent="0.2">
      <c r="A110" s="2">
        <v>45658</v>
      </c>
      <c r="B110" s="3">
        <v>4</v>
      </c>
      <c r="C110" s="3">
        <v>37</v>
      </c>
      <c r="D110" s="3">
        <v>41</v>
      </c>
      <c r="E110" s="3"/>
      <c r="F110" s="3"/>
    </row>
    <row r="111" spans="1:6" x14ac:dyDescent="0.2">
      <c r="A111" s="2">
        <v>45689</v>
      </c>
      <c r="B111" s="3">
        <v>7</v>
      </c>
      <c r="C111" s="3">
        <v>29</v>
      </c>
      <c r="D111" s="3">
        <v>36</v>
      </c>
      <c r="E111" s="3"/>
      <c r="F111" s="3"/>
    </row>
    <row r="112" spans="1:6" x14ac:dyDescent="0.2">
      <c r="A112" s="2">
        <v>45717</v>
      </c>
      <c r="B112" s="3">
        <v>9</v>
      </c>
      <c r="C112" s="3">
        <v>27</v>
      </c>
      <c r="D112" s="3">
        <v>36</v>
      </c>
      <c r="E112" s="3"/>
      <c r="F112" s="3"/>
    </row>
    <row r="113" spans="1:6" x14ac:dyDescent="0.2">
      <c r="A113" s="2">
        <v>45748</v>
      </c>
      <c r="B113" s="3">
        <v>7</v>
      </c>
      <c r="C113" s="3">
        <v>27</v>
      </c>
      <c r="D113" s="3">
        <v>34</v>
      </c>
      <c r="E113" s="3"/>
      <c r="F113" s="3"/>
    </row>
    <row r="114" spans="1:6" x14ac:dyDescent="0.2">
      <c r="A114" s="2">
        <v>45778</v>
      </c>
      <c r="B114" s="3">
        <v>12</v>
      </c>
      <c r="C114" s="3">
        <v>43</v>
      </c>
      <c r="D114" s="3">
        <v>55</v>
      </c>
      <c r="E114" s="3"/>
      <c r="F114" s="3"/>
    </row>
    <row r="115" spans="1:6" x14ac:dyDescent="0.2">
      <c r="A115" s="2">
        <v>45809</v>
      </c>
      <c r="B115" s="3">
        <v>9</v>
      </c>
      <c r="C115" s="3">
        <v>36</v>
      </c>
      <c r="D115" s="3">
        <v>45</v>
      </c>
      <c r="E115" s="3"/>
      <c r="F115" s="3"/>
    </row>
    <row r="116" spans="1:6" x14ac:dyDescent="0.2">
      <c r="A116" s="2">
        <v>45839</v>
      </c>
      <c r="B116" s="3">
        <v>7</v>
      </c>
      <c r="C116" s="3">
        <v>30</v>
      </c>
      <c r="D116" s="3">
        <v>37</v>
      </c>
      <c r="E116" s="3"/>
      <c r="F116" s="3"/>
    </row>
    <row r="117" spans="1:6" x14ac:dyDescent="0.2">
      <c r="A117" s="2">
        <v>45870</v>
      </c>
      <c r="B117" s="3">
        <v>9</v>
      </c>
      <c r="C117" s="3">
        <v>25</v>
      </c>
      <c r="D117" s="3">
        <v>34</v>
      </c>
      <c r="E117" s="3"/>
      <c r="F117" s="3"/>
    </row>
    <row r="118" spans="1:6" x14ac:dyDescent="0.2">
      <c r="A118" s="2">
        <v>45901</v>
      </c>
      <c r="B118" s="3">
        <v>7</v>
      </c>
      <c r="C118" s="3">
        <v>23</v>
      </c>
      <c r="D118" s="3">
        <v>30</v>
      </c>
      <c r="E118" s="3"/>
      <c r="F118" s="3"/>
    </row>
    <row r="119" spans="1:6" x14ac:dyDescent="0.2">
      <c r="A119" s="2">
        <v>45931</v>
      </c>
      <c r="B119" s="3">
        <v>10</v>
      </c>
      <c r="C119" s="3">
        <v>21</v>
      </c>
      <c r="D119" s="3">
        <v>31</v>
      </c>
      <c r="E119" s="3"/>
      <c r="F119" s="3"/>
    </row>
    <row r="120" spans="1:6" x14ac:dyDescent="0.2">
      <c r="A120" s="2">
        <v>45962</v>
      </c>
      <c r="B120" s="3">
        <v>5</v>
      </c>
      <c r="C120" s="3">
        <v>26</v>
      </c>
      <c r="D120" s="3">
        <v>31</v>
      </c>
      <c r="E120" s="3"/>
      <c r="F120" s="3"/>
    </row>
    <row r="121" spans="1:6" x14ac:dyDescent="0.2">
      <c r="A121" s="2">
        <v>45992</v>
      </c>
      <c r="B121" s="3">
        <v>6</v>
      </c>
      <c r="C121" s="3">
        <v>46</v>
      </c>
      <c r="D121" s="3">
        <v>52</v>
      </c>
      <c r="E121" s="3"/>
      <c r="F1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7435-9439-9D43-9DEA-D463E4105B6A}">
  <dimension ref="A1:D11"/>
  <sheetViews>
    <sheetView workbookViewId="0">
      <selection activeCell="D1" activeCellId="1" sqref="A1:A11 D1:D11"/>
    </sheetView>
  </sheetViews>
  <sheetFormatPr baseColWidth="10" defaultRowHeight="16" x14ac:dyDescent="0.2"/>
  <cols>
    <col min="1" max="2" width="12.6640625" bestFit="1" customWidth="1"/>
    <col min="3" max="3" width="13.83203125" bestFit="1" customWidth="1"/>
    <col min="4" max="4" width="15.33203125" bestFit="1" customWidth="1"/>
  </cols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2" spans="1:4" x14ac:dyDescent="0.2">
      <c r="A2">
        <v>2016</v>
      </c>
      <c r="B2" s="3">
        <v>85</v>
      </c>
      <c r="C2" s="3">
        <v>729</v>
      </c>
      <c r="D2" s="3">
        <v>814</v>
      </c>
    </row>
    <row r="3" spans="1:4" x14ac:dyDescent="0.2">
      <c r="A3">
        <v>2017</v>
      </c>
      <c r="B3" s="3">
        <v>99</v>
      </c>
      <c r="C3" s="3">
        <v>695</v>
      </c>
      <c r="D3" s="3">
        <v>794</v>
      </c>
    </row>
    <row r="4" spans="1:4" x14ac:dyDescent="0.2">
      <c r="A4">
        <v>2018</v>
      </c>
      <c r="B4" s="3">
        <v>95</v>
      </c>
      <c r="C4" s="3">
        <v>671</v>
      </c>
      <c r="D4" s="3">
        <v>766</v>
      </c>
    </row>
    <row r="5" spans="1:4" x14ac:dyDescent="0.2">
      <c r="A5">
        <v>2019</v>
      </c>
      <c r="B5" s="3">
        <v>78</v>
      </c>
      <c r="C5" s="3">
        <v>560</v>
      </c>
      <c r="D5" s="3">
        <v>638</v>
      </c>
    </row>
    <row r="6" spans="1:4" x14ac:dyDescent="0.2">
      <c r="A6">
        <v>2020</v>
      </c>
      <c r="B6" s="3">
        <v>61</v>
      </c>
      <c r="C6" s="3">
        <v>460</v>
      </c>
      <c r="D6" s="3">
        <v>521</v>
      </c>
    </row>
    <row r="7" spans="1:4" x14ac:dyDescent="0.2">
      <c r="A7">
        <v>2021</v>
      </c>
      <c r="B7" s="3">
        <v>37</v>
      </c>
      <c r="C7" s="3">
        <v>372</v>
      </c>
      <c r="D7" s="3">
        <v>409</v>
      </c>
    </row>
    <row r="8" spans="1:4" x14ac:dyDescent="0.2">
      <c r="A8">
        <v>2022</v>
      </c>
      <c r="B8" s="3">
        <v>60</v>
      </c>
      <c r="C8" s="3">
        <v>501</v>
      </c>
      <c r="D8" s="3">
        <v>561</v>
      </c>
    </row>
    <row r="9" spans="1:4" x14ac:dyDescent="0.2">
      <c r="A9">
        <v>2023</v>
      </c>
      <c r="B9" s="3">
        <v>71</v>
      </c>
      <c r="C9" s="3">
        <v>423</v>
      </c>
      <c r="D9" s="3">
        <v>494</v>
      </c>
    </row>
    <row r="10" spans="1:4" x14ac:dyDescent="0.2">
      <c r="A10">
        <v>2024</v>
      </c>
      <c r="B10" s="3">
        <v>69</v>
      </c>
      <c r="C10" s="3">
        <v>390</v>
      </c>
      <c r="D10" s="3">
        <v>459</v>
      </c>
    </row>
    <row r="11" spans="1:4" x14ac:dyDescent="0.2">
      <c r="A11">
        <v>2025</v>
      </c>
      <c r="B11" s="3">
        <v>92</v>
      </c>
      <c r="C11" s="3">
        <v>370</v>
      </c>
      <c r="D11" s="3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71D-D88B-574D-9CE3-B967FC2FAF0D}">
  <sheetPr>
    <tabColor rgb="FF66FF66"/>
    <pageSetUpPr fitToPage="1"/>
  </sheetPr>
  <dimension ref="A1:R52"/>
  <sheetViews>
    <sheetView zoomScale="174" zoomScaleNormal="174" workbookViewId="0">
      <selection activeCell="V24" sqref="V24"/>
    </sheetView>
  </sheetViews>
  <sheetFormatPr baseColWidth="10" defaultRowHeight="16" x14ac:dyDescent="0.2"/>
  <cols>
    <col min="1" max="1" width="10.83203125" customWidth="1"/>
    <col min="2" max="20" width="6.83203125" customWidth="1"/>
  </cols>
  <sheetData>
    <row r="1" spans="1:18" ht="14" customHeight="1" x14ac:dyDescent="0.2">
      <c r="A1" t="s">
        <v>13</v>
      </c>
      <c r="B1" s="3" t="s">
        <v>14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>
        <v>2016</v>
      </c>
      <c r="B2" s="3">
        <v>85</v>
      </c>
      <c r="C2" s="3">
        <f t="shared" ref="C2:C31" ca="1" si="0">F2+2.66*O2</f>
        <v>114.60000000000001</v>
      </c>
      <c r="D2" s="3">
        <f t="shared" ref="D2:D31" ca="1" si="1">F2+(2/3)*2.66*O2</f>
        <v>101.30000000000001</v>
      </c>
      <c r="E2" s="3">
        <f t="shared" ref="E2:E31" ca="1" si="2">F2+(1/3)*2.66*O2</f>
        <v>88</v>
      </c>
      <c r="F2" s="3">
        <f t="shared" ref="F2:F31" si="3">AVERAGE($B$2:$B$11)</f>
        <v>74.7</v>
      </c>
      <c r="G2" s="3">
        <f t="shared" ref="G2:G31" ca="1" si="4">F2-(1/3)*2.66*O2</f>
        <v>61.400000000000006</v>
      </c>
      <c r="H2" s="3">
        <f t="shared" ref="H2:H31" ca="1" si="5">F2-(2/3)*2.66*O2</f>
        <v>48.1</v>
      </c>
      <c r="I2" s="3">
        <f t="shared" ref="I2:I31" ca="1" si="6">F2-2.66*O2</f>
        <v>34.799999999999997</v>
      </c>
      <c r="J2" s="3">
        <f>B2</f>
        <v>85</v>
      </c>
      <c r="K2" s="3"/>
      <c r="L2" s="3"/>
      <c r="M2" s="3"/>
      <c r="N2" s="3"/>
      <c r="O2" s="3">
        <f t="shared" ref="O2:O31" ca="1" si="7">AVERAGE($K$2:$K$11)</f>
        <v>15</v>
      </c>
      <c r="P2" s="3"/>
      <c r="Q2" s="3"/>
      <c r="R2" s="3"/>
    </row>
    <row r="3" spans="1:18" ht="14" customHeight="1" x14ac:dyDescent="0.2">
      <c r="A3">
        <v>2017</v>
      </c>
      <c r="B3" s="3">
        <v>99</v>
      </c>
      <c r="C3" s="3">
        <f t="shared" ca="1" si="0"/>
        <v>114.60000000000001</v>
      </c>
      <c r="D3" s="3">
        <f t="shared" ca="1" si="1"/>
        <v>101.30000000000001</v>
      </c>
      <c r="E3" s="3">
        <f t="shared" ca="1" si="2"/>
        <v>88</v>
      </c>
      <c r="F3" s="3">
        <f t="shared" si="3"/>
        <v>74.7</v>
      </c>
      <c r="G3" s="3">
        <f t="shared" ca="1" si="4"/>
        <v>61.400000000000006</v>
      </c>
      <c r="H3" s="3">
        <f t="shared" ca="1" si="5"/>
        <v>48.1</v>
      </c>
      <c r="I3" s="3">
        <f t="shared" ca="1" si="6"/>
        <v>34.799999999999997</v>
      </c>
      <c r="J3">
        <f t="shared" ref="J3:J31" ca="1" si="8">IF(ISBLANK(B3),OFFSET(J3,-1,0,1,1),B3)</f>
        <v>99</v>
      </c>
      <c r="K3" s="3">
        <f t="shared" ref="K3:K31" ca="1" si="9">IF(OR(OFFSET(K3,-1,-9,1,1)="",OFFSET(K3,0,-9,1,1)=""),"",IF(ISERROR(ABS(B3-OFFSET(K3,-1,-1,1,1))),"",ABS(B3-OFFSET(K3,-1,-1,1,1))))</f>
        <v>14</v>
      </c>
      <c r="L3" s="3">
        <f t="shared" ref="L3:L31" ca="1" si="10">3.267*O3</f>
        <v>49.004999999999995</v>
      </c>
      <c r="M3" s="3">
        <f t="shared" ref="M3:M31" ca="1" si="11">(2/3)*(L3-O3)+O3</f>
        <v>37.669999999999995</v>
      </c>
      <c r="N3" s="3">
        <f t="shared" ref="N3:N31" ca="1" si="12">(1/3)*(L3-O3)+O3</f>
        <v>26.334999999999997</v>
      </c>
      <c r="O3" s="3">
        <f t="shared" ca="1" si="7"/>
        <v>15</v>
      </c>
      <c r="P3" s="3">
        <f t="shared" ref="P3:P31" ca="1" si="13">(MAX(O3-(1/3)*(L3-O3),0))</f>
        <v>3.6650000000000027</v>
      </c>
      <c r="Q3" s="3">
        <f t="shared" ref="Q3:Q31" ca="1" si="14">MAX(O3-(2/3)*(L3-O3),0)</f>
        <v>0</v>
      </c>
      <c r="R3" s="3">
        <v>0</v>
      </c>
    </row>
    <row r="4" spans="1:18" ht="14" customHeight="1" x14ac:dyDescent="0.2">
      <c r="A4">
        <v>2018</v>
      </c>
      <c r="B4" s="3">
        <v>95</v>
      </c>
      <c r="C4" s="3">
        <f t="shared" ca="1" si="0"/>
        <v>114.60000000000001</v>
      </c>
      <c r="D4" s="3">
        <f t="shared" ca="1" si="1"/>
        <v>101.30000000000001</v>
      </c>
      <c r="E4" s="3">
        <f t="shared" ca="1" si="2"/>
        <v>88</v>
      </c>
      <c r="F4" s="3">
        <f t="shared" si="3"/>
        <v>74.7</v>
      </c>
      <c r="G4" s="3">
        <f t="shared" ca="1" si="4"/>
        <v>61.400000000000006</v>
      </c>
      <c r="H4" s="3">
        <f t="shared" ca="1" si="5"/>
        <v>48.1</v>
      </c>
      <c r="I4" s="3">
        <f t="shared" ca="1" si="6"/>
        <v>34.799999999999997</v>
      </c>
      <c r="J4">
        <f t="shared" ca="1" si="8"/>
        <v>95</v>
      </c>
      <c r="K4" s="3">
        <f t="shared" ca="1" si="9"/>
        <v>4</v>
      </c>
      <c r="L4" s="3">
        <f t="shared" ca="1" si="10"/>
        <v>49.004999999999995</v>
      </c>
      <c r="M4" s="3">
        <f t="shared" ca="1" si="11"/>
        <v>37.669999999999995</v>
      </c>
      <c r="N4" s="3">
        <f t="shared" ca="1" si="12"/>
        <v>26.334999999999997</v>
      </c>
      <c r="O4" s="3">
        <f t="shared" ca="1" si="7"/>
        <v>15</v>
      </c>
      <c r="P4" s="3">
        <f t="shared" ca="1" si="13"/>
        <v>3.6650000000000027</v>
      </c>
      <c r="Q4" s="3">
        <f t="shared" ca="1" si="14"/>
        <v>0</v>
      </c>
      <c r="R4" s="3">
        <v>0</v>
      </c>
    </row>
    <row r="5" spans="1:18" ht="14" customHeight="1" x14ac:dyDescent="0.2">
      <c r="A5">
        <v>2019</v>
      </c>
      <c r="B5" s="3">
        <v>78</v>
      </c>
      <c r="C5" s="3">
        <f t="shared" ca="1" si="0"/>
        <v>114.60000000000001</v>
      </c>
      <c r="D5" s="3">
        <f t="shared" ca="1" si="1"/>
        <v>101.30000000000001</v>
      </c>
      <c r="E5" s="3">
        <f t="shared" ca="1" si="2"/>
        <v>88</v>
      </c>
      <c r="F5" s="3">
        <f t="shared" si="3"/>
        <v>74.7</v>
      </c>
      <c r="G5" s="3">
        <f t="shared" ca="1" si="4"/>
        <v>61.400000000000006</v>
      </c>
      <c r="H5" s="3">
        <f t="shared" ca="1" si="5"/>
        <v>48.1</v>
      </c>
      <c r="I5" s="3">
        <f t="shared" ca="1" si="6"/>
        <v>34.799999999999997</v>
      </c>
      <c r="J5">
        <f t="shared" ca="1" si="8"/>
        <v>78</v>
      </c>
      <c r="K5" s="3">
        <f t="shared" ca="1" si="9"/>
        <v>17</v>
      </c>
      <c r="L5" s="3">
        <f t="shared" ca="1" si="10"/>
        <v>49.004999999999995</v>
      </c>
      <c r="M5" s="3">
        <f t="shared" ca="1" si="11"/>
        <v>37.669999999999995</v>
      </c>
      <c r="N5" s="3">
        <f t="shared" ca="1" si="12"/>
        <v>26.334999999999997</v>
      </c>
      <c r="O5" s="3">
        <f t="shared" ca="1" si="7"/>
        <v>15</v>
      </c>
      <c r="P5" s="3">
        <f t="shared" ca="1" si="13"/>
        <v>3.6650000000000027</v>
      </c>
      <c r="Q5" s="3">
        <f t="shared" ca="1" si="14"/>
        <v>0</v>
      </c>
      <c r="R5" s="3">
        <v>0</v>
      </c>
    </row>
    <row r="6" spans="1:18" ht="14" customHeight="1" x14ac:dyDescent="0.2">
      <c r="A6">
        <v>2020</v>
      </c>
      <c r="B6" s="3">
        <v>61</v>
      </c>
      <c r="C6" s="3">
        <f t="shared" ca="1" si="0"/>
        <v>114.60000000000001</v>
      </c>
      <c r="D6" s="3">
        <f t="shared" ca="1" si="1"/>
        <v>101.30000000000001</v>
      </c>
      <c r="E6" s="3">
        <f t="shared" ca="1" si="2"/>
        <v>88</v>
      </c>
      <c r="F6" s="3">
        <f t="shared" si="3"/>
        <v>74.7</v>
      </c>
      <c r="G6" s="3">
        <f t="shared" ca="1" si="4"/>
        <v>61.400000000000006</v>
      </c>
      <c r="H6" s="3">
        <f t="shared" ca="1" si="5"/>
        <v>48.1</v>
      </c>
      <c r="I6" s="3">
        <f t="shared" ca="1" si="6"/>
        <v>34.799999999999997</v>
      </c>
      <c r="J6">
        <f t="shared" ca="1" si="8"/>
        <v>61</v>
      </c>
      <c r="K6" s="3">
        <f t="shared" ca="1" si="9"/>
        <v>17</v>
      </c>
      <c r="L6" s="3">
        <f t="shared" ca="1" si="10"/>
        <v>49.004999999999995</v>
      </c>
      <c r="M6" s="3">
        <f t="shared" ca="1" si="11"/>
        <v>37.669999999999995</v>
      </c>
      <c r="N6" s="3">
        <f t="shared" ca="1" si="12"/>
        <v>26.334999999999997</v>
      </c>
      <c r="O6" s="3">
        <f t="shared" ca="1" si="7"/>
        <v>15</v>
      </c>
      <c r="P6" s="3">
        <f t="shared" ca="1" si="13"/>
        <v>3.6650000000000027</v>
      </c>
      <c r="Q6" s="3">
        <f t="shared" ca="1" si="14"/>
        <v>0</v>
      </c>
      <c r="R6" s="3">
        <v>0</v>
      </c>
    </row>
    <row r="7" spans="1:18" ht="14" customHeight="1" x14ac:dyDescent="0.2">
      <c r="A7">
        <v>2021</v>
      </c>
      <c r="B7" s="3">
        <v>37</v>
      </c>
      <c r="C7" s="3">
        <f t="shared" ca="1" si="0"/>
        <v>114.60000000000001</v>
      </c>
      <c r="D7" s="3">
        <f t="shared" ca="1" si="1"/>
        <v>101.30000000000001</v>
      </c>
      <c r="E7" s="3">
        <f t="shared" ca="1" si="2"/>
        <v>88</v>
      </c>
      <c r="F7" s="3">
        <f t="shared" si="3"/>
        <v>74.7</v>
      </c>
      <c r="G7" s="3">
        <f t="shared" ca="1" si="4"/>
        <v>61.400000000000006</v>
      </c>
      <c r="H7" s="3">
        <f t="shared" ca="1" si="5"/>
        <v>48.1</v>
      </c>
      <c r="I7" s="3">
        <f t="shared" ca="1" si="6"/>
        <v>34.799999999999997</v>
      </c>
      <c r="J7">
        <f t="shared" ca="1" si="8"/>
        <v>37</v>
      </c>
      <c r="K7" s="3">
        <f t="shared" ca="1" si="9"/>
        <v>24</v>
      </c>
      <c r="L7" s="3">
        <f t="shared" ca="1" si="10"/>
        <v>49.004999999999995</v>
      </c>
      <c r="M7" s="3">
        <f t="shared" ca="1" si="11"/>
        <v>37.669999999999995</v>
      </c>
      <c r="N7" s="3">
        <f t="shared" ca="1" si="12"/>
        <v>26.334999999999997</v>
      </c>
      <c r="O7" s="3">
        <f t="shared" ca="1" si="7"/>
        <v>15</v>
      </c>
      <c r="P7" s="3">
        <f t="shared" ca="1" si="13"/>
        <v>3.6650000000000027</v>
      </c>
      <c r="Q7" s="3">
        <f t="shared" ca="1" si="14"/>
        <v>0</v>
      </c>
      <c r="R7" s="3">
        <v>0</v>
      </c>
    </row>
    <row r="8" spans="1:18" ht="14" customHeight="1" x14ac:dyDescent="0.2">
      <c r="A8">
        <v>2022</v>
      </c>
      <c r="B8" s="3">
        <v>60</v>
      </c>
      <c r="C8" s="3">
        <f t="shared" ca="1" si="0"/>
        <v>114.60000000000001</v>
      </c>
      <c r="D8" s="3">
        <f t="shared" ca="1" si="1"/>
        <v>101.30000000000001</v>
      </c>
      <c r="E8" s="3">
        <f t="shared" ca="1" si="2"/>
        <v>88</v>
      </c>
      <c r="F8" s="3">
        <f t="shared" si="3"/>
        <v>74.7</v>
      </c>
      <c r="G8" s="3">
        <f t="shared" ca="1" si="4"/>
        <v>61.400000000000006</v>
      </c>
      <c r="H8" s="3">
        <f t="shared" ca="1" si="5"/>
        <v>48.1</v>
      </c>
      <c r="I8" s="3">
        <f t="shared" ca="1" si="6"/>
        <v>34.799999999999997</v>
      </c>
      <c r="J8">
        <f t="shared" ca="1" si="8"/>
        <v>60</v>
      </c>
      <c r="K8" s="3">
        <f t="shared" ca="1" si="9"/>
        <v>23</v>
      </c>
      <c r="L8" s="3">
        <f t="shared" ca="1" si="10"/>
        <v>49.004999999999995</v>
      </c>
      <c r="M8" s="3">
        <f t="shared" ca="1" si="11"/>
        <v>37.669999999999995</v>
      </c>
      <c r="N8" s="3">
        <f t="shared" ca="1" si="12"/>
        <v>26.334999999999997</v>
      </c>
      <c r="O8" s="3">
        <f t="shared" ca="1" si="7"/>
        <v>15</v>
      </c>
      <c r="P8" s="3">
        <f t="shared" ca="1" si="13"/>
        <v>3.6650000000000027</v>
      </c>
      <c r="Q8" s="3">
        <f t="shared" ca="1" si="14"/>
        <v>0</v>
      </c>
      <c r="R8" s="3">
        <v>0</v>
      </c>
    </row>
    <row r="9" spans="1:18" ht="14" customHeight="1" x14ac:dyDescent="0.2">
      <c r="A9">
        <v>2023</v>
      </c>
      <c r="B9" s="3">
        <v>71</v>
      </c>
      <c r="C9" s="3">
        <f t="shared" ca="1" si="0"/>
        <v>114.60000000000001</v>
      </c>
      <c r="D9" s="3">
        <f t="shared" ca="1" si="1"/>
        <v>101.30000000000001</v>
      </c>
      <c r="E9" s="3">
        <f t="shared" ca="1" si="2"/>
        <v>88</v>
      </c>
      <c r="F9" s="3">
        <f t="shared" si="3"/>
        <v>74.7</v>
      </c>
      <c r="G9" s="3">
        <f t="shared" ca="1" si="4"/>
        <v>61.400000000000006</v>
      </c>
      <c r="H9" s="3">
        <f t="shared" ca="1" si="5"/>
        <v>48.1</v>
      </c>
      <c r="I9" s="3">
        <f t="shared" ca="1" si="6"/>
        <v>34.799999999999997</v>
      </c>
      <c r="J9">
        <f t="shared" ca="1" si="8"/>
        <v>71</v>
      </c>
      <c r="K9" s="3">
        <f t="shared" ca="1" si="9"/>
        <v>11</v>
      </c>
      <c r="L9" s="3">
        <f t="shared" ca="1" si="10"/>
        <v>49.004999999999995</v>
      </c>
      <c r="M9" s="3">
        <f t="shared" ca="1" si="11"/>
        <v>37.669999999999995</v>
      </c>
      <c r="N9" s="3">
        <f t="shared" ca="1" si="12"/>
        <v>26.334999999999997</v>
      </c>
      <c r="O9" s="3">
        <f t="shared" ca="1" si="7"/>
        <v>15</v>
      </c>
      <c r="P9" s="3">
        <f t="shared" ca="1" si="13"/>
        <v>3.6650000000000027</v>
      </c>
      <c r="Q9" s="3">
        <f t="shared" ca="1" si="14"/>
        <v>0</v>
      </c>
      <c r="R9" s="3">
        <v>0</v>
      </c>
    </row>
    <row r="10" spans="1:18" ht="14" customHeight="1" x14ac:dyDescent="0.2">
      <c r="A10">
        <v>2024</v>
      </c>
      <c r="B10" s="3">
        <v>69</v>
      </c>
      <c r="C10" s="3">
        <f t="shared" ca="1" si="0"/>
        <v>114.60000000000001</v>
      </c>
      <c r="D10" s="3">
        <f t="shared" ca="1" si="1"/>
        <v>101.30000000000001</v>
      </c>
      <c r="E10" s="3">
        <f t="shared" ca="1" si="2"/>
        <v>88</v>
      </c>
      <c r="F10" s="3">
        <f t="shared" si="3"/>
        <v>74.7</v>
      </c>
      <c r="G10" s="3">
        <f t="shared" ca="1" si="4"/>
        <v>61.400000000000006</v>
      </c>
      <c r="H10" s="3">
        <f t="shared" ca="1" si="5"/>
        <v>48.1</v>
      </c>
      <c r="I10" s="3">
        <f t="shared" ca="1" si="6"/>
        <v>34.799999999999997</v>
      </c>
      <c r="J10">
        <f t="shared" ca="1" si="8"/>
        <v>69</v>
      </c>
      <c r="K10" s="3">
        <f t="shared" ca="1" si="9"/>
        <v>2</v>
      </c>
      <c r="L10" s="3">
        <f t="shared" ca="1" si="10"/>
        <v>49.004999999999995</v>
      </c>
      <c r="M10" s="3">
        <f t="shared" ca="1" si="11"/>
        <v>37.669999999999995</v>
      </c>
      <c r="N10" s="3">
        <f t="shared" ca="1" si="12"/>
        <v>26.334999999999997</v>
      </c>
      <c r="O10" s="3">
        <f t="shared" ca="1" si="7"/>
        <v>15</v>
      </c>
      <c r="P10" s="3">
        <f t="shared" ca="1" si="13"/>
        <v>3.6650000000000027</v>
      </c>
      <c r="Q10" s="3">
        <f t="shared" ca="1" si="14"/>
        <v>0</v>
      </c>
      <c r="R10" s="3">
        <v>0</v>
      </c>
    </row>
    <row r="11" spans="1:18" ht="14" customHeight="1" x14ac:dyDescent="0.2">
      <c r="A11">
        <v>2025</v>
      </c>
      <c r="B11" s="3">
        <v>92</v>
      </c>
      <c r="C11" s="3">
        <f t="shared" ca="1" si="0"/>
        <v>114.60000000000001</v>
      </c>
      <c r="D11" s="3">
        <f t="shared" ca="1" si="1"/>
        <v>101.30000000000001</v>
      </c>
      <c r="E11" s="3">
        <f t="shared" ca="1" si="2"/>
        <v>88</v>
      </c>
      <c r="F11" s="3">
        <f t="shared" si="3"/>
        <v>74.7</v>
      </c>
      <c r="G11" s="3">
        <f t="shared" ca="1" si="4"/>
        <v>61.400000000000006</v>
      </c>
      <c r="H11" s="3">
        <f t="shared" ca="1" si="5"/>
        <v>48.1</v>
      </c>
      <c r="I11" s="3">
        <f t="shared" ca="1" si="6"/>
        <v>34.799999999999997</v>
      </c>
      <c r="J11">
        <f t="shared" ca="1" si="8"/>
        <v>92</v>
      </c>
      <c r="K11" s="3">
        <f t="shared" ca="1" si="9"/>
        <v>23</v>
      </c>
      <c r="L11" s="3">
        <f t="shared" ca="1" si="10"/>
        <v>49.004999999999995</v>
      </c>
      <c r="M11" s="3">
        <f t="shared" ca="1" si="11"/>
        <v>37.669999999999995</v>
      </c>
      <c r="N11" s="3">
        <f t="shared" ca="1" si="12"/>
        <v>26.334999999999997</v>
      </c>
      <c r="O11" s="3">
        <f t="shared" ca="1" si="7"/>
        <v>15</v>
      </c>
      <c r="P11" s="3">
        <f t="shared" ca="1" si="13"/>
        <v>3.6650000000000027</v>
      </c>
      <c r="Q11" s="3">
        <f t="shared" ca="1" si="14"/>
        <v>0</v>
      </c>
      <c r="R11" s="3">
        <v>0</v>
      </c>
    </row>
    <row r="12" spans="1:18" ht="14" customHeight="1" x14ac:dyDescent="0.2">
      <c r="B12" s="3"/>
      <c r="C12" s="3">
        <f t="shared" ca="1" si="0"/>
        <v>114.60000000000001</v>
      </c>
      <c r="D12" s="3">
        <f t="shared" ca="1" si="1"/>
        <v>101.30000000000001</v>
      </c>
      <c r="E12" s="3">
        <f t="shared" ca="1" si="2"/>
        <v>88</v>
      </c>
      <c r="F12" s="3">
        <f t="shared" si="3"/>
        <v>74.7</v>
      </c>
      <c r="G12" s="3">
        <f t="shared" ca="1" si="4"/>
        <v>61.400000000000006</v>
      </c>
      <c r="H12" s="3">
        <f t="shared" ca="1" si="5"/>
        <v>48.1</v>
      </c>
      <c r="I12" s="3">
        <f t="shared" ca="1" si="6"/>
        <v>34.799999999999997</v>
      </c>
      <c r="J12">
        <f t="shared" ca="1" si="8"/>
        <v>92</v>
      </c>
      <c r="K12" t="str">
        <f t="shared" ca="1" si="9"/>
        <v/>
      </c>
      <c r="L12">
        <f t="shared" ca="1" si="10"/>
        <v>49.004999999999995</v>
      </c>
      <c r="M12">
        <f t="shared" ca="1" si="11"/>
        <v>37.669999999999995</v>
      </c>
      <c r="N12">
        <f t="shared" ca="1" si="12"/>
        <v>26.334999999999997</v>
      </c>
      <c r="O12" s="3">
        <f t="shared" ca="1" si="7"/>
        <v>15</v>
      </c>
      <c r="P12">
        <f t="shared" ca="1" si="13"/>
        <v>3.6650000000000027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114.60000000000001</v>
      </c>
      <c r="D13" s="3">
        <f t="shared" ca="1" si="1"/>
        <v>101.30000000000001</v>
      </c>
      <c r="E13" s="3">
        <f t="shared" ca="1" si="2"/>
        <v>88</v>
      </c>
      <c r="F13" s="3">
        <f t="shared" si="3"/>
        <v>74.7</v>
      </c>
      <c r="G13" s="3">
        <f t="shared" ca="1" si="4"/>
        <v>61.400000000000006</v>
      </c>
      <c r="H13" s="3">
        <f t="shared" ca="1" si="5"/>
        <v>48.1</v>
      </c>
      <c r="I13" s="3">
        <f t="shared" ca="1" si="6"/>
        <v>34.799999999999997</v>
      </c>
      <c r="J13">
        <f t="shared" ca="1" si="8"/>
        <v>92</v>
      </c>
      <c r="K13" t="str">
        <f t="shared" ca="1" si="9"/>
        <v/>
      </c>
      <c r="L13">
        <f t="shared" ca="1" si="10"/>
        <v>49.004999999999995</v>
      </c>
      <c r="M13">
        <f t="shared" ca="1" si="11"/>
        <v>37.669999999999995</v>
      </c>
      <c r="N13">
        <f t="shared" ca="1" si="12"/>
        <v>26.334999999999997</v>
      </c>
      <c r="O13" s="3">
        <f t="shared" ca="1" si="7"/>
        <v>15</v>
      </c>
      <c r="P13">
        <f t="shared" ca="1" si="13"/>
        <v>3.6650000000000027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114.60000000000001</v>
      </c>
      <c r="D14" s="3">
        <f t="shared" ca="1" si="1"/>
        <v>101.30000000000001</v>
      </c>
      <c r="E14" s="3">
        <f t="shared" ca="1" si="2"/>
        <v>88</v>
      </c>
      <c r="F14" s="3">
        <f t="shared" si="3"/>
        <v>74.7</v>
      </c>
      <c r="G14" s="3">
        <f t="shared" ca="1" si="4"/>
        <v>61.400000000000006</v>
      </c>
      <c r="H14" s="3">
        <f t="shared" ca="1" si="5"/>
        <v>48.1</v>
      </c>
      <c r="I14" s="3">
        <f t="shared" ca="1" si="6"/>
        <v>34.799999999999997</v>
      </c>
      <c r="J14">
        <f t="shared" ca="1" si="8"/>
        <v>92</v>
      </c>
      <c r="K14" t="str">
        <f t="shared" ca="1" si="9"/>
        <v/>
      </c>
      <c r="L14">
        <f t="shared" ca="1" si="10"/>
        <v>49.004999999999995</v>
      </c>
      <c r="M14">
        <f t="shared" ca="1" si="11"/>
        <v>37.669999999999995</v>
      </c>
      <c r="N14">
        <f t="shared" ca="1" si="12"/>
        <v>26.334999999999997</v>
      </c>
      <c r="O14" s="3">
        <f t="shared" ca="1" si="7"/>
        <v>15</v>
      </c>
      <c r="P14">
        <f t="shared" ca="1" si="13"/>
        <v>3.6650000000000027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114.60000000000001</v>
      </c>
      <c r="D15" s="3">
        <f t="shared" ca="1" si="1"/>
        <v>101.30000000000001</v>
      </c>
      <c r="E15" s="3">
        <f t="shared" ca="1" si="2"/>
        <v>88</v>
      </c>
      <c r="F15" s="3">
        <f t="shared" si="3"/>
        <v>74.7</v>
      </c>
      <c r="G15" s="3">
        <f t="shared" ca="1" si="4"/>
        <v>61.400000000000006</v>
      </c>
      <c r="H15" s="3">
        <f t="shared" ca="1" si="5"/>
        <v>48.1</v>
      </c>
      <c r="I15" s="3">
        <f t="shared" ca="1" si="6"/>
        <v>34.799999999999997</v>
      </c>
      <c r="J15">
        <f t="shared" ca="1" si="8"/>
        <v>92</v>
      </c>
      <c r="K15" t="str">
        <f t="shared" ca="1" si="9"/>
        <v/>
      </c>
      <c r="L15">
        <f t="shared" ca="1" si="10"/>
        <v>49.004999999999995</v>
      </c>
      <c r="M15">
        <f t="shared" ca="1" si="11"/>
        <v>37.669999999999995</v>
      </c>
      <c r="N15">
        <f t="shared" ca="1" si="12"/>
        <v>26.334999999999997</v>
      </c>
      <c r="O15" s="3">
        <f t="shared" ca="1" si="7"/>
        <v>15</v>
      </c>
      <c r="P15">
        <f t="shared" ca="1" si="13"/>
        <v>3.6650000000000027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114.60000000000001</v>
      </c>
      <c r="D16" s="3">
        <f t="shared" ca="1" si="1"/>
        <v>101.30000000000001</v>
      </c>
      <c r="E16" s="3">
        <f t="shared" ca="1" si="2"/>
        <v>88</v>
      </c>
      <c r="F16" s="3">
        <f t="shared" si="3"/>
        <v>74.7</v>
      </c>
      <c r="G16" s="3">
        <f t="shared" ca="1" si="4"/>
        <v>61.400000000000006</v>
      </c>
      <c r="H16" s="3">
        <f t="shared" ca="1" si="5"/>
        <v>48.1</v>
      </c>
      <c r="I16" s="3">
        <f t="shared" ca="1" si="6"/>
        <v>34.799999999999997</v>
      </c>
      <c r="J16">
        <f t="shared" ca="1" si="8"/>
        <v>92</v>
      </c>
      <c r="K16" t="str">
        <f t="shared" ca="1" si="9"/>
        <v/>
      </c>
      <c r="L16">
        <f t="shared" ca="1" si="10"/>
        <v>49.004999999999995</v>
      </c>
      <c r="M16">
        <f t="shared" ca="1" si="11"/>
        <v>37.669999999999995</v>
      </c>
      <c r="N16">
        <f t="shared" ca="1" si="12"/>
        <v>26.334999999999997</v>
      </c>
      <c r="O16" s="3">
        <f t="shared" ca="1" si="7"/>
        <v>15</v>
      </c>
      <c r="P16">
        <f t="shared" ca="1" si="13"/>
        <v>3.6650000000000027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114.60000000000001</v>
      </c>
      <c r="D17" s="3">
        <f t="shared" ca="1" si="1"/>
        <v>101.30000000000001</v>
      </c>
      <c r="E17" s="3">
        <f t="shared" ca="1" si="2"/>
        <v>88</v>
      </c>
      <c r="F17" s="3">
        <f t="shared" si="3"/>
        <v>74.7</v>
      </c>
      <c r="G17" s="3">
        <f t="shared" ca="1" si="4"/>
        <v>61.400000000000006</v>
      </c>
      <c r="H17" s="3">
        <f t="shared" ca="1" si="5"/>
        <v>48.1</v>
      </c>
      <c r="I17" s="3">
        <f t="shared" ca="1" si="6"/>
        <v>34.799999999999997</v>
      </c>
      <c r="J17">
        <f t="shared" ca="1" si="8"/>
        <v>92</v>
      </c>
      <c r="K17" t="str">
        <f t="shared" ca="1" si="9"/>
        <v/>
      </c>
      <c r="L17">
        <f t="shared" ca="1" si="10"/>
        <v>49.004999999999995</v>
      </c>
      <c r="M17">
        <f t="shared" ca="1" si="11"/>
        <v>37.669999999999995</v>
      </c>
      <c r="N17">
        <f t="shared" ca="1" si="12"/>
        <v>26.334999999999997</v>
      </c>
      <c r="O17" s="3">
        <f t="shared" ca="1" si="7"/>
        <v>15</v>
      </c>
      <c r="P17">
        <f t="shared" ca="1" si="13"/>
        <v>3.6650000000000027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114.60000000000001</v>
      </c>
      <c r="D18" s="3">
        <f t="shared" ca="1" si="1"/>
        <v>101.30000000000001</v>
      </c>
      <c r="E18" s="3">
        <f t="shared" ca="1" si="2"/>
        <v>88</v>
      </c>
      <c r="F18" s="3">
        <f t="shared" si="3"/>
        <v>74.7</v>
      </c>
      <c r="G18" s="3">
        <f t="shared" ca="1" si="4"/>
        <v>61.400000000000006</v>
      </c>
      <c r="H18" s="3">
        <f t="shared" ca="1" si="5"/>
        <v>48.1</v>
      </c>
      <c r="I18" s="3">
        <f t="shared" ca="1" si="6"/>
        <v>34.799999999999997</v>
      </c>
      <c r="J18">
        <f t="shared" ca="1" si="8"/>
        <v>92</v>
      </c>
      <c r="K18" t="str">
        <f t="shared" ca="1" si="9"/>
        <v/>
      </c>
      <c r="L18">
        <f t="shared" ca="1" si="10"/>
        <v>49.004999999999995</v>
      </c>
      <c r="M18">
        <f t="shared" ca="1" si="11"/>
        <v>37.669999999999995</v>
      </c>
      <c r="N18">
        <f t="shared" ca="1" si="12"/>
        <v>26.334999999999997</v>
      </c>
      <c r="O18" s="3">
        <f t="shared" ca="1" si="7"/>
        <v>15</v>
      </c>
      <c r="P18">
        <f t="shared" ca="1" si="13"/>
        <v>3.6650000000000027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114.60000000000001</v>
      </c>
      <c r="D19" s="3">
        <f t="shared" ca="1" si="1"/>
        <v>101.30000000000001</v>
      </c>
      <c r="E19" s="3">
        <f t="shared" ca="1" si="2"/>
        <v>88</v>
      </c>
      <c r="F19" s="3">
        <f t="shared" si="3"/>
        <v>74.7</v>
      </c>
      <c r="G19" s="3">
        <f t="shared" ca="1" si="4"/>
        <v>61.400000000000006</v>
      </c>
      <c r="H19" s="3">
        <f t="shared" ca="1" si="5"/>
        <v>48.1</v>
      </c>
      <c r="I19" s="3">
        <f t="shared" ca="1" si="6"/>
        <v>34.799999999999997</v>
      </c>
      <c r="J19">
        <f t="shared" ca="1" si="8"/>
        <v>92</v>
      </c>
      <c r="K19" t="str">
        <f t="shared" ca="1" si="9"/>
        <v/>
      </c>
      <c r="L19">
        <f t="shared" ca="1" si="10"/>
        <v>49.004999999999995</v>
      </c>
      <c r="M19">
        <f t="shared" ca="1" si="11"/>
        <v>37.669999999999995</v>
      </c>
      <c r="N19">
        <f t="shared" ca="1" si="12"/>
        <v>26.334999999999997</v>
      </c>
      <c r="O19" s="3">
        <f t="shared" ca="1" si="7"/>
        <v>15</v>
      </c>
      <c r="P19">
        <f t="shared" ca="1" si="13"/>
        <v>3.6650000000000027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114.60000000000001</v>
      </c>
      <c r="D20" s="3">
        <f t="shared" ca="1" si="1"/>
        <v>101.30000000000001</v>
      </c>
      <c r="E20" s="3">
        <f t="shared" ca="1" si="2"/>
        <v>88</v>
      </c>
      <c r="F20" s="3">
        <f t="shared" si="3"/>
        <v>74.7</v>
      </c>
      <c r="G20" s="3">
        <f t="shared" ca="1" si="4"/>
        <v>61.400000000000006</v>
      </c>
      <c r="H20" s="3">
        <f t="shared" ca="1" si="5"/>
        <v>48.1</v>
      </c>
      <c r="I20" s="3">
        <f t="shared" ca="1" si="6"/>
        <v>34.799999999999997</v>
      </c>
      <c r="J20">
        <f t="shared" ca="1" si="8"/>
        <v>92</v>
      </c>
      <c r="K20" t="str">
        <f t="shared" ca="1" si="9"/>
        <v/>
      </c>
      <c r="L20">
        <f t="shared" ca="1" si="10"/>
        <v>49.004999999999995</v>
      </c>
      <c r="M20">
        <f t="shared" ca="1" si="11"/>
        <v>37.669999999999995</v>
      </c>
      <c r="N20">
        <f t="shared" ca="1" si="12"/>
        <v>26.334999999999997</v>
      </c>
      <c r="O20" s="3">
        <f t="shared" ca="1" si="7"/>
        <v>15</v>
      </c>
      <c r="P20">
        <f t="shared" ca="1" si="13"/>
        <v>3.6650000000000027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114.60000000000001</v>
      </c>
      <c r="D21" s="3">
        <f t="shared" ca="1" si="1"/>
        <v>101.30000000000001</v>
      </c>
      <c r="E21" s="3">
        <f t="shared" ca="1" si="2"/>
        <v>88</v>
      </c>
      <c r="F21" s="3">
        <f t="shared" si="3"/>
        <v>74.7</v>
      </c>
      <c r="G21" s="3">
        <f t="shared" ca="1" si="4"/>
        <v>61.400000000000006</v>
      </c>
      <c r="H21" s="3">
        <f t="shared" ca="1" si="5"/>
        <v>48.1</v>
      </c>
      <c r="I21" s="3">
        <f t="shared" ca="1" si="6"/>
        <v>34.799999999999997</v>
      </c>
      <c r="J21">
        <f t="shared" ca="1" si="8"/>
        <v>92</v>
      </c>
      <c r="K21" t="str">
        <f t="shared" ca="1" si="9"/>
        <v/>
      </c>
      <c r="L21">
        <f t="shared" ca="1" si="10"/>
        <v>49.004999999999995</v>
      </c>
      <c r="M21">
        <f t="shared" ca="1" si="11"/>
        <v>37.669999999999995</v>
      </c>
      <c r="N21">
        <f t="shared" ca="1" si="12"/>
        <v>26.334999999999997</v>
      </c>
      <c r="O21" s="3">
        <f t="shared" ca="1" si="7"/>
        <v>15</v>
      </c>
      <c r="P21">
        <f t="shared" ca="1" si="13"/>
        <v>3.6650000000000027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114.60000000000001</v>
      </c>
      <c r="D22" s="3">
        <f t="shared" ca="1" si="1"/>
        <v>101.30000000000001</v>
      </c>
      <c r="E22" s="3">
        <f t="shared" ca="1" si="2"/>
        <v>88</v>
      </c>
      <c r="F22" s="3">
        <f t="shared" si="3"/>
        <v>74.7</v>
      </c>
      <c r="G22" s="3">
        <f t="shared" ca="1" si="4"/>
        <v>61.400000000000006</v>
      </c>
      <c r="H22" s="3">
        <f t="shared" ca="1" si="5"/>
        <v>48.1</v>
      </c>
      <c r="I22" s="3">
        <f t="shared" ca="1" si="6"/>
        <v>34.799999999999997</v>
      </c>
      <c r="J22">
        <f t="shared" ca="1" si="8"/>
        <v>92</v>
      </c>
      <c r="K22" t="str">
        <f t="shared" ca="1" si="9"/>
        <v/>
      </c>
      <c r="L22">
        <f t="shared" ca="1" si="10"/>
        <v>49.004999999999995</v>
      </c>
      <c r="M22">
        <f t="shared" ca="1" si="11"/>
        <v>37.669999999999995</v>
      </c>
      <c r="N22">
        <f t="shared" ca="1" si="12"/>
        <v>26.334999999999997</v>
      </c>
      <c r="O22" s="3">
        <f t="shared" ca="1" si="7"/>
        <v>15</v>
      </c>
      <c r="P22">
        <f t="shared" ca="1" si="13"/>
        <v>3.6650000000000027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114.60000000000001</v>
      </c>
      <c r="D23" s="3">
        <f t="shared" ca="1" si="1"/>
        <v>101.30000000000001</v>
      </c>
      <c r="E23" s="3">
        <f t="shared" ca="1" si="2"/>
        <v>88</v>
      </c>
      <c r="F23" s="3">
        <f t="shared" si="3"/>
        <v>74.7</v>
      </c>
      <c r="G23" s="3">
        <f t="shared" ca="1" si="4"/>
        <v>61.400000000000006</v>
      </c>
      <c r="H23" s="3">
        <f t="shared" ca="1" si="5"/>
        <v>48.1</v>
      </c>
      <c r="I23" s="3">
        <f t="shared" ca="1" si="6"/>
        <v>34.799999999999997</v>
      </c>
      <c r="J23">
        <f t="shared" ca="1" si="8"/>
        <v>92</v>
      </c>
      <c r="K23" t="str">
        <f t="shared" ca="1" si="9"/>
        <v/>
      </c>
      <c r="L23">
        <f t="shared" ca="1" si="10"/>
        <v>49.004999999999995</v>
      </c>
      <c r="M23">
        <f t="shared" ca="1" si="11"/>
        <v>37.669999999999995</v>
      </c>
      <c r="N23">
        <f t="shared" ca="1" si="12"/>
        <v>26.334999999999997</v>
      </c>
      <c r="O23" s="3">
        <f t="shared" ca="1" si="7"/>
        <v>15</v>
      </c>
      <c r="P23">
        <f t="shared" ca="1" si="13"/>
        <v>3.6650000000000027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114.60000000000001</v>
      </c>
      <c r="D24" s="3">
        <f t="shared" ca="1" si="1"/>
        <v>101.30000000000001</v>
      </c>
      <c r="E24" s="3">
        <f t="shared" ca="1" si="2"/>
        <v>88</v>
      </c>
      <c r="F24" s="3">
        <f t="shared" si="3"/>
        <v>74.7</v>
      </c>
      <c r="G24" s="3">
        <f t="shared" ca="1" si="4"/>
        <v>61.400000000000006</v>
      </c>
      <c r="H24" s="3">
        <f t="shared" ca="1" si="5"/>
        <v>48.1</v>
      </c>
      <c r="I24" s="3">
        <f t="shared" ca="1" si="6"/>
        <v>34.799999999999997</v>
      </c>
      <c r="J24">
        <f t="shared" ca="1" si="8"/>
        <v>92</v>
      </c>
      <c r="K24" t="str">
        <f t="shared" ca="1" si="9"/>
        <v/>
      </c>
      <c r="L24">
        <f t="shared" ca="1" si="10"/>
        <v>49.004999999999995</v>
      </c>
      <c r="M24">
        <f t="shared" ca="1" si="11"/>
        <v>37.669999999999995</v>
      </c>
      <c r="N24">
        <f t="shared" ca="1" si="12"/>
        <v>26.334999999999997</v>
      </c>
      <c r="O24" s="3">
        <f t="shared" ca="1" si="7"/>
        <v>15</v>
      </c>
      <c r="P24">
        <f t="shared" ca="1" si="13"/>
        <v>3.6650000000000027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114.60000000000001</v>
      </c>
      <c r="D25" s="3">
        <f t="shared" ca="1" si="1"/>
        <v>101.30000000000001</v>
      </c>
      <c r="E25" s="3">
        <f t="shared" ca="1" si="2"/>
        <v>88</v>
      </c>
      <c r="F25" s="3">
        <f t="shared" si="3"/>
        <v>74.7</v>
      </c>
      <c r="G25" s="3">
        <f t="shared" ca="1" si="4"/>
        <v>61.400000000000006</v>
      </c>
      <c r="H25" s="3">
        <f t="shared" ca="1" si="5"/>
        <v>48.1</v>
      </c>
      <c r="I25" s="3">
        <f t="shared" ca="1" si="6"/>
        <v>34.799999999999997</v>
      </c>
      <c r="J25">
        <f t="shared" ca="1" si="8"/>
        <v>92</v>
      </c>
      <c r="K25" t="str">
        <f t="shared" ca="1" si="9"/>
        <v/>
      </c>
      <c r="L25">
        <f t="shared" ca="1" si="10"/>
        <v>49.004999999999995</v>
      </c>
      <c r="M25">
        <f t="shared" ca="1" si="11"/>
        <v>37.669999999999995</v>
      </c>
      <c r="N25">
        <f t="shared" ca="1" si="12"/>
        <v>26.334999999999997</v>
      </c>
      <c r="O25" s="3">
        <f t="shared" ca="1" si="7"/>
        <v>15</v>
      </c>
      <c r="P25">
        <f t="shared" ca="1" si="13"/>
        <v>3.6650000000000027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114.60000000000001</v>
      </c>
      <c r="D26" s="3">
        <f t="shared" ca="1" si="1"/>
        <v>101.30000000000001</v>
      </c>
      <c r="E26" s="3">
        <f t="shared" ca="1" si="2"/>
        <v>88</v>
      </c>
      <c r="F26" s="3">
        <f t="shared" si="3"/>
        <v>74.7</v>
      </c>
      <c r="G26" s="3">
        <f t="shared" ca="1" si="4"/>
        <v>61.400000000000006</v>
      </c>
      <c r="H26" s="3">
        <f t="shared" ca="1" si="5"/>
        <v>48.1</v>
      </c>
      <c r="I26" s="3">
        <f t="shared" ca="1" si="6"/>
        <v>34.799999999999997</v>
      </c>
      <c r="J26">
        <f t="shared" ca="1" si="8"/>
        <v>92</v>
      </c>
      <c r="K26" t="str">
        <f t="shared" ca="1" si="9"/>
        <v/>
      </c>
      <c r="L26">
        <f t="shared" ca="1" si="10"/>
        <v>49.004999999999995</v>
      </c>
      <c r="M26">
        <f t="shared" ca="1" si="11"/>
        <v>37.669999999999995</v>
      </c>
      <c r="N26">
        <f t="shared" ca="1" si="12"/>
        <v>26.334999999999997</v>
      </c>
      <c r="O26" s="3">
        <f t="shared" ca="1" si="7"/>
        <v>15</v>
      </c>
      <c r="P26">
        <f t="shared" ca="1" si="13"/>
        <v>3.6650000000000027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114.60000000000001</v>
      </c>
      <c r="D27" s="3">
        <f t="shared" ca="1" si="1"/>
        <v>101.30000000000001</v>
      </c>
      <c r="E27" s="3">
        <f t="shared" ca="1" si="2"/>
        <v>88</v>
      </c>
      <c r="F27" s="3">
        <f t="shared" si="3"/>
        <v>74.7</v>
      </c>
      <c r="G27" s="3">
        <f t="shared" ca="1" si="4"/>
        <v>61.400000000000006</v>
      </c>
      <c r="H27" s="3">
        <f t="shared" ca="1" si="5"/>
        <v>48.1</v>
      </c>
      <c r="I27" s="3">
        <f t="shared" ca="1" si="6"/>
        <v>34.799999999999997</v>
      </c>
      <c r="J27">
        <f t="shared" ca="1" si="8"/>
        <v>92</v>
      </c>
      <c r="K27" t="str">
        <f t="shared" ca="1" si="9"/>
        <v/>
      </c>
      <c r="L27">
        <f t="shared" ca="1" si="10"/>
        <v>49.004999999999995</v>
      </c>
      <c r="M27">
        <f t="shared" ca="1" si="11"/>
        <v>37.669999999999995</v>
      </c>
      <c r="N27">
        <f t="shared" ca="1" si="12"/>
        <v>26.334999999999997</v>
      </c>
      <c r="O27" s="3">
        <f t="shared" ca="1" si="7"/>
        <v>15</v>
      </c>
      <c r="P27">
        <f t="shared" ca="1" si="13"/>
        <v>3.6650000000000027</v>
      </c>
      <c r="Q27">
        <f t="shared" ca="1" si="14"/>
        <v>0</v>
      </c>
      <c r="R27">
        <v>0</v>
      </c>
    </row>
    <row r="28" spans="2:18" ht="14" customHeight="1" x14ac:dyDescent="0.2">
      <c r="B28" s="3"/>
      <c r="C28" s="3">
        <f t="shared" ca="1" si="0"/>
        <v>114.60000000000001</v>
      </c>
      <c r="D28" s="3">
        <f t="shared" ca="1" si="1"/>
        <v>101.30000000000001</v>
      </c>
      <c r="E28" s="3">
        <f t="shared" ca="1" si="2"/>
        <v>88</v>
      </c>
      <c r="F28" s="3">
        <f t="shared" si="3"/>
        <v>74.7</v>
      </c>
      <c r="G28" s="3">
        <f t="shared" ca="1" si="4"/>
        <v>61.400000000000006</v>
      </c>
      <c r="H28" s="3">
        <f t="shared" ca="1" si="5"/>
        <v>48.1</v>
      </c>
      <c r="I28" s="3">
        <f t="shared" ca="1" si="6"/>
        <v>34.799999999999997</v>
      </c>
      <c r="J28">
        <f t="shared" ca="1" si="8"/>
        <v>92</v>
      </c>
      <c r="K28" t="str">
        <f t="shared" ca="1" si="9"/>
        <v/>
      </c>
      <c r="L28">
        <f t="shared" ca="1" si="10"/>
        <v>49.004999999999995</v>
      </c>
      <c r="M28">
        <f t="shared" ca="1" si="11"/>
        <v>37.669999999999995</v>
      </c>
      <c r="N28">
        <f t="shared" ca="1" si="12"/>
        <v>26.334999999999997</v>
      </c>
      <c r="O28" s="3">
        <f t="shared" ca="1" si="7"/>
        <v>15</v>
      </c>
      <c r="P28">
        <f t="shared" ca="1" si="13"/>
        <v>3.6650000000000027</v>
      </c>
      <c r="Q28">
        <f t="shared" ca="1" si="14"/>
        <v>0</v>
      </c>
      <c r="R28">
        <v>0</v>
      </c>
    </row>
    <row r="29" spans="2:18" ht="14" customHeight="1" x14ac:dyDescent="0.2">
      <c r="B29" s="3"/>
      <c r="C29" s="3">
        <f t="shared" ca="1" si="0"/>
        <v>114.60000000000001</v>
      </c>
      <c r="D29" s="3">
        <f t="shared" ca="1" si="1"/>
        <v>101.30000000000001</v>
      </c>
      <c r="E29" s="3">
        <f t="shared" ca="1" si="2"/>
        <v>88</v>
      </c>
      <c r="F29" s="3">
        <f t="shared" si="3"/>
        <v>74.7</v>
      </c>
      <c r="G29" s="3">
        <f t="shared" ca="1" si="4"/>
        <v>61.400000000000006</v>
      </c>
      <c r="H29" s="3">
        <f t="shared" ca="1" si="5"/>
        <v>48.1</v>
      </c>
      <c r="I29" s="3">
        <f t="shared" ca="1" si="6"/>
        <v>34.799999999999997</v>
      </c>
      <c r="J29">
        <f t="shared" ca="1" si="8"/>
        <v>92</v>
      </c>
      <c r="K29" t="str">
        <f t="shared" ca="1" si="9"/>
        <v/>
      </c>
      <c r="L29">
        <f t="shared" ca="1" si="10"/>
        <v>49.004999999999995</v>
      </c>
      <c r="M29">
        <f t="shared" ca="1" si="11"/>
        <v>37.669999999999995</v>
      </c>
      <c r="N29">
        <f t="shared" ca="1" si="12"/>
        <v>26.334999999999997</v>
      </c>
      <c r="O29" s="3">
        <f t="shared" ca="1" si="7"/>
        <v>15</v>
      </c>
      <c r="P29">
        <f t="shared" ca="1" si="13"/>
        <v>3.6650000000000027</v>
      </c>
      <c r="Q29">
        <f t="shared" ca="1" si="14"/>
        <v>0</v>
      </c>
      <c r="R29">
        <v>0</v>
      </c>
    </row>
    <row r="30" spans="2:18" ht="14" customHeight="1" x14ac:dyDescent="0.2">
      <c r="B30" s="3"/>
      <c r="C30" s="3">
        <f t="shared" ca="1" si="0"/>
        <v>114.60000000000001</v>
      </c>
      <c r="D30" s="3">
        <f t="shared" ca="1" si="1"/>
        <v>101.30000000000001</v>
      </c>
      <c r="E30" s="3">
        <f t="shared" ca="1" si="2"/>
        <v>88</v>
      </c>
      <c r="F30" s="3">
        <f t="shared" si="3"/>
        <v>74.7</v>
      </c>
      <c r="G30" s="3">
        <f t="shared" ca="1" si="4"/>
        <v>61.400000000000006</v>
      </c>
      <c r="H30" s="3">
        <f t="shared" ca="1" si="5"/>
        <v>48.1</v>
      </c>
      <c r="I30" s="3">
        <f t="shared" ca="1" si="6"/>
        <v>34.799999999999997</v>
      </c>
      <c r="J30">
        <f t="shared" ca="1" si="8"/>
        <v>92</v>
      </c>
      <c r="K30" t="str">
        <f t="shared" ca="1" si="9"/>
        <v/>
      </c>
      <c r="L30">
        <f t="shared" ca="1" si="10"/>
        <v>49.004999999999995</v>
      </c>
      <c r="M30">
        <f t="shared" ca="1" si="11"/>
        <v>37.669999999999995</v>
      </c>
      <c r="N30">
        <f t="shared" ca="1" si="12"/>
        <v>26.334999999999997</v>
      </c>
      <c r="O30" s="3">
        <f t="shared" ca="1" si="7"/>
        <v>15</v>
      </c>
      <c r="P30">
        <f t="shared" ca="1" si="13"/>
        <v>3.6650000000000027</v>
      </c>
      <c r="Q30">
        <f t="shared" ca="1" si="14"/>
        <v>0</v>
      </c>
      <c r="R30">
        <v>0</v>
      </c>
    </row>
    <row r="31" spans="2:18" ht="14" customHeight="1" x14ac:dyDescent="0.2">
      <c r="B31" s="3"/>
      <c r="C31" s="3">
        <f t="shared" ca="1" si="0"/>
        <v>114.60000000000001</v>
      </c>
      <c r="D31" s="3">
        <f t="shared" ca="1" si="1"/>
        <v>101.30000000000001</v>
      </c>
      <c r="E31" s="3">
        <f t="shared" ca="1" si="2"/>
        <v>88</v>
      </c>
      <c r="F31" s="3">
        <f t="shared" si="3"/>
        <v>74.7</v>
      </c>
      <c r="G31" s="3">
        <f t="shared" ca="1" si="4"/>
        <v>61.400000000000006</v>
      </c>
      <c r="H31" s="3">
        <f t="shared" ca="1" si="5"/>
        <v>48.1</v>
      </c>
      <c r="I31" s="3">
        <f t="shared" ca="1" si="6"/>
        <v>34.799999999999997</v>
      </c>
      <c r="J31">
        <f t="shared" ca="1" si="8"/>
        <v>92</v>
      </c>
      <c r="K31" t="str">
        <f t="shared" ca="1" si="9"/>
        <v/>
      </c>
      <c r="L31">
        <f t="shared" ca="1" si="10"/>
        <v>49.004999999999995</v>
      </c>
      <c r="M31">
        <f t="shared" ca="1" si="11"/>
        <v>37.669999999999995</v>
      </c>
      <c r="N31">
        <f t="shared" ca="1" si="12"/>
        <v>26.334999999999997</v>
      </c>
      <c r="O31" s="3">
        <f t="shared" ca="1" si="7"/>
        <v>15</v>
      </c>
      <c r="P31">
        <f t="shared" ca="1" si="13"/>
        <v>3.6650000000000027</v>
      </c>
      <c r="Q31">
        <f t="shared" ca="1" si="14"/>
        <v>0</v>
      </c>
      <c r="R31">
        <v>0</v>
      </c>
    </row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316C-EBE4-7C49-82CE-148FD878EB1E}">
  <sheetPr>
    <tabColor rgb="FF66FF66"/>
    <pageSetUpPr fitToPage="1"/>
  </sheetPr>
  <dimension ref="A1:Z52"/>
  <sheetViews>
    <sheetView zoomScale="174" zoomScaleNormal="174" workbookViewId="0">
      <selection activeCell="V26" sqref="V26"/>
    </sheetView>
  </sheetViews>
  <sheetFormatPr baseColWidth="10" defaultRowHeight="16" x14ac:dyDescent="0.2"/>
  <cols>
    <col min="1" max="1" width="10.83203125" customWidth="1"/>
    <col min="2" max="21" width="6.5" customWidth="1"/>
  </cols>
  <sheetData>
    <row r="1" spans="1:26" ht="14" customHeight="1" x14ac:dyDescent="0.2">
      <c r="A1" t="s">
        <v>13</v>
      </c>
      <c r="B1" s="3" t="s">
        <v>15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-41.642424242424255</v>
      </c>
      <c r="W1" t="s">
        <v>20</v>
      </c>
      <c r="X1">
        <f>INDEX(LINEST($B$2:$B$11,,,TRUE),1,2)</f>
        <v>746.13333333333344</v>
      </c>
      <c r="Y1" t="s">
        <v>21</v>
      </c>
      <c r="Z1">
        <f>INDEX(LINEST($B$2:$B$11,,,TRUE),3,1)</f>
        <v>0.82553437761926773</v>
      </c>
    </row>
    <row r="2" spans="1:26" ht="14" customHeight="1" x14ac:dyDescent="0.2">
      <c r="A2">
        <v>2016</v>
      </c>
      <c r="B2" s="3">
        <v>729</v>
      </c>
      <c r="C2" s="3">
        <f t="shared" ref="C2:C31" ca="1" si="0">F2+2.66*O2</f>
        <v>886.84868686868697</v>
      </c>
      <c r="D2" s="3">
        <f t="shared" ref="D2:D31" ca="1" si="1">F2+(2/3)*2.66*O2</f>
        <v>826.06276094276109</v>
      </c>
      <c r="E2" s="3">
        <f t="shared" ref="E2:E31" ca="1" si="2">F2+(1/3)*2.66*O2</f>
        <v>765.27683501683509</v>
      </c>
      <c r="F2" s="3">
        <f t="shared" ref="F2:F31" si="3">INDEX(LINEST($B$2:$B$11,,,TRUE),1,1)* S2 +INDEX(LINEST($B$2:$B$11,,,TRUE),1,2)</f>
        <v>704.49090909090921</v>
      </c>
      <c r="G2" s="3">
        <f t="shared" ref="G2:G31" ca="1" si="4">F2-(1/3)*2.66*O2</f>
        <v>643.70498316498333</v>
      </c>
      <c r="H2" s="3">
        <f t="shared" ref="H2:H31" ca="1" si="5">F2-(2/3)*2.66*O2</f>
        <v>582.91905723905734</v>
      </c>
      <c r="I2" s="3">
        <f t="shared" ref="I2:I31" ca="1" si="6">F2-2.66*O2</f>
        <v>522.13313131313146</v>
      </c>
      <c r="J2" s="3">
        <f>B2</f>
        <v>729</v>
      </c>
      <c r="K2" s="3"/>
      <c r="L2" s="3"/>
      <c r="M2" s="3"/>
      <c r="N2" s="3"/>
      <c r="O2" s="3">
        <f t="shared" ref="O2:O31" ca="1" si="7">AVERAGE($K$3:$K$11)</f>
        <v>68.555555555555557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695</v>
      </c>
      <c r="C3" s="3">
        <f t="shared" ca="1" si="0"/>
        <v>845.20626262626274</v>
      </c>
      <c r="D3" s="3">
        <f t="shared" ca="1" si="1"/>
        <v>784.42033670033686</v>
      </c>
      <c r="E3" s="3">
        <f t="shared" ca="1" si="2"/>
        <v>723.63441077441087</v>
      </c>
      <c r="F3" s="3">
        <f t="shared" si="3"/>
        <v>662.84848484848499</v>
      </c>
      <c r="G3" s="3">
        <f t="shared" ca="1" si="4"/>
        <v>602.06255892255911</v>
      </c>
      <c r="H3" s="3">
        <f t="shared" ca="1" si="5"/>
        <v>541.27663299663311</v>
      </c>
      <c r="I3" s="3">
        <f t="shared" ca="1" si="6"/>
        <v>480.49070707070723</v>
      </c>
      <c r="J3">
        <f t="shared" ref="J3:J31" ca="1" si="8">IF(ISBLANK(B3),OFFSET(J3,-1,0,1,1),B3)</f>
        <v>695</v>
      </c>
      <c r="K3" s="3">
        <f t="shared" ref="K3:K31" ca="1" si="9">IF(OR(OFFSET(K3,-1,-9,1,1)="",OFFSET(K3,0,-9,1,1)=""),"",IF(ISERROR(ABS(B3-OFFSET(K3,-1,-1,1,1))),"",ABS(B3-OFFSET(K3,-1,-1,1,1))))</f>
        <v>34</v>
      </c>
      <c r="L3" s="3">
        <f t="shared" ref="L3:L31" ca="1" si="10">3.267*O3</f>
        <v>223.971</v>
      </c>
      <c r="M3" s="3">
        <f t="shared" ref="M3:M31" ca="1" si="11">(2/3)*(L3-O3)+O3</f>
        <v>172.16585185185187</v>
      </c>
      <c r="N3" s="3">
        <f t="shared" ref="N3:N31" ca="1" si="12">(1/3)*(L3-O3)+O3</f>
        <v>120.36070370370371</v>
      </c>
      <c r="O3" s="3">
        <f t="shared" ca="1" si="7"/>
        <v>68.555555555555557</v>
      </c>
      <c r="P3" s="3">
        <f t="shared" ref="P3:P31" ca="1" si="13">(MAX(O3-(1/3)*(L3-O3),0))</f>
        <v>16.750407407407408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671</v>
      </c>
      <c r="C4" s="3">
        <f t="shared" ca="1" si="0"/>
        <v>803.5638383838384</v>
      </c>
      <c r="D4" s="3">
        <f t="shared" ca="1" si="1"/>
        <v>742.77791245791252</v>
      </c>
      <c r="E4" s="3">
        <f t="shared" ca="1" si="2"/>
        <v>681.99198653198653</v>
      </c>
      <c r="F4" s="3">
        <f t="shared" si="3"/>
        <v>621.20606060606065</v>
      </c>
      <c r="G4" s="3">
        <f t="shared" ca="1" si="4"/>
        <v>560.42013468013477</v>
      </c>
      <c r="H4" s="3">
        <f t="shared" ca="1" si="5"/>
        <v>499.63420875420877</v>
      </c>
      <c r="I4" s="3">
        <f t="shared" ca="1" si="6"/>
        <v>438.84828282828289</v>
      </c>
      <c r="J4">
        <f t="shared" ca="1" si="8"/>
        <v>671</v>
      </c>
      <c r="K4" s="3">
        <f t="shared" ca="1" si="9"/>
        <v>24</v>
      </c>
      <c r="L4" s="3">
        <f t="shared" ca="1" si="10"/>
        <v>223.971</v>
      </c>
      <c r="M4" s="3">
        <f t="shared" ca="1" si="11"/>
        <v>172.16585185185187</v>
      </c>
      <c r="N4" s="3">
        <f t="shared" ca="1" si="12"/>
        <v>120.36070370370371</v>
      </c>
      <c r="O4" s="3">
        <f t="shared" ca="1" si="7"/>
        <v>68.555555555555557</v>
      </c>
      <c r="P4" s="3">
        <f t="shared" ca="1" si="13"/>
        <v>16.750407407407408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560</v>
      </c>
      <c r="C5" s="3">
        <f t="shared" ca="1" si="0"/>
        <v>761.92141414141417</v>
      </c>
      <c r="D5" s="3">
        <f t="shared" ca="1" si="1"/>
        <v>701.13548821548829</v>
      </c>
      <c r="E5" s="3">
        <f t="shared" ca="1" si="2"/>
        <v>640.3495622895623</v>
      </c>
      <c r="F5" s="3">
        <f t="shared" si="3"/>
        <v>579.56363636363642</v>
      </c>
      <c r="G5" s="3">
        <f t="shared" ca="1" si="4"/>
        <v>518.77771043771054</v>
      </c>
      <c r="H5" s="3">
        <f t="shared" ca="1" si="5"/>
        <v>457.99178451178454</v>
      </c>
      <c r="I5" s="3">
        <f t="shared" ca="1" si="6"/>
        <v>397.20585858585866</v>
      </c>
      <c r="J5">
        <f t="shared" ca="1" si="8"/>
        <v>560</v>
      </c>
      <c r="K5" s="3">
        <f t="shared" ca="1" si="9"/>
        <v>111</v>
      </c>
      <c r="L5" s="3">
        <f t="shared" ca="1" si="10"/>
        <v>223.971</v>
      </c>
      <c r="M5" s="3">
        <f t="shared" ca="1" si="11"/>
        <v>172.16585185185187</v>
      </c>
      <c r="N5" s="3">
        <f t="shared" ca="1" si="12"/>
        <v>120.36070370370371</v>
      </c>
      <c r="O5" s="3">
        <f t="shared" ca="1" si="7"/>
        <v>68.555555555555557</v>
      </c>
      <c r="P5" s="3">
        <f t="shared" ca="1" si="13"/>
        <v>16.750407407407408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460</v>
      </c>
      <c r="C6" s="3">
        <f t="shared" ca="1" si="0"/>
        <v>720.27898989898995</v>
      </c>
      <c r="D6" s="3">
        <f t="shared" ca="1" si="1"/>
        <v>659.49306397306407</v>
      </c>
      <c r="E6" s="3">
        <f t="shared" ca="1" si="2"/>
        <v>598.70713804713807</v>
      </c>
      <c r="F6" s="3">
        <f t="shared" si="3"/>
        <v>537.92121212121219</v>
      </c>
      <c r="G6" s="3">
        <f t="shared" ca="1" si="4"/>
        <v>477.13528619528626</v>
      </c>
      <c r="H6" s="3">
        <f t="shared" ca="1" si="5"/>
        <v>416.34936026936032</v>
      </c>
      <c r="I6" s="3">
        <f t="shared" ca="1" si="6"/>
        <v>355.56343434343444</v>
      </c>
      <c r="J6">
        <f t="shared" ca="1" si="8"/>
        <v>460</v>
      </c>
      <c r="K6" s="3">
        <f t="shared" ca="1" si="9"/>
        <v>100</v>
      </c>
      <c r="L6" s="3">
        <f t="shared" ca="1" si="10"/>
        <v>223.971</v>
      </c>
      <c r="M6" s="3">
        <f t="shared" ca="1" si="11"/>
        <v>172.16585185185187</v>
      </c>
      <c r="N6" s="3">
        <f t="shared" ca="1" si="12"/>
        <v>120.36070370370371</v>
      </c>
      <c r="O6" s="3">
        <f t="shared" ca="1" si="7"/>
        <v>68.555555555555557</v>
      </c>
      <c r="P6" s="3">
        <f t="shared" ca="1" si="13"/>
        <v>16.750407407407408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372</v>
      </c>
      <c r="C7" s="3">
        <f t="shared" ca="1" si="0"/>
        <v>678.63656565656572</v>
      </c>
      <c r="D7" s="3">
        <f t="shared" ca="1" si="1"/>
        <v>617.85063973063973</v>
      </c>
      <c r="E7" s="3">
        <f t="shared" ca="1" si="2"/>
        <v>557.06471380471385</v>
      </c>
      <c r="F7" s="3">
        <f t="shared" si="3"/>
        <v>496.27878787878791</v>
      </c>
      <c r="G7" s="3">
        <f t="shared" ca="1" si="4"/>
        <v>435.49286195286197</v>
      </c>
      <c r="H7" s="3">
        <f t="shared" ca="1" si="5"/>
        <v>374.70693602693603</v>
      </c>
      <c r="I7" s="3">
        <f t="shared" ca="1" si="6"/>
        <v>313.9210101010101</v>
      </c>
      <c r="J7">
        <f t="shared" ca="1" si="8"/>
        <v>372</v>
      </c>
      <c r="K7" s="3">
        <f t="shared" ca="1" si="9"/>
        <v>88</v>
      </c>
      <c r="L7" s="3">
        <f t="shared" ca="1" si="10"/>
        <v>223.971</v>
      </c>
      <c r="M7" s="3">
        <f t="shared" ca="1" si="11"/>
        <v>172.16585185185187</v>
      </c>
      <c r="N7" s="3">
        <f t="shared" ca="1" si="12"/>
        <v>120.36070370370371</v>
      </c>
      <c r="O7" s="3">
        <f t="shared" ca="1" si="7"/>
        <v>68.555555555555557</v>
      </c>
      <c r="P7" s="3">
        <f t="shared" ca="1" si="13"/>
        <v>16.750407407407408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501</v>
      </c>
      <c r="C8" s="3">
        <f t="shared" ca="1" si="0"/>
        <v>636.99414141414138</v>
      </c>
      <c r="D8" s="3">
        <f t="shared" ca="1" si="1"/>
        <v>576.2082154882155</v>
      </c>
      <c r="E8" s="3">
        <f t="shared" ca="1" si="2"/>
        <v>515.42228956228951</v>
      </c>
      <c r="F8" s="3">
        <f t="shared" si="3"/>
        <v>454.63636363636363</v>
      </c>
      <c r="G8" s="3">
        <f t="shared" ca="1" si="4"/>
        <v>393.85043771043769</v>
      </c>
      <c r="H8" s="3">
        <f t="shared" ca="1" si="5"/>
        <v>333.06451178451175</v>
      </c>
      <c r="I8" s="3">
        <f t="shared" ca="1" si="6"/>
        <v>272.27858585858587</v>
      </c>
      <c r="J8">
        <f t="shared" ca="1" si="8"/>
        <v>501</v>
      </c>
      <c r="K8" s="3">
        <f t="shared" ca="1" si="9"/>
        <v>129</v>
      </c>
      <c r="L8" s="3">
        <f t="shared" ca="1" si="10"/>
        <v>223.971</v>
      </c>
      <c r="M8" s="3">
        <f t="shared" ca="1" si="11"/>
        <v>172.16585185185187</v>
      </c>
      <c r="N8" s="3">
        <f t="shared" ca="1" si="12"/>
        <v>120.36070370370371</v>
      </c>
      <c r="O8" s="3">
        <f t="shared" ca="1" si="7"/>
        <v>68.555555555555557</v>
      </c>
      <c r="P8" s="3">
        <f t="shared" ca="1" si="13"/>
        <v>16.750407407407408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423</v>
      </c>
      <c r="C9" s="3">
        <f t="shared" ca="1" si="0"/>
        <v>595.35171717171715</v>
      </c>
      <c r="D9" s="3">
        <f t="shared" ca="1" si="1"/>
        <v>534.56579124579127</v>
      </c>
      <c r="E9" s="3">
        <f t="shared" ca="1" si="2"/>
        <v>473.77986531986534</v>
      </c>
      <c r="F9" s="3">
        <f t="shared" si="3"/>
        <v>412.9939393939394</v>
      </c>
      <c r="G9" s="3">
        <f t="shared" ca="1" si="4"/>
        <v>352.20801346801346</v>
      </c>
      <c r="H9" s="3">
        <f t="shared" ca="1" si="5"/>
        <v>291.42208754208752</v>
      </c>
      <c r="I9" s="3">
        <f t="shared" ca="1" si="6"/>
        <v>230.63616161616162</v>
      </c>
      <c r="J9">
        <f t="shared" ca="1" si="8"/>
        <v>423</v>
      </c>
      <c r="K9" s="3">
        <f t="shared" ca="1" si="9"/>
        <v>78</v>
      </c>
      <c r="L9" s="3">
        <f t="shared" ca="1" si="10"/>
        <v>223.971</v>
      </c>
      <c r="M9" s="3">
        <f t="shared" ca="1" si="11"/>
        <v>172.16585185185187</v>
      </c>
      <c r="N9" s="3">
        <f t="shared" ca="1" si="12"/>
        <v>120.36070370370371</v>
      </c>
      <c r="O9" s="3">
        <f t="shared" ca="1" si="7"/>
        <v>68.555555555555557</v>
      </c>
      <c r="P9" s="3">
        <f t="shared" ca="1" si="13"/>
        <v>16.750407407407408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390</v>
      </c>
      <c r="C10" s="3">
        <f t="shared" ca="1" si="0"/>
        <v>553.70929292929293</v>
      </c>
      <c r="D10" s="3">
        <f t="shared" ca="1" si="1"/>
        <v>492.92336700336705</v>
      </c>
      <c r="E10" s="3">
        <f t="shared" ca="1" si="2"/>
        <v>432.13744107744111</v>
      </c>
      <c r="F10" s="3">
        <f t="shared" si="3"/>
        <v>371.35151515151517</v>
      </c>
      <c r="G10" s="3">
        <f t="shared" ca="1" si="4"/>
        <v>310.56558922558924</v>
      </c>
      <c r="H10" s="3">
        <f t="shared" ca="1" si="5"/>
        <v>249.7796632996633</v>
      </c>
      <c r="I10" s="3">
        <f t="shared" ca="1" si="6"/>
        <v>188.99373737373739</v>
      </c>
      <c r="J10">
        <f t="shared" ca="1" si="8"/>
        <v>390</v>
      </c>
      <c r="K10" s="3">
        <f t="shared" ca="1" si="9"/>
        <v>33</v>
      </c>
      <c r="L10" s="3">
        <f t="shared" ca="1" si="10"/>
        <v>223.971</v>
      </c>
      <c r="M10" s="3">
        <f t="shared" ca="1" si="11"/>
        <v>172.16585185185187</v>
      </c>
      <c r="N10" s="3">
        <f t="shared" ca="1" si="12"/>
        <v>120.36070370370371</v>
      </c>
      <c r="O10" s="3">
        <f t="shared" ca="1" si="7"/>
        <v>68.555555555555557</v>
      </c>
      <c r="P10" s="3">
        <f t="shared" ca="1" si="13"/>
        <v>16.750407407407408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370</v>
      </c>
      <c r="C11" s="3">
        <f t="shared" ca="1" si="0"/>
        <v>512.0668686868687</v>
      </c>
      <c r="D11" s="3">
        <f t="shared" ca="1" si="1"/>
        <v>451.28094276094276</v>
      </c>
      <c r="E11" s="3">
        <f t="shared" ca="1" si="2"/>
        <v>390.49501683501683</v>
      </c>
      <c r="F11" s="3">
        <f t="shared" si="3"/>
        <v>329.70909090909089</v>
      </c>
      <c r="G11" s="3">
        <f t="shared" ca="1" si="4"/>
        <v>268.92316498316495</v>
      </c>
      <c r="H11" s="3">
        <f t="shared" ca="1" si="5"/>
        <v>208.13723905723901</v>
      </c>
      <c r="I11" s="3">
        <f t="shared" ca="1" si="6"/>
        <v>147.35131313131311</v>
      </c>
      <c r="J11">
        <f t="shared" ca="1" si="8"/>
        <v>370</v>
      </c>
      <c r="K11" s="3">
        <f t="shared" ca="1" si="9"/>
        <v>20</v>
      </c>
      <c r="L11" s="3">
        <f t="shared" ca="1" si="10"/>
        <v>223.971</v>
      </c>
      <c r="M11" s="3">
        <f t="shared" ca="1" si="11"/>
        <v>172.16585185185187</v>
      </c>
      <c r="N11" s="3">
        <f t="shared" ca="1" si="12"/>
        <v>120.36070370370371</v>
      </c>
      <c r="O11" s="3">
        <f t="shared" ca="1" si="7"/>
        <v>68.555555555555557</v>
      </c>
      <c r="P11" s="3">
        <f t="shared" ca="1" si="13"/>
        <v>16.750407407407408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470.42444444444436</v>
      </c>
      <c r="D12">
        <f t="shared" ca="1" si="1"/>
        <v>409.63851851851848</v>
      </c>
      <c r="E12">
        <f t="shared" ca="1" si="2"/>
        <v>348.85259259259254</v>
      </c>
      <c r="F12">
        <f t="shared" si="3"/>
        <v>288.06666666666661</v>
      </c>
      <c r="G12">
        <f t="shared" ca="1" si="4"/>
        <v>227.28074074074067</v>
      </c>
      <c r="H12">
        <f t="shared" ca="1" si="5"/>
        <v>166.49481481481473</v>
      </c>
      <c r="I12">
        <f t="shared" ca="1" si="6"/>
        <v>105.70888888888882</v>
      </c>
      <c r="J12">
        <f t="shared" ca="1" si="8"/>
        <v>370</v>
      </c>
      <c r="L12">
        <f t="shared" ca="1" si="10"/>
        <v>223.971</v>
      </c>
      <c r="M12">
        <f t="shared" ca="1" si="11"/>
        <v>172.16585185185187</v>
      </c>
      <c r="N12">
        <f t="shared" ca="1" si="12"/>
        <v>120.36070370370371</v>
      </c>
      <c r="O12" s="3">
        <f t="shared" ca="1" si="7"/>
        <v>68.555555555555557</v>
      </c>
      <c r="P12">
        <f t="shared" ca="1" si="13"/>
        <v>16.750407407407408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428.78202020202014</v>
      </c>
      <c r="D13">
        <f t="shared" ca="1" si="1"/>
        <v>367.99609427609425</v>
      </c>
      <c r="E13">
        <f t="shared" ca="1" si="2"/>
        <v>307.21016835016832</v>
      </c>
      <c r="F13">
        <f t="shared" si="3"/>
        <v>246.42424242424238</v>
      </c>
      <c r="G13">
        <f t="shared" ca="1" si="4"/>
        <v>185.63831649831644</v>
      </c>
      <c r="H13">
        <f t="shared" ca="1" si="5"/>
        <v>124.85239057239052</v>
      </c>
      <c r="I13">
        <f t="shared" ca="1" si="6"/>
        <v>64.066464646464595</v>
      </c>
      <c r="J13">
        <f t="shared" ca="1" si="8"/>
        <v>370</v>
      </c>
      <c r="K13" t="str">
        <f t="shared" ca="1" si="9"/>
        <v/>
      </c>
      <c r="L13">
        <f t="shared" ca="1" si="10"/>
        <v>223.971</v>
      </c>
      <c r="M13">
        <f t="shared" ca="1" si="11"/>
        <v>172.16585185185187</v>
      </c>
      <c r="N13">
        <f t="shared" ca="1" si="12"/>
        <v>120.36070370370371</v>
      </c>
      <c r="O13" s="3">
        <f t="shared" ca="1" si="7"/>
        <v>68.555555555555557</v>
      </c>
      <c r="P13">
        <f t="shared" ca="1" si="13"/>
        <v>16.750407407407408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387.13959595959591</v>
      </c>
      <c r="D14">
        <f t="shared" ca="1" si="1"/>
        <v>326.35367003367003</v>
      </c>
      <c r="E14">
        <f t="shared" ca="1" si="2"/>
        <v>265.56774410774409</v>
      </c>
      <c r="F14">
        <f t="shared" si="3"/>
        <v>204.78181818181815</v>
      </c>
      <c r="G14">
        <f t="shared" ca="1" si="4"/>
        <v>143.99589225589222</v>
      </c>
      <c r="H14">
        <f t="shared" ca="1" si="5"/>
        <v>83.209966329966292</v>
      </c>
      <c r="I14">
        <f t="shared" ca="1" si="6"/>
        <v>22.424040404040369</v>
      </c>
      <c r="J14">
        <f t="shared" ca="1" si="8"/>
        <v>370</v>
      </c>
      <c r="K14" t="str">
        <f t="shared" ca="1" si="9"/>
        <v/>
      </c>
      <c r="L14">
        <f t="shared" ca="1" si="10"/>
        <v>223.971</v>
      </c>
      <c r="M14">
        <f t="shared" ca="1" si="11"/>
        <v>172.16585185185187</v>
      </c>
      <c r="N14">
        <f t="shared" ca="1" si="12"/>
        <v>120.36070370370371</v>
      </c>
      <c r="O14" s="3">
        <f t="shared" ca="1" si="7"/>
        <v>68.555555555555557</v>
      </c>
      <c r="P14">
        <f t="shared" ca="1" si="13"/>
        <v>16.750407407407408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345.49717171717157</v>
      </c>
      <c r="D15">
        <f t="shared" ca="1" si="1"/>
        <v>284.71124579124569</v>
      </c>
      <c r="E15">
        <f t="shared" ca="1" si="2"/>
        <v>223.92531986531975</v>
      </c>
      <c r="F15">
        <f t="shared" si="3"/>
        <v>163.13939393939381</v>
      </c>
      <c r="G15">
        <f t="shared" ca="1" si="4"/>
        <v>102.35346801346788</v>
      </c>
      <c r="H15">
        <f t="shared" ca="1" si="5"/>
        <v>41.567542087541952</v>
      </c>
      <c r="I15">
        <f t="shared" ca="1" si="6"/>
        <v>-19.218383838383971</v>
      </c>
      <c r="J15">
        <f t="shared" ca="1" si="8"/>
        <v>370</v>
      </c>
      <c r="K15" t="str">
        <f t="shared" ca="1" si="9"/>
        <v/>
      </c>
      <c r="L15">
        <f t="shared" ca="1" si="10"/>
        <v>223.971</v>
      </c>
      <c r="M15">
        <f t="shared" ca="1" si="11"/>
        <v>172.16585185185187</v>
      </c>
      <c r="N15">
        <f t="shared" ca="1" si="12"/>
        <v>120.36070370370371</v>
      </c>
      <c r="O15" s="3">
        <f t="shared" ca="1" si="7"/>
        <v>68.555555555555557</v>
      </c>
      <c r="P15">
        <f t="shared" ca="1" si="13"/>
        <v>16.750407407407408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303.85474747474734</v>
      </c>
      <c r="D16">
        <f t="shared" ca="1" si="1"/>
        <v>243.06882154882146</v>
      </c>
      <c r="E16">
        <f t="shared" ca="1" si="2"/>
        <v>182.28289562289552</v>
      </c>
      <c r="F16">
        <f t="shared" si="3"/>
        <v>121.49696969696959</v>
      </c>
      <c r="G16">
        <f t="shared" ca="1" si="4"/>
        <v>60.711043771043656</v>
      </c>
      <c r="H16">
        <f t="shared" ca="1" si="5"/>
        <v>-7.4882154882274676E-2</v>
      </c>
      <c r="I16">
        <f t="shared" ca="1" si="6"/>
        <v>-60.860808080808198</v>
      </c>
      <c r="J16">
        <f t="shared" ca="1" si="8"/>
        <v>370</v>
      </c>
      <c r="K16" t="str">
        <f t="shared" ca="1" si="9"/>
        <v/>
      </c>
      <c r="L16">
        <f t="shared" ca="1" si="10"/>
        <v>223.971</v>
      </c>
      <c r="M16">
        <f t="shared" ca="1" si="11"/>
        <v>172.16585185185187</v>
      </c>
      <c r="N16">
        <f t="shared" ca="1" si="12"/>
        <v>120.36070370370371</v>
      </c>
      <c r="O16" s="3">
        <f t="shared" ca="1" si="7"/>
        <v>68.555555555555557</v>
      </c>
      <c r="P16">
        <f t="shared" ca="1" si="13"/>
        <v>16.750407407407408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262.21232323232312</v>
      </c>
      <c r="D17">
        <f t="shared" ca="1" si="1"/>
        <v>201.42639730639723</v>
      </c>
      <c r="E17">
        <f t="shared" ca="1" si="2"/>
        <v>140.6404713804713</v>
      </c>
      <c r="F17">
        <f t="shared" si="3"/>
        <v>79.854545454545359</v>
      </c>
      <c r="G17">
        <f t="shared" ca="1" si="4"/>
        <v>19.068619528619429</v>
      </c>
      <c r="H17">
        <f t="shared" ca="1" si="5"/>
        <v>-41.717306397306501</v>
      </c>
      <c r="I17">
        <f t="shared" ca="1" si="6"/>
        <v>-102.50323232323242</v>
      </c>
      <c r="J17">
        <f t="shared" ca="1" si="8"/>
        <v>370</v>
      </c>
      <c r="K17" t="str">
        <f t="shared" ca="1" si="9"/>
        <v/>
      </c>
      <c r="L17">
        <f t="shared" ca="1" si="10"/>
        <v>223.971</v>
      </c>
      <c r="M17">
        <f t="shared" ca="1" si="11"/>
        <v>172.16585185185187</v>
      </c>
      <c r="N17">
        <f t="shared" ca="1" si="12"/>
        <v>120.36070370370371</v>
      </c>
      <c r="O17" s="3">
        <f t="shared" ca="1" si="7"/>
        <v>68.555555555555557</v>
      </c>
      <c r="P17">
        <f t="shared" ca="1" si="13"/>
        <v>16.750407407407408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220.56989898989892</v>
      </c>
      <c r="D18">
        <f t="shared" ca="1" si="1"/>
        <v>159.78397306397301</v>
      </c>
      <c r="E18">
        <f t="shared" ca="1" si="2"/>
        <v>98.99804713804707</v>
      </c>
      <c r="F18">
        <f t="shared" si="3"/>
        <v>38.212121212121133</v>
      </c>
      <c r="G18">
        <f t="shared" ca="1" si="4"/>
        <v>-22.573804713804797</v>
      </c>
      <c r="H18">
        <f t="shared" ca="1" si="5"/>
        <v>-83.359730639730728</v>
      </c>
      <c r="I18">
        <f t="shared" ca="1" si="6"/>
        <v>-144.14565656565665</v>
      </c>
      <c r="J18">
        <f t="shared" ca="1" si="8"/>
        <v>370</v>
      </c>
      <c r="K18" t="str">
        <f t="shared" ca="1" si="9"/>
        <v/>
      </c>
      <c r="L18">
        <f t="shared" ca="1" si="10"/>
        <v>223.971</v>
      </c>
      <c r="M18">
        <f t="shared" ca="1" si="11"/>
        <v>172.16585185185187</v>
      </c>
      <c r="N18">
        <f t="shared" ca="1" si="12"/>
        <v>120.36070370370371</v>
      </c>
      <c r="O18" s="3">
        <f t="shared" ca="1" si="7"/>
        <v>68.555555555555557</v>
      </c>
      <c r="P18">
        <f t="shared" ca="1" si="13"/>
        <v>16.750407407407408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178.92747474747469</v>
      </c>
      <c r="D19">
        <f t="shared" ca="1" si="1"/>
        <v>118.14154882154877</v>
      </c>
      <c r="E19">
        <f t="shared" ca="1" si="2"/>
        <v>57.355622895622837</v>
      </c>
      <c r="F19">
        <f t="shared" si="3"/>
        <v>-3.4303030303030937</v>
      </c>
      <c r="G19">
        <f t="shared" ca="1" si="4"/>
        <v>-64.216228956229031</v>
      </c>
      <c r="H19">
        <f t="shared" ca="1" si="5"/>
        <v>-125.00215488215495</v>
      </c>
      <c r="I19">
        <f t="shared" ca="1" si="6"/>
        <v>-185.78808080808088</v>
      </c>
      <c r="J19">
        <f t="shared" ca="1" si="8"/>
        <v>370</v>
      </c>
      <c r="K19" t="str">
        <f t="shared" ca="1" si="9"/>
        <v/>
      </c>
      <c r="L19">
        <f t="shared" ca="1" si="10"/>
        <v>223.971</v>
      </c>
      <c r="M19">
        <f t="shared" ca="1" si="11"/>
        <v>172.16585185185187</v>
      </c>
      <c r="N19">
        <f t="shared" ca="1" si="12"/>
        <v>120.36070370370371</v>
      </c>
      <c r="O19" s="3">
        <f t="shared" ca="1" si="7"/>
        <v>68.555555555555557</v>
      </c>
      <c r="P19">
        <f t="shared" ca="1" si="13"/>
        <v>16.750407407407408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137.28505050505035</v>
      </c>
      <c r="D20">
        <f t="shared" ca="1" si="1"/>
        <v>76.499124579124427</v>
      </c>
      <c r="E20">
        <f t="shared" ca="1" si="2"/>
        <v>15.713198653198496</v>
      </c>
      <c r="F20">
        <f t="shared" si="3"/>
        <v>-45.072727272727434</v>
      </c>
      <c r="G20">
        <f t="shared" ca="1" si="4"/>
        <v>-105.85865319865337</v>
      </c>
      <c r="H20">
        <f t="shared" ca="1" si="5"/>
        <v>-166.64457912457931</v>
      </c>
      <c r="I20">
        <f t="shared" ca="1" si="6"/>
        <v>-227.43050505050522</v>
      </c>
      <c r="J20">
        <f t="shared" ca="1" si="8"/>
        <v>370</v>
      </c>
      <c r="K20" t="str">
        <f t="shared" ca="1" si="9"/>
        <v/>
      </c>
      <c r="L20">
        <f t="shared" ca="1" si="10"/>
        <v>223.971</v>
      </c>
      <c r="M20">
        <f t="shared" ca="1" si="11"/>
        <v>172.16585185185187</v>
      </c>
      <c r="N20">
        <f t="shared" ca="1" si="12"/>
        <v>120.36070370370371</v>
      </c>
      <c r="O20" s="3">
        <f t="shared" ca="1" si="7"/>
        <v>68.555555555555557</v>
      </c>
      <c r="P20">
        <f t="shared" ca="1" si="13"/>
        <v>16.750407407407408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95.642626262626123</v>
      </c>
      <c r="D21">
        <f t="shared" ca="1" si="1"/>
        <v>34.8567003367002</v>
      </c>
      <c r="E21">
        <f t="shared" ca="1" si="2"/>
        <v>-25.92922558922573</v>
      </c>
      <c r="F21">
        <f t="shared" si="3"/>
        <v>-86.715151515151661</v>
      </c>
      <c r="G21">
        <f t="shared" ca="1" si="4"/>
        <v>-147.5010774410776</v>
      </c>
      <c r="H21">
        <f t="shared" ca="1" si="5"/>
        <v>-208.28700336700354</v>
      </c>
      <c r="I21">
        <f t="shared" ca="1" si="6"/>
        <v>-269.07292929292942</v>
      </c>
      <c r="J21">
        <f t="shared" ca="1" si="8"/>
        <v>370</v>
      </c>
      <c r="K21" t="str">
        <f t="shared" ca="1" si="9"/>
        <v/>
      </c>
      <c r="L21">
        <f t="shared" ca="1" si="10"/>
        <v>223.971</v>
      </c>
      <c r="M21">
        <f t="shared" ca="1" si="11"/>
        <v>172.16585185185187</v>
      </c>
      <c r="N21">
        <f t="shared" ca="1" si="12"/>
        <v>120.36070370370371</v>
      </c>
      <c r="O21" s="3">
        <f t="shared" ca="1" si="7"/>
        <v>68.555555555555557</v>
      </c>
      <c r="P21">
        <f t="shared" ca="1" si="13"/>
        <v>16.750407407407408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54.000202020201897</v>
      </c>
      <c r="D22">
        <f t="shared" ca="1" si="1"/>
        <v>-6.7857239057240264</v>
      </c>
      <c r="E22">
        <f t="shared" ca="1" si="2"/>
        <v>-67.57164983164995</v>
      </c>
      <c r="F22">
        <f t="shared" si="3"/>
        <v>-128.35757575757589</v>
      </c>
      <c r="G22">
        <f t="shared" ca="1" si="4"/>
        <v>-189.14350168350182</v>
      </c>
      <c r="H22">
        <f t="shared" ca="1" si="5"/>
        <v>-249.92942760942776</v>
      </c>
      <c r="I22">
        <f t="shared" ca="1" si="6"/>
        <v>-310.71535353535364</v>
      </c>
      <c r="J22">
        <f t="shared" ca="1" si="8"/>
        <v>370</v>
      </c>
      <c r="K22" t="str">
        <f t="shared" ca="1" si="9"/>
        <v/>
      </c>
      <c r="L22">
        <f t="shared" ca="1" si="10"/>
        <v>223.971</v>
      </c>
      <c r="M22">
        <f t="shared" ca="1" si="11"/>
        <v>172.16585185185187</v>
      </c>
      <c r="N22">
        <f t="shared" ca="1" si="12"/>
        <v>120.36070370370371</v>
      </c>
      <c r="O22" s="3">
        <f t="shared" ca="1" si="7"/>
        <v>68.555555555555557</v>
      </c>
      <c r="P22">
        <f t="shared" ca="1" si="13"/>
        <v>16.750407407407408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12.357777777777557</v>
      </c>
      <c r="D23">
        <f t="shared" ca="1" si="1"/>
        <v>-48.428148148148367</v>
      </c>
      <c r="E23">
        <f t="shared" ca="1" si="2"/>
        <v>-109.21407407407429</v>
      </c>
      <c r="F23">
        <f t="shared" si="3"/>
        <v>-170.00000000000023</v>
      </c>
      <c r="G23">
        <f t="shared" ca="1" si="4"/>
        <v>-230.78592592592616</v>
      </c>
      <c r="H23">
        <f t="shared" ca="1" si="5"/>
        <v>-291.5718518518521</v>
      </c>
      <c r="I23">
        <f t="shared" ca="1" si="6"/>
        <v>-352.35777777777798</v>
      </c>
      <c r="J23">
        <f t="shared" ca="1" si="8"/>
        <v>370</v>
      </c>
      <c r="K23" t="str">
        <f t="shared" ca="1" si="9"/>
        <v/>
      </c>
      <c r="L23">
        <f t="shared" ca="1" si="10"/>
        <v>223.971</v>
      </c>
      <c r="M23">
        <f t="shared" ca="1" si="11"/>
        <v>172.16585185185187</v>
      </c>
      <c r="N23">
        <f t="shared" ca="1" si="12"/>
        <v>120.36070370370371</v>
      </c>
      <c r="O23" s="3">
        <f t="shared" ca="1" si="7"/>
        <v>68.555555555555557</v>
      </c>
      <c r="P23">
        <f t="shared" ca="1" si="13"/>
        <v>16.750407407407408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-29.28464646464667</v>
      </c>
      <c r="D24">
        <f t="shared" ca="1" si="1"/>
        <v>-90.070572390572593</v>
      </c>
      <c r="E24">
        <f t="shared" ca="1" si="2"/>
        <v>-150.85649831649852</v>
      </c>
      <c r="F24">
        <f t="shared" si="3"/>
        <v>-211.64242424242445</v>
      </c>
      <c r="G24">
        <f t="shared" ca="1" si="4"/>
        <v>-272.42835016835039</v>
      </c>
      <c r="H24">
        <f t="shared" ca="1" si="5"/>
        <v>-333.21427609427633</v>
      </c>
      <c r="I24">
        <f t="shared" ca="1" si="6"/>
        <v>-394.00020202020221</v>
      </c>
      <c r="J24">
        <f t="shared" ca="1" si="8"/>
        <v>370</v>
      </c>
      <c r="K24" t="str">
        <f t="shared" ca="1" si="9"/>
        <v/>
      </c>
      <c r="L24">
        <f t="shared" ca="1" si="10"/>
        <v>223.971</v>
      </c>
      <c r="M24">
        <f t="shared" ca="1" si="11"/>
        <v>172.16585185185187</v>
      </c>
      <c r="N24">
        <f t="shared" ca="1" si="12"/>
        <v>120.36070370370371</v>
      </c>
      <c r="O24" s="3">
        <f t="shared" ca="1" si="7"/>
        <v>68.555555555555557</v>
      </c>
      <c r="P24">
        <f t="shared" ca="1" si="13"/>
        <v>16.750407407407408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-70.927070707070897</v>
      </c>
      <c r="D25">
        <f t="shared" ca="1" si="1"/>
        <v>-131.71299663299681</v>
      </c>
      <c r="E25">
        <f t="shared" ca="1" si="2"/>
        <v>-192.49892255892274</v>
      </c>
      <c r="F25">
        <f t="shared" si="3"/>
        <v>-253.28484848484868</v>
      </c>
      <c r="G25">
        <f t="shared" ca="1" si="4"/>
        <v>-314.07077441077462</v>
      </c>
      <c r="H25">
        <f t="shared" ca="1" si="5"/>
        <v>-374.85670033670056</v>
      </c>
      <c r="I25">
        <f t="shared" ca="1" si="6"/>
        <v>-435.64262626262644</v>
      </c>
      <c r="J25">
        <f t="shared" ca="1" si="8"/>
        <v>370</v>
      </c>
      <c r="K25" t="str">
        <f t="shared" ca="1" si="9"/>
        <v/>
      </c>
      <c r="L25">
        <f t="shared" ca="1" si="10"/>
        <v>223.971</v>
      </c>
      <c r="M25">
        <f t="shared" ca="1" si="11"/>
        <v>172.16585185185187</v>
      </c>
      <c r="N25">
        <f t="shared" ca="1" si="12"/>
        <v>120.36070370370371</v>
      </c>
      <c r="O25" s="3">
        <f t="shared" ca="1" si="7"/>
        <v>68.555555555555557</v>
      </c>
      <c r="P25">
        <f t="shared" ca="1" si="13"/>
        <v>16.750407407407408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-112.56949494949524</v>
      </c>
      <c r="D26">
        <f t="shared" ca="1" si="1"/>
        <v>-173.35542087542115</v>
      </c>
      <c r="E26">
        <f t="shared" ca="1" si="2"/>
        <v>-234.14134680134708</v>
      </c>
      <c r="F26">
        <f t="shared" si="3"/>
        <v>-294.92727272727302</v>
      </c>
      <c r="G26">
        <f t="shared" ca="1" si="4"/>
        <v>-355.71319865319896</v>
      </c>
      <c r="H26">
        <f t="shared" ca="1" si="5"/>
        <v>-416.4991245791249</v>
      </c>
      <c r="I26">
        <f t="shared" ca="1" si="6"/>
        <v>-477.28505050505078</v>
      </c>
      <c r="J26">
        <f t="shared" ca="1" si="8"/>
        <v>370</v>
      </c>
      <c r="K26" t="str">
        <f t="shared" ca="1" si="9"/>
        <v/>
      </c>
      <c r="L26">
        <f t="shared" ca="1" si="10"/>
        <v>223.971</v>
      </c>
      <c r="M26">
        <f t="shared" ca="1" si="11"/>
        <v>172.16585185185187</v>
      </c>
      <c r="N26">
        <f t="shared" ca="1" si="12"/>
        <v>120.36070370370371</v>
      </c>
      <c r="O26" s="3">
        <f t="shared" ca="1" si="7"/>
        <v>68.555555555555557</v>
      </c>
      <c r="P26">
        <f t="shared" ca="1" si="13"/>
        <v>16.750407407407408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-154.21191919191935</v>
      </c>
      <c r="D27">
        <f t="shared" ca="1" si="1"/>
        <v>-214.99784511784526</v>
      </c>
      <c r="E27">
        <f t="shared" ca="1" si="2"/>
        <v>-275.7837710437712</v>
      </c>
      <c r="F27">
        <f t="shared" si="3"/>
        <v>-336.56969696969713</v>
      </c>
      <c r="G27">
        <f t="shared" ca="1" si="4"/>
        <v>-397.35562289562307</v>
      </c>
      <c r="H27">
        <f t="shared" ca="1" si="5"/>
        <v>-458.14154882154901</v>
      </c>
      <c r="I27">
        <f t="shared" ca="1" si="6"/>
        <v>-518.92747474747489</v>
      </c>
      <c r="J27">
        <f t="shared" ca="1" si="8"/>
        <v>370</v>
      </c>
      <c r="K27" t="str">
        <f t="shared" ca="1" si="9"/>
        <v/>
      </c>
      <c r="L27">
        <f t="shared" ca="1" si="10"/>
        <v>223.971</v>
      </c>
      <c r="M27">
        <f t="shared" ca="1" si="11"/>
        <v>172.16585185185187</v>
      </c>
      <c r="N27">
        <f t="shared" ca="1" si="12"/>
        <v>120.36070370370371</v>
      </c>
      <c r="O27" s="3">
        <f t="shared" ca="1" si="7"/>
        <v>68.555555555555557</v>
      </c>
      <c r="P27">
        <f t="shared" ca="1" si="13"/>
        <v>16.750407407407408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-195.85434343434369</v>
      </c>
      <c r="D28">
        <f t="shared" ca="1" si="1"/>
        <v>-256.6402693602696</v>
      </c>
      <c r="E28">
        <f t="shared" ca="1" si="2"/>
        <v>-317.42619528619554</v>
      </c>
      <c r="F28">
        <f t="shared" si="3"/>
        <v>-378.21212121212147</v>
      </c>
      <c r="G28">
        <f t="shared" ca="1" si="4"/>
        <v>-438.99804713804741</v>
      </c>
      <c r="H28">
        <f t="shared" ca="1" si="5"/>
        <v>-499.78397306397335</v>
      </c>
      <c r="I28">
        <f t="shared" ca="1" si="6"/>
        <v>-560.56989898989923</v>
      </c>
      <c r="J28">
        <f t="shared" ca="1" si="8"/>
        <v>370</v>
      </c>
      <c r="K28" t="str">
        <f t="shared" ca="1" si="9"/>
        <v/>
      </c>
      <c r="L28">
        <f t="shared" ca="1" si="10"/>
        <v>223.971</v>
      </c>
      <c r="M28">
        <f t="shared" ca="1" si="11"/>
        <v>172.16585185185187</v>
      </c>
      <c r="N28">
        <f t="shared" ca="1" si="12"/>
        <v>120.36070370370371</v>
      </c>
      <c r="O28" s="3">
        <f t="shared" ca="1" si="7"/>
        <v>68.555555555555557</v>
      </c>
      <c r="P28">
        <f t="shared" ca="1" si="13"/>
        <v>16.750407407407408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-237.49676767676803</v>
      </c>
      <c r="D29">
        <f t="shared" ca="1" si="1"/>
        <v>-298.28269360269394</v>
      </c>
      <c r="E29">
        <f t="shared" ca="1" si="2"/>
        <v>-359.06861952861988</v>
      </c>
      <c r="F29">
        <f t="shared" si="3"/>
        <v>-419.85454545454581</v>
      </c>
      <c r="G29">
        <f t="shared" ca="1" si="4"/>
        <v>-480.64047138047175</v>
      </c>
      <c r="H29">
        <f t="shared" ca="1" si="5"/>
        <v>-541.42639730639769</v>
      </c>
      <c r="I29">
        <f t="shared" ca="1" si="6"/>
        <v>-602.21232323232357</v>
      </c>
      <c r="J29">
        <f t="shared" ca="1" si="8"/>
        <v>370</v>
      </c>
      <c r="K29" t="str">
        <f t="shared" ca="1" si="9"/>
        <v/>
      </c>
      <c r="L29">
        <f t="shared" ca="1" si="10"/>
        <v>223.971</v>
      </c>
      <c r="M29">
        <f t="shared" ca="1" si="11"/>
        <v>172.16585185185187</v>
      </c>
      <c r="N29">
        <f t="shared" ca="1" si="12"/>
        <v>120.36070370370371</v>
      </c>
      <c r="O29" s="3">
        <f t="shared" ca="1" si="7"/>
        <v>68.555555555555557</v>
      </c>
      <c r="P29">
        <f t="shared" ca="1" si="13"/>
        <v>16.750407407407408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-279.13919191919217</v>
      </c>
      <c r="D30">
        <f t="shared" ca="1" si="1"/>
        <v>-339.92511784511805</v>
      </c>
      <c r="E30">
        <f t="shared" ca="1" si="2"/>
        <v>-400.71104377104399</v>
      </c>
      <c r="F30">
        <f t="shared" si="3"/>
        <v>-461.49696969696993</v>
      </c>
      <c r="G30">
        <f t="shared" ca="1" si="4"/>
        <v>-522.28289562289581</v>
      </c>
      <c r="H30">
        <f t="shared" ca="1" si="5"/>
        <v>-583.0688215488218</v>
      </c>
      <c r="I30">
        <f t="shared" ca="1" si="6"/>
        <v>-643.85474747474768</v>
      </c>
      <c r="J30">
        <f t="shared" ca="1" si="8"/>
        <v>370</v>
      </c>
      <c r="K30" t="str">
        <f t="shared" ca="1" si="9"/>
        <v/>
      </c>
      <c r="L30">
        <f t="shared" ca="1" si="10"/>
        <v>223.971</v>
      </c>
      <c r="M30">
        <f t="shared" ca="1" si="11"/>
        <v>172.16585185185187</v>
      </c>
      <c r="N30">
        <f t="shared" ca="1" si="12"/>
        <v>120.36070370370371</v>
      </c>
      <c r="O30" s="3">
        <f t="shared" ca="1" si="7"/>
        <v>68.555555555555557</v>
      </c>
      <c r="P30">
        <f t="shared" ca="1" si="13"/>
        <v>16.750407407407408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-320.78161616161651</v>
      </c>
      <c r="D31">
        <f t="shared" ca="1" si="1"/>
        <v>-381.56754208754239</v>
      </c>
      <c r="E31">
        <f t="shared" ca="1" si="2"/>
        <v>-442.35346801346833</v>
      </c>
      <c r="F31">
        <f t="shared" si="3"/>
        <v>-503.13939393939427</v>
      </c>
      <c r="G31">
        <f t="shared" ca="1" si="4"/>
        <v>-563.92531986532015</v>
      </c>
      <c r="H31">
        <f t="shared" ca="1" si="5"/>
        <v>-624.71124579124614</v>
      </c>
      <c r="I31">
        <f t="shared" ca="1" si="6"/>
        <v>-685.49717171717202</v>
      </c>
      <c r="J31">
        <f t="shared" ca="1" si="8"/>
        <v>370</v>
      </c>
      <c r="K31" t="str">
        <f t="shared" ca="1" si="9"/>
        <v/>
      </c>
      <c r="L31">
        <f t="shared" ca="1" si="10"/>
        <v>223.971</v>
      </c>
      <c r="M31">
        <f t="shared" ca="1" si="11"/>
        <v>172.16585185185187</v>
      </c>
      <c r="N31">
        <f t="shared" ca="1" si="12"/>
        <v>120.36070370370371</v>
      </c>
      <c r="O31" s="3">
        <f t="shared" ca="1" si="7"/>
        <v>68.555555555555557</v>
      </c>
      <c r="P31">
        <f t="shared" ca="1" si="13"/>
        <v>16.750407407407408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C6D-9C8A-C34E-9DAA-93D697A2AC64}">
  <sheetPr>
    <tabColor rgb="FF66FF66"/>
    <pageSetUpPr fitToPage="1"/>
  </sheetPr>
  <dimension ref="A1:Z52"/>
  <sheetViews>
    <sheetView zoomScale="174" zoomScaleNormal="174" workbookViewId="0">
      <selection activeCell="V18" sqref="V18"/>
    </sheetView>
  </sheetViews>
  <sheetFormatPr baseColWidth="10" defaultRowHeight="16" x14ac:dyDescent="0.2"/>
  <cols>
    <col min="1" max="1" width="10.83203125" customWidth="1"/>
    <col min="2" max="21" width="6.5" customWidth="1"/>
  </cols>
  <sheetData>
    <row r="1" spans="1:26" ht="14" customHeight="1" x14ac:dyDescent="0.2">
      <c r="A1" t="s">
        <v>13</v>
      </c>
      <c r="B1" s="3" t="s">
        <v>16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-43.733333333333341</v>
      </c>
      <c r="W1" t="s">
        <v>20</v>
      </c>
      <c r="X1">
        <f>INDEX(LINEST($B$2:$B$11,,,TRUE),1,2)</f>
        <v>832.33333333333337</v>
      </c>
      <c r="Y1" t="s">
        <v>21</v>
      </c>
      <c r="Z1">
        <f>INDEX(LINEST($B$2:$B$11,,,TRUE),3,1)</f>
        <v>0.76536239504290116</v>
      </c>
    </row>
    <row r="2" spans="1:26" ht="14" customHeight="1" x14ac:dyDescent="0.2">
      <c r="A2">
        <v>2016</v>
      </c>
      <c r="B2" s="3">
        <v>814</v>
      </c>
      <c r="C2" s="3">
        <f t="shared" ref="C2:C31" ca="1" si="0">F2+2.66*O2</f>
        <v>984.25777777777785</v>
      </c>
      <c r="D2" s="3">
        <f t="shared" ref="D2:D31" ca="1" si="1">F2+(2/3)*2.66*O2</f>
        <v>919.03851851851857</v>
      </c>
      <c r="E2" s="3">
        <f t="shared" ref="E2:E31" ca="1" si="2">F2+(1/3)*2.66*O2</f>
        <v>853.8192592592593</v>
      </c>
      <c r="F2" s="3">
        <f t="shared" ref="F2:F31" si="3">INDEX(LINEST($B$2:$B$11,,,TRUE),1,1)* S2 +INDEX(LINEST($B$2:$B$11,,,TRUE),1,2)</f>
        <v>788.6</v>
      </c>
      <c r="G2" s="3">
        <f t="shared" ref="G2:G31" ca="1" si="4">F2-(1/3)*2.66*O2</f>
        <v>723.38074074074075</v>
      </c>
      <c r="H2" s="3">
        <f t="shared" ref="H2:H31" ca="1" si="5">F2-(2/3)*2.66*O2</f>
        <v>658.16148148148147</v>
      </c>
      <c r="I2" s="3">
        <f t="shared" ref="I2:I31" ca="1" si="6">F2-2.66*O2</f>
        <v>592.9422222222222</v>
      </c>
      <c r="J2" s="3">
        <f>B2</f>
        <v>814</v>
      </c>
      <c r="K2" s="3"/>
      <c r="L2" s="3"/>
      <c r="M2" s="3"/>
      <c r="N2" s="3"/>
      <c r="O2" s="3">
        <f t="shared" ref="O2:O31" ca="1" si="7">AVERAGE($K$3:$K$11)</f>
        <v>73.555555555555557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794</v>
      </c>
      <c r="C3" s="3">
        <f t="shared" ca="1" si="0"/>
        <v>940.5244444444445</v>
      </c>
      <c r="D3" s="3">
        <f t="shared" ca="1" si="1"/>
        <v>875.30518518518522</v>
      </c>
      <c r="E3" s="3">
        <f t="shared" ca="1" si="2"/>
        <v>810.08592592592595</v>
      </c>
      <c r="F3" s="3">
        <f t="shared" si="3"/>
        <v>744.86666666666667</v>
      </c>
      <c r="G3" s="3">
        <f t="shared" ca="1" si="4"/>
        <v>679.6474074074074</v>
      </c>
      <c r="H3" s="3">
        <f t="shared" ca="1" si="5"/>
        <v>614.42814814814813</v>
      </c>
      <c r="I3" s="3">
        <f t="shared" ca="1" si="6"/>
        <v>549.20888888888885</v>
      </c>
      <c r="J3">
        <f t="shared" ref="J3:J31" ca="1" si="8">IF(ISBLANK(B3),OFFSET(J3,-1,0,1,1),B3)</f>
        <v>794</v>
      </c>
      <c r="K3" s="3">
        <f t="shared" ref="K3:K31" ca="1" si="9">IF(OR(OFFSET(K3,-1,-9,1,1)="",OFFSET(K3,0,-9,1,1)=""),"",IF(ISERROR(ABS(B3-OFFSET(K3,-1,-1,1,1))),"",ABS(B3-OFFSET(K3,-1,-1,1,1))))</f>
        <v>20</v>
      </c>
      <c r="L3" s="3">
        <f t="shared" ref="L3:L31" ca="1" si="10">3.267*O3</f>
        <v>240.30600000000001</v>
      </c>
      <c r="M3" s="3">
        <f t="shared" ref="M3:M31" ca="1" si="11">(2/3)*(L3-O3)+O3</f>
        <v>184.72251851851851</v>
      </c>
      <c r="N3" s="3">
        <f t="shared" ref="N3:N31" ca="1" si="12">(1/3)*(L3-O3)+O3</f>
        <v>129.13903703703704</v>
      </c>
      <c r="O3" s="3">
        <f t="shared" ca="1" si="7"/>
        <v>73.555555555555557</v>
      </c>
      <c r="P3" s="3">
        <f t="shared" ref="P3:P31" ca="1" si="13">(MAX(O3-(1/3)*(L3-O3),0))</f>
        <v>17.972074074074079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766</v>
      </c>
      <c r="C4" s="3">
        <f t="shared" ca="1" si="0"/>
        <v>896.79111111111115</v>
      </c>
      <c r="D4" s="3">
        <f t="shared" ca="1" si="1"/>
        <v>831.57185185185187</v>
      </c>
      <c r="E4" s="3">
        <f t="shared" ca="1" si="2"/>
        <v>766.3525925925926</v>
      </c>
      <c r="F4" s="3">
        <f t="shared" si="3"/>
        <v>701.13333333333333</v>
      </c>
      <c r="G4" s="3">
        <f t="shared" ca="1" si="4"/>
        <v>635.91407407407405</v>
      </c>
      <c r="H4" s="3">
        <f t="shared" ca="1" si="5"/>
        <v>570.69481481481478</v>
      </c>
      <c r="I4" s="3">
        <f t="shared" ca="1" si="6"/>
        <v>505.4755555555555</v>
      </c>
      <c r="J4">
        <f t="shared" ca="1" si="8"/>
        <v>766</v>
      </c>
      <c r="K4" s="3">
        <f t="shared" ca="1" si="9"/>
        <v>28</v>
      </c>
      <c r="L4" s="3">
        <f t="shared" ca="1" si="10"/>
        <v>240.30600000000001</v>
      </c>
      <c r="M4" s="3">
        <f t="shared" ca="1" si="11"/>
        <v>184.72251851851851</v>
      </c>
      <c r="N4" s="3">
        <f t="shared" ca="1" si="12"/>
        <v>129.13903703703704</v>
      </c>
      <c r="O4" s="3">
        <f t="shared" ca="1" si="7"/>
        <v>73.555555555555557</v>
      </c>
      <c r="P4" s="3">
        <f t="shared" ca="1" si="13"/>
        <v>17.972074074074079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638</v>
      </c>
      <c r="C5" s="3">
        <f t="shared" ca="1" si="0"/>
        <v>853.0577777777778</v>
      </c>
      <c r="D5" s="3">
        <f t="shared" ca="1" si="1"/>
        <v>787.83851851851853</v>
      </c>
      <c r="E5" s="3">
        <f t="shared" ca="1" si="2"/>
        <v>722.61925925925925</v>
      </c>
      <c r="F5" s="3">
        <f t="shared" si="3"/>
        <v>657.4</v>
      </c>
      <c r="G5" s="3">
        <f t="shared" ca="1" si="4"/>
        <v>592.1807407407407</v>
      </c>
      <c r="H5" s="3">
        <f t="shared" ca="1" si="5"/>
        <v>526.96148148148143</v>
      </c>
      <c r="I5" s="3">
        <f t="shared" ca="1" si="6"/>
        <v>461.74222222222215</v>
      </c>
      <c r="J5">
        <f t="shared" ca="1" si="8"/>
        <v>638</v>
      </c>
      <c r="K5" s="3">
        <f t="shared" ca="1" si="9"/>
        <v>128</v>
      </c>
      <c r="L5" s="3">
        <f t="shared" ca="1" si="10"/>
        <v>240.30600000000001</v>
      </c>
      <c r="M5" s="3">
        <f t="shared" ca="1" si="11"/>
        <v>184.72251851851851</v>
      </c>
      <c r="N5" s="3">
        <f t="shared" ca="1" si="12"/>
        <v>129.13903703703704</v>
      </c>
      <c r="O5" s="3">
        <f t="shared" ca="1" si="7"/>
        <v>73.555555555555557</v>
      </c>
      <c r="P5" s="3">
        <f t="shared" ca="1" si="13"/>
        <v>17.972074074074079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521</v>
      </c>
      <c r="C6" s="3">
        <f t="shared" ca="1" si="0"/>
        <v>809.32444444444445</v>
      </c>
      <c r="D6" s="3">
        <f t="shared" ca="1" si="1"/>
        <v>744.10518518518518</v>
      </c>
      <c r="E6" s="3">
        <f t="shared" ca="1" si="2"/>
        <v>678.8859259259259</v>
      </c>
      <c r="F6" s="3">
        <f t="shared" si="3"/>
        <v>613.66666666666663</v>
      </c>
      <c r="G6" s="3">
        <f t="shared" ca="1" si="4"/>
        <v>548.44740740740735</v>
      </c>
      <c r="H6" s="3">
        <f t="shared" ca="1" si="5"/>
        <v>483.22814814814808</v>
      </c>
      <c r="I6" s="3">
        <f t="shared" ca="1" si="6"/>
        <v>418.00888888888881</v>
      </c>
      <c r="J6">
        <f t="shared" ca="1" si="8"/>
        <v>521</v>
      </c>
      <c r="K6" s="3">
        <f t="shared" ca="1" si="9"/>
        <v>117</v>
      </c>
      <c r="L6" s="3">
        <f t="shared" ca="1" si="10"/>
        <v>240.30600000000001</v>
      </c>
      <c r="M6" s="3">
        <f t="shared" ca="1" si="11"/>
        <v>184.72251851851851</v>
      </c>
      <c r="N6" s="3">
        <f t="shared" ca="1" si="12"/>
        <v>129.13903703703704</v>
      </c>
      <c r="O6" s="3">
        <f t="shared" ca="1" si="7"/>
        <v>73.555555555555557</v>
      </c>
      <c r="P6" s="3">
        <f t="shared" ca="1" si="13"/>
        <v>17.972074074074079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409</v>
      </c>
      <c r="C7" s="3">
        <f t="shared" ca="1" si="0"/>
        <v>765.59111111111122</v>
      </c>
      <c r="D7" s="3">
        <f t="shared" ca="1" si="1"/>
        <v>700.37185185185194</v>
      </c>
      <c r="E7" s="3">
        <f t="shared" ca="1" si="2"/>
        <v>635.15259259259267</v>
      </c>
      <c r="F7" s="3">
        <f t="shared" si="3"/>
        <v>569.93333333333339</v>
      </c>
      <c r="G7" s="3">
        <f t="shared" ca="1" si="4"/>
        <v>504.71407407407412</v>
      </c>
      <c r="H7" s="3">
        <f t="shared" ca="1" si="5"/>
        <v>439.49481481481484</v>
      </c>
      <c r="I7" s="3">
        <f t="shared" ca="1" si="6"/>
        <v>374.27555555555557</v>
      </c>
      <c r="J7">
        <f t="shared" ca="1" si="8"/>
        <v>409</v>
      </c>
      <c r="K7" s="3">
        <f t="shared" ca="1" si="9"/>
        <v>112</v>
      </c>
      <c r="L7" s="3">
        <f t="shared" ca="1" si="10"/>
        <v>240.30600000000001</v>
      </c>
      <c r="M7" s="3">
        <f t="shared" ca="1" si="11"/>
        <v>184.72251851851851</v>
      </c>
      <c r="N7" s="3">
        <f t="shared" ca="1" si="12"/>
        <v>129.13903703703704</v>
      </c>
      <c r="O7" s="3">
        <f t="shared" ca="1" si="7"/>
        <v>73.555555555555557</v>
      </c>
      <c r="P7" s="3">
        <f t="shared" ca="1" si="13"/>
        <v>17.972074074074079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561</v>
      </c>
      <c r="C8" s="3">
        <f t="shared" ca="1" si="0"/>
        <v>721.85777777777787</v>
      </c>
      <c r="D8" s="3">
        <f t="shared" ca="1" si="1"/>
        <v>656.63851851851859</v>
      </c>
      <c r="E8" s="3">
        <f t="shared" ca="1" si="2"/>
        <v>591.41925925925932</v>
      </c>
      <c r="F8" s="3">
        <f t="shared" si="3"/>
        <v>526.20000000000005</v>
      </c>
      <c r="G8" s="3">
        <f t="shared" ca="1" si="4"/>
        <v>460.98074074074077</v>
      </c>
      <c r="H8" s="3">
        <f t="shared" ca="1" si="5"/>
        <v>395.7614814814815</v>
      </c>
      <c r="I8" s="3">
        <f t="shared" ca="1" si="6"/>
        <v>330.54222222222222</v>
      </c>
      <c r="J8">
        <f t="shared" ca="1" si="8"/>
        <v>561</v>
      </c>
      <c r="K8" s="3">
        <f t="shared" ca="1" si="9"/>
        <v>152</v>
      </c>
      <c r="L8" s="3">
        <f t="shared" ca="1" si="10"/>
        <v>240.30600000000001</v>
      </c>
      <c r="M8" s="3">
        <f t="shared" ca="1" si="11"/>
        <v>184.72251851851851</v>
      </c>
      <c r="N8" s="3">
        <f t="shared" ca="1" si="12"/>
        <v>129.13903703703704</v>
      </c>
      <c r="O8" s="3">
        <f t="shared" ca="1" si="7"/>
        <v>73.555555555555557</v>
      </c>
      <c r="P8" s="3">
        <f t="shared" ca="1" si="13"/>
        <v>17.972074074074079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494</v>
      </c>
      <c r="C9" s="3">
        <f t="shared" ca="1" si="0"/>
        <v>678.12444444444441</v>
      </c>
      <c r="D9" s="3">
        <f t="shared" ca="1" si="1"/>
        <v>612.90518518518513</v>
      </c>
      <c r="E9" s="3">
        <f t="shared" ca="1" si="2"/>
        <v>547.68592592592586</v>
      </c>
      <c r="F9" s="3">
        <f t="shared" si="3"/>
        <v>482.46666666666664</v>
      </c>
      <c r="G9" s="3">
        <f t="shared" ca="1" si="4"/>
        <v>417.24740740740737</v>
      </c>
      <c r="H9" s="3">
        <f t="shared" ca="1" si="5"/>
        <v>352.02814814814815</v>
      </c>
      <c r="I9" s="3">
        <f t="shared" ca="1" si="6"/>
        <v>286.80888888888887</v>
      </c>
      <c r="J9">
        <f t="shared" ca="1" si="8"/>
        <v>494</v>
      </c>
      <c r="K9" s="3">
        <f t="shared" ca="1" si="9"/>
        <v>67</v>
      </c>
      <c r="L9" s="3">
        <f t="shared" ca="1" si="10"/>
        <v>240.30600000000001</v>
      </c>
      <c r="M9" s="3">
        <f t="shared" ca="1" si="11"/>
        <v>184.72251851851851</v>
      </c>
      <c r="N9" s="3">
        <f t="shared" ca="1" si="12"/>
        <v>129.13903703703704</v>
      </c>
      <c r="O9" s="3">
        <f t="shared" ca="1" si="7"/>
        <v>73.555555555555557</v>
      </c>
      <c r="P9" s="3">
        <f t="shared" ca="1" si="13"/>
        <v>17.972074074074079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459</v>
      </c>
      <c r="C10" s="3">
        <f t="shared" ca="1" si="0"/>
        <v>634.39111111111106</v>
      </c>
      <c r="D10" s="3">
        <f t="shared" ca="1" si="1"/>
        <v>569.17185185185178</v>
      </c>
      <c r="E10" s="3">
        <f t="shared" ca="1" si="2"/>
        <v>503.95259259259257</v>
      </c>
      <c r="F10" s="3">
        <f t="shared" si="3"/>
        <v>438.73333333333329</v>
      </c>
      <c r="G10" s="3">
        <f t="shared" ca="1" si="4"/>
        <v>373.51407407407402</v>
      </c>
      <c r="H10" s="3">
        <f t="shared" ca="1" si="5"/>
        <v>308.2948148148148</v>
      </c>
      <c r="I10" s="3">
        <f t="shared" ca="1" si="6"/>
        <v>243.0755555555555</v>
      </c>
      <c r="J10">
        <f t="shared" ca="1" si="8"/>
        <v>459</v>
      </c>
      <c r="K10" s="3">
        <f t="shared" ca="1" si="9"/>
        <v>35</v>
      </c>
      <c r="L10" s="3">
        <f t="shared" ca="1" si="10"/>
        <v>240.30600000000001</v>
      </c>
      <c r="M10" s="3">
        <f t="shared" ca="1" si="11"/>
        <v>184.72251851851851</v>
      </c>
      <c r="N10" s="3">
        <f t="shared" ca="1" si="12"/>
        <v>129.13903703703704</v>
      </c>
      <c r="O10" s="3">
        <f t="shared" ca="1" si="7"/>
        <v>73.555555555555557</v>
      </c>
      <c r="P10" s="3">
        <f t="shared" ca="1" si="13"/>
        <v>17.972074074074079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462</v>
      </c>
      <c r="C11" s="3">
        <f t="shared" ca="1" si="0"/>
        <v>590.65777777777771</v>
      </c>
      <c r="D11" s="3">
        <f t="shared" ca="1" si="1"/>
        <v>525.43851851851844</v>
      </c>
      <c r="E11" s="3">
        <f t="shared" ca="1" si="2"/>
        <v>460.21925925925922</v>
      </c>
      <c r="F11" s="3">
        <f t="shared" si="3"/>
        <v>394.99999999999994</v>
      </c>
      <c r="G11" s="3">
        <f t="shared" ca="1" si="4"/>
        <v>329.78074074074067</v>
      </c>
      <c r="H11" s="3">
        <f t="shared" ca="1" si="5"/>
        <v>264.56148148148145</v>
      </c>
      <c r="I11" s="3">
        <f t="shared" ca="1" si="6"/>
        <v>199.34222222222215</v>
      </c>
      <c r="J11">
        <f t="shared" ca="1" si="8"/>
        <v>462</v>
      </c>
      <c r="K11" s="3">
        <f t="shared" ca="1" si="9"/>
        <v>3</v>
      </c>
      <c r="L11" s="3">
        <f t="shared" ca="1" si="10"/>
        <v>240.30600000000001</v>
      </c>
      <c r="M11" s="3">
        <f t="shared" ca="1" si="11"/>
        <v>184.72251851851851</v>
      </c>
      <c r="N11" s="3">
        <f t="shared" ca="1" si="12"/>
        <v>129.13903703703704</v>
      </c>
      <c r="O11" s="3">
        <f t="shared" ca="1" si="7"/>
        <v>73.555555555555557</v>
      </c>
      <c r="P11" s="3">
        <f t="shared" ca="1" si="13"/>
        <v>17.972074074074079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546.92444444444436</v>
      </c>
      <c r="D12">
        <f t="shared" ca="1" si="1"/>
        <v>481.70518518518509</v>
      </c>
      <c r="E12">
        <f t="shared" ca="1" si="2"/>
        <v>416.48592592592587</v>
      </c>
      <c r="F12">
        <f t="shared" si="3"/>
        <v>351.26666666666659</v>
      </c>
      <c r="G12">
        <f t="shared" ca="1" si="4"/>
        <v>286.04740740740732</v>
      </c>
      <c r="H12">
        <f t="shared" ca="1" si="5"/>
        <v>220.82814814814807</v>
      </c>
      <c r="I12">
        <f t="shared" ca="1" si="6"/>
        <v>155.6088888888888</v>
      </c>
      <c r="J12">
        <f t="shared" ca="1" si="8"/>
        <v>462</v>
      </c>
      <c r="L12">
        <f t="shared" ca="1" si="10"/>
        <v>240.30600000000001</v>
      </c>
      <c r="M12">
        <f t="shared" ca="1" si="11"/>
        <v>184.72251851851851</v>
      </c>
      <c r="N12">
        <f t="shared" ca="1" si="12"/>
        <v>129.13903703703704</v>
      </c>
      <c r="O12" s="3">
        <f t="shared" ca="1" si="7"/>
        <v>73.555555555555557</v>
      </c>
      <c r="P12">
        <f t="shared" ca="1" si="13"/>
        <v>17.972074074074079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503.19111111111113</v>
      </c>
      <c r="D13">
        <f t="shared" ca="1" si="1"/>
        <v>437.97185185185185</v>
      </c>
      <c r="E13">
        <f t="shared" ca="1" si="2"/>
        <v>372.75259259259258</v>
      </c>
      <c r="F13">
        <f t="shared" si="3"/>
        <v>307.5333333333333</v>
      </c>
      <c r="G13">
        <f t="shared" ca="1" si="4"/>
        <v>242.31407407407403</v>
      </c>
      <c r="H13">
        <f t="shared" ca="1" si="5"/>
        <v>177.09481481481478</v>
      </c>
      <c r="I13">
        <f t="shared" ca="1" si="6"/>
        <v>111.87555555555551</v>
      </c>
      <c r="J13">
        <f t="shared" ca="1" si="8"/>
        <v>462</v>
      </c>
      <c r="K13" t="str">
        <f t="shared" ca="1" si="9"/>
        <v/>
      </c>
      <c r="L13">
        <f t="shared" ca="1" si="10"/>
        <v>240.30600000000001</v>
      </c>
      <c r="M13">
        <f t="shared" ca="1" si="11"/>
        <v>184.72251851851851</v>
      </c>
      <c r="N13">
        <f t="shared" ca="1" si="12"/>
        <v>129.13903703703704</v>
      </c>
      <c r="O13" s="3">
        <f t="shared" ca="1" si="7"/>
        <v>73.555555555555557</v>
      </c>
      <c r="P13">
        <f t="shared" ca="1" si="13"/>
        <v>17.972074074074079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459.45777777777778</v>
      </c>
      <c r="D14">
        <f t="shared" ca="1" si="1"/>
        <v>394.2385185185185</v>
      </c>
      <c r="E14">
        <f t="shared" ca="1" si="2"/>
        <v>329.01925925925923</v>
      </c>
      <c r="F14">
        <f t="shared" si="3"/>
        <v>263.79999999999995</v>
      </c>
      <c r="G14">
        <f t="shared" ca="1" si="4"/>
        <v>198.58074074074068</v>
      </c>
      <c r="H14">
        <f t="shared" ca="1" si="5"/>
        <v>133.36148148148143</v>
      </c>
      <c r="I14">
        <f t="shared" ca="1" si="6"/>
        <v>68.142222222222159</v>
      </c>
      <c r="J14">
        <f t="shared" ca="1" si="8"/>
        <v>462</v>
      </c>
      <c r="K14" t="str">
        <f t="shared" ca="1" si="9"/>
        <v/>
      </c>
      <c r="L14">
        <f t="shared" ca="1" si="10"/>
        <v>240.30600000000001</v>
      </c>
      <c r="M14">
        <f t="shared" ca="1" si="11"/>
        <v>184.72251851851851</v>
      </c>
      <c r="N14">
        <f t="shared" ca="1" si="12"/>
        <v>129.13903703703704</v>
      </c>
      <c r="O14" s="3">
        <f t="shared" ca="1" si="7"/>
        <v>73.555555555555557</v>
      </c>
      <c r="P14">
        <f t="shared" ca="1" si="13"/>
        <v>17.972074074074079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415.72444444444443</v>
      </c>
      <c r="D15">
        <f t="shared" ca="1" si="1"/>
        <v>350.50518518518516</v>
      </c>
      <c r="E15">
        <f t="shared" ca="1" si="2"/>
        <v>285.28592592592588</v>
      </c>
      <c r="F15">
        <f t="shared" si="3"/>
        <v>220.06666666666661</v>
      </c>
      <c r="G15">
        <f t="shared" ca="1" si="4"/>
        <v>154.84740740740733</v>
      </c>
      <c r="H15">
        <f t="shared" ca="1" si="5"/>
        <v>89.628148148148085</v>
      </c>
      <c r="I15">
        <f t="shared" ca="1" si="6"/>
        <v>24.408888888888811</v>
      </c>
      <c r="J15">
        <f t="shared" ca="1" si="8"/>
        <v>462</v>
      </c>
      <c r="K15" t="str">
        <f t="shared" ca="1" si="9"/>
        <v/>
      </c>
      <c r="L15">
        <f t="shared" ca="1" si="10"/>
        <v>240.30600000000001</v>
      </c>
      <c r="M15">
        <f t="shared" ca="1" si="11"/>
        <v>184.72251851851851</v>
      </c>
      <c r="N15">
        <f t="shared" ca="1" si="12"/>
        <v>129.13903703703704</v>
      </c>
      <c r="O15" s="3">
        <f t="shared" ca="1" si="7"/>
        <v>73.555555555555557</v>
      </c>
      <c r="P15">
        <f t="shared" ca="1" si="13"/>
        <v>17.972074074074079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371.99111111111108</v>
      </c>
      <c r="D16">
        <f t="shared" ca="1" si="1"/>
        <v>306.77185185185181</v>
      </c>
      <c r="E16">
        <f t="shared" ca="1" si="2"/>
        <v>241.55259259259253</v>
      </c>
      <c r="F16">
        <f t="shared" si="3"/>
        <v>176.33333333333326</v>
      </c>
      <c r="G16">
        <f t="shared" ca="1" si="4"/>
        <v>111.114074074074</v>
      </c>
      <c r="H16">
        <f t="shared" ca="1" si="5"/>
        <v>45.894814814814737</v>
      </c>
      <c r="I16">
        <f t="shared" ca="1" si="6"/>
        <v>-19.324444444444538</v>
      </c>
      <c r="J16">
        <f t="shared" ca="1" si="8"/>
        <v>462</v>
      </c>
      <c r="K16" t="str">
        <f t="shared" ca="1" si="9"/>
        <v/>
      </c>
      <c r="L16">
        <f t="shared" ca="1" si="10"/>
        <v>240.30600000000001</v>
      </c>
      <c r="M16">
        <f t="shared" ca="1" si="11"/>
        <v>184.72251851851851</v>
      </c>
      <c r="N16">
        <f t="shared" ca="1" si="12"/>
        <v>129.13903703703704</v>
      </c>
      <c r="O16" s="3">
        <f t="shared" ca="1" si="7"/>
        <v>73.555555555555557</v>
      </c>
      <c r="P16">
        <f t="shared" ca="1" si="13"/>
        <v>17.972074074074079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328.25777777777773</v>
      </c>
      <c r="D17">
        <f t="shared" ca="1" si="1"/>
        <v>263.03851851851846</v>
      </c>
      <c r="E17">
        <f t="shared" ca="1" si="2"/>
        <v>197.81925925925918</v>
      </c>
      <c r="F17">
        <f t="shared" si="3"/>
        <v>132.59999999999991</v>
      </c>
      <c r="G17">
        <f t="shared" ca="1" si="4"/>
        <v>67.380740740740649</v>
      </c>
      <c r="H17">
        <f t="shared" ca="1" si="5"/>
        <v>2.1614814814813883</v>
      </c>
      <c r="I17">
        <f t="shared" ca="1" si="6"/>
        <v>-63.057777777777886</v>
      </c>
      <c r="J17">
        <f t="shared" ca="1" si="8"/>
        <v>462</v>
      </c>
      <c r="K17" t="str">
        <f t="shared" ca="1" si="9"/>
        <v/>
      </c>
      <c r="L17">
        <f t="shared" ca="1" si="10"/>
        <v>240.30600000000001</v>
      </c>
      <c r="M17">
        <f t="shared" ca="1" si="11"/>
        <v>184.72251851851851</v>
      </c>
      <c r="N17">
        <f t="shared" ca="1" si="12"/>
        <v>129.13903703703704</v>
      </c>
      <c r="O17" s="3">
        <f t="shared" ca="1" si="7"/>
        <v>73.555555555555557</v>
      </c>
      <c r="P17">
        <f t="shared" ca="1" si="13"/>
        <v>17.972074074074079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284.52444444444438</v>
      </c>
      <c r="D18">
        <f t="shared" ca="1" si="1"/>
        <v>219.30518518518508</v>
      </c>
      <c r="E18">
        <f t="shared" ca="1" si="2"/>
        <v>154.08592592592584</v>
      </c>
      <c r="F18">
        <f t="shared" si="3"/>
        <v>88.866666666666561</v>
      </c>
      <c r="G18">
        <f t="shared" ca="1" si="4"/>
        <v>23.6474074074073</v>
      </c>
      <c r="H18">
        <f t="shared" ca="1" si="5"/>
        <v>-41.57185185185196</v>
      </c>
      <c r="I18">
        <f t="shared" ca="1" si="6"/>
        <v>-106.79111111111123</v>
      </c>
      <c r="J18">
        <f t="shared" ca="1" si="8"/>
        <v>462</v>
      </c>
      <c r="K18" t="str">
        <f t="shared" ca="1" si="9"/>
        <v/>
      </c>
      <c r="L18">
        <f t="shared" ca="1" si="10"/>
        <v>240.30600000000001</v>
      </c>
      <c r="M18">
        <f t="shared" ca="1" si="11"/>
        <v>184.72251851851851</v>
      </c>
      <c r="N18">
        <f t="shared" ca="1" si="12"/>
        <v>129.13903703703704</v>
      </c>
      <c r="O18" s="3">
        <f t="shared" ca="1" si="7"/>
        <v>73.555555555555557</v>
      </c>
      <c r="P18">
        <f t="shared" ca="1" si="13"/>
        <v>17.972074074074079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240.79111111111101</v>
      </c>
      <c r="D19">
        <f t="shared" ca="1" si="1"/>
        <v>175.57185185185173</v>
      </c>
      <c r="E19">
        <f t="shared" ca="1" si="2"/>
        <v>110.35259259259247</v>
      </c>
      <c r="F19">
        <f t="shared" si="3"/>
        <v>45.133333333333212</v>
      </c>
      <c r="G19">
        <f t="shared" ca="1" si="4"/>
        <v>-20.085925925926048</v>
      </c>
      <c r="H19">
        <f t="shared" ca="1" si="5"/>
        <v>-85.305185185185309</v>
      </c>
      <c r="I19">
        <f t="shared" ca="1" si="6"/>
        <v>-150.52444444444458</v>
      </c>
      <c r="J19">
        <f t="shared" ca="1" si="8"/>
        <v>462</v>
      </c>
      <c r="K19" t="str">
        <f t="shared" ca="1" si="9"/>
        <v/>
      </c>
      <c r="L19">
        <f t="shared" ca="1" si="10"/>
        <v>240.30600000000001</v>
      </c>
      <c r="M19">
        <f t="shared" ca="1" si="11"/>
        <v>184.72251851851851</v>
      </c>
      <c r="N19">
        <f t="shared" ca="1" si="12"/>
        <v>129.13903703703704</v>
      </c>
      <c r="O19" s="3">
        <f t="shared" ca="1" si="7"/>
        <v>73.555555555555557</v>
      </c>
      <c r="P19">
        <f t="shared" ca="1" si="13"/>
        <v>17.972074074074079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197.05777777777766</v>
      </c>
      <c r="D20">
        <f t="shared" ca="1" si="1"/>
        <v>131.83851851851838</v>
      </c>
      <c r="E20">
        <f t="shared" ca="1" si="2"/>
        <v>66.619259259259124</v>
      </c>
      <c r="F20">
        <f t="shared" si="3"/>
        <v>1.3999999999998636</v>
      </c>
      <c r="G20">
        <f t="shared" ca="1" si="4"/>
        <v>-63.819259259259397</v>
      </c>
      <c r="H20">
        <f t="shared" ca="1" si="5"/>
        <v>-129.03851851851866</v>
      </c>
      <c r="I20">
        <f t="shared" ca="1" si="6"/>
        <v>-194.25777777777793</v>
      </c>
      <c r="J20">
        <f t="shared" ca="1" si="8"/>
        <v>462</v>
      </c>
      <c r="K20" t="str">
        <f t="shared" ca="1" si="9"/>
        <v/>
      </c>
      <c r="L20">
        <f t="shared" ca="1" si="10"/>
        <v>240.30600000000001</v>
      </c>
      <c r="M20">
        <f t="shared" ca="1" si="11"/>
        <v>184.72251851851851</v>
      </c>
      <c r="N20">
        <f t="shared" ca="1" si="12"/>
        <v>129.13903703703704</v>
      </c>
      <c r="O20" s="3">
        <f t="shared" ca="1" si="7"/>
        <v>73.555555555555557</v>
      </c>
      <c r="P20">
        <f t="shared" ca="1" si="13"/>
        <v>17.972074074074079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153.32444444444431</v>
      </c>
      <c r="D21">
        <f t="shared" ca="1" si="1"/>
        <v>88.105185185185036</v>
      </c>
      <c r="E21">
        <f t="shared" ca="1" si="2"/>
        <v>22.885925925925775</v>
      </c>
      <c r="F21">
        <f t="shared" si="3"/>
        <v>-42.333333333333485</v>
      </c>
      <c r="G21">
        <f t="shared" ca="1" si="4"/>
        <v>-107.55259259259275</v>
      </c>
      <c r="H21">
        <f t="shared" ca="1" si="5"/>
        <v>-172.77185185185201</v>
      </c>
      <c r="I21">
        <f t="shared" ca="1" si="6"/>
        <v>-237.99111111111128</v>
      </c>
      <c r="J21">
        <f t="shared" ca="1" si="8"/>
        <v>462</v>
      </c>
      <c r="K21" t="str">
        <f t="shared" ca="1" si="9"/>
        <v/>
      </c>
      <c r="L21">
        <f t="shared" ca="1" si="10"/>
        <v>240.30600000000001</v>
      </c>
      <c r="M21">
        <f t="shared" ca="1" si="11"/>
        <v>184.72251851851851</v>
      </c>
      <c r="N21">
        <f t="shared" ca="1" si="12"/>
        <v>129.13903703703704</v>
      </c>
      <c r="O21" s="3">
        <f t="shared" ca="1" si="7"/>
        <v>73.555555555555557</v>
      </c>
      <c r="P21">
        <f t="shared" ca="1" si="13"/>
        <v>17.972074074074079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109.59111111111096</v>
      </c>
      <c r="D22">
        <f t="shared" ca="1" si="1"/>
        <v>44.371851851851687</v>
      </c>
      <c r="E22">
        <f t="shared" ca="1" si="2"/>
        <v>-20.847407407407573</v>
      </c>
      <c r="F22">
        <f t="shared" si="3"/>
        <v>-86.066666666666833</v>
      </c>
      <c r="G22">
        <f t="shared" ca="1" si="4"/>
        <v>-151.28592592592611</v>
      </c>
      <c r="H22">
        <f t="shared" ca="1" si="5"/>
        <v>-216.50518518518535</v>
      </c>
      <c r="I22">
        <f t="shared" ca="1" si="6"/>
        <v>-281.72444444444466</v>
      </c>
      <c r="J22">
        <f t="shared" ca="1" si="8"/>
        <v>462</v>
      </c>
      <c r="K22" t="str">
        <f t="shared" ca="1" si="9"/>
        <v/>
      </c>
      <c r="L22">
        <f t="shared" ca="1" si="10"/>
        <v>240.30600000000001</v>
      </c>
      <c r="M22">
        <f t="shared" ca="1" si="11"/>
        <v>184.72251851851851</v>
      </c>
      <c r="N22">
        <f t="shared" ca="1" si="12"/>
        <v>129.13903703703704</v>
      </c>
      <c r="O22" s="3">
        <f t="shared" ca="1" si="7"/>
        <v>73.555555555555557</v>
      </c>
      <c r="P22">
        <f t="shared" ca="1" si="13"/>
        <v>17.972074074074079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65.857777777777613</v>
      </c>
      <c r="D23">
        <f t="shared" ca="1" si="1"/>
        <v>0.63851851851833885</v>
      </c>
      <c r="E23">
        <f t="shared" ca="1" si="2"/>
        <v>-64.580740740740922</v>
      </c>
      <c r="F23">
        <f t="shared" si="3"/>
        <v>-129.80000000000018</v>
      </c>
      <c r="G23">
        <f t="shared" ca="1" si="4"/>
        <v>-195.01925925925946</v>
      </c>
      <c r="H23">
        <f t="shared" ca="1" si="5"/>
        <v>-260.23851851851873</v>
      </c>
      <c r="I23">
        <f t="shared" ca="1" si="6"/>
        <v>-325.45777777777801</v>
      </c>
      <c r="J23">
        <f t="shared" ca="1" si="8"/>
        <v>462</v>
      </c>
      <c r="K23" t="str">
        <f t="shared" ca="1" si="9"/>
        <v/>
      </c>
      <c r="L23">
        <f t="shared" ca="1" si="10"/>
        <v>240.30600000000001</v>
      </c>
      <c r="M23">
        <f t="shared" ca="1" si="11"/>
        <v>184.72251851851851</v>
      </c>
      <c r="N23">
        <f t="shared" ca="1" si="12"/>
        <v>129.13903703703704</v>
      </c>
      <c r="O23" s="3">
        <f t="shared" ca="1" si="7"/>
        <v>73.555555555555557</v>
      </c>
      <c r="P23">
        <f t="shared" ca="1" si="13"/>
        <v>17.972074074074079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22.124444444444265</v>
      </c>
      <c r="D24">
        <f t="shared" ca="1" si="1"/>
        <v>-43.09481481481501</v>
      </c>
      <c r="E24">
        <f t="shared" ca="1" si="2"/>
        <v>-108.31407407407427</v>
      </c>
      <c r="F24">
        <f t="shared" si="3"/>
        <v>-173.53333333333353</v>
      </c>
      <c r="G24">
        <f t="shared" ca="1" si="4"/>
        <v>-238.7525925925928</v>
      </c>
      <c r="H24">
        <f t="shared" ca="1" si="5"/>
        <v>-303.97185185185208</v>
      </c>
      <c r="I24">
        <f t="shared" ca="1" si="6"/>
        <v>-369.19111111111135</v>
      </c>
      <c r="J24">
        <f t="shared" ca="1" si="8"/>
        <v>462</v>
      </c>
      <c r="K24" t="str">
        <f t="shared" ca="1" si="9"/>
        <v/>
      </c>
      <c r="L24">
        <f t="shared" ca="1" si="10"/>
        <v>240.30600000000001</v>
      </c>
      <c r="M24">
        <f t="shared" ca="1" si="11"/>
        <v>184.72251851851851</v>
      </c>
      <c r="N24">
        <f t="shared" ca="1" si="12"/>
        <v>129.13903703703704</v>
      </c>
      <c r="O24" s="3">
        <f t="shared" ca="1" si="7"/>
        <v>73.555555555555557</v>
      </c>
      <c r="P24">
        <f t="shared" ca="1" si="13"/>
        <v>17.972074074074079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-21.60888888888897</v>
      </c>
      <c r="D25">
        <f t="shared" ca="1" si="1"/>
        <v>-86.828148148148244</v>
      </c>
      <c r="E25">
        <f t="shared" ca="1" si="2"/>
        <v>-152.04740740740749</v>
      </c>
      <c r="F25">
        <f t="shared" si="3"/>
        <v>-217.26666666666677</v>
      </c>
      <c r="G25">
        <f t="shared" ca="1" si="4"/>
        <v>-282.48592592592604</v>
      </c>
      <c r="H25">
        <f t="shared" ca="1" si="5"/>
        <v>-347.70518518518531</v>
      </c>
      <c r="I25">
        <f t="shared" ca="1" si="6"/>
        <v>-412.92444444444459</v>
      </c>
      <c r="J25">
        <f t="shared" ca="1" si="8"/>
        <v>462</v>
      </c>
      <c r="K25" t="str">
        <f t="shared" ca="1" si="9"/>
        <v/>
      </c>
      <c r="L25">
        <f t="shared" ca="1" si="10"/>
        <v>240.30600000000001</v>
      </c>
      <c r="M25">
        <f t="shared" ca="1" si="11"/>
        <v>184.72251851851851</v>
      </c>
      <c r="N25">
        <f t="shared" ca="1" si="12"/>
        <v>129.13903703703704</v>
      </c>
      <c r="O25" s="3">
        <f t="shared" ca="1" si="7"/>
        <v>73.555555555555557</v>
      </c>
      <c r="P25">
        <f t="shared" ca="1" si="13"/>
        <v>17.972074074074079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-65.342222222222318</v>
      </c>
      <c r="D26">
        <f t="shared" ca="1" si="1"/>
        <v>-130.56148148148159</v>
      </c>
      <c r="E26">
        <f t="shared" ca="1" si="2"/>
        <v>-195.78074074074084</v>
      </c>
      <c r="F26">
        <f t="shared" si="3"/>
        <v>-261.00000000000011</v>
      </c>
      <c r="G26">
        <f t="shared" ca="1" si="4"/>
        <v>-326.21925925925939</v>
      </c>
      <c r="H26">
        <f t="shared" ca="1" si="5"/>
        <v>-391.43851851851866</v>
      </c>
      <c r="I26">
        <f t="shared" ca="1" si="6"/>
        <v>-456.65777777777794</v>
      </c>
      <c r="J26">
        <f t="shared" ca="1" si="8"/>
        <v>462</v>
      </c>
      <c r="K26" t="str">
        <f t="shared" ca="1" si="9"/>
        <v/>
      </c>
      <c r="L26">
        <f t="shared" ca="1" si="10"/>
        <v>240.30600000000001</v>
      </c>
      <c r="M26">
        <f t="shared" ca="1" si="11"/>
        <v>184.72251851851851</v>
      </c>
      <c r="N26">
        <f t="shared" ca="1" si="12"/>
        <v>129.13903703703704</v>
      </c>
      <c r="O26" s="3">
        <f t="shared" ca="1" si="7"/>
        <v>73.555555555555557</v>
      </c>
      <c r="P26">
        <f t="shared" ca="1" si="13"/>
        <v>17.972074074074079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-109.07555555555567</v>
      </c>
      <c r="D27">
        <f t="shared" ca="1" si="1"/>
        <v>-174.29481481481494</v>
      </c>
      <c r="E27">
        <f t="shared" ca="1" si="2"/>
        <v>-239.51407407407419</v>
      </c>
      <c r="F27">
        <f t="shared" si="3"/>
        <v>-304.73333333333346</v>
      </c>
      <c r="G27">
        <f t="shared" ca="1" si="4"/>
        <v>-369.95259259259274</v>
      </c>
      <c r="H27">
        <f t="shared" ca="1" si="5"/>
        <v>-435.17185185185201</v>
      </c>
      <c r="I27">
        <f t="shared" ca="1" si="6"/>
        <v>-500.39111111111129</v>
      </c>
      <c r="J27">
        <f t="shared" ca="1" si="8"/>
        <v>462</v>
      </c>
      <c r="K27" t="str">
        <f t="shared" ca="1" si="9"/>
        <v/>
      </c>
      <c r="L27">
        <f t="shared" ca="1" si="10"/>
        <v>240.30600000000001</v>
      </c>
      <c r="M27">
        <f t="shared" ca="1" si="11"/>
        <v>184.72251851851851</v>
      </c>
      <c r="N27">
        <f t="shared" ca="1" si="12"/>
        <v>129.13903703703704</v>
      </c>
      <c r="O27" s="3">
        <f t="shared" ca="1" si="7"/>
        <v>73.555555555555557</v>
      </c>
      <c r="P27">
        <f t="shared" ca="1" si="13"/>
        <v>17.972074074074079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-152.80888888888902</v>
      </c>
      <c r="D28">
        <f t="shared" ca="1" si="1"/>
        <v>-218.02814814814829</v>
      </c>
      <c r="E28">
        <f t="shared" ca="1" si="2"/>
        <v>-283.24740740740754</v>
      </c>
      <c r="F28">
        <f t="shared" si="3"/>
        <v>-348.46666666666681</v>
      </c>
      <c r="G28">
        <f t="shared" ca="1" si="4"/>
        <v>-413.68592592592609</v>
      </c>
      <c r="H28">
        <f t="shared" ca="1" si="5"/>
        <v>-478.90518518518536</v>
      </c>
      <c r="I28">
        <f t="shared" ca="1" si="6"/>
        <v>-544.12444444444463</v>
      </c>
      <c r="J28">
        <f t="shared" ca="1" si="8"/>
        <v>462</v>
      </c>
      <c r="K28" t="str">
        <f t="shared" ca="1" si="9"/>
        <v/>
      </c>
      <c r="L28">
        <f t="shared" ca="1" si="10"/>
        <v>240.30600000000001</v>
      </c>
      <c r="M28">
        <f t="shared" ca="1" si="11"/>
        <v>184.72251851851851</v>
      </c>
      <c r="N28">
        <f t="shared" ca="1" si="12"/>
        <v>129.13903703703704</v>
      </c>
      <c r="O28" s="3">
        <f t="shared" ca="1" si="7"/>
        <v>73.555555555555557</v>
      </c>
      <c r="P28">
        <f t="shared" ca="1" si="13"/>
        <v>17.972074074074079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-196.54222222222236</v>
      </c>
      <c r="D29">
        <f t="shared" ca="1" si="1"/>
        <v>-261.76148148148161</v>
      </c>
      <c r="E29">
        <f t="shared" ca="1" si="2"/>
        <v>-326.98074074074088</v>
      </c>
      <c r="F29">
        <f t="shared" si="3"/>
        <v>-392.20000000000016</v>
      </c>
      <c r="G29">
        <f t="shared" ca="1" si="4"/>
        <v>-457.41925925925943</v>
      </c>
      <c r="H29">
        <f t="shared" ca="1" si="5"/>
        <v>-522.63851851851871</v>
      </c>
      <c r="I29">
        <f t="shared" ca="1" si="6"/>
        <v>-587.85777777777798</v>
      </c>
      <c r="J29">
        <f t="shared" ca="1" si="8"/>
        <v>462</v>
      </c>
      <c r="K29" t="str">
        <f t="shared" ca="1" si="9"/>
        <v/>
      </c>
      <c r="L29">
        <f t="shared" ca="1" si="10"/>
        <v>240.30600000000001</v>
      </c>
      <c r="M29">
        <f t="shared" ca="1" si="11"/>
        <v>184.72251851851851</v>
      </c>
      <c r="N29">
        <f t="shared" ca="1" si="12"/>
        <v>129.13903703703704</v>
      </c>
      <c r="O29" s="3">
        <f t="shared" ca="1" si="7"/>
        <v>73.555555555555557</v>
      </c>
      <c r="P29">
        <f t="shared" ca="1" si="13"/>
        <v>17.972074074074079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-240.27555555555571</v>
      </c>
      <c r="D30">
        <f t="shared" ca="1" si="1"/>
        <v>-305.49481481481496</v>
      </c>
      <c r="E30">
        <f t="shared" ca="1" si="2"/>
        <v>-370.71407407407423</v>
      </c>
      <c r="F30">
        <f t="shared" si="3"/>
        <v>-435.93333333333351</v>
      </c>
      <c r="G30">
        <f t="shared" ca="1" si="4"/>
        <v>-501.15259259259278</v>
      </c>
      <c r="H30">
        <f t="shared" ca="1" si="5"/>
        <v>-566.37185185185206</v>
      </c>
      <c r="I30">
        <f t="shared" ca="1" si="6"/>
        <v>-631.59111111111133</v>
      </c>
      <c r="J30">
        <f t="shared" ca="1" si="8"/>
        <v>462</v>
      </c>
      <c r="K30" t="str">
        <f t="shared" ca="1" si="9"/>
        <v/>
      </c>
      <c r="L30">
        <f t="shared" ca="1" si="10"/>
        <v>240.30600000000001</v>
      </c>
      <c r="M30">
        <f t="shared" ca="1" si="11"/>
        <v>184.72251851851851</v>
      </c>
      <c r="N30">
        <f t="shared" ca="1" si="12"/>
        <v>129.13903703703704</v>
      </c>
      <c r="O30" s="3">
        <f t="shared" ca="1" si="7"/>
        <v>73.555555555555557</v>
      </c>
      <c r="P30">
        <f t="shared" ca="1" si="13"/>
        <v>17.972074074074079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-284.00888888888903</v>
      </c>
      <c r="D31">
        <f t="shared" ca="1" si="1"/>
        <v>-349.22814814814831</v>
      </c>
      <c r="E31">
        <f t="shared" ca="1" si="2"/>
        <v>-414.44740740740758</v>
      </c>
      <c r="F31">
        <f t="shared" si="3"/>
        <v>-479.66666666666686</v>
      </c>
      <c r="G31">
        <f t="shared" ca="1" si="4"/>
        <v>-544.88592592592613</v>
      </c>
      <c r="H31">
        <f t="shared" ca="1" si="5"/>
        <v>-610.10518518518541</v>
      </c>
      <c r="I31">
        <f t="shared" ca="1" si="6"/>
        <v>-675.32444444444468</v>
      </c>
      <c r="J31">
        <f t="shared" ca="1" si="8"/>
        <v>462</v>
      </c>
      <c r="K31" t="str">
        <f t="shared" ca="1" si="9"/>
        <v/>
      </c>
      <c r="L31">
        <f t="shared" ca="1" si="10"/>
        <v>240.30600000000001</v>
      </c>
      <c r="M31">
        <f t="shared" ca="1" si="11"/>
        <v>184.72251851851851</v>
      </c>
      <c r="N31">
        <f t="shared" ca="1" si="12"/>
        <v>129.13903703703704</v>
      </c>
      <c r="O31" s="3">
        <f t="shared" ca="1" si="7"/>
        <v>73.555555555555557</v>
      </c>
      <c r="P31">
        <f t="shared" ca="1" si="13"/>
        <v>17.972074074074079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DA7A-F47F-7C4B-84BF-A5A384297F25}">
  <sheetPr>
    <tabColor rgb="FF66FF66"/>
    <pageSetUpPr fitToPage="1"/>
  </sheetPr>
  <dimension ref="A1:R142"/>
  <sheetViews>
    <sheetView zoomScale="117" zoomScaleNormal="117" workbookViewId="0">
      <selection activeCell="Y42" sqref="Y42"/>
    </sheetView>
  </sheetViews>
  <sheetFormatPr baseColWidth="10" defaultRowHeight="16" x14ac:dyDescent="0.2"/>
  <cols>
    <col min="1" max="1" width="10.5" bestFit="1" customWidth="1"/>
    <col min="2" max="20" width="6.83203125" customWidth="1"/>
  </cols>
  <sheetData>
    <row r="1" spans="1:18" ht="14" customHeight="1" x14ac:dyDescent="0.2">
      <c r="A1" t="s">
        <v>0</v>
      </c>
      <c r="B1" s="3" t="s">
        <v>3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 s="2">
        <v>42370</v>
      </c>
      <c r="B2" s="3">
        <v>5</v>
      </c>
      <c r="C2" s="3">
        <f t="shared" ref="C2:C33" ca="1" si="0">F2+2.66*O2</f>
        <v>14.339076923076924</v>
      </c>
      <c r="D2" s="3">
        <f t="shared" ref="D2:D33" ca="1" si="1">F2+(2/3)*2.66*O2</f>
        <v>12.03374358974359</v>
      </c>
      <c r="E2" s="3">
        <f t="shared" ref="E2:E33" ca="1" si="2">F2+(1/3)*2.66*O2</f>
        <v>9.7284102564102568</v>
      </c>
      <c r="F2" s="3">
        <f t="shared" ref="F2:F27" si="3">AVERAGE($B$2:$B$27)</f>
        <v>7.4230769230769234</v>
      </c>
      <c r="G2" s="3">
        <f t="shared" ref="G2:G33" ca="1" si="4">F2-(1/3)*2.66*O2</f>
        <v>5.1177435897435899</v>
      </c>
      <c r="H2" s="3">
        <f t="shared" ref="H2:H33" ca="1" si="5">F2-(2/3)*2.66*O2</f>
        <v>2.8124102564102564</v>
      </c>
      <c r="I2" s="3">
        <f t="shared" ref="I2:I33" ca="1" si="6">F2-2.66*O2</f>
        <v>0.50707692307692298</v>
      </c>
      <c r="J2" s="3">
        <f>B2</f>
        <v>5</v>
      </c>
      <c r="K2" s="3"/>
      <c r="L2" s="3"/>
      <c r="M2" s="3"/>
      <c r="N2" s="3"/>
      <c r="O2" s="3">
        <f t="shared" ref="O2:O27" ca="1" si="7">AVERAGE($K$2:$K$27)</f>
        <v>2.6</v>
      </c>
      <c r="P2" s="3"/>
      <c r="Q2" s="3"/>
      <c r="R2" s="3"/>
    </row>
    <row r="3" spans="1:18" ht="14" customHeight="1" x14ac:dyDescent="0.2">
      <c r="A3" s="2">
        <v>42401</v>
      </c>
      <c r="B3" s="3">
        <v>9</v>
      </c>
      <c r="C3" s="3">
        <f t="shared" ca="1" si="0"/>
        <v>14.339076923076924</v>
      </c>
      <c r="D3" s="3">
        <f t="shared" ca="1" si="1"/>
        <v>12.03374358974359</v>
      </c>
      <c r="E3" s="3">
        <f t="shared" ca="1" si="2"/>
        <v>9.7284102564102568</v>
      </c>
      <c r="F3" s="3">
        <f t="shared" si="3"/>
        <v>7.4230769230769234</v>
      </c>
      <c r="G3" s="3">
        <f t="shared" ca="1" si="4"/>
        <v>5.1177435897435899</v>
      </c>
      <c r="H3" s="3">
        <f t="shared" ca="1" si="5"/>
        <v>2.8124102564102564</v>
      </c>
      <c r="I3" s="3">
        <f t="shared" ca="1" si="6"/>
        <v>0.50707692307692298</v>
      </c>
      <c r="J3">
        <f t="shared" ref="J3:J34" ca="1" si="8">IF(ISBLANK(B3),OFFSET(J3,-1,0,1,1),B3)</f>
        <v>9</v>
      </c>
      <c r="K3" s="3">
        <f t="shared" ref="K3:K34" ca="1" si="9">IF(OR(OFFSET(K3,-1,-9,1,1)="",OFFSET(K3,0,-9,1,1)=""),"",IF(ISERROR(ABS(B3-OFFSET(K3,-1,-1,1,1))),"",ABS(B3-OFFSET(K3,-1,-1,1,1))))</f>
        <v>4</v>
      </c>
      <c r="L3" s="3">
        <f t="shared" ref="L3:L34" ca="1" si="10">3.267*O3</f>
        <v>8.4941999999999993</v>
      </c>
      <c r="M3" s="3">
        <f t="shared" ref="M3:M34" ca="1" si="11">(2/3)*(L3-O3)+O3</f>
        <v>6.5294666666666661</v>
      </c>
      <c r="N3" s="3">
        <f t="shared" ref="N3:N34" ca="1" si="12">(1/3)*(L3-O3)+O3</f>
        <v>4.5647333333333329</v>
      </c>
      <c r="O3" s="3">
        <f t="shared" ca="1" si="7"/>
        <v>2.6</v>
      </c>
      <c r="P3" s="3">
        <f t="shared" ref="P3:P34" ca="1" si="13">(MAX(O3-(1/3)*(L3-O3),0))</f>
        <v>0.63526666666666687</v>
      </c>
      <c r="Q3" s="3">
        <f t="shared" ref="Q3:Q34" ca="1" si="14">MAX(O3-(2/3)*(L3-O3),0)</f>
        <v>0</v>
      </c>
      <c r="R3" s="3">
        <v>0</v>
      </c>
    </row>
    <row r="4" spans="1:18" ht="14" customHeight="1" x14ac:dyDescent="0.2">
      <c r="A4" s="2">
        <v>42430</v>
      </c>
      <c r="B4" s="3">
        <v>4</v>
      </c>
      <c r="C4" s="3">
        <f t="shared" ca="1" si="0"/>
        <v>14.339076923076924</v>
      </c>
      <c r="D4" s="3">
        <f t="shared" ca="1" si="1"/>
        <v>12.03374358974359</v>
      </c>
      <c r="E4" s="3">
        <f t="shared" ca="1" si="2"/>
        <v>9.7284102564102568</v>
      </c>
      <c r="F4" s="3">
        <f t="shared" si="3"/>
        <v>7.4230769230769234</v>
      </c>
      <c r="G4" s="3">
        <f t="shared" ca="1" si="4"/>
        <v>5.1177435897435899</v>
      </c>
      <c r="H4" s="3">
        <f t="shared" ca="1" si="5"/>
        <v>2.8124102564102564</v>
      </c>
      <c r="I4" s="3">
        <f t="shared" ca="1" si="6"/>
        <v>0.50707692307692298</v>
      </c>
      <c r="J4">
        <f t="shared" ca="1" si="8"/>
        <v>4</v>
      </c>
      <c r="K4" s="3">
        <f t="shared" ca="1" si="9"/>
        <v>5</v>
      </c>
      <c r="L4" s="3">
        <f t="shared" ca="1" si="10"/>
        <v>8.4941999999999993</v>
      </c>
      <c r="M4" s="3">
        <f t="shared" ca="1" si="11"/>
        <v>6.5294666666666661</v>
      </c>
      <c r="N4" s="3">
        <f t="shared" ca="1" si="12"/>
        <v>4.5647333333333329</v>
      </c>
      <c r="O4" s="3">
        <f t="shared" ca="1" si="7"/>
        <v>2.6</v>
      </c>
      <c r="P4" s="3">
        <f t="shared" ca="1" si="13"/>
        <v>0.63526666666666687</v>
      </c>
      <c r="Q4" s="3">
        <f t="shared" ca="1" si="14"/>
        <v>0</v>
      </c>
      <c r="R4" s="3">
        <v>0</v>
      </c>
    </row>
    <row r="5" spans="1:18" ht="14" customHeight="1" x14ac:dyDescent="0.2">
      <c r="A5" s="2">
        <v>42461</v>
      </c>
      <c r="B5" s="3">
        <v>10</v>
      </c>
      <c r="C5" s="3">
        <f t="shared" ca="1" si="0"/>
        <v>14.339076923076924</v>
      </c>
      <c r="D5" s="3">
        <f t="shared" ca="1" si="1"/>
        <v>12.03374358974359</v>
      </c>
      <c r="E5" s="3">
        <f t="shared" ca="1" si="2"/>
        <v>9.7284102564102568</v>
      </c>
      <c r="F5" s="3">
        <f t="shared" si="3"/>
        <v>7.4230769230769234</v>
      </c>
      <c r="G5" s="3">
        <f t="shared" ca="1" si="4"/>
        <v>5.1177435897435899</v>
      </c>
      <c r="H5" s="3">
        <f t="shared" ca="1" si="5"/>
        <v>2.8124102564102564</v>
      </c>
      <c r="I5" s="3">
        <f t="shared" ca="1" si="6"/>
        <v>0.50707692307692298</v>
      </c>
      <c r="J5">
        <f t="shared" ca="1" si="8"/>
        <v>10</v>
      </c>
      <c r="K5" s="3">
        <f t="shared" ca="1" si="9"/>
        <v>6</v>
      </c>
      <c r="L5" s="3">
        <f t="shared" ca="1" si="10"/>
        <v>8.4941999999999993</v>
      </c>
      <c r="M5" s="3">
        <f t="shared" ca="1" si="11"/>
        <v>6.5294666666666661</v>
      </c>
      <c r="N5" s="3">
        <f t="shared" ca="1" si="12"/>
        <v>4.5647333333333329</v>
      </c>
      <c r="O5" s="3">
        <f t="shared" ca="1" si="7"/>
        <v>2.6</v>
      </c>
      <c r="P5" s="3">
        <f t="shared" ca="1" si="13"/>
        <v>0.63526666666666687</v>
      </c>
      <c r="Q5" s="3">
        <f t="shared" ca="1" si="14"/>
        <v>0</v>
      </c>
      <c r="R5" s="3">
        <v>0</v>
      </c>
    </row>
    <row r="6" spans="1:18" ht="14" customHeight="1" x14ac:dyDescent="0.2">
      <c r="A6" s="2">
        <v>42491</v>
      </c>
      <c r="B6" s="3">
        <v>9</v>
      </c>
      <c r="C6" s="3">
        <f t="shared" ca="1" si="0"/>
        <v>14.339076923076924</v>
      </c>
      <c r="D6" s="3">
        <f t="shared" ca="1" si="1"/>
        <v>12.03374358974359</v>
      </c>
      <c r="E6" s="3">
        <f t="shared" ca="1" si="2"/>
        <v>9.7284102564102568</v>
      </c>
      <c r="F6" s="3">
        <f t="shared" si="3"/>
        <v>7.4230769230769234</v>
      </c>
      <c r="G6" s="3">
        <f t="shared" ca="1" si="4"/>
        <v>5.1177435897435899</v>
      </c>
      <c r="H6" s="3">
        <f t="shared" ca="1" si="5"/>
        <v>2.8124102564102564</v>
      </c>
      <c r="I6" s="3">
        <f t="shared" ca="1" si="6"/>
        <v>0.50707692307692298</v>
      </c>
      <c r="J6">
        <f t="shared" ca="1" si="8"/>
        <v>9</v>
      </c>
      <c r="K6" s="3">
        <f t="shared" ca="1" si="9"/>
        <v>1</v>
      </c>
      <c r="L6" s="3">
        <f t="shared" ca="1" si="10"/>
        <v>8.4941999999999993</v>
      </c>
      <c r="M6" s="3">
        <f t="shared" ca="1" si="11"/>
        <v>6.5294666666666661</v>
      </c>
      <c r="N6" s="3">
        <f t="shared" ca="1" si="12"/>
        <v>4.5647333333333329</v>
      </c>
      <c r="O6" s="3">
        <f t="shared" ca="1" si="7"/>
        <v>2.6</v>
      </c>
      <c r="P6" s="3">
        <f t="shared" ca="1" si="13"/>
        <v>0.63526666666666687</v>
      </c>
      <c r="Q6" s="3">
        <f t="shared" ca="1" si="14"/>
        <v>0</v>
      </c>
      <c r="R6" s="3">
        <v>0</v>
      </c>
    </row>
    <row r="7" spans="1:18" ht="14" customHeight="1" x14ac:dyDescent="0.2">
      <c r="A7" s="2">
        <v>42522</v>
      </c>
      <c r="B7" s="3">
        <v>10</v>
      </c>
      <c r="C7" s="3">
        <f t="shared" ca="1" si="0"/>
        <v>14.339076923076924</v>
      </c>
      <c r="D7" s="3">
        <f t="shared" ca="1" si="1"/>
        <v>12.03374358974359</v>
      </c>
      <c r="E7" s="3">
        <f t="shared" ca="1" si="2"/>
        <v>9.7284102564102568</v>
      </c>
      <c r="F7" s="3">
        <f t="shared" si="3"/>
        <v>7.4230769230769234</v>
      </c>
      <c r="G7" s="3">
        <f t="shared" ca="1" si="4"/>
        <v>5.1177435897435899</v>
      </c>
      <c r="H7" s="3">
        <f t="shared" ca="1" si="5"/>
        <v>2.8124102564102564</v>
      </c>
      <c r="I7" s="3">
        <f t="shared" ca="1" si="6"/>
        <v>0.50707692307692298</v>
      </c>
      <c r="J7">
        <f t="shared" ca="1" si="8"/>
        <v>10</v>
      </c>
      <c r="K7" s="3">
        <f t="shared" ca="1" si="9"/>
        <v>1</v>
      </c>
      <c r="L7" s="3">
        <f t="shared" ca="1" si="10"/>
        <v>8.4941999999999993</v>
      </c>
      <c r="M7" s="3">
        <f t="shared" ca="1" si="11"/>
        <v>6.5294666666666661</v>
      </c>
      <c r="N7" s="3">
        <f t="shared" ca="1" si="12"/>
        <v>4.5647333333333329</v>
      </c>
      <c r="O7" s="3">
        <f t="shared" ca="1" si="7"/>
        <v>2.6</v>
      </c>
      <c r="P7" s="3">
        <f t="shared" ca="1" si="13"/>
        <v>0.63526666666666687</v>
      </c>
      <c r="Q7" s="3">
        <f t="shared" ca="1" si="14"/>
        <v>0</v>
      </c>
      <c r="R7" s="3">
        <v>0</v>
      </c>
    </row>
    <row r="8" spans="1:18" ht="14" customHeight="1" x14ac:dyDescent="0.2">
      <c r="A8" s="2">
        <v>42552</v>
      </c>
      <c r="B8" s="3">
        <v>11</v>
      </c>
      <c r="C8" s="3">
        <f t="shared" ca="1" si="0"/>
        <v>14.339076923076924</v>
      </c>
      <c r="D8" s="3">
        <f t="shared" ca="1" si="1"/>
        <v>12.03374358974359</v>
      </c>
      <c r="E8" s="3">
        <f t="shared" ca="1" si="2"/>
        <v>9.7284102564102568</v>
      </c>
      <c r="F8" s="3">
        <f t="shared" si="3"/>
        <v>7.4230769230769234</v>
      </c>
      <c r="G8" s="3">
        <f t="shared" ca="1" si="4"/>
        <v>5.1177435897435899</v>
      </c>
      <c r="H8" s="3">
        <f t="shared" ca="1" si="5"/>
        <v>2.8124102564102564</v>
      </c>
      <c r="I8" s="3">
        <f t="shared" ca="1" si="6"/>
        <v>0.50707692307692298</v>
      </c>
      <c r="J8">
        <f t="shared" ca="1" si="8"/>
        <v>11</v>
      </c>
      <c r="K8" s="3">
        <f t="shared" ca="1" si="9"/>
        <v>1</v>
      </c>
      <c r="L8" s="3">
        <f t="shared" ca="1" si="10"/>
        <v>8.4941999999999993</v>
      </c>
      <c r="M8" s="3">
        <f t="shared" ca="1" si="11"/>
        <v>6.5294666666666661</v>
      </c>
      <c r="N8" s="3">
        <f t="shared" ca="1" si="12"/>
        <v>4.5647333333333329</v>
      </c>
      <c r="O8" s="3">
        <f t="shared" ca="1" si="7"/>
        <v>2.6</v>
      </c>
      <c r="P8" s="3">
        <f t="shared" ca="1" si="13"/>
        <v>0.63526666666666687</v>
      </c>
      <c r="Q8" s="3">
        <f t="shared" ca="1" si="14"/>
        <v>0</v>
      </c>
      <c r="R8" s="3">
        <v>0</v>
      </c>
    </row>
    <row r="9" spans="1:18" ht="14" customHeight="1" x14ac:dyDescent="0.2">
      <c r="A9" s="2">
        <v>42583</v>
      </c>
      <c r="B9" s="3">
        <v>4</v>
      </c>
      <c r="C9" s="3">
        <f t="shared" ca="1" si="0"/>
        <v>14.339076923076924</v>
      </c>
      <c r="D9" s="3">
        <f t="shared" ca="1" si="1"/>
        <v>12.03374358974359</v>
      </c>
      <c r="E9" s="3">
        <f t="shared" ca="1" si="2"/>
        <v>9.7284102564102568</v>
      </c>
      <c r="F9" s="3">
        <f t="shared" si="3"/>
        <v>7.4230769230769234</v>
      </c>
      <c r="G9" s="3">
        <f t="shared" ca="1" si="4"/>
        <v>5.1177435897435899</v>
      </c>
      <c r="H9" s="3">
        <f t="shared" ca="1" si="5"/>
        <v>2.8124102564102564</v>
      </c>
      <c r="I9" s="3">
        <f t="shared" ca="1" si="6"/>
        <v>0.50707692307692298</v>
      </c>
      <c r="J9">
        <f t="shared" ca="1" si="8"/>
        <v>4</v>
      </c>
      <c r="K9" s="3">
        <f t="shared" ca="1" si="9"/>
        <v>7</v>
      </c>
      <c r="L9" s="3">
        <f t="shared" ca="1" si="10"/>
        <v>8.4941999999999993</v>
      </c>
      <c r="M9" s="3">
        <f t="shared" ca="1" si="11"/>
        <v>6.5294666666666661</v>
      </c>
      <c r="N9" s="3">
        <f t="shared" ca="1" si="12"/>
        <v>4.5647333333333329</v>
      </c>
      <c r="O9" s="3">
        <f t="shared" ca="1" si="7"/>
        <v>2.6</v>
      </c>
      <c r="P9" s="3">
        <f t="shared" ca="1" si="13"/>
        <v>0.63526666666666687</v>
      </c>
      <c r="Q9" s="3">
        <f t="shared" ca="1" si="14"/>
        <v>0</v>
      </c>
      <c r="R9" s="3">
        <v>0</v>
      </c>
    </row>
    <row r="10" spans="1:18" ht="14" customHeight="1" x14ac:dyDescent="0.2">
      <c r="A10" s="2">
        <v>42614</v>
      </c>
      <c r="B10" s="3">
        <v>3</v>
      </c>
      <c r="C10" s="3">
        <f t="shared" ca="1" si="0"/>
        <v>14.339076923076924</v>
      </c>
      <c r="D10" s="3">
        <f t="shared" ca="1" si="1"/>
        <v>12.03374358974359</v>
      </c>
      <c r="E10" s="3">
        <f t="shared" ca="1" si="2"/>
        <v>9.7284102564102568</v>
      </c>
      <c r="F10" s="3">
        <f t="shared" si="3"/>
        <v>7.4230769230769234</v>
      </c>
      <c r="G10" s="3">
        <f t="shared" ca="1" si="4"/>
        <v>5.1177435897435899</v>
      </c>
      <c r="H10" s="3">
        <f t="shared" ca="1" si="5"/>
        <v>2.8124102564102564</v>
      </c>
      <c r="I10" s="3">
        <f t="shared" ca="1" si="6"/>
        <v>0.50707692307692298</v>
      </c>
      <c r="J10">
        <f t="shared" ca="1" si="8"/>
        <v>3</v>
      </c>
      <c r="K10" s="3">
        <f t="shared" ca="1" si="9"/>
        <v>1</v>
      </c>
      <c r="L10" s="3">
        <f t="shared" ca="1" si="10"/>
        <v>8.4941999999999993</v>
      </c>
      <c r="M10" s="3">
        <f t="shared" ca="1" si="11"/>
        <v>6.5294666666666661</v>
      </c>
      <c r="N10" s="3">
        <f t="shared" ca="1" si="12"/>
        <v>4.5647333333333329</v>
      </c>
      <c r="O10" s="3">
        <f t="shared" ca="1" si="7"/>
        <v>2.6</v>
      </c>
      <c r="P10" s="3">
        <f t="shared" ca="1" si="13"/>
        <v>0.63526666666666687</v>
      </c>
      <c r="Q10" s="3">
        <f t="shared" ca="1" si="14"/>
        <v>0</v>
      </c>
      <c r="R10" s="3">
        <v>0</v>
      </c>
    </row>
    <row r="11" spans="1:18" ht="14" customHeight="1" x14ac:dyDescent="0.2">
      <c r="A11" s="2">
        <v>42644</v>
      </c>
      <c r="B11" s="3">
        <v>6</v>
      </c>
      <c r="C11" s="3">
        <f t="shared" ca="1" si="0"/>
        <v>14.339076923076924</v>
      </c>
      <c r="D11" s="3">
        <f t="shared" ca="1" si="1"/>
        <v>12.03374358974359</v>
      </c>
      <c r="E11" s="3">
        <f t="shared" ca="1" si="2"/>
        <v>9.7284102564102568</v>
      </c>
      <c r="F11" s="3">
        <f t="shared" si="3"/>
        <v>7.4230769230769234</v>
      </c>
      <c r="G11" s="3">
        <f t="shared" ca="1" si="4"/>
        <v>5.1177435897435899</v>
      </c>
      <c r="H11" s="3">
        <f t="shared" ca="1" si="5"/>
        <v>2.8124102564102564</v>
      </c>
      <c r="I11" s="3">
        <f t="shared" ca="1" si="6"/>
        <v>0.50707692307692298</v>
      </c>
      <c r="J11">
        <f t="shared" ca="1" si="8"/>
        <v>6</v>
      </c>
      <c r="K11" s="3">
        <f t="shared" ca="1" si="9"/>
        <v>3</v>
      </c>
      <c r="L11" s="3">
        <f t="shared" ca="1" si="10"/>
        <v>8.4941999999999993</v>
      </c>
      <c r="M11" s="3">
        <f t="shared" ca="1" si="11"/>
        <v>6.5294666666666661</v>
      </c>
      <c r="N11" s="3">
        <f t="shared" ca="1" si="12"/>
        <v>4.5647333333333329</v>
      </c>
      <c r="O11" s="3">
        <f t="shared" ca="1" si="7"/>
        <v>2.6</v>
      </c>
      <c r="P11" s="3">
        <f t="shared" ca="1" si="13"/>
        <v>0.63526666666666687</v>
      </c>
      <c r="Q11" s="3">
        <f t="shared" ca="1" si="14"/>
        <v>0</v>
      </c>
      <c r="R11" s="3">
        <v>0</v>
      </c>
    </row>
    <row r="12" spans="1:18" ht="14" customHeight="1" x14ac:dyDescent="0.2">
      <c r="A12" s="2">
        <v>42675</v>
      </c>
      <c r="B12" s="3">
        <v>6</v>
      </c>
      <c r="C12" s="3">
        <f t="shared" ca="1" si="0"/>
        <v>14.339076923076924</v>
      </c>
      <c r="D12" s="3">
        <f t="shared" ca="1" si="1"/>
        <v>12.03374358974359</v>
      </c>
      <c r="E12" s="3">
        <f t="shared" ca="1" si="2"/>
        <v>9.7284102564102568</v>
      </c>
      <c r="F12" s="3">
        <f t="shared" si="3"/>
        <v>7.4230769230769234</v>
      </c>
      <c r="G12" s="3">
        <f t="shared" ca="1" si="4"/>
        <v>5.1177435897435899</v>
      </c>
      <c r="H12" s="3">
        <f t="shared" ca="1" si="5"/>
        <v>2.8124102564102564</v>
      </c>
      <c r="I12" s="3">
        <f t="shared" ca="1" si="6"/>
        <v>0.50707692307692298</v>
      </c>
      <c r="J12">
        <f t="shared" ca="1" si="8"/>
        <v>6</v>
      </c>
      <c r="K12" s="3">
        <f t="shared" ca="1" si="9"/>
        <v>0</v>
      </c>
      <c r="L12" s="3">
        <f t="shared" ca="1" si="10"/>
        <v>8.4941999999999993</v>
      </c>
      <c r="M12" s="3">
        <f t="shared" ca="1" si="11"/>
        <v>6.5294666666666661</v>
      </c>
      <c r="N12" s="3">
        <f t="shared" ca="1" si="12"/>
        <v>4.5647333333333329</v>
      </c>
      <c r="O12" s="3">
        <f t="shared" ca="1" si="7"/>
        <v>2.6</v>
      </c>
      <c r="P12" s="3">
        <f t="shared" ca="1" si="13"/>
        <v>0.63526666666666687</v>
      </c>
      <c r="Q12" s="3">
        <f t="shared" ca="1" si="14"/>
        <v>0</v>
      </c>
      <c r="R12" s="3">
        <v>0</v>
      </c>
    </row>
    <row r="13" spans="1:18" ht="14" customHeight="1" x14ac:dyDescent="0.2">
      <c r="A13" s="2">
        <v>42705</v>
      </c>
      <c r="B13" s="3">
        <v>8</v>
      </c>
      <c r="C13" s="3">
        <f t="shared" ca="1" si="0"/>
        <v>14.339076923076924</v>
      </c>
      <c r="D13" s="3">
        <f t="shared" ca="1" si="1"/>
        <v>12.03374358974359</v>
      </c>
      <c r="E13" s="3">
        <f t="shared" ca="1" si="2"/>
        <v>9.7284102564102568</v>
      </c>
      <c r="F13" s="3">
        <f t="shared" si="3"/>
        <v>7.4230769230769234</v>
      </c>
      <c r="G13" s="3">
        <f t="shared" ca="1" si="4"/>
        <v>5.1177435897435899</v>
      </c>
      <c r="H13" s="3">
        <f t="shared" ca="1" si="5"/>
        <v>2.8124102564102564</v>
      </c>
      <c r="I13" s="3">
        <f t="shared" ca="1" si="6"/>
        <v>0.50707692307692298</v>
      </c>
      <c r="J13">
        <f t="shared" ca="1" si="8"/>
        <v>8</v>
      </c>
      <c r="K13" s="3">
        <f t="shared" ca="1" si="9"/>
        <v>2</v>
      </c>
      <c r="L13" s="3">
        <f t="shared" ca="1" si="10"/>
        <v>8.4941999999999993</v>
      </c>
      <c r="M13" s="3">
        <f t="shared" ca="1" si="11"/>
        <v>6.5294666666666661</v>
      </c>
      <c r="N13" s="3">
        <f t="shared" ca="1" si="12"/>
        <v>4.5647333333333329</v>
      </c>
      <c r="O13" s="3">
        <f t="shared" ca="1" si="7"/>
        <v>2.6</v>
      </c>
      <c r="P13" s="3">
        <f t="shared" ca="1" si="13"/>
        <v>0.63526666666666687</v>
      </c>
      <c r="Q13" s="3">
        <f t="shared" ca="1" si="14"/>
        <v>0</v>
      </c>
      <c r="R13" s="3">
        <v>0</v>
      </c>
    </row>
    <row r="14" spans="1:18" ht="14" customHeight="1" x14ac:dyDescent="0.2">
      <c r="A14" s="2">
        <v>42736</v>
      </c>
      <c r="B14" s="3">
        <v>13</v>
      </c>
      <c r="C14" s="3">
        <f t="shared" ca="1" si="0"/>
        <v>14.339076923076924</v>
      </c>
      <c r="D14" s="3">
        <f t="shared" ca="1" si="1"/>
        <v>12.03374358974359</v>
      </c>
      <c r="E14" s="3">
        <f t="shared" ca="1" si="2"/>
        <v>9.7284102564102568</v>
      </c>
      <c r="F14" s="3">
        <f t="shared" si="3"/>
        <v>7.4230769230769234</v>
      </c>
      <c r="G14" s="3">
        <f t="shared" ca="1" si="4"/>
        <v>5.1177435897435899</v>
      </c>
      <c r="H14" s="3">
        <f t="shared" ca="1" si="5"/>
        <v>2.8124102564102564</v>
      </c>
      <c r="I14" s="3">
        <f t="shared" ca="1" si="6"/>
        <v>0.50707692307692298</v>
      </c>
      <c r="J14">
        <f t="shared" ca="1" si="8"/>
        <v>13</v>
      </c>
      <c r="K14" s="3">
        <f t="shared" ca="1" si="9"/>
        <v>5</v>
      </c>
      <c r="L14" s="3">
        <f t="shared" ca="1" si="10"/>
        <v>8.4941999999999993</v>
      </c>
      <c r="M14" s="3">
        <f t="shared" ca="1" si="11"/>
        <v>6.5294666666666661</v>
      </c>
      <c r="N14" s="3">
        <f t="shared" ca="1" si="12"/>
        <v>4.5647333333333329</v>
      </c>
      <c r="O14" s="3">
        <f t="shared" ca="1" si="7"/>
        <v>2.6</v>
      </c>
      <c r="P14" s="3">
        <f t="shared" ca="1" si="13"/>
        <v>0.63526666666666687</v>
      </c>
      <c r="Q14" s="3">
        <f t="shared" ca="1" si="14"/>
        <v>0</v>
      </c>
      <c r="R14" s="3">
        <v>0</v>
      </c>
    </row>
    <row r="15" spans="1:18" ht="14" customHeight="1" x14ac:dyDescent="0.2">
      <c r="A15" s="2">
        <v>42767</v>
      </c>
      <c r="B15" s="3">
        <v>8</v>
      </c>
      <c r="C15" s="3">
        <f t="shared" ca="1" si="0"/>
        <v>14.339076923076924</v>
      </c>
      <c r="D15" s="3">
        <f t="shared" ca="1" si="1"/>
        <v>12.03374358974359</v>
      </c>
      <c r="E15" s="3">
        <f t="shared" ca="1" si="2"/>
        <v>9.7284102564102568</v>
      </c>
      <c r="F15" s="3">
        <f t="shared" si="3"/>
        <v>7.4230769230769234</v>
      </c>
      <c r="G15" s="3">
        <f t="shared" ca="1" si="4"/>
        <v>5.1177435897435899</v>
      </c>
      <c r="H15" s="3">
        <f t="shared" ca="1" si="5"/>
        <v>2.8124102564102564</v>
      </c>
      <c r="I15" s="3">
        <f t="shared" ca="1" si="6"/>
        <v>0.50707692307692298</v>
      </c>
      <c r="J15">
        <f t="shared" ca="1" si="8"/>
        <v>8</v>
      </c>
      <c r="K15" s="3">
        <f t="shared" ca="1" si="9"/>
        <v>5</v>
      </c>
      <c r="L15" s="3">
        <f t="shared" ca="1" si="10"/>
        <v>8.4941999999999993</v>
      </c>
      <c r="M15" s="3">
        <f t="shared" ca="1" si="11"/>
        <v>6.5294666666666661</v>
      </c>
      <c r="N15" s="3">
        <f t="shared" ca="1" si="12"/>
        <v>4.5647333333333329</v>
      </c>
      <c r="O15" s="3">
        <f t="shared" ca="1" si="7"/>
        <v>2.6</v>
      </c>
      <c r="P15" s="3">
        <f t="shared" ca="1" si="13"/>
        <v>0.63526666666666687</v>
      </c>
      <c r="Q15" s="3">
        <f t="shared" ca="1" si="14"/>
        <v>0</v>
      </c>
      <c r="R15" s="3">
        <v>0</v>
      </c>
    </row>
    <row r="16" spans="1:18" ht="14" customHeight="1" x14ac:dyDescent="0.2">
      <c r="A16" s="2">
        <v>42795</v>
      </c>
      <c r="B16" s="3">
        <v>7</v>
      </c>
      <c r="C16" s="3">
        <f t="shared" ca="1" si="0"/>
        <v>14.339076923076924</v>
      </c>
      <c r="D16" s="3">
        <f t="shared" ca="1" si="1"/>
        <v>12.03374358974359</v>
      </c>
      <c r="E16" s="3">
        <f t="shared" ca="1" si="2"/>
        <v>9.7284102564102568</v>
      </c>
      <c r="F16" s="3">
        <f t="shared" si="3"/>
        <v>7.4230769230769234</v>
      </c>
      <c r="G16" s="3">
        <f t="shared" ca="1" si="4"/>
        <v>5.1177435897435899</v>
      </c>
      <c r="H16" s="3">
        <f t="shared" ca="1" si="5"/>
        <v>2.8124102564102564</v>
      </c>
      <c r="I16" s="3">
        <f t="shared" ca="1" si="6"/>
        <v>0.50707692307692298</v>
      </c>
      <c r="J16">
        <f t="shared" ca="1" si="8"/>
        <v>7</v>
      </c>
      <c r="K16" s="3">
        <f t="shared" ca="1" si="9"/>
        <v>1</v>
      </c>
      <c r="L16" s="3">
        <f t="shared" ca="1" si="10"/>
        <v>8.4941999999999993</v>
      </c>
      <c r="M16" s="3">
        <f t="shared" ca="1" si="11"/>
        <v>6.5294666666666661</v>
      </c>
      <c r="N16" s="3">
        <f t="shared" ca="1" si="12"/>
        <v>4.5647333333333329</v>
      </c>
      <c r="O16" s="3">
        <f t="shared" ca="1" si="7"/>
        <v>2.6</v>
      </c>
      <c r="P16" s="3">
        <f t="shared" ca="1" si="13"/>
        <v>0.63526666666666687</v>
      </c>
      <c r="Q16" s="3">
        <f t="shared" ca="1" si="14"/>
        <v>0</v>
      </c>
      <c r="R16" s="3">
        <v>0</v>
      </c>
    </row>
    <row r="17" spans="1:18" ht="14" customHeight="1" x14ac:dyDescent="0.2">
      <c r="A17" s="2">
        <v>42826</v>
      </c>
      <c r="B17" s="3">
        <v>7</v>
      </c>
      <c r="C17" s="3">
        <f t="shared" ca="1" si="0"/>
        <v>14.339076923076924</v>
      </c>
      <c r="D17" s="3">
        <f t="shared" ca="1" si="1"/>
        <v>12.03374358974359</v>
      </c>
      <c r="E17" s="3">
        <f t="shared" ca="1" si="2"/>
        <v>9.7284102564102568</v>
      </c>
      <c r="F17" s="3">
        <f t="shared" si="3"/>
        <v>7.4230769230769234</v>
      </c>
      <c r="G17" s="3">
        <f t="shared" ca="1" si="4"/>
        <v>5.1177435897435899</v>
      </c>
      <c r="H17" s="3">
        <f t="shared" ca="1" si="5"/>
        <v>2.8124102564102564</v>
      </c>
      <c r="I17" s="3">
        <f t="shared" ca="1" si="6"/>
        <v>0.50707692307692298</v>
      </c>
      <c r="J17">
        <f t="shared" ca="1" si="8"/>
        <v>7</v>
      </c>
      <c r="K17" s="3">
        <f t="shared" ca="1" si="9"/>
        <v>0</v>
      </c>
      <c r="L17" s="3">
        <f t="shared" ca="1" si="10"/>
        <v>8.4941999999999993</v>
      </c>
      <c r="M17" s="3">
        <f t="shared" ca="1" si="11"/>
        <v>6.5294666666666661</v>
      </c>
      <c r="N17" s="3">
        <f t="shared" ca="1" si="12"/>
        <v>4.5647333333333329</v>
      </c>
      <c r="O17" s="3">
        <f t="shared" ca="1" si="7"/>
        <v>2.6</v>
      </c>
      <c r="P17" s="3">
        <f t="shared" ca="1" si="13"/>
        <v>0.63526666666666687</v>
      </c>
      <c r="Q17" s="3">
        <f t="shared" ca="1" si="14"/>
        <v>0</v>
      </c>
      <c r="R17" s="3">
        <v>0</v>
      </c>
    </row>
    <row r="18" spans="1:18" ht="14" customHeight="1" x14ac:dyDescent="0.2">
      <c r="A18" s="2">
        <v>42856</v>
      </c>
      <c r="B18" s="3">
        <v>8</v>
      </c>
      <c r="C18" s="3">
        <f t="shared" ca="1" si="0"/>
        <v>14.339076923076924</v>
      </c>
      <c r="D18" s="3">
        <f t="shared" ca="1" si="1"/>
        <v>12.03374358974359</v>
      </c>
      <c r="E18" s="3">
        <f t="shared" ca="1" si="2"/>
        <v>9.7284102564102568</v>
      </c>
      <c r="F18" s="3">
        <f t="shared" si="3"/>
        <v>7.4230769230769234</v>
      </c>
      <c r="G18" s="3">
        <f t="shared" ca="1" si="4"/>
        <v>5.1177435897435899</v>
      </c>
      <c r="H18" s="3">
        <f t="shared" ca="1" si="5"/>
        <v>2.8124102564102564</v>
      </c>
      <c r="I18" s="3">
        <f t="shared" ca="1" si="6"/>
        <v>0.50707692307692298</v>
      </c>
      <c r="J18">
        <f t="shared" ca="1" si="8"/>
        <v>8</v>
      </c>
      <c r="K18" s="3">
        <f t="shared" ca="1" si="9"/>
        <v>1</v>
      </c>
      <c r="L18" s="3">
        <f t="shared" ca="1" si="10"/>
        <v>8.4941999999999993</v>
      </c>
      <c r="M18" s="3">
        <f t="shared" ca="1" si="11"/>
        <v>6.5294666666666661</v>
      </c>
      <c r="N18" s="3">
        <f t="shared" ca="1" si="12"/>
        <v>4.5647333333333329</v>
      </c>
      <c r="O18" s="3">
        <f t="shared" ca="1" si="7"/>
        <v>2.6</v>
      </c>
      <c r="P18" s="3">
        <f t="shared" ca="1" si="13"/>
        <v>0.63526666666666687</v>
      </c>
      <c r="Q18" s="3">
        <f t="shared" ca="1" si="14"/>
        <v>0</v>
      </c>
      <c r="R18" s="3">
        <v>0</v>
      </c>
    </row>
    <row r="19" spans="1:18" ht="14" customHeight="1" x14ac:dyDescent="0.2">
      <c r="A19" s="2">
        <v>42887</v>
      </c>
      <c r="B19" s="3">
        <v>2</v>
      </c>
      <c r="C19" s="3">
        <f t="shared" ca="1" si="0"/>
        <v>14.339076923076924</v>
      </c>
      <c r="D19" s="3">
        <f t="shared" ca="1" si="1"/>
        <v>12.03374358974359</v>
      </c>
      <c r="E19" s="3">
        <f t="shared" ca="1" si="2"/>
        <v>9.7284102564102568</v>
      </c>
      <c r="F19" s="3">
        <f t="shared" si="3"/>
        <v>7.4230769230769234</v>
      </c>
      <c r="G19" s="3">
        <f t="shared" ca="1" si="4"/>
        <v>5.1177435897435899</v>
      </c>
      <c r="H19" s="3">
        <f t="shared" ca="1" si="5"/>
        <v>2.8124102564102564</v>
      </c>
      <c r="I19" s="3">
        <f t="shared" ca="1" si="6"/>
        <v>0.50707692307692298</v>
      </c>
      <c r="J19">
        <f t="shared" ca="1" si="8"/>
        <v>2</v>
      </c>
      <c r="K19" s="3">
        <f t="shared" ca="1" si="9"/>
        <v>6</v>
      </c>
      <c r="L19" s="3">
        <f t="shared" ca="1" si="10"/>
        <v>8.4941999999999993</v>
      </c>
      <c r="M19" s="3">
        <f t="shared" ca="1" si="11"/>
        <v>6.5294666666666661</v>
      </c>
      <c r="N19" s="3">
        <f t="shared" ca="1" si="12"/>
        <v>4.5647333333333329</v>
      </c>
      <c r="O19" s="3">
        <f t="shared" ca="1" si="7"/>
        <v>2.6</v>
      </c>
      <c r="P19" s="3">
        <f t="shared" ca="1" si="13"/>
        <v>0.63526666666666687</v>
      </c>
      <c r="Q19" s="3">
        <f t="shared" ca="1" si="14"/>
        <v>0</v>
      </c>
      <c r="R19" s="3">
        <v>0</v>
      </c>
    </row>
    <row r="20" spans="1:18" ht="14" customHeight="1" x14ac:dyDescent="0.2">
      <c r="A20" s="2">
        <v>42917</v>
      </c>
      <c r="B20" s="3">
        <v>8</v>
      </c>
      <c r="C20" s="3">
        <f t="shared" ca="1" si="0"/>
        <v>14.339076923076924</v>
      </c>
      <c r="D20" s="3">
        <f t="shared" ca="1" si="1"/>
        <v>12.03374358974359</v>
      </c>
      <c r="E20" s="3">
        <f t="shared" ca="1" si="2"/>
        <v>9.7284102564102568</v>
      </c>
      <c r="F20" s="3">
        <f t="shared" si="3"/>
        <v>7.4230769230769234</v>
      </c>
      <c r="G20" s="3">
        <f t="shared" ca="1" si="4"/>
        <v>5.1177435897435899</v>
      </c>
      <c r="H20" s="3">
        <f t="shared" ca="1" si="5"/>
        <v>2.8124102564102564</v>
      </c>
      <c r="I20" s="3">
        <f t="shared" ca="1" si="6"/>
        <v>0.50707692307692298</v>
      </c>
      <c r="J20">
        <f t="shared" ca="1" si="8"/>
        <v>8</v>
      </c>
      <c r="K20" s="3">
        <f t="shared" ca="1" si="9"/>
        <v>6</v>
      </c>
      <c r="L20" s="3">
        <f t="shared" ca="1" si="10"/>
        <v>8.4941999999999993</v>
      </c>
      <c r="M20" s="3">
        <f t="shared" ca="1" si="11"/>
        <v>6.5294666666666661</v>
      </c>
      <c r="N20" s="3">
        <f t="shared" ca="1" si="12"/>
        <v>4.5647333333333329</v>
      </c>
      <c r="O20" s="3">
        <f t="shared" ca="1" si="7"/>
        <v>2.6</v>
      </c>
      <c r="P20" s="3">
        <f t="shared" ca="1" si="13"/>
        <v>0.63526666666666687</v>
      </c>
      <c r="Q20" s="3">
        <f t="shared" ca="1" si="14"/>
        <v>0</v>
      </c>
      <c r="R20" s="3">
        <v>0</v>
      </c>
    </row>
    <row r="21" spans="1:18" ht="14" customHeight="1" x14ac:dyDescent="0.2">
      <c r="A21" s="2">
        <v>42948</v>
      </c>
      <c r="B21" s="3">
        <v>10</v>
      </c>
      <c r="C21" s="3">
        <f t="shared" ca="1" si="0"/>
        <v>14.339076923076924</v>
      </c>
      <c r="D21" s="3">
        <f t="shared" ca="1" si="1"/>
        <v>12.03374358974359</v>
      </c>
      <c r="E21" s="3">
        <f t="shared" ca="1" si="2"/>
        <v>9.7284102564102568</v>
      </c>
      <c r="F21" s="3">
        <f t="shared" si="3"/>
        <v>7.4230769230769234</v>
      </c>
      <c r="G21" s="3">
        <f t="shared" ca="1" si="4"/>
        <v>5.1177435897435899</v>
      </c>
      <c r="H21" s="3">
        <f t="shared" ca="1" si="5"/>
        <v>2.8124102564102564</v>
      </c>
      <c r="I21" s="3">
        <f t="shared" ca="1" si="6"/>
        <v>0.50707692307692298</v>
      </c>
      <c r="J21">
        <f t="shared" ca="1" si="8"/>
        <v>10</v>
      </c>
      <c r="K21" s="3">
        <f t="shared" ca="1" si="9"/>
        <v>2</v>
      </c>
      <c r="L21" s="3">
        <f t="shared" ca="1" si="10"/>
        <v>8.4941999999999993</v>
      </c>
      <c r="M21" s="3">
        <f t="shared" ca="1" si="11"/>
        <v>6.5294666666666661</v>
      </c>
      <c r="N21" s="3">
        <f t="shared" ca="1" si="12"/>
        <v>4.5647333333333329</v>
      </c>
      <c r="O21" s="3">
        <f t="shared" ca="1" si="7"/>
        <v>2.6</v>
      </c>
      <c r="P21" s="3">
        <f t="shared" ca="1" si="13"/>
        <v>0.63526666666666687</v>
      </c>
      <c r="Q21" s="3">
        <f t="shared" ca="1" si="14"/>
        <v>0</v>
      </c>
      <c r="R21" s="3">
        <v>0</v>
      </c>
    </row>
    <row r="22" spans="1:18" ht="14" customHeight="1" x14ac:dyDescent="0.2">
      <c r="A22" s="2">
        <v>42979</v>
      </c>
      <c r="B22" s="3">
        <v>10</v>
      </c>
      <c r="C22" s="3">
        <f t="shared" ca="1" si="0"/>
        <v>14.339076923076924</v>
      </c>
      <c r="D22" s="3">
        <f t="shared" ca="1" si="1"/>
        <v>12.03374358974359</v>
      </c>
      <c r="E22" s="3">
        <f t="shared" ca="1" si="2"/>
        <v>9.7284102564102568</v>
      </c>
      <c r="F22" s="3">
        <f t="shared" si="3"/>
        <v>7.4230769230769234</v>
      </c>
      <c r="G22" s="3">
        <f t="shared" ca="1" si="4"/>
        <v>5.1177435897435899</v>
      </c>
      <c r="H22" s="3">
        <f t="shared" ca="1" si="5"/>
        <v>2.8124102564102564</v>
      </c>
      <c r="I22" s="3">
        <f t="shared" ca="1" si="6"/>
        <v>0.50707692307692298</v>
      </c>
      <c r="J22">
        <f t="shared" ca="1" si="8"/>
        <v>10</v>
      </c>
      <c r="K22" s="3">
        <f t="shared" ca="1" si="9"/>
        <v>0</v>
      </c>
      <c r="L22" s="3">
        <f t="shared" ca="1" si="10"/>
        <v>8.4941999999999993</v>
      </c>
      <c r="M22" s="3">
        <f t="shared" ca="1" si="11"/>
        <v>6.5294666666666661</v>
      </c>
      <c r="N22" s="3">
        <f t="shared" ca="1" si="12"/>
        <v>4.5647333333333329</v>
      </c>
      <c r="O22" s="3">
        <f t="shared" ca="1" si="7"/>
        <v>2.6</v>
      </c>
      <c r="P22" s="3">
        <f t="shared" ca="1" si="13"/>
        <v>0.63526666666666687</v>
      </c>
      <c r="Q22" s="3">
        <f t="shared" ca="1" si="14"/>
        <v>0</v>
      </c>
      <c r="R22" s="3">
        <v>0</v>
      </c>
    </row>
    <row r="23" spans="1:18" ht="14" customHeight="1" x14ac:dyDescent="0.2">
      <c r="A23" s="2">
        <v>43009</v>
      </c>
      <c r="B23" s="3">
        <v>9</v>
      </c>
      <c r="C23" s="3">
        <f t="shared" ca="1" si="0"/>
        <v>14.339076923076924</v>
      </c>
      <c r="D23" s="3">
        <f t="shared" ca="1" si="1"/>
        <v>12.03374358974359</v>
      </c>
      <c r="E23" s="3">
        <f t="shared" ca="1" si="2"/>
        <v>9.7284102564102568</v>
      </c>
      <c r="F23" s="3">
        <f t="shared" si="3"/>
        <v>7.4230769230769234</v>
      </c>
      <c r="G23" s="3">
        <f t="shared" ca="1" si="4"/>
        <v>5.1177435897435899</v>
      </c>
      <c r="H23" s="3">
        <f t="shared" ca="1" si="5"/>
        <v>2.8124102564102564</v>
      </c>
      <c r="I23" s="3">
        <f t="shared" ca="1" si="6"/>
        <v>0.50707692307692298</v>
      </c>
      <c r="J23">
        <f t="shared" ca="1" si="8"/>
        <v>9</v>
      </c>
      <c r="K23" s="3">
        <f t="shared" ca="1" si="9"/>
        <v>1</v>
      </c>
      <c r="L23" s="3">
        <f t="shared" ca="1" si="10"/>
        <v>8.4941999999999993</v>
      </c>
      <c r="M23" s="3">
        <f t="shared" ca="1" si="11"/>
        <v>6.5294666666666661</v>
      </c>
      <c r="N23" s="3">
        <f t="shared" ca="1" si="12"/>
        <v>4.5647333333333329</v>
      </c>
      <c r="O23" s="3">
        <f t="shared" ca="1" si="7"/>
        <v>2.6</v>
      </c>
      <c r="P23" s="3">
        <f t="shared" ca="1" si="13"/>
        <v>0.63526666666666687</v>
      </c>
      <c r="Q23" s="3">
        <f t="shared" ca="1" si="14"/>
        <v>0</v>
      </c>
      <c r="R23" s="3">
        <v>0</v>
      </c>
    </row>
    <row r="24" spans="1:18" ht="14" customHeight="1" x14ac:dyDescent="0.2">
      <c r="A24" s="2">
        <v>43040</v>
      </c>
      <c r="B24" s="3">
        <v>8</v>
      </c>
      <c r="C24" s="3">
        <f t="shared" ca="1" si="0"/>
        <v>14.339076923076924</v>
      </c>
      <c r="D24" s="3">
        <f t="shared" ca="1" si="1"/>
        <v>12.03374358974359</v>
      </c>
      <c r="E24" s="3">
        <f t="shared" ca="1" si="2"/>
        <v>9.7284102564102568</v>
      </c>
      <c r="F24" s="3">
        <f t="shared" si="3"/>
        <v>7.4230769230769234</v>
      </c>
      <c r="G24" s="3">
        <f t="shared" ca="1" si="4"/>
        <v>5.1177435897435899</v>
      </c>
      <c r="H24" s="3">
        <f t="shared" ca="1" si="5"/>
        <v>2.8124102564102564</v>
      </c>
      <c r="I24" s="3">
        <f t="shared" ca="1" si="6"/>
        <v>0.50707692307692298</v>
      </c>
      <c r="J24">
        <f t="shared" ca="1" si="8"/>
        <v>8</v>
      </c>
      <c r="K24" s="3">
        <f t="shared" ca="1" si="9"/>
        <v>1</v>
      </c>
      <c r="L24" s="3">
        <f t="shared" ca="1" si="10"/>
        <v>8.4941999999999993</v>
      </c>
      <c r="M24" s="3">
        <f t="shared" ca="1" si="11"/>
        <v>6.5294666666666661</v>
      </c>
      <c r="N24" s="3">
        <f t="shared" ca="1" si="12"/>
        <v>4.5647333333333329</v>
      </c>
      <c r="O24" s="3">
        <f t="shared" ca="1" si="7"/>
        <v>2.6</v>
      </c>
      <c r="P24" s="3">
        <f t="shared" ca="1" si="13"/>
        <v>0.63526666666666687</v>
      </c>
      <c r="Q24" s="3">
        <f t="shared" ca="1" si="14"/>
        <v>0</v>
      </c>
      <c r="R24" s="3">
        <v>0</v>
      </c>
    </row>
    <row r="25" spans="1:18" ht="14" customHeight="1" x14ac:dyDescent="0.2">
      <c r="A25" s="2">
        <v>43070</v>
      </c>
      <c r="B25" s="3">
        <v>9</v>
      </c>
      <c r="C25" s="3">
        <f t="shared" ca="1" si="0"/>
        <v>14.339076923076924</v>
      </c>
      <c r="D25" s="3">
        <f t="shared" ca="1" si="1"/>
        <v>12.03374358974359</v>
      </c>
      <c r="E25" s="3">
        <f t="shared" ca="1" si="2"/>
        <v>9.7284102564102568</v>
      </c>
      <c r="F25" s="3">
        <f t="shared" si="3"/>
        <v>7.4230769230769234</v>
      </c>
      <c r="G25" s="3">
        <f t="shared" ca="1" si="4"/>
        <v>5.1177435897435899</v>
      </c>
      <c r="H25" s="3">
        <f t="shared" ca="1" si="5"/>
        <v>2.8124102564102564</v>
      </c>
      <c r="I25" s="3">
        <f t="shared" ca="1" si="6"/>
        <v>0.50707692307692298</v>
      </c>
      <c r="J25">
        <f t="shared" ca="1" si="8"/>
        <v>9</v>
      </c>
      <c r="K25" s="3">
        <f t="shared" ca="1" si="9"/>
        <v>1</v>
      </c>
      <c r="L25" s="3">
        <f t="shared" ca="1" si="10"/>
        <v>8.4941999999999993</v>
      </c>
      <c r="M25" s="3">
        <f t="shared" ca="1" si="11"/>
        <v>6.5294666666666661</v>
      </c>
      <c r="N25" s="3">
        <f t="shared" ca="1" si="12"/>
        <v>4.5647333333333329</v>
      </c>
      <c r="O25" s="3">
        <f t="shared" ca="1" si="7"/>
        <v>2.6</v>
      </c>
      <c r="P25" s="3">
        <f t="shared" ca="1" si="13"/>
        <v>0.63526666666666687</v>
      </c>
      <c r="Q25" s="3">
        <f t="shared" ca="1" si="14"/>
        <v>0</v>
      </c>
      <c r="R25" s="3">
        <v>0</v>
      </c>
    </row>
    <row r="26" spans="1:18" ht="14" customHeight="1" x14ac:dyDescent="0.2">
      <c r="A26" s="2">
        <v>43101</v>
      </c>
      <c r="B26" s="3">
        <v>5</v>
      </c>
      <c r="C26" s="3">
        <f t="shared" ca="1" si="0"/>
        <v>14.339076923076924</v>
      </c>
      <c r="D26" s="3">
        <f t="shared" ca="1" si="1"/>
        <v>12.03374358974359</v>
      </c>
      <c r="E26" s="3">
        <f t="shared" ca="1" si="2"/>
        <v>9.7284102564102568</v>
      </c>
      <c r="F26" s="3">
        <f t="shared" si="3"/>
        <v>7.4230769230769234</v>
      </c>
      <c r="G26" s="3">
        <f t="shared" ca="1" si="4"/>
        <v>5.1177435897435899</v>
      </c>
      <c r="H26" s="3">
        <f t="shared" ca="1" si="5"/>
        <v>2.8124102564102564</v>
      </c>
      <c r="I26" s="3">
        <f t="shared" ca="1" si="6"/>
        <v>0.50707692307692298</v>
      </c>
      <c r="J26">
        <f t="shared" ca="1" si="8"/>
        <v>5</v>
      </c>
      <c r="K26" s="3">
        <f t="shared" ca="1" si="9"/>
        <v>4</v>
      </c>
      <c r="L26" s="3">
        <f t="shared" ca="1" si="10"/>
        <v>8.4941999999999993</v>
      </c>
      <c r="M26" s="3">
        <f t="shared" ca="1" si="11"/>
        <v>6.5294666666666661</v>
      </c>
      <c r="N26" s="3">
        <f t="shared" ca="1" si="12"/>
        <v>4.5647333333333329</v>
      </c>
      <c r="O26" s="3">
        <f t="shared" ca="1" si="7"/>
        <v>2.6</v>
      </c>
      <c r="P26" s="3">
        <f t="shared" ca="1" si="13"/>
        <v>0.63526666666666687</v>
      </c>
      <c r="Q26" s="3">
        <f t="shared" ca="1" si="14"/>
        <v>0</v>
      </c>
      <c r="R26" s="3">
        <v>0</v>
      </c>
    </row>
    <row r="27" spans="1:18" ht="14" customHeight="1" x14ac:dyDescent="0.2">
      <c r="A27" s="2">
        <v>43132</v>
      </c>
      <c r="B27" s="3">
        <v>4</v>
      </c>
      <c r="C27" s="3">
        <f t="shared" ca="1" si="0"/>
        <v>14.339076923076924</v>
      </c>
      <c r="D27" s="3">
        <f t="shared" ca="1" si="1"/>
        <v>12.03374358974359</v>
      </c>
      <c r="E27" s="3">
        <f t="shared" ca="1" si="2"/>
        <v>9.7284102564102568</v>
      </c>
      <c r="F27" s="3">
        <f t="shared" si="3"/>
        <v>7.4230769230769234</v>
      </c>
      <c r="G27" s="3">
        <f t="shared" ca="1" si="4"/>
        <v>5.1177435897435899</v>
      </c>
      <c r="H27" s="3">
        <f t="shared" ca="1" si="5"/>
        <v>2.8124102564102564</v>
      </c>
      <c r="I27" s="3">
        <f t="shared" ca="1" si="6"/>
        <v>0.50707692307692298</v>
      </c>
      <c r="J27">
        <f t="shared" ca="1" si="8"/>
        <v>4</v>
      </c>
      <c r="K27" s="3">
        <f t="shared" ca="1" si="9"/>
        <v>1</v>
      </c>
      <c r="L27" s="3">
        <f t="shared" ca="1" si="10"/>
        <v>8.4941999999999993</v>
      </c>
      <c r="M27" s="3">
        <f t="shared" ca="1" si="11"/>
        <v>6.5294666666666661</v>
      </c>
      <c r="N27" s="3">
        <f t="shared" ca="1" si="12"/>
        <v>4.5647333333333329</v>
      </c>
      <c r="O27" s="3">
        <f t="shared" ca="1" si="7"/>
        <v>2.6</v>
      </c>
      <c r="P27" s="3">
        <f t="shared" ca="1" si="13"/>
        <v>0.63526666666666687</v>
      </c>
      <c r="Q27" s="3">
        <f t="shared" ca="1" si="14"/>
        <v>0</v>
      </c>
      <c r="R27" s="3">
        <v>0</v>
      </c>
    </row>
    <row r="28" spans="1:18" ht="14" customHeight="1" x14ac:dyDescent="0.2">
      <c r="A28" s="4">
        <v>43160</v>
      </c>
      <c r="B28" s="5">
        <v>10</v>
      </c>
      <c r="C28" s="3">
        <f t="shared" ca="1" si="0"/>
        <v>15.735151515151514</v>
      </c>
      <c r="D28" s="3">
        <f t="shared" ca="1" si="1"/>
        <v>12.752727272727274</v>
      </c>
      <c r="E28" s="3">
        <f t="shared" ca="1" si="2"/>
        <v>9.7703030303030314</v>
      </c>
      <c r="F28" s="3">
        <f t="shared" ref="F28:F60" si="15">AVERAGE($B$28:$B$60)</f>
        <v>6.7878787878787881</v>
      </c>
      <c r="G28" s="3">
        <f t="shared" ca="1" si="4"/>
        <v>3.8054545454545452</v>
      </c>
      <c r="H28" s="3">
        <f t="shared" ca="1" si="5"/>
        <v>0.82303030303030233</v>
      </c>
      <c r="I28" s="3">
        <f t="shared" ca="1" si="6"/>
        <v>-2.1593939393939392</v>
      </c>
      <c r="J28">
        <f t="shared" ca="1" si="8"/>
        <v>10</v>
      </c>
      <c r="K28" s="3">
        <f t="shared" ca="1" si="9"/>
        <v>6</v>
      </c>
      <c r="L28" s="3">
        <f t="shared" ca="1" si="10"/>
        <v>10.989000000000001</v>
      </c>
      <c r="M28" s="3">
        <f t="shared" ca="1" si="11"/>
        <v>8.4472121212121216</v>
      </c>
      <c r="N28" s="3">
        <f t="shared" ca="1" si="12"/>
        <v>5.9054242424242425</v>
      </c>
      <c r="O28" s="3">
        <f t="shared" ref="O28:O60" ca="1" si="16">AVERAGE($K$28:$K$60)</f>
        <v>3.3636363636363638</v>
      </c>
      <c r="P28" s="3">
        <f t="shared" ca="1" si="13"/>
        <v>0.82184848484848461</v>
      </c>
      <c r="Q28" s="3">
        <f t="shared" ca="1" si="14"/>
        <v>0</v>
      </c>
      <c r="R28" s="3">
        <v>0</v>
      </c>
    </row>
    <row r="29" spans="1:18" ht="14" customHeight="1" x14ac:dyDescent="0.2">
      <c r="A29" s="4">
        <v>43191</v>
      </c>
      <c r="B29" s="5">
        <v>13</v>
      </c>
      <c r="C29" s="3">
        <f t="shared" ca="1" si="0"/>
        <v>15.735151515151514</v>
      </c>
      <c r="D29" s="3">
        <f t="shared" ca="1" si="1"/>
        <v>12.752727272727274</v>
      </c>
      <c r="E29" s="3">
        <f t="shared" ca="1" si="2"/>
        <v>9.7703030303030314</v>
      </c>
      <c r="F29" s="3">
        <f t="shared" si="15"/>
        <v>6.7878787878787881</v>
      </c>
      <c r="G29" s="3">
        <f t="shared" ca="1" si="4"/>
        <v>3.8054545454545452</v>
      </c>
      <c r="H29" s="3">
        <f t="shared" ca="1" si="5"/>
        <v>0.82303030303030233</v>
      </c>
      <c r="I29" s="3">
        <f t="shared" ca="1" si="6"/>
        <v>-2.1593939393939392</v>
      </c>
      <c r="J29">
        <f t="shared" ca="1" si="8"/>
        <v>13</v>
      </c>
      <c r="K29" s="3">
        <f t="shared" ca="1" si="9"/>
        <v>3</v>
      </c>
      <c r="L29" s="3">
        <f t="shared" ca="1" si="10"/>
        <v>10.989000000000001</v>
      </c>
      <c r="M29" s="3">
        <f t="shared" ca="1" si="11"/>
        <v>8.4472121212121216</v>
      </c>
      <c r="N29" s="3">
        <f t="shared" ca="1" si="12"/>
        <v>5.9054242424242425</v>
      </c>
      <c r="O29" s="3">
        <f t="shared" ca="1" si="16"/>
        <v>3.3636363636363638</v>
      </c>
      <c r="P29" s="3">
        <f t="shared" ca="1" si="13"/>
        <v>0.82184848484848461</v>
      </c>
      <c r="Q29" s="3">
        <f t="shared" ca="1" si="14"/>
        <v>0</v>
      </c>
      <c r="R29" s="3">
        <v>0</v>
      </c>
    </row>
    <row r="30" spans="1:18" ht="14" customHeight="1" x14ac:dyDescent="0.2">
      <c r="A30" s="4">
        <v>43221</v>
      </c>
      <c r="B30" s="5">
        <v>8</v>
      </c>
      <c r="C30" s="3">
        <f t="shared" ca="1" si="0"/>
        <v>15.735151515151514</v>
      </c>
      <c r="D30" s="3">
        <f t="shared" ca="1" si="1"/>
        <v>12.752727272727274</v>
      </c>
      <c r="E30" s="3">
        <f t="shared" ca="1" si="2"/>
        <v>9.7703030303030314</v>
      </c>
      <c r="F30" s="3">
        <f t="shared" si="15"/>
        <v>6.7878787878787881</v>
      </c>
      <c r="G30" s="3">
        <f t="shared" ca="1" si="4"/>
        <v>3.8054545454545452</v>
      </c>
      <c r="H30" s="3">
        <f t="shared" ca="1" si="5"/>
        <v>0.82303030303030233</v>
      </c>
      <c r="I30" s="3">
        <f t="shared" ca="1" si="6"/>
        <v>-2.1593939393939392</v>
      </c>
      <c r="J30">
        <f t="shared" ca="1" si="8"/>
        <v>8</v>
      </c>
      <c r="K30" s="3">
        <f t="shared" ca="1" si="9"/>
        <v>5</v>
      </c>
      <c r="L30" s="3">
        <f t="shared" ca="1" si="10"/>
        <v>10.989000000000001</v>
      </c>
      <c r="M30" s="3">
        <f t="shared" ca="1" si="11"/>
        <v>8.4472121212121216</v>
      </c>
      <c r="N30" s="3">
        <f t="shared" ca="1" si="12"/>
        <v>5.9054242424242425</v>
      </c>
      <c r="O30" s="3">
        <f t="shared" ca="1" si="16"/>
        <v>3.3636363636363638</v>
      </c>
      <c r="P30" s="3">
        <f t="shared" ca="1" si="13"/>
        <v>0.82184848484848461</v>
      </c>
      <c r="Q30" s="3">
        <f t="shared" ca="1" si="14"/>
        <v>0</v>
      </c>
      <c r="R30" s="3">
        <v>0</v>
      </c>
    </row>
    <row r="31" spans="1:18" ht="14" customHeight="1" x14ac:dyDescent="0.2">
      <c r="A31" s="4">
        <v>43252</v>
      </c>
      <c r="B31" s="5">
        <v>10</v>
      </c>
      <c r="C31" s="3">
        <f t="shared" ca="1" si="0"/>
        <v>15.735151515151514</v>
      </c>
      <c r="D31" s="3">
        <f t="shared" ca="1" si="1"/>
        <v>12.752727272727274</v>
      </c>
      <c r="E31" s="3">
        <f t="shared" ca="1" si="2"/>
        <v>9.7703030303030314</v>
      </c>
      <c r="F31" s="3">
        <f t="shared" si="15"/>
        <v>6.7878787878787881</v>
      </c>
      <c r="G31" s="3">
        <f t="shared" ca="1" si="4"/>
        <v>3.8054545454545452</v>
      </c>
      <c r="H31" s="3">
        <f t="shared" ca="1" si="5"/>
        <v>0.82303030303030233</v>
      </c>
      <c r="I31" s="3">
        <f t="shared" ca="1" si="6"/>
        <v>-2.1593939393939392</v>
      </c>
      <c r="J31">
        <f t="shared" ca="1" si="8"/>
        <v>10</v>
      </c>
      <c r="K31" s="3">
        <f t="shared" ca="1" si="9"/>
        <v>2</v>
      </c>
      <c r="L31" s="3">
        <f t="shared" ca="1" si="10"/>
        <v>10.989000000000001</v>
      </c>
      <c r="M31" s="3">
        <f t="shared" ca="1" si="11"/>
        <v>8.4472121212121216</v>
      </c>
      <c r="N31" s="3">
        <f t="shared" ca="1" si="12"/>
        <v>5.9054242424242425</v>
      </c>
      <c r="O31" s="3">
        <f t="shared" ca="1" si="16"/>
        <v>3.3636363636363638</v>
      </c>
      <c r="P31" s="3">
        <f t="shared" ca="1" si="13"/>
        <v>0.82184848484848461</v>
      </c>
      <c r="Q31" s="3">
        <f t="shared" ca="1" si="14"/>
        <v>0</v>
      </c>
      <c r="R31" s="3">
        <v>0</v>
      </c>
    </row>
    <row r="32" spans="1:18" ht="14" customHeight="1" x14ac:dyDescent="0.2">
      <c r="A32" s="4">
        <v>43282</v>
      </c>
      <c r="B32" s="5">
        <v>7</v>
      </c>
      <c r="C32" s="3">
        <f t="shared" ca="1" si="0"/>
        <v>15.735151515151514</v>
      </c>
      <c r="D32" s="3">
        <f t="shared" ca="1" si="1"/>
        <v>12.752727272727274</v>
      </c>
      <c r="E32" s="3">
        <f t="shared" ca="1" si="2"/>
        <v>9.7703030303030314</v>
      </c>
      <c r="F32" s="3">
        <f t="shared" si="15"/>
        <v>6.7878787878787881</v>
      </c>
      <c r="G32" s="3">
        <f t="shared" ca="1" si="4"/>
        <v>3.8054545454545452</v>
      </c>
      <c r="H32" s="3">
        <f t="shared" ca="1" si="5"/>
        <v>0.82303030303030233</v>
      </c>
      <c r="I32" s="3">
        <f t="shared" ca="1" si="6"/>
        <v>-2.1593939393939392</v>
      </c>
      <c r="J32">
        <f t="shared" ca="1" si="8"/>
        <v>7</v>
      </c>
      <c r="K32" s="3">
        <f t="shared" ca="1" si="9"/>
        <v>3</v>
      </c>
      <c r="L32" s="3">
        <f t="shared" ca="1" si="10"/>
        <v>10.989000000000001</v>
      </c>
      <c r="M32" s="3">
        <f t="shared" ca="1" si="11"/>
        <v>8.4472121212121216</v>
      </c>
      <c r="N32" s="3">
        <f t="shared" ca="1" si="12"/>
        <v>5.9054242424242425</v>
      </c>
      <c r="O32" s="3">
        <f t="shared" ca="1" si="16"/>
        <v>3.3636363636363638</v>
      </c>
      <c r="P32" s="3">
        <f t="shared" ca="1" si="13"/>
        <v>0.82184848484848461</v>
      </c>
      <c r="Q32" s="3">
        <f t="shared" ca="1" si="14"/>
        <v>0</v>
      </c>
      <c r="R32" s="3">
        <v>0</v>
      </c>
    </row>
    <row r="33" spans="1:18" ht="14" customHeight="1" x14ac:dyDescent="0.2">
      <c r="A33" s="4">
        <v>43313</v>
      </c>
      <c r="B33" s="5">
        <v>7</v>
      </c>
      <c r="C33" s="3">
        <f t="shared" ca="1" si="0"/>
        <v>15.735151515151514</v>
      </c>
      <c r="D33" s="3">
        <f t="shared" ca="1" si="1"/>
        <v>12.752727272727274</v>
      </c>
      <c r="E33" s="3">
        <f t="shared" ca="1" si="2"/>
        <v>9.7703030303030314</v>
      </c>
      <c r="F33" s="3">
        <f t="shared" si="15"/>
        <v>6.7878787878787881</v>
      </c>
      <c r="G33" s="3">
        <f t="shared" ca="1" si="4"/>
        <v>3.8054545454545452</v>
      </c>
      <c r="H33" s="3">
        <f t="shared" ca="1" si="5"/>
        <v>0.82303030303030233</v>
      </c>
      <c r="I33" s="3">
        <f t="shared" ca="1" si="6"/>
        <v>-2.1593939393939392</v>
      </c>
      <c r="J33">
        <f t="shared" ca="1" si="8"/>
        <v>7</v>
      </c>
      <c r="K33" s="3">
        <f t="shared" ca="1" si="9"/>
        <v>0</v>
      </c>
      <c r="L33" s="3">
        <f t="shared" ca="1" si="10"/>
        <v>10.989000000000001</v>
      </c>
      <c r="M33" s="3">
        <f t="shared" ca="1" si="11"/>
        <v>8.4472121212121216</v>
      </c>
      <c r="N33" s="3">
        <f t="shared" ca="1" si="12"/>
        <v>5.9054242424242425</v>
      </c>
      <c r="O33" s="3">
        <f t="shared" ca="1" si="16"/>
        <v>3.3636363636363638</v>
      </c>
      <c r="P33" s="3">
        <f t="shared" ca="1" si="13"/>
        <v>0.82184848484848461</v>
      </c>
      <c r="Q33" s="3">
        <f t="shared" ca="1" si="14"/>
        <v>0</v>
      </c>
      <c r="R33" s="3">
        <v>0</v>
      </c>
    </row>
    <row r="34" spans="1:18" ht="14" customHeight="1" x14ac:dyDescent="0.2">
      <c r="A34" s="4">
        <v>43344</v>
      </c>
      <c r="B34" s="5">
        <v>9</v>
      </c>
      <c r="C34" s="3">
        <f t="shared" ref="C34:C65" ca="1" si="17">F34+2.66*O34</f>
        <v>15.735151515151514</v>
      </c>
      <c r="D34" s="3">
        <f t="shared" ref="D34:D65" ca="1" si="18">F34+(2/3)*2.66*O34</f>
        <v>12.752727272727274</v>
      </c>
      <c r="E34" s="3">
        <f t="shared" ref="E34:E65" ca="1" si="19">F34+(1/3)*2.66*O34</f>
        <v>9.7703030303030314</v>
      </c>
      <c r="F34" s="3">
        <f t="shared" si="15"/>
        <v>6.7878787878787881</v>
      </c>
      <c r="G34" s="3">
        <f t="shared" ref="G34:G65" ca="1" si="20">F34-(1/3)*2.66*O34</f>
        <v>3.8054545454545452</v>
      </c>
      <c r="H34" s="3">
        <f t="shared" ref="H34:H65" ca="1" si="21">F34-(2/3)*2.66*O34</f>
        <v>0.82303030303030233</v>
      </c>
      <c r="I34" s="3">
        <f t="shared" ref="I34:I65" ca="1" si="22">F34-2.66*O34</f>
        <v>-2.1593939393939392</v>
      </c>
      <c r="J34">
        <f t="shared" ca="1" si="8"/>
        <v>9</v>
      </c>
      <c r="K34" s="3">
        <f t="shared" ca="1" si="9"/>
        <v>2</v>
      </c>
      <c r="L34" s="3">
        <f t="shared" ca="1" si="10"/>
        <v>10.989000000000001</v>
      </c>
      <c r="M34" s="3">
        <f t="shared" ca="1" si="11"/>
        <v>8.4472121212121216</v>
      </c>
      <c r="N34" s="3">
        <f t="shared" ca="1" si="12"/>
        <v>5.9054242424242425</v>
      </c>
      <c r="O34" s="3">
        <f t="shared" ca="1" si="16"/>
        <v>3.3636363636363638</v>
      </c>
      <c r="P34" s="3">
        <f t="shared" ca="1" si="13"/>
        <v>0.82184848484848461</v>
      </c>
      <c r="Q34" s="3">
        <f t="shared" ca="1" si="14"/>
        <v>0</v>
      </c>
      <c r="R34" s="3">
        <v>0</v>
      </c>
    </row>
    <row r="35" spans="1:18" ht="14" customHeight="1" x14ac:dyDescent="0.2">
      <c r="A35" s="4">
        <v>43374</v>
      </c>
      <c r="B35" s="5">
        <v>8</v>
      </c>
      <c r="C35" s="3">
        <f t="shared" ca="1" si="17"/>
        <v>15.735151515151514</v>
      </c>
      <c r="D35" s="3">
        <f t="shared" ca="1" si="18"/>
        <v>12.752727272727274</v>
      </c>
      <c r="E35" s="3">
        <f t="shared" ca="1" si="19"/>
        <v>9.7703030303030314</v>
      </c>
      <c r="F35" s="3">
        <f t="shared" si="15"/>
        <v>6.7878787878787881</v>
      </c>
      <c r="G35" s="3">
        <f t="shared" ca="1" si="20"/>
        <v>3.8054545454545452</v>
      </c>
      <c r="H35" s="3">
        <f t="shared" ca="1" si="21"/>
        <v>0.82303030303030233</v>
      </c>
      <c r="I35" s="3">
        <f t="shared" ca="1" si="22"/>
        <v>-2.1593939393939392</v>
      </c>
      <c r="J35">
        <f t="shared" ref="J35:J66" ca="1" si="23">IF(ISBLANK(B35),OFFSET(J35,-1,0,1,1),B35)</f>
        <v>8</v>
      </c>
      <c r="K35" s="3">
        <f t="shared" ref="K35:K66" ca="1" si="24">IF(OR(OFFSET(K35,-1,-9,1,1)="",OFFSET(K35,0,-9,1,1)=""),"",IF(ISERROR(ABS(B35-OFFSET(K35,-1,-1,1,1))),"",ABS(B35-OFFSET(K35,-1,-1,1,1))))</f>
        <v>1</v>
      </c>
      <c r="L35" s="3">
        <f t="shared" ref="L35:L66" ca="1" si="25">3.267*O35</f>
        <v>10.989000000000001</v>
      </c>
      <c r="M35" s="3">
        <f t="shared" ref="M35:M66" ca="1" si="26">(2/3)*(L35-O35)+O35</f>
        <v>8.4472121212121216</v>
      </c>
      <c r="N35" s="3">
        <f t="shared" ref="N35:N66" ca="1" si="27">(1/3)*(L35-O35)+O35</f>
        <v>5.9054242424242425</v>
      </c>
      <c r="O35" s="3">
        <f t="shared" ca="1" si="16"/>
        <v>3.3636363636363638</v>
      </c>
      <c r="P35" s="3">
        <f t="shared" ref="P35:P66" ca="1" si="28">(MAX(O35-(1/3)*(L35-O35),0))</f>
        <v>0.82184848484848461</v>
      </c>
      <c r="Q35" s="3">
        <f t="shared" ref="Q35:Q66" ca="1" si="29">MAX(O35-(2/3)*(L35-O35),0)</f>
        <v>0</v>
      </c>
      <c r="R35" s="3">
        <v>0</v>
      </c>
    </row>
    <row r="36" spans="1:18" ht="14" customHeight="1" x14ac:dyDescent="0.2">
      <c r="A36" s="2">
        <v>43405</v>
      </c>
      <c r="B36" s="3">
        <v>5</v>
      </c>
      <c r="C36" s="3">
        <f t="shared" ca="1" si="17"/>
        <v>15.735151515151514</v>
      </c>
      <c r="D36" s="3">
        <f t="shared" ca="1" si="18"/>
        <v>12.752727272727274</v>
      </c>
      <c r="E36" s="3">
        <f t="shared" ca="1" si="19"/>
        <v>9.7703030303030314</v>
      </c>
      <c r="F36" s="3">
        <f t="shared" si="15"/>
        <v>6.7878787878787881</v>
      </c>
      <c r="G36" s="3">
        <f t="shared" ca="1" si="20"/>
        <v>3.8054545454545452</v>
      </c>
      <c r="H36" s="3">
        <f t="shared" ca="1" si="21"/>
        <v>0.82303030303030233</v>
      </c>
      <c r="I36" s="3">
        <f t="shared" ca="1" si="22"/>
        <v>-2.1593939393939392</v>
      </c>
      <c r="J36">
        <f t="shared" ca="1" si="23"/>
        <v>5</v>
      </c>
      <c r="K36" s="3">
        <f t="shared" ca="1" si="24"/>
        <v>3</v>
      </c>
      <c r="L36" s="3">
        <f t="shared" ca="1" si="25"/>
        <v>10.989000000000001</v>
      </c>
      <c r="M36" s="3">
        <f t="shared" ca="1" si="26"/>
        <v>8.4472121212121216</v>
      </c>
      <c r="N36" s="3">
        <f t="shared" ca="1" si="27"/>
        <v>5.9054242424242425</v>
      </c>
      <c r="O36" s="3">
        <f t="shared" ca="1" si="16"/>
        <v>3.3636363636363638</v>
      </c>
      <c r="P36" s="3">
        <f t="shared" ca="1" si="28"/>
        <v>0.82184848484848461</v>
      </c>
      <c r="Q36" s="3">
        <f t="shared" ca="1" si="29"/>
        <v>0</v>
      </c>
      <c r="R36" s="3">
        <v>0</v>
      </c>
    </row>
    <row r="37" spans="1:18" ht="14" customHeight="1" x14ac:dyDescent="0.2">
      <c r="A37" s="2">
        <v>43435</v>
      </c>
      <c r="B37" s="3">
        <v>9</v>
      </c>
      <c r="C37" s="3">
        <f t="shared" ca="1" si="17"/>
        <v>15.735151515151514</v>
      </c>
      <c r="D37" s="3">
        <f t="shared" ca="1" si="18"/>
        <v>12.752727272727274</v>
      </c>
      <c r="E37" s="3">
        <f t="shared" ca="1" si="19"/>
        <v>9.7703030303030314</v>
      </c>
      <c r="F37" s="3">
        <f t="shared" si="15"/>
        <v>6.7878787878787881</v>
      </c>
      <c r="G37" s="3">
        <f t="shared" ca="1" si="20"/>
        <v>3.8054545454545452</v>
      </c>
      <c r="H37" s="3">
        <f t="shared" ca="1" si="21"/>
        <v>0.82303030303030233</v>
      </c>
      <c r="I37" s="3">
        <f t="shared" ca="1" si="22"/>
        <v>-2.1593939393939392</v>
      </c>
      <c r="J37">
        <f t="shared" ca="1" si="23"/>
        <v>9</v>
      </c>
      <c r="K37" s="3">
        <f t="shared" ca="1" si="24"/>
        <v>4</v>
      </c>
      <c r="L37" s="3">
        <f t="shared" ca="1" si="25"/>
        <v>10.989000000000001</v>
      </c>
      <c r="M37" s="3">
        <f t="shared" ca="1" si="26"/>
        <v>8.4472121212121216</v>
      </c>
      <c r="N37" s="3">
        <f t="shared" ca="1" si="27"/>
        <v>5.9054242424242425</v>
      </c>
      <c r="O37" s="3">
        <f t="shared" ca="1" si="16"/>
        <v>3.3636363636363638</v>
      </c>
      <c r="P37" s="3">
        <f t="shared" ca="1" si="28"/>
        <v>0.82184848484848461</v>
      </c>
      <c r="Q37" s="3">
        <f t="shared" ca="1" si="29"/>
        <v>0</v>
      </c>
      <c r="R37" s="3">
        <v>0</v>
      </c>
    </row>
    <row r="38" spans="1:18" ht="14" customHeight="1" x14ac:dyDescent="0.2">
      <c r="A38" s="2">
        <v>43466</v>
      </c>
      <c r="B38" s="3">
        <v>8</v>
      </c>
      <c r="C38" s="3">
        <f t="shared" ca="1" si="17"/>
        <v>15.735151515151514</v>
      </c>
      <c r="D38" s="3">
        <f t="shared" ca="1" si="18"/>
        <v>12.752727272727274</v>
      </c>
      <c r="E38" s="3">
        <f t="shared" ca="1" si="19"/>
        <v>9.7703030303030314</v>
      </c>
      <c r="F38" s="3">
        <f t="shared" si="15"/>
        <v>6.7878787878787881</v>
      </c>
      <c r="G38" s="3">
        <f t="shared" ca="1" si="20"/>
        <v>3.8054545454545452</v>
      </c>
      <c r="H38" s="3">
        <f t="shared" ca="1" si="21"/>
        <v>0.82303030303030233</v>
      </c>
      <c r="I38" s="3">
        <f t="shared" ca="1" si="22"/>
        <v>-2.1593939393939392</v>
      </c>
      <c r="J38">
        <f t="shared" ca="1" si="23"/>
        <v>8</v>
      </c>
      <c r="K38" s="3">
        <f t="shared" ca="1" si="24"/>
        <v>1</v>
      </c>
      <c r="L38" s="3">
        <f t="shared" ca="1" si="25"/>
        <v>10.989000000000001</v>
      </c>
      <c r="M38" s="3">
        <f t="shared" ca="1" si="26"/>
        <v>8.4472121212121216</v>
      </c>
      <c r="N38" s="3">
        <f t="shared" ca="1" si="27"/>
        <v>5.9054242424242425</v>
      </c>
      <c r="O38" s="3">
        <f t="shared" ca="1" si="16"/>
        <v>3.3636363636363638</v>
      </c>
      <c r="P38" s="3">
        <f t="shared" ca="1" si="28"/>
        <v>0.82184848484848461</v>
      </c>
      <c r="Q38" s="3">
        <f t="shared" ca="1" si="29"/>
        <v>0</v>
      </c>
      <c r="R38" s="3">
        <v>0</v>
      </c>
    </row>
    <row r="39" spans="1:18" ht="14" customHeight="1" x14ac:dyDescent="0.2">
      <c r="A39" s="2">
        <v>43497</v>
      </c>
      <c r="B39" s="3">
        <v>4</v>
      </c>
      <c r="C39" s="3">
        <f t="shared" ca="1" si="17"/>
        <v>15.735151515151514</v>
      </c>
      <c r="D39" s="3">
        <f t="shared" ca="1" si="18"/>
        <v>12.752727272727274</v>
      </c>
      <c r="E39" s="3">
        <f t="shared" ca="1" si="19"/>
        <v>9.7703030303030314</v>
      </c>
      <c r="F39" s="3">
        <f t="shared" si="15"/>
        <v>6.7878787878787881</v>
      </c>
      <c r="G39" s="3">
        <f t="shared" ca="1" si="20"/>
        <v>3.8054545454545452</v>
      </c>
      <c r="H39" s="3">
        <f t="shared" ca="1" si="21"/>
        <v>0.82303030303030233</v>
      </c>
      <c r="I39" s="3">
        <f t="shared" ca="1" si="22"/>
        <v>-2.1593939393939392</v>
      </c>
      <c r="J39">
        <f t="shared" ca="1" si="23"/>
        <v>4</v>
      </c>
      <c r="K39" s="3">
        <f t="shared" ca="1" si="24"/>
        <v>4</v>
      </c>
      <c r="L39" s="3">
        <f t="shared" ca="1" si="25"/>
        <v>10.989000000000001</v>
      </c>
      <c r="M39" s="3">
        <f t="shared" ca="1" si="26"/>
        <v>8.4472121212121216</v>
      </c>
      <c r="N39" s="3">
        <f t="shared" ca="1" si="27"/>
        <v>5.9054242424242425</v>
      </c>
      <c r="O39" s="3">
        <f t="shared" ca="1" si="16"/>
        <v>3.3636363636363638</v>
      </c>
      <c r="P39" s="3">
        <f t="shared" ca="1" si="28"/>
        <v>0.82184848484848461</v>
      </c>
      <c r="Q39" s="3">
        <f t="shared" ca="1" si="29"/>
        <v>0</v>
      </c>
      <c r="R39" s="3">
        <v>0</v>
      </c>
    </row>
    <row r="40" spans="1:18" ht="14" customHeight="1" x14ac:dyDescent="0.2">
      <c r="A40" s="2">
        <v>43525</v>
      </c>
      <c r="B40" s="3">
        <v>12</v>
      </c>
      <c r="C40" s="3">
        <f t="shared" ca="1" si="17"/>
        <v>15.735151515151514</v>
      </c>
      <c r="D40" s="3">
        <f t="shared" ca="1" si="18"/>
        <v>12.752727272727274</v>
      </c>
      <c r="E40" s="3">
        <f t="shared" ca="1" si="19"/>
        <v>9.7703030303030314</v>
      </c>
      <c r="F40" s="3">
        <f t="shared" si="15"/>
        <v>6.7878787878787881</v>
      </c>
      <c r="G40" s="3">
        <f t="shared" ca="1" si="20"/>
        <v>3.8054545454545452</v>
      </c>
      <c r="H40" s="3">
        <f t="shared" ca="1" si="21"/>
        <v>0.82303030303030233</v>
      </c>
      <c r="I40" s="3">
        <f t="shared" ca="1" si="22"/>
        <v>-2.1593939393939392</v>
      </c>
      <c r="J40">
        <f t="shared" ca="1" si="23"/>
        <v>12</v>
      </c>
      <c r="K40" s="3">
        <f t="shared" ca="1" si="24"/>
        <v>8</v>
      </c>
      <c r="L40" s="3">
        <f t="shared" ca="1" si="25"/>
        <v>10.989000000000001</v>
      </c>
      <c r="M40" s="3">
        <f t="shared" ca="1" si="26"/>
        <v>8.4472121212121216</v>
      </c>
      <c r="N40" s="3">
        <f t="shared" ca="1" si="27"/>
        <v>5.9054242424242425</v>
      </c>
      <c r="O40" s="3">
        <f t="shared" ca="1" si="16"/>
        <v>3.3636363636363638</v>
      </c>
      <c r="P40" s="3">
        <f t="shared" ca="1" si="28"/>
        <v>0.82184848484848461</v>
      </c>
      <c r="Q40" s="3">
        <f t="shared" ca="1" si="29"/>
        <v>0</v>
      </c>
      <c r="R40" s="3">
        <v>0</v>
      </c>
    </row>
    <row r="41" spans="1:18" ht="14" customHeight="1" x14ac:dyDescent="0.2">
      <c r="A41" s="2">
        <v>43556</v>
      </c>
      <c r="B41" s="3">
        <v>9</v>
      </c>
      <c r="C41" s="3">
        <f t="shared" ca="1" si="17"/>
        <v>15.735151515151514</v>
      </c>
      <c r="D41" s="3">
        <f t="shared" ca="1" si="18"/>
        <v>12.752727272727274</v>
      </c>
      <c r="E41" s="3">
        <f t="shared" ca="1" si="19"/>
        <v>9.7703030303030314</v>
      </c>
      <c r="F41" s="3">
        <f t="shared" si="15"/>
        <v>6.7878787878787881</v>
      </c>
      <c r="G41" s="3">
        <f t="shared" ca="1" si="20"/>
        <v>3.8054545454545452</v>
      </c>
      <c r="H41" s="3">
        <f t="shared" ca="1" si="21"/>
        <v>0.82303030303030233</v>
      </c>
      <c r="I41" s="3">
        <f t="shared" ca="1" si="22"/>
        <v>-2.1593939393939392</v>
      </c>
      <c r="J41">
        <f t="shared" ca="1" si="23"/>
        <v>9</v>
      </c>
      <c r="K41" s="3">
        <f t="shared" ca="1" si="24"/>
        <v>3</v>
      </c>
      <c r="L41" s="3">
        <f t="shared" ca="1" si="25"/>
        <v>10.989000000000001</v>
      </c>
      <c r="M41" s="3">
        <f t="shared" ca="1" si="26"/>
        <v>8.4472121212121216</v>
      </c>
      <c r="N41" s="3">
        <f t="shared" ca="1" si="27"/>
        <v>5.9054242424242425</v>
      </c>
      <c r="O41" s="3">
        <f t="shared" ca="1" si="16"/>
        <v>3.3636363636363638</v>
      </c>
      <c r="P41" s="3">
        <f t="shared" ca="1" si="28"/>
        <v>0.82184848484848461</v>
      </c>
      <c r="Q41" s="3">
        <f t="shared" ca="1" si="29"/>
        <v>0</v>
      </c>
      <c r="R41" s="3">
        <v>0</v>
      </c>
    </row>
    <row r="42" spans="1:18" ht="14" customHeight="1" x14ac:dyDescent="0.2">
      <c r="A42" s="2">
        <v>43586</v>
      </c>
      <c r="B42" s="3">
        <v>13</v>
      </c>
      <c r="C42" s="3">
        <f t="shared" ca="1" si="17"/>
        <v>15.735151515151514</v>
      </c>
      <c r="D42" s="3">
        <f t="shared" ca="1" si="18"/>
        <v>12.752727272727274</v>
      </c>
      <c r="E42" s="3">
        <f t="shared" ca="1" si="19"/>
        <v>9.7703030303030314</v>
      </c>
      <c r="F42" s="3">
        <f t="shared" si="15"/>
        <v>6.7878787878787881</v>
      </c>
      <c r="G42" s="3">
        <f t="shared" ca="1" si="20"/>
        <v>3.8054545454545452</v>
      </c>
      <c r="H42" s="3">
        <f t="shared" ca="1" si="21"/>
        <v>0.82303030303030233</v>
      </c>
      <c r="I42" s="3">
        <f t="shared" ca="1" si="22"/>
        <v>-2.1593939393939392</v>
      </c>
      <c r="J42">
        <f t="shared" ca="1" si="23"/>
        <v>13</v>
      </c>
      <c r="K42" s="3">
        <f t="shared" ca="1" si="24"/>
        <v>4</v>
      </c>
      <c r="L42" s="3">
        <f t="shared" ca="1" si="25"/>
        <v>10.989000000000001</v>
      </c>
      <c r="M42" s="3">
        <f t="shared" ca="1" si="26"/>
        <v>8.4472121212121216</v>
      </c>
      <c r="N42" s="3">
        <f t="shared" ca="1" si="27"/>
        <v>5.9054242424242425</v>
      </c>
      <c r="O42" s="3">
        <f t="shared" ca="1" si="16"/>
        <v>3.3636363636363638</v>
      </c>
      <c r="P42" s="3">
        <f t="shared" ca="1" si="28"/>
        <v>0.82184848484848461</v>
      </c>
      <c r="Q42" s="3">
        <f t="shared" ca="1" si="29"/>
        <v>0</v>
      </c>
      <c r="R42" s="3">
        <v>0</v>
      </c>
    </row>
    <row r="43" spans="1:18" ht="14" customHeight="1" x14ac:dyDescent="0.2">
      <c r="A43" s="2">
        <v>43617</v>
      </c>
      <c r="B43" s="3">
        <v>7</v>
      </c>
      <c r="C43" s="3">
        <f t="shared" ca="1" si="17"/>
        <v>15.735151515151514</v>
      </c>
      <c r="D43" s="3">
        <f t="shared" ca="1" si="18"/>
        <v>12.752727272727274</v>
      </c>
      <c r="E43" s="3">
        <f t="shared" ca="1" si="19"/>
        <v>9.7703030303030314</v>
      </c>
      <c r="F43" s="3">
        <f t="shared" si="15"/>
        <v>6.7878787878787881</v>
      </c>
      <c r="G43" s="3">
        <f t="shared" ca="1" si="20"/>
        <v>3.8054545454545452</v>
      </c>
      <c r="H43" s="3">
        <f t="shared" ca="1" si="21"/>
        <v>0.82303030303030233</v>
      </c>
      <c r="I43" s="3">
        <f t="shared" ca="1" si="22"/>
        <v>-2.1593939393939392</v>
      </c>
      <c r="J43">
        <f t="shared" ca="1" si="23"/>
        <v>7</v>
      </c>
      <c r="K43" s="3">
        <f t="shared" ca="1" si="24"/>
        <v>6</v>
      </c>
      <c r="L43" s="3">
        <f t="shared" ca="1" si="25"/>
        <v>10.989000000000001</v>
      </c>
      <c r="M43" s="3">
        <f t="shared" ca="1" si="26"/>
        <v>8.4472121212121216</v>
      </c>
      <c r="N43" s="3">
        <f t="shared" ca="1" si="27"/>
        <v>5.9054242424242425</v>
      </c>
      <c r="O43" s="3">
        <f t="shared" ca="1" si="16"/>
        <v>3.3636363636363638</v>
      </c>
      <c r="P43" s="3">
        <f t="shared" ca="1" si="28"/>
        <v>0.82184848484848461</v>
      </c>
      <c r="Q43" s="3">
        <f t="shared" ca="1" si="29"/>
        <v>0</v>
      </c>
      <c r="R43" s="3">
        <v>0</v>
      </c>
    </row>
    <row r="44" spans="1:18" ht="14" customHeight="1" x14ac:dyDescent="0.2">
      <c r="A44" s="2">
        <v>43647</v>
      </c>
      <c r="B44" s="3">
        <v>2</v>
      </c>
      <c r="C44" s="3">
        <f t="shared" ca="1" si="17"/>
        <v>15.735151515151514</v>
      </c>
      <c r="D44" s="3">
        <f t="shared" ca="1" si="18"/>
        <v>12.752727272727274</v>
      </c>
      <c r="E44" s="3">
        <f t="shared" ca="1" si="19"/>
        <v>9.7703030303030314</v>
      </c>
      <c r="F44" s="3">
        <f t="shared" si="15"/>
        <v>6.7878787878787881</v>
      </c>
      <c r="G44" s="3">
        <f t="shared" ca="1" si="20"/>
        <v>3.8054545454545452</v>
      </c>
      <c r="H44" s="3">
        <f t="shared" ca="1" si="21"/>
        <v>0.82303030303030233</v>
      </c>
      <c r="I44" s="3">
        <f t="shared" ca="1" si="22"/>
        <v>-2.1593939393939392</v>
      </c>
      <c r="J44">
        <f t="shared" ca="1" si="23"/>
        <v>2</v>
      </c>
      <c r="K44" s="3">
        <f t="shared" ca="1" si="24"/>
        <v>5</v>
      </c>
      <c r="L44" s="3">
        <f t="shared" ca="1" si="25"/>
        <v>10.989000000000001</v>
      </c>
      <c r="M44" s="3">
        <f t="shared" ca="1" si="26"/>
        <v>8.4472121212121216</v>
      </c>
      <c r="N44" s="3">
        <f t="shared" ca="1" si="27"/>
        <v>5.9054242424242425</v>
      </c>
      <c r="O44" s="3">
        <f t="shared" ca="1" si="16"/>
        <v>3.3636363636363638</v>
      </c>
      <c r="P44" s="3">
        <f t="shared" ca="1" si="28"/>
        <v>0.82184848484848461</v>
      </c>
      <c r="Q44" s="3">
        <f t="shared" ca="1" si="29"/>
        <v>0</v>
      </c>
      <c r="R44" s="3">
        <v>0</v>
      </c>
    </row>
    <row r="45" spans="1:18" ht="14" customHeight="1" x14ac:dyDescent="0.2">
      <c r="A45" s="2">
        <v>43678</v>
      </c>
      <c r="B45" s="3">
        <v>7</v>
      </c>
      <c r="C45" s="3">
        <f t="shared" ca="1" si="17"/>
        <v>15.735151515151514</v>
      </c>
      <c r="D45" s="3">
        <f t="shared" ca="1" si="18"/>
        <v>12.752727272727274</v>
      </c>
      <c r="E45" s="3">
        <f t="shared" ca="1" si="19"/>
        <v>9.7703030303030314</v>
      </c>
      <c r="F45" s="3">
        <f t="shared" si="15"/>
        <v>6.7878787878787881</v>
      </c>
      <c r="G45" s="3">
        <f t="shared" ca="1" si="20"/>
        <v>3.8054545454545452</v>
      </c>
      <c r="H45" s="3">
        <f t="shared" ca="1" si="21"/>
        <v>0.82303030303030233</v>
      </c>
      <c r="I45" s="3">
        <f t="shared" ca="1" si="22"/>
        <v>-2.1593939393939392</v>
      </c>
      <c r="J45">
        <f t="shared" ca="1" si="23"/>
        <v>7</v>
      </c>
      <c r="K45" s="3">
        <f t="shared" ca="1" si="24"/>
        <v>5</v>
      </c>
      <c r="L45" s="3">
        <f t="shared" ca="1" si="25"/>
        <v>10.989000000000001</v>
      </c>
      <c r="M45" s="3">
        <f t="shared" ca="1" si="26"/>
        <v>8.4472121212121216</v>
      </c>
      <c r="N45" s="3">
        <f t="shared" ca="1" si="27"/>
        <v>5.9054242424242425</v>
      </c>
      <c r="O45" s="3">
        <f t="shared" ca="1" si="16"/>
        <v>3.3636363636363638</v>
      </c>
      <c r="P45" s="3">
        <f t="shared" ca="1" si="28"/>
        <v>0.82184848484848461</v>
      </c>
      <c r="Q45" s="3">
        <f t="shared" ca="1" si="29"/>
        <v>0</v>
      </c>
      <c r="R45" s="3">
        <v>0</v>
      </c>
    </row>
    <row r="46" spans="1:18" ht="14" customHeight="1" x14ac:dyDescent="0.2">
      <c r="A46" s="2">
        <v>43709</v>
      </c>
      <c r="B46" s="3">
        <v>6</v>
      </c>
      <c r="C46" s="3">
        <f t="shared" ca="1" si="17"/>
        <v>15.735151515151514</v>
      </c>
      <c r="D46" s="3">
        <f t="shared" ca="1" si="18"/>
        <v>12.752727272727274</v>
      </c>
      <c r="E46" s="3">
        <f t="shared" ca="1" si="19"/>
        <v>9.7703030303030314</v>
      </c>
      <c r="F46" s="3">
        <f t="shared" si="15"/>
        <v>6.7878787878787881</v>
      </c>
      <c r="G46" s="3">
        <f t="shared" ca="1" si="20"/>
        <v>3.8054545454545452</v>
      </c>
      <c r="H46" s="3">
        <f t="shared" ca="1" si="21"/>
        <v>0.82303030303030233</v>
      </c>
      <c r="I46" s="3">
        <f t="shared" ca="1" si="22"/>
        <v>-2.1593939393939392</v>
      </c>
      <c r="J46">
        <f t="shared" ca="1" si="23"/>
        <v>6</v>
      </c>
      <c r="K46" s="3">
        <f t="shared" ca="1" si="24"/>
        <v>1</v>
      </c>
      <c r="L46" s="3">
        <f t="shared" ca="1" si="25"/>
        <v>10.989000000000001</v>
      </c>
      <c r="M46" s="3">
        <f t="shared" ca="1" si="26"/>
        <v>8.4472121212121216</v>
      </c>
      <c r="N46" s="3">
        <f t="shared" ca="1" si="27"/>
        <v>5.9054242424242425</v>
      </c>
      <c r="O46" s="3">
        <f t="shared" ca="1" si="16"/>
        <v>3.3636363636363638</v>
      </c>
      <c r="P46" s="3">
        <f t="shared" ca="1" si="28"/>
        <v>0.82184848484848461</v>
      </c>
      <c r="Q46" s="3">
        <f t="shared" ca="1" si="29"/>
        <v>0</v>
      </c>
      <c r="R46" s="3">
        <v>0</v>
      </c>
    </row>
    <row r="47" spans="1:18" ht="14" customHeight="1" x14ac:dyDescent="0.2">
      <c r="A47" s="2">
        <v>43739</v>
      </c>
      <c r="B47" s="3">
        <v>1</v>
      </c>
      <c r="C47" s="3">
        <f t="shared" ca="1" si="17"/>
        <v>15.735151515151514</v>
      </c>
      <c r="D47" s="3">
        <f t="shared" ca="1" si="18"/>
        <v>12.752727272727274</v>
      </c>
      <c r="E47" s="3">
        <f t="shared" ca="1" si="19"/>
        <v>9.7703030303030314</v>
      </c>
      <c r="F47" s="3">
        <f t="shared" si="15"/>
        <v>6.7878787878787881</v>
      </c>
      <c r="G47" s="3">
        <f t="shared" ca="1" si="20"/>
        <v>3.8054545454545452</v>
      </c>
      <c r="H47" s="3">
        <f t="shared" ca="1" si="21"/>
        <v>0.82303030303030233</v>
      </c>
      <c r="I47" s="3">
        <f t="shared" ca="1" si="22"/>
        <v>-2.1593939393939392</v>
      </c>
      <c r="J47">
        <f t="shared" ca="1" si="23"/>
        <v>1</v>
      </c>
      <c r="K47" s="3">
        <f t="shared" ca="1" si="24"/>
        <v>5</v>
      </c>
      <c r="L47" s="3">
        <f t="shared" ca="1" si="25"/>
        <v>10.989000000000001</v>
      </c>
      <c r="M47" s="3">
        <f t="shared" ca="1" si="26"/>
        <v>8.4472121212121216</v>
      </c>
      <c r="N47" s="3">
        <f t="shared" ca="1" si="27"/>
        <v>5.9054242424242425</v>
      </c>
      <c r="O47" s="3">
        <f t="shared" ca="1" si="16"/>
        <v>3.3636363636363638</v>
      </c>
      <c r="P47" s="3">
        <f t="shared" ca="1" si="28"/>
        <v>0.82184848484848461</v>
      </c>
      <c r="Q47" s="3">
        <f t="shared" ca="1" si="29"/>
        <v>0</v>
      </c>
      <c r="R47" s="3">
        <v>0</v>
      </c>
    </row>
    <row r="48" spans="1:18" ht="14" customHeight="1" x14ac:dyDescent="0.2">
      <c r="A48" s="2">
        <v>43770</v>
      </c>
      <c r="B48" s="3">
        <v>4</v>
      </c>
      <c r="C48" s="3">
        <f t="shared" ca="1" si="17"/>
        <v>15.735151515151514</v>
      </c>
      <c r="D48" s="3">
        <f t="shared" ca="1" si="18"/>
        <v>12.752727272727274</v>
      </c>
      <c r="E48" s="3">
        <f t="shared" ca="1" si="19"/>
        <v>9.7703030303030314</v>
      </c>
      <c r="F48" s="3">
        <f t="shared" si="15"/>
        <v>6.7878787878787881</v>
      </c>
      <c r="G48" s="3">
        <f t="shared" ca="1" si="20"/>
        <v>3.8054545454545452</v>
      </c>
      <c r="H48" s="3">
        <f t="shared" ca="1" si="21"/>
        <v>0.82303030303030233</v>
      </c>
      <c r="I48" s="3">
        <f t="shared" ca="1" si="22"/>
        <v>-2.1593939393939392</v>
      </c>
      <c r="J48">
        <f t="shared" ca="1" si="23"/>
        <v>4</v>
      </c>
      <c r="K48" s="3">
        <f t="shared" ca="1" si="24"/>
        <v>3</v>
      </c>
      <c r="L48" s="3">
        <f t="shared" ca="1" si="25"/>
        <v>10.989000000000001</v>
      </c>
      <c r="M48" s="3">
        <f t="shared" ca="1" si="26"/>
        <v>8.4472121212121216</v>
      </c>
      <c r="N48" s="3">
        <f t="shared" ca="1" si="27"/>
        <v>5.9054242424242425</v>
      </c>
      <c r="O48" s="3">
        <f t="shared" ca="1" si="16"/>
        <v>3.3636363636363638</v>
      </c>
      <c r="P48" s="3">
        <f t="shared" ca="1" si="28"/>
        <v>0.82184848484848461</v>
      </c>
      <c r="Q48" s="3">
        <f t="shared" ca="1" si="29"/>
        <v>0</v>
      </c>
      <c r="R48" s="3">
        <v>0</v>
      </c>
    </row>
    <row r="49" spans="1:18" ht="14" customHeight="1" x14ac:dyDescent="0.2">
      <c r="A49" s="2">
        <v>43800</v>
      </c>
      <c r="B49" s="3">
        <v>5</v>
      </c>
      <c r="C49" s="3">
        <f t="shared" ca="1" si="17"/>
        <v>15.735151515151514</v>
      </c>
      <c r="D49" s="3">
        <f t="shared" ca="1" si="18"/>
        <v>12.752727272727274</v>
      </c>
      <c r="E49" s="3">
        <f t="shared" ca="1" si="19"/>
        <v>9.7703030303030314</v>
      </c>
      <c r="F49" s="3">
        <f t="shared" si="15"/>
        <v>6.7878787878787881</v>
      </c>
      <c r="G49" s="3">
        <f t="shared" ca="1" si="20"/>
        <v>3.8054545454545452</v>
      </c>
      <c r="H49" s="3">
        <f t="shared" ca="1" si="21"/>
        <v>0.82303030303030233</v>
      </c>
      <c r="I49" s="3">
        <f t="shared" ca="1" si="22"/>
        <v>-2.1593939393939392</v>
      </c>
      <c r="J49">
        <f t="shared" ca="1" si="23"/>
        <v>5</v>
      </c>
      <c r="K49" s="3">
        <f t="shared" ca="1" si="24"/>
        <v>1</v>
      </c>
      <c r="L49" s="3">
        <f t="shared" ca="1" si="25"/>
        <v>10.989000000000001</v>
      </c>
      <c r="M49" s="3">
        <f t="shared" ca="1" si="26"/>
        <v>8.4472121212121216</v>
      </c>
      <c r="N49" s="3">
        <f t="shared" ca="1" si="27"/>
        <v>5.9054242424242425</v>
      </c>
      <c r="O49" s="3">
        <f t="shared" ca="1" si="16"/>
        <v>3.3636363636363638</v>
      </c>
      <c r="P49" s="3">
        <f t="shared" ca="1" si="28"/>
        <v>0.82184848484848461</v>
      </c>
      <c r="Q49" s="3">
        <f t="shared" ca="1" si="29"/>
        <v>0</v>
      </c>
      <c r="R49" s="3">
        <v>0</v>
      </c>
    </row>
    <row r="50" spans="1:18" ht="14" customHeight="1" x14ac:dyDescent="0.2">
      <c r="A50" s="2">
        <v>43831</v>
      </c>
      <c r="B50" s="3">
        <v>4</v>
      </c>
      <c r="C50" s="3">
        <f t="shared" ca="1" si="17"/>
        <v>15.735151515151514</v>
      </c>
      <c r="D50" s="3">
        <f t="shared" ca="1" si="18"/>
        <v>12.752727272727274</v>
      </c>
      <c r="E50" s="3">
        <f t="shared" ca="1" si="19"/>
        <v>9.7703030303030314</v>
      </c>
      <c r="F50" s="3">
        <f t="shared" si="15"/>
        <v>6.7878787878787881</v>
      </c>
      <c r="G50" s="3">
        <f t="shared" ca="1" si="20"/>
        <v>3.8054545454545452</v>
      </c>
      <c r="H50" s="3">
        <f t="shared" ca="1" si="21"/>
        <v>0.82303030303030233</v>
      </c>
      <c r="I50" s="3">
        <f t="shared" ca="1" si="22"/>
        <v>-2.1593939393939392</v>
      </c>
      <c r="J50">
        <f t="shared" ca="1" si="23"/>
        <v>4</v>
      </c>
      <c r="K50" s="3">
        <f t="shared" ca="1" si="24"/>
        <v>1</v>
      </c>
      <c r="L50" s="3">
        <f t="shared" ca="1" si="25"/>
        <v>10.989000000000001</v>
      </c>
      <c r="M50" s="3">
        <f t="shared" ca="1" si="26"/>
        <v>8.4472121212121216</v>
      </c>
      <c r="N50" s="3">
        <f t="shared" ca="1" si="27"/>
        <v>5.9054242424242425</v>
      </c>
      <c r="O50" s="3">
        <f t="shared" ca="1" si="16"/>
        <v>3.3636363636363638</v>
      </c>
      <c r="P50" s="3">
        <f t="shared" ca="1" si="28"/>
        <v>0.82184848484848461</v>
      </c>
      <c r="Q50" s="3">
        <f t="shared" ca="1" si="29"/>
        <v>0</v>
      </c>
      <c r="R50" s="3">
        <v>0</v>
      </c>
    </row>
    <row r="51" spans="1:18" ht="14" customHeight="1" x14ac:dyDescent="0.2">
      <c r="A51" s="2">
        <v>43862</v>
      </c>
      <c r="B51" s="3">
        <v>8</v>
      </c>
      <c r="C51" s="3">
        <f t="shared" ca="1" si="17"/>
        <v>15.735151515151514</v>
      </c>
      <c r="D51" s="3">
        <f t="shared" ca="1" si="18"/>
        <v>12.752727272727274</v>
      </c>
      <c r="E51" s="3">
        <f t="shared" ca="1" si="19"/>
        <v>9.7703030303030314</v>
      </c>
      <c r="F51" s="3">
        <f t="shared" si="15"/>
        <v>6.7878787878787881</v>
      </c>
      <c r="G51" s="3">
        <f t="shared" ca="1" si="20"/>
        <v>3.8054545454545452</v>
      </c>
      <c r="H51" s="3">
        <f t="shared" ca="1" si="21"/>
        <v>0.82303030303030233</v>
      </c>
      <c r="I51" s="3">
        <f t="shared" ca="1" si="22"/>
        <v>-2.1593939393939392</v>
      </c>
      <c r="J51">
        <f t="shared" ca="1" si="23"/>
        <v>8</v>
      </c>
      <c r="K51" s="3">
        <f t="shared" ca="1" si="24"/>
        <v>4</v>
      </c>
      <c r="L51" s="3">
        <f t="shared" ca="1" si="25"/>
        <v>10.989000000000001</v>
      </c>
      <c r="M51" s="3">
        <f t="shared" ca="1" si="26"/>
        <v>8.4472121212121216</v>
      </c>
      <c r="N51" s="3">
        <f t="shared" ca="1" si="27"/>
        <v>5.9054242424242425</v>
      </c>
      <c r="O51" s="3">
        <f t="shared" ca="1" si="16"/>
        <v>3.3636363636363638</v>
      </c>
      <c r="P51" s="3">
        <f t="shared" ca="1" si="28"/>
        <v>0.82184848484848461</v>
      </c>
      <c r="Q51" s="3">
        <f t="shared" ca="1" si="29"/>
        <v>0</v>
      </c>
      <c r="R51" s="3">
        <v>0</v>
      </c>
    </row>
    <row r="52" spans="1:18" ht="14" customHeight="1" x14ac:dyDescent="0.2">
      <c r="A52" s="2">
        <v>43891</v>
      </c>
      <c r="B52" s="3">
        <v>10</v>
      </c>
      <c r="C52" s="3">
        <f t="shared" ca="1" si="17"/>
        <v>15.735151515151514</v>
      </c>
      <c r="D52" s="3">
        <f t="shared" ca="1" si="18"/>
        <v>12.752727272727274</v>
      </c>
      <c r="E52" s="3">
        <f t="shared" ca="1" si="19"/>
        <v>9.7703030303030314</v>
      </c>
      <c r="F52" s="3">
        <f t="shared" si="15"/>
        <v>6.7878787878787881</v>
      </c>
      <c r="G52" s="3">
        <f t="shared" ca="1" si="20"/>
        <v>3.8054545454545452</v>
      </c>
      <c r="H52" s="3">
        <f t="shared" ca="1" si="21"/>
        <v>0.82303030303030233</v>
      </c>
      <c r="I52" s="3">
        <f t="shared" ca="1" si="22"/>
        <v>-2.1593939393939392</v>
      </c>
      <c r="J52">
        <f t="shared" ca="1" si="23"/>
        <v>10</v>
      </c>
      <c r="K52" s="3">
        <f t="shared" ca="1" si="24"/>
        <v>2</v>
      </c>
      <c r="L52" s="3">
        <f t="shared" ca="1" si="25"/>
        <v>10.989000000000001</v>
      </c>
      <c r="M52" s="3">
        <f t="shared" ca="1" si="26"/>
        <v>8.4472121212121216</v>
      </c>
      <c r="N52" s="3">
        <f t="shared" ca="1" si="27"/>
        <v>5.9054242424242425</v>
      </c>
      <c r="O52" s="3">
        <f t="shared" ca="1" si="16"/>
        <v>3.3636363636363638</v>
      </c>
      <c r="P52" s="3">
        <f t="shared" ca="1" si="28"/>
        <v>0.82184848484848461</v>
      </c>
      <c r="Q52" s="3">
        <f t="shared" ca="1" si="29"/>
        <v>0</v>
      </c>
      <c r="R52" s="3">
        <v>0</v>
      </c>
    </row>
    <row r="53" spans="1:18" x14ac:dyDescent="0.2">
      <c r="A53" s="2">
        <v>43922</v>
      </c>
      <c r="B53" s="3">
        <v>2</v>
      </c>
      <c r="C53" s="3">
        <f t="shared" ca="1" si="17"/>
        <v>15.735151515151514</v>
      </c>
      <c r="D53" s="3">
        <f t="shared" ca="1" si="18"/>
        <v>12.752727272727274</v>
      </c>
      <c r="E53" s="3">
        <f t="shared" ca="1" si="19"/>
        <v>9.7703030303030314</v>
      </c>
      <c r="F53" s="3">
        <f t="shared" si="15"/>
        <v>6.7878787878787881</v>
      </c>
      <c r="G53" s="3">
        <f t="shared" ca="1" si="20"/>
        <v>3.8054545454545452</v>
      </c>
      <c r="H53" s="3">
        <f t="shared" ca="1" si="21"/>
        <v>0.82303030303030233</v>
      </c>
      <c r="I53" s="3">
        <f t="shared" ca="1" si="22"/>
        <v>-2.1593939393939392</v>
      </c>
      <c r="J53">
        <f t="shared" ca="1" si="23"/>
        <v>2</v>
      </c>
      <c r="K53" s="3">
        <f t="shared" ca="1" si="24"/>
        <v>8</v>
      </c>
      <c r="L53" s="3">
        <f t="shared" ca="1" si="25"/>
        <v>10.989000000000001</v>
      </c>
      <c r="M53" s="3">
        <f t="shared" ca="1" si="26"/>
        <v>8.4472121212121216</v>
      </c>
      <c r="N53" s="3">
        <f t="shared" ca="1" si="27"/>
        <v>5.9054242424242425</v>
      </c>
      <c r="O53" s="3">
        <f t="shared" ca="1" si="16"/>
        <v>3.3636363636363638</v>
      </c>
      <c r="P53" s="3">
        <f t="shared" ca="1" si="28"/>
        <v>0.82184848484848461</v>
      </c>
      <c r="Q53" s="3">
        <f t="shared" ca="1" si="29"/>
        <v>0</v>
      </c>
      <c r="R53" s="3">
        <v>0</v>
      </c>
    </row>
    <row r="54" spans="1:18" x14ac:dyDescent="0.2">
      <c r="A54" s="2">
        <v>43952</v>
      </c>
      <c r="B54" s="3">
        <v>4</v>
      </c>
      <c r="C54" s="3">
        <f t="shared" ca="1" si="17"/>
        <v>15.735151515151514</v>
      </c>
      <c r="D54" s="3">
        <f t="shared" ca="1" si="18"/>
        <v>12.752727272727274</v>
      </c>
      <c r="E54" s="3">
        <f t="shared" ca="1" si="19"/>
        <v>9.7703030303030314</v>
      </c>
      <c r="F54" s="3">
        <f t="shared" si="15"/>
        <v>6.7878787878787881</v>
      </c>
      <c r="G54" s="3">
        <f t="shared" ca="1" si="20"/>
        <v>3.8054545454545452</v>
      </c>
      <c r="H54" s="3">
        <f t="shared" ca="1" si="21"/>
        <v>0.82303030303030233</v>
      </c>
      <c r="I54" s="3">
        <f t="shared" ca="1" si="22"/>
        <v>-2.1593939393939392</v>
      </c>
      <c r="J54">
        <f t="shared" ca="1" si="23"/>
        <v>4</v>
      </c>
      <c r="K54" s="3">
        <f t="shared" ca="1" si="24"/>
        <v>2</v>
      </c>
      <c r="L54" s="3">
        <f t="shared" ca="1" si="25"/>
        <v>10.989000000000001</v>
      </c>
      <c r="M54" s="3">
        <f t="shared" ca="1" si="26"/>
        <v>8.4472121212121216</v>
      </c>
      <c r="N54" s="3">
        <f t="shared" ca="1" si="27"/>
        <v>5.9054242424242425</v>
      </c>
      <c r="O54" s="3">
        <f t="shared" ca="1" si="16"/>
        <v>3.3636363636363638</v>
      </c>
      <c r="P54" s="3">
        <f t="shared" ca="1" si="28"/>
        <v>0.82184848484848461</v>
      </c>
      <c r="Q54" s="3">
        <f t="shared" ca="1" si="29"/>
        <v>0</v>
      </c>
      <c r="R54" s="3">
        <v>0</v>
      </c>
    </row>
    <row r="55" spans="1:18" x14ac:dyDescent="0.2">
      <c r="A55" s="2">
        <v>43983</v>
      </c>
      <c r="B55" s="3">
        <v>5</v>
      </c>
      <c r="C55" s="3">
        <f t="shared" ca="1" si="17"/>
        <v>15.735151515151514</v>
      </c>
      <c r="D55" s="3">
        <f t="shared" ca="1" si="18"/>
        <v>12.752727272727274</v>
      </c>
      <c r="E55" s="3">
        <f t="shared" ca="1" si="19"/>
        <v>9.7703030303030314</v>
      </c>
      <c r="F55" s="3">
        <f t="shared" si="15"/>
        <v>6.7878787878787881</v>
      </c>
      <c r="G55" s="3">
        <f t="shared" ca="1" si="20"/>
        <v>3.8054545454545452</v>
      </c>
      <c r="H55" s="3">
        <f t="shared" ca="1" si="21"/>
        <v>0.82303030303030233</v>
      </c>
      <c r="I55" s="3">
        <f t="shared" ca="1" si="22"/>
        <v>-2.1593939393939392</v>
      </c>
      <c r="J55">
        <f t="shared" ca="1" si="23"/>
        <v>5</v>
      </c>
      <c r="K55" s="3">
        <f t="shared" ca="1" si="24"/>
        <v>1</v>
      </c>
      <c r="L55" s="3">
        <f t="shared" ca="1" si="25"/>
        <v>10.989000000000001</v>
      </c>
      <c r="M55" s="3">
        <f t="shared" ca="1" si="26"/>
        <v>8.4472121212121216</v>
      </c>
      <c r="N55" s="3">
        <f t="shared" ca="1" si="27"/>
        <v>5.9054242424242425</v>
      </c>
      <c r="O55" s="3">
        <f t="shared" ca="1" si="16"/>
        <v>3.3636363636363638</v>
      </c>
      <c r="P55" s="3">
        <f t="shared" ca="1" si="28"/>
        <v>0.82184848484848461</v>
      </c>
      <c r="Q55" s="3">
        <f t="shared" ca="1" si="29"/>
        <v>0</v>
      </c>
      <c r="R55" s="3">
        <v>0</v>
      </c>
    </row>
    <row r="56" spans="1:18" x14ac:dyDescent="0.2">
      <c r="A56" s="2">
        <v>44013</v>
      </c>
      <c r="B56" s="3">
        <v>5</v>
      </c>
      <c r="C56" s="3">
        <f t="shared" ca="1" si="17"/>
        <v>15.735151515151514</v>
      </c>
      <c r="D56" s="3">
        <f t="shared" ca="1" si="18"/>
        <v>12.752727272727274</v>
      </c>
      <c r="E56" s="3">
        <f t="shared" ca="1" si="19"/>
        <v>9.7703030303030314</v>
      </c>
      <c r="F56" s="3">
        <f t="shared" si="15"/>
        <v>6.7878787878787881</v>
      </c>
      <c r="G56" s="3">
        <f t="shared" ca="1" si="20"/>
        <v>3.8054545454545452</v>
      </c>
      <c r="H56" s="3">
        <f t="shared" ca="1" si="21"/>
        <v>0.82303030303030233</v>
      </c>
      <c r="I56" s="3">
        <f t="shared" ca="1" si="22"/>
        <v>-2.1593939393939392</v>
      </c>
      <c r="J56">
        <f t="shared" ca="1" si="23"/>
        <v>5</v>
      </c>
      <c r="K56" s="3">
        <f t="shared" ca="1" si="24"/>
        <v>0</v>
      </c>
      <c r="L56" s="3">
        <f t="shared" ca="1" si="25"/>
        <v>10.989000000000001</v>
      </c>
      <c r="M56" s="3">
        <f t="shared" ca="1" si="26"/>
        <v>8.4472121212121216</v>
      </c>
      <c r="N56" s="3">
        <f t="shared" ca="1" si="27"/>
        <v>5.9054242424242425</v>
      </c>
      <c r="O56" s="3">
        <f t="shared" ca="1" si="16"/>
        <v>3.3636363636363638</v>
      </c>
      <c r="P56" s="3">
        <f t="shared" ca="1" si="28"/>
        <v>0.82184848484848461</v>
      </c>
      <c r="Q56" s="3">
        <f t="shared" ca="1" si="29"/>
        <v>0</v>
      </c>
      <c r="R56" s="3">
        <v>0</v>
      </c>
    </row>
    <row r="57" spans="1:18" x14ac:dyDescent="0.2">
      <c r="A57" s="2">
        <v>44044</v>
      </c>
      <c r="B57" s="3">
        <v>2</v>
      </c>
      <c r="C57" s="3">
        <f t="shared" ca="1" si="17"/>
        <v>15.735151515151514</v>
      </c>
      <c r="D57" s="3">
        <f t="shared" ca="1" si="18"/>
        <v>12.752727272727274</v>
      </c>
      <c r="E57" s="3">
        <f t="shared" ca="1" si="19"/>
        <v>9.7703030303030314</v>
      </c>
      <c r="F57" s="3">
        <f t="shared" si="15"/>
        <v>6.7878787878787881</v>
      </c>
      <c r="G57" s="3">
        <f t="shared" ca="1" si="20"/>
        <v>3.8054545454545452</v>
      </c>
      <c r="H57" s="3">
        <f t="shared" ca="1" si="21"/>
        <v>0.82303030303030233</v>
      </c>
      <c r="I57" s="3">
        <f t="shared" ca="1" si="22"/>
        <v>-2.1593939393939392</v>
      </c>
      <c r="J57">
        <f t="shared" ca="1" si="23"/>
        <v>2</v>
      </c>
      <c r="K57" s="3">
        <f t="shared" ca="1" si="24"/>
        <v>3</v>
      </c>
      <c r="L57" s="3">
        <f t="shared" ca="1" si="25"/>
        <v>10.989000000000001</v>
      </c>
      <c r="M57" s="3">
        <f t="shared" ca="1" si="26"/>
        <v>8.4472121212121216</v>
      </c>
      <c r="N57" s="3">
        <f t="shared" ca="1" si="27"/>
        <v>5.9054242424242425</v>
      </c>
      <c r="O57" s="3">
        <f t="shared" ca="1" si="16"/>
        <v>3.3636363636363638</v>
      </c>
      <c r="P57" s="3">
        <f t="shared" ca="1" si="28"/>
        <v>0.82184848484848461</v>
      </c>
      <c r="Q57" s="3">
        <f t="shared" ca="1" si="29"/>
        <v>0</v>
      </c>
      <c r="R57" s="3">
        <v>0</v>
      </c>
    </row>
    <row r="58" spans="1:18" x14ac:dyDescent="0.2">
      <c r="A58" s="2">
        <v>44075</v>
      </c>
      <c r="B58" s="3">
        <v>9</v>
      </c>
      <c r="C58" s="3">
        <f t="shared" ca="1" si="17"/>
        <v>15.735151515151514</v>
      </c>
      <c r="D58" s="3">
        <f t="shared" ca="1" si="18"/>
        <v>12.752727272727274</v>
      </c>
      <c r="E58" s="3">
        <f t="shared" ca="1" si="19"/>
        <v>9.7703030303030314</v>
      </c>
      <c r="F58" s="3">
        <f t="shared" si="15"/>
        <v>6.7878787878787881</v>
      </c>
      <c r="G58" s="3">
        <f t="shared" ca="1" si="20"/>
        <v>3.8054545454545452</v>
      </c>
      <c r="H58" s="3">
        <f t="shared" ca="1" si="21"/>
        <v>0.82303030303030233</v>
      </c>
      <c r="I58" s="3">
        <f t="shared" ca="1" si="22"/>
        <v>-2.1593939393939392</v>
      </c>
      <c r="J58">
        <f t="shared" ca="1" si="23"/>
        <v>9</v>
      </c>
      <c r="K58" s="3">
        <f t="shared" ca="1" si="24"/>
        <v>7</v>
      </c>
      <c r="L58" s="3">
        <f t="shared" ca="1" si="25"/>
        <v>10.989000000000001</v>
      </c>
      <c r="M58" s="3">
        <f t="shared" ca="1" si="26"/>
        <v>8.4472121212121216</v>
      </c>
      <c r="N58" s="3">
        <f t="shared" ca="1" si="27"/>
        <v>5.9054242424242425</v>
      </c>
      <c r="O58" s="3">
        <f t="shared" ca="1" si="16"/>
        <v>3.3636363636363638</v>
      </c>
      <c r="P58" s="3">
        <f t="shared" ca="1" si="28"/>
        <v>0.82184848484848461</v>
      </c>
      <c r="Q58" s="3">
        <f t="shared" ca="1" si="29"/>
        <v>0</v>
      </c>
      <c r="R58" s="3">
        <v>0</v>
      </c>
    </row>
    <row r="59" spans="1:18" x14ac:dyDescent="0.2">
      <c r="A59" s="2">
        <v>44105</v>
      </c>
      <c r="B59" s="3">
        <v>4</v>
      </c>
      <c r="C59" s="3">
        <f t="shared" ca="1" si="17"/>
        <v>15.735151515151514</v>
      </c>
      <c r="D59" s="3">
        <f t="shared" ca="1" si="18"/>
        <v>12.752727272727274</v>
      </c>
      <c r="E59" s="3">
        <f t="shared" ca="1" si="19"/>
        <v>9.7703030303030314</v>
      </c>
      <c r="F59" s="3">
        <f t="shared" si="15"/>
        <v>6.7878787878787881</v>
      </c>
      <c r="G59" s="3">
        <f t="shared" ca="1" si="20"/>
        <v>3.8054545454545452</v>
      </c>
      <c r="H59" s="3">
        <f t="shared" ca="1" si="21"/>
        <v>0.82303030303030233</v>
      </c>
      <c r="I59" s="3">
        <f t="shared" ca="1" si="22"/>
        <v>-2.1593939393939392</v>
      </c>
      <c r="J59">
        <f t="shared" ca="1" si="23"/>
        <v>4</v>
      </c>
      <c r="K59" s="3">
        <f t="shared" ca="1" si="24"/>
        <v>5</v>
      </c>
      <c r="L59" s="3">
        <f t="shared" ca="1" si="25"/>
        <v>10.989000000000001</v>
      </c>
      <c r="M59" s="3">
        <f t="shared" ca="1" si="26"/>
        <v>8.4472121212121216</v>
      </c>
      <c r="N59" s="3">
        <f t="shared" ca="1" si="27"/>
        <v>5.9054242424242425</v>
      </c>
      <c r="O59" s="3">
        <f t="shared" ca="1" si="16"/>
        <v>3.3636363636363638</v>
      </c>
      <c r="P59" s="3">
        <f t="shared" ca="1" si="28"/>
        <v>0.82184848484848461</v>
      </c>
      <c r="Q59" s="3">
        <f t="shared" ca="1" si="29"/>
        <v>0</v>
      </c>
      <c r="R59" s="3">
        <v>0</v>
      </c>
    </row>
    <row r="60" spans="1:18" x14ac:dyDescent="0.2">
      <c r="A60" s="2">
        <v>44136</v>
      </c>
      <c r="B60" s="3">
        <v>7</v>
      </c>
      <c r="C60" s="3">
        <f t="shared" ca="1" si="17"/>
        <v>15.735151515151514</v>
      </c>
      <c r="D60" s="3">
        <f t="shared" ca="1" si="18"/>
        <v>12.752727272727274</v>
      </c>
      <c r="E60" s="3">
        <f t="shared" ca="1" si="19"/>
        <v>9.7703030303030314</v>
      </c>
      <c r="F60" s="3">
        <f t="shared" si="15"/>
        <v>6.7878787878787881</v>
      </c>
      <c r="G60" s="3">
        <f t="shared" ca="1" si="20"/>
        <v>3.8054545454545452</v>
      </c>
      <c r="H60" s="3">
        <f t="shared" ca="1" si="21"/>
        <v>0.82303030303030233</v>
      </c>
      <c r="I60" s="3">
        <f t="shared" ca="1" si="22"/>
        <v>-2.1593939393939392</v>
      </c>
      <c r="J60">
        <f t="shared" ca="1" si="23"/>
        <v>7</v>
      </c>
      <c r="K60" s="3">
        <f t="shared" ca="1" si="24"/>
        <v>3</v>
      </c>
      <c r="L60" s="3">
        <f t="shared" ca="1" si="25"/>
        <v>10.989000000000001</v>
      </c>
      <c r="M60" s="3">
        <f t="shared" ca="1" si="26"/>
        <v>8.4472121212121216</v>
      </c>
      <c r="N60" s="3">
        <f t="shared" ca="1" si="27"/>
        <v>5.9054242424242425</v>
      </c>
      <c r="O60" s="3">
        <f t="shared" ca="1" si="16"/>
        <v>3.3636363636363638</v>
      </c>
      <c r="P60" s="3">
        <f t="shared" ca="1" si="28"/>
        <v>0.82184848484848461</v>
      </c>
      <c r="Q60" s="3">
        <f t="shared" ca="1" si="29"/>
        <v>0</v>
      </c>
      <c r="R60" s="3">
        <v>0</v>
      </c>
    </row>
    <row r="61" spans="1:18" x14ac:dyDescent="0.2">
      <c r="A61" s="2">
        <v>44166</v>
      </c>
      <c r="B61" s="3">
        <v>1</v>
      </c>
      <c r="C61" s="3">
        <f t="shared" ca="1" si="17"/>
        <v>8.4450000000000003</v>
      </c>
      <c r="D61" s="3">
        <f t="shared" ca="1" si="18"/>
        <v>6.6716666666666669</v>
      </c>
      <c r="E61" s="3">
        <f t="shared" ca="1" si="19"/>
        <v>4.8983333333333334</v>
      </c>
      <c r="F61" s="3">
        <f t="shared" ref="F61:F76" si="30">AVERAGE($B$61:$B$76)</f>
        <v>3.125</v>
      </c>
      <c r="G61" s="3">
        <f t="shared" ca="1" si="20"/>
        <v>1.3516666666666666</v>
      </c>
      <c r="H61" s="3">
        <f t="shared" ca="1" si="21"/>
        <v>-0.42166666666666686</v>
      </c>
      <c r="I61" s="3">
        <f t="shared" ca="1" si="22"/>
        <v>-2.1950000000000003</v>
      </c>
      <c r="J61">
        <f t="shared" ca="1" si="23"/>
        <v>1</v>
      </c>
      <c r="K61" s="3">
        <f t="shared" ca="1" si="24"/>
        <v>6</v>
      </c>
      <c r="L61" s="3">
        <f t="shared" ca="1" si="25"/>
        <v>6.5339999999999998</v>
      </c>
      <c r="M61" s="3">
        <f t="shared" ca="1" si="26"/>
        <v>5.0226666666666659</v>
      </c>
      <c r="N61" s="3">
        <f t="shared" ca="1" si="27"/>
        <v>3.511333333333333</v>
      </c>
      <c r="O61" s="3">
        <f t="shared" ref="O61:O76" ca="1" si="31">AVERAGE($K$61:$K$76)</f>
        <v>2</v>
      </c>
      <c r="P61" s="3">
        <f t="shared" ca="1" si="28"/>
        <v>0.4886666666666668</v>
      </c>
      <c r="Q61" s="3">
        <f t="shared" ca="1" si="29"/>
        <v>0</v>
      </c>
      <c r="R61" s="3">
        <v>0</v>
      </c>
    </row>
    <row r="62" spans="1:18" x14ac:dyDescent="0.2">
      <c r="A62" s="2">
        <v>44197</v>
      </c>
      <c r="B62" s="3">
        <v>2</v>
      </c>
      <c r="C62" s="3">
        <f t="shared" ca="1" si="17"/>
        <v>8.4450000000000003</v>
      </c>
      <c r="D62" s="3">
        <f t="shared" ca="1" si="18"/>
        <v>6.6716666666666669</v>
      </c>
      <c r="E62" s="3">
        <f t="shared" ca="1" si="19"/>
        <v>4.8983333333333334</v>
      </c>
      <c r="F62" s="3">
        <f t="shared" si="30"/>
        <v>3.125</v>
      </c>
      <c r="G62" s="3">
        <f t="shared" ca="1" si="20"/>
        <v>1.3516666666666666</v>
      </c>
      <c r="H62" s="3">
        <f t="shared" ca="1" si="21"/>
        <v>-0.42166666666666686</v>
      </c>
      <c r="I62" s="3">
        <f t="shared" ca="1" si="22"/>
        <v>-2.1950000000000003</v>
      </c>
      <c r="J62">
        <f t="shared" ca="1" si="23"/>
        <v>2</v>
      </c>
      <c r="K62" s="3">
        <f t="shared" ca="1" si="24"/>
        <v>1</v>
      </c>
      <c r="L62" s="3">
        <f t="shared" ca="1" si="25"/>
        <v>6.5339999999999998</v>
      </c>
      <c r="M62" s="3">
        <f t="shared" ca="1" si="26"/>
        <v>5.0226666666666659</v>
      </c>
      <c r="N62" s="3">
        <f t="shared" ca="1" si="27"/>
        <v>3.511333333333333</v>
      </c>
      <c r="O62" s="3">
        <f t="shared" ca="1" si="31"/>
        <v>2</v>
      </c>
      <c r="P62" s="3">
        <f t="shared" ca="1" si="28"/>
        <v>0.4886666666666668</v>
      </c>
      <c r="Q62" s="3">
        <f t="shared" ca="1" si="29"/>
        <v>0</v>
      </c>
      <c r="R62" s="3">
        <v>0</v>
      </c>
    </row>
    <row r="63" spans="1:18" x14ac:dyDescent="0.2">
      <c r="A63" s="2">
        <v>44228</v>
      </c>
      <c r="B63" s="3">
        <v>4</v>
      </c>
      <c r="C63" s="3">
        <f t="shared" ca="1" si="17"/>
        <v>8.4450000000000003</v>
      </c>
      <c r="D63" s="3">
        <f t="shared" ca="1" si="18"/>
        <v>6.6716666666666669</v>
      </c>
      <c r="E63" s="3">
        <f t="shared" ca="1" si="19"/>
        <v>4.8983333333333334</v>
      </c>
      <c r="F63" s="3">
        <f t="shared" si="30"/>
        <v>3.125</v>
      </c>
      <c r="G63" s="3">
        <f t="shared" ca="1" si="20"/>
        <v>1.3516666666666666</v>
      </c>
      <c r="H63" s="3">
        <f t="shared" ca="1" si="21"/>
        <v>-0.42166666666666686</v>
      </c>
      <c r="I63" s="3">
        <f t="shared" ca="1" si="22"/>
        <v>-2.1950000000000003</v>
      </c>
      <c r="J63">
        <f t="shared" ca="1" si="23"/>
        <v>4</v>
      </c>
      <c r="K63" s="3">
        <f t="shared" ca="1" si="24"/>
        <v>2</v>
      </c>
      <c r="L63" s="3">
        <f t="shared" ca="1" si="25"/>
        <v>6.5339999999999998</v>
      </c>
      <c r="M63" s="3">
        <f t="shared" ca="1" si="26"/>
        <v>5.0226666666666659</v>
      </c>
      <c r="N63" s="3">
        <f t="shared" ca="1" si="27"/>
        <v>3.511333333333333</v>
      </c>
      <c r="O63" s="3">
        <f t="shared" ca="1" si="31"/>
        <v>2</v>
      </c>
      <c r="P63" s="3">
        <f t="shared" ca="1" si="28"/>
        <v>0.4886666666666668</v>
      </c>
      <c r="Q63" s="3">
        <f t="shared" ca="1" si="29"/>
        <v>0</v>
      </c>
      <c r="R63" s="3">
        <v>0</v>
      </c>
    </row>
    <row r="64" spans="1:18" x14ac:dyDescent="0.2">
      <c r="A64" s="2">
        <v>44256</v>
      </c>
      <c r="B64" s="3">
        <v>5</v>
      </c>
      <c r="C64" s="3">
        <f t="shared" ca="1" si="17"/>
        <v>8.4450000000000003</v>
      </c>
      <c r="D64" s="3">
        <f t="shared" ca="1" si="18"/>
        <v>6.6716666666666669</v>
      </c>
      <c r="E64" s="3">
        <f t="shared" ca="1" si="19"/>
        <v>4.8983333333333334</v>
      </c>
      <c r="F64" s="3">
        <f t="shared" si="30"/>
        <v>3.125</v>
      </c>
      <c r="G64" s="3">
        <f t="shared" ca="1" si="20"/>
        <v>1.3516666666666666</v>
      </c>
      <c r="H64" s="3">
        <f t="shared" ca="1" si="21"/>
        <v>-0.42166666666666686</v>
      </c>
      <c r="I64" s="3">
        <f t="shared" ca="1" si="22"/>
        <v>-2.1950000000000003</v>
      </c>
      <c r="J64">
        <f t="shared" ca="1" si="23"/>
        <v>5</v>
      </c>
      <c r="K64" s="3">
        <f t="shared" ca="1" si="24"/>
        <v>1</v>
      </c>
      <c r="L64" s="3">
        <f t="shared" ca="1" si="25"/>
        <v>6.5339999999999998</v>
      </c>
      <c r="M64" s="3">
        <f t="shared" ca="1" si="26"/>
        <v>5.0226666666666659</v>
      </c>
      <c r="N64" s="3">
        <f t="shared" ca="1" si="27"/>
        <v>3.511333333333333</v>
      </c>
      <c r="O64" s="3">
        <f t="shared" ca="1" si="31"/>
        <v>2</v>
      </c>
      <c r="P64" s="3">
        <f t="shared" ca="1" si="28"/>
        <v>0.4886666666666668</v>
      </c>
      <c r="Q64" s="3">
        <f t="shared" ca="1" si="29"/>
        <v>0</v>
      </c>
      <c r="R64" s="3">
        <v>0</v>
      </c>
    </row>
    <row r="65" spans="1:18" x14ac:dyDescent="0.2">
      <c r="A65" s="2">
        <v>44287</v>
      </c>
      <c r="B65" s="3">
        <v>3</v>
      </c>
      <c r="C65" s="3">
        <f t="shared" ca="1" si="17"/>
        <v>8.4450000000000003</v>
      </c>
      <c r="D65" s="3">
        <f t="shared" ca="1" si="18"/>
        <v>6.6716666666666669</v>
      </c>
      <c r="E65" s="3">
        <f t="shared" ca="1" si="19"/>
        <v>4.8983333333333334</v>
      </c>
      <c r="F65" s="3">
        <f t="shared" si="30"/>
        <v>3.125</v>
      </c>
      <c r="G65" s="3">
        <f t="shared" ca="1" si="20"/>
        <v>1.3516666666666666</v>
      </c>
      <c r="H65" s="3">
        <f t="shared" ca="1" si="21"/>
        <v>-0.42166666666666686</v>
      </c>
      <c r="I65" s="3">
        <f t="shared" ca="1" si="22"/>
        <v>-2.1950000000000003</v>
      </c>
      <c r="J65">
        <f t="shared" ca="1" si="23"/>
        <v>3</v>
      </c>
      <c r="K65" s="3">
        <f t="shared" ca="1" si="24"/>
        <v>2</v>
      </c>
      <c r="L65" s="3">
        <f t="shared" ca="1" si="25"/>
        <v>6.5339999999999998</v>
      </c>
      <c r="M65" s="3">
        <f t="shared" ca="1" si="26"/>
        <v>5.0226666666666659</v>
      </c>
      <c r="N65" s="3">
        <f t="shared" ca="1" si="27"/>
        <v>3.511333333333333</v>
      </c>
      <c r="O65" s="3">
        <f t="shared" ca="1" si="31"/>
        <v>2</v>
      </c>
      <c r="P65" s="3">
        <f t="shared" ca="1" si="28"/>
        <v>0.4886666666666668</v>
      </c>
      <c r="Q65" s="3">
        <f t="shared" ca="1" si="29"/>
        <v>0</v>
      </c>
      <c r="R65" s="3">
        <v>0</v>
      </c>
    </row>
    <row r="66" spans="1:18" x14ac:dyDescent="0.2">
      <c r="A66" s="2">
        <v>44317</v>
      </c>
      <c r="B66" s="3">
        <v>2</v>
      </c>
      <c r="C66" s="3">
        <f t="shared" ref="C66:C97" ca="1" si="32">F66+2.66*O66</f>
        <v>8.4450000000000003</v>
      </c>
      <c r="D66" s="3">
        <f t="shared" ref="D66:D97" ca="1" si="33">F66+(2/3)*2.66*O66</f>
        <v>6.6716666666666669</v>
      </c>
      <c r="E66" s="3">
        <f t="shared" ref="E66:E97" ca="1" si="34">F66+(1/3)*2.66*O66</f>
        <v>4.8983333333333334</v>
      </c>
      <c r="F66" s="3">
        <f t="shared" si="30"/>
        <v>3.125</v>
      </c>
      <c r="G66" s="3">
        <f t="shared" ref="G66:G97" ca="1" si="35">F66-(1/3)*2.66*O66</f>
        <v>1.3516666666666666</v>
      </c>
      <c r="H66" s="3">
        <f t="shared" ref="H66:H97" ca="1" si="36">F66-(2/3)*2.66*O66</f>
        <v>-0.42166666666666686</v>
      </c>
      <c r="I66" s="3">
        <f t="shared" ref="I66:I97" ca="1" si="37">F66-2.66*O66</f>
        <v>-2.1950000000000003</v>
      </c>
      <c r="J66">
        <f t="shared" ca="1" si="23"/>
        <v>2</v>
      </c>
      <c r="K66" s="3">
        <f t="shared" ca="1" si="24"/>
        <v>1</v>
      </c>
      <c r="L66" s="3">
        <f t="shared" ca="1" si="25"/>
        <v>6.5339999999999998</v>
      </c>
      <c r="M66" s="3">
        <f t="shared" ca="1" si="26"/>
        <v>5.0226666666666659</v>
      </c>
      <c r="N66" s="3">
        <f t="shared" ca="1" si="27"/>
        <v>3.511333333333333</v>
      </c>
      <c r="O66" s="3">
        <f t="shared" ca="1" si="31"/>
        <v>2</v>
      </c>
      <c r="P66" s="3">
        <f t="shared" ca="1" si="28"/>
        <v>0.4886666666666668</v>
      </c>
      <c r="Q66" s="3">
        <f t="shared" ca="1" si="29"/>
        <v>0</v>
      </c>
      <c r="R66" s="3">
        <v>0</v>
      </c>
    </row>
    <row r="67" spans="1:18" x14ac:dyDescent="0.2">
      <c r="A67" s="2">
        <v>44348</v>
      </c>
      <c r="B67" s="3">
        <v>3</v>
      </c>
      <c r="C67" s="3">
        <f t="shared" ca="1" si="32"/>
        <v>8.4450000000000003</v>
      </c>
      <c r="D67" s="3">
        <f t="shared" ca="1" si="33"/>
        <v>6.6716666666666669</v>
      </c>
      <c r="E67" s="3">
        <f t="shared" ca="1" si="34"/>
        <v>4.8983333333333334</v>
      </c>
      <c r="F67" s="3">
        <f t="shared" si="30"/>
        <v>3.125</v>
      </c>
      <c r="G67" s="3">
        <f t="shared" ca="1" si="35"/>
        <v>1.3516666666666666</v>
      </c>
      <c r="H67" s="3">
        <f t="shared" ca="1" si="36"/>
        <v>-0.42166666666666686</v>
      </c>
      <c r="I67" s="3">
        <f t="shared" ca="1" si="37"/>
        <v>-2.1950000000000003</v>
      </c>
      <c r="J67">
        <f t="shared" ref="J67:J98" ca="1" si="38">IF(ISBLANK(B67),OFFSET(J67,-1,0,1,1),B67)</f>
        <v>3</v>
      </c>
      <c r="K67" s="3">
        <f t="shared" ref="K67:K98" ca="1" si="39">IF(OR(OFFSET(K67,-1,-9,1,1)="",OFFSET(K67,0,-9,1,1)=""),"",IF(ISERROR(ABS(B67-OFFSET(K67,-1,-1,1,1))),"",ABS(B67-OFFSET(K67,-1,-1,1,1))))</f>
        <v>1</v>
      </c>
      <c r="L67" s="3">
        <f t="shared" ref="L67:L98" ca="1" si="40">3.267*O67</f>
        <v>6.5339999999999998</v>
      </c>
      <c r="M67" s="3">
        <f t="shared" ref="M67:M98" ca="1" si="41">(2/3)*(L67-O67)+O67</f>
        <v>5.0226666666666659</v>
      </c>
      <c r="N67" s="3">
        <f t="shared" ref="N67:N98" ca="1" si="42">(1/3)*(L67-O67)+O67</f>
        <v>3.511333333333333</v>
      </c>
      <c r="O67" s="3">
        <f t="shared" ca="1" si="31"/>
        <v>2</v>
      </c>
      <c r="P67" s="3">
        <f t="shared" ref="P67:P98" ca="1" si="43">(MAX(O67-(1/3)*(L67-O67),0))</f>
        <v>0.4886666666666668</v>
      </c>
      <c r="Q67" s="3">
        <f t="shared" ref="Q67:Q98" ca="1" si="44">MAX(O67-(2/3)*(L67-O67),0)</f>
        <v>0</v>
      </c>
      <c r="R67" s="3">
        <v>0</v>
      </c>
    </row>
    <row r="68" spans="1:18" x14ac:dyDescent="0.2">
      <c r="A68" s="2">
        <v>44378</v>
      </c>
      <c r="B68" s="3">
        <v>1</v>
      </c>
      <c r="C68" s="3">
        <f t="shared" ca="1" si="32"/>
        <v>8.4450000000000003</v>
      </c>
      <c r="D68" s="3">
        <f t="shared" ca="1" si="33"/>
        <v>6.6716666666666669</v>
      </c>
      <c r="E68" s="3">
        <f t="shared" ca="1" si="34"/>
        <v>4.8983333333333334</v>
      </c>
      <c r="F68" s="3">
        <f t="shared" si="30"/>
        <v>3.125</v>
      </c>
      <c r="G68" s="3">
        <f t="shared" ca="1" si="35"/>
        <v>1.3516666666666666</v>
      </c>
      <c r="H68" s="3">
        <f t="shared" ca="1" si="36"/>
        <v>-0.42166666666666686</v>
      </c>
      <c r="I68" s="3">
        <f t="shared" ca="1" si="37"/>
        <v>-2.1950000000000003</v>
      </c>
      <c r="J68">
        <f t="shared" ca="1" si="38"/>
        <v>1</v>
      </c>
      <c r="K68" s="3">
        <f t="shared" ca="1" si="39"/>
        <v>2</v>
      </c>
      <c r="L68" s="3">
        <f t="shared" ca="1" si="40"/>
        <v>6.5339999999999998</v>
      </c>
      <c r="M68" s="3">
        <f t="shared" ca="1" si="41"/>
        <v>5.0226666666666659</v>
      </c>
      <c r="N68" s="3">
        <f t="shared" ca="1" si="42"/>
        <v>3.511333333333333</v>
      </c>
      <c r="O68" s="3">
        <f t="shared" ca="1" si="31"/>
        <v>2</v>
      </c>
      <c r="P68" s="3">
        <f t="shared" ca="1" si="43"/>
        <v>0.4886666666666668</v>
      </c>
      <c r="Q68" s="3">
        <f t="shared" ca="1" si="44"/>
        <v>0</v>
      </c>
      <c r="R68" s="3">
        <v>0</v>
      </c>
    </row>
    <row r="69" spans="1:18" x14ac:dyDescent="0.2">
      <c r="A69" s="2">
        <v>44409</v>
      </c>
      <c r="B69" s="3">
        <v>6</v>
      </c>
      <c r="C69" s="3">
        <f t="shared" ca="1" si="32"/>
        <v>8.4450000000000003</v>
      </c>
      <c r="D69" s="3">
        <f t="shared" ca="1" si="33"/>
        <v>6.6716666666666669</v>
      </c>
      <c r="E69" s="3">
        <f t="shared" ca="1" si="34"/>
        <v>4.8983333333333334</v>
      </c>
      <c r="F69" s="3">
        <f t="shared" si="30"/>
        <v>3.125</v>
      </c>
      <c r="G69" s="3">
        <f t="shared" ca="1" si="35"/>
        <v>1.3516666666666666</v>
      </c>
      <c r="H69" s="3">
        <f t="shared" ca="1" si="36"/>
        <v>-0.42166666666666686</v>
      </c>
      <c r="I69" s="3">
        <f t="shared" ca="1" si="37"/>
        <v>-2.1950000000000003</v>
      </c>
      <c r="J69">
        <f t="shared" ca="1" si="38"/>
        <v>6</v>
      </c>
      <c r="K69" s="3">
        <f t="shared" ca="1" si="39"/>
        <v>5</v>
      </c>
      <c r="L69" s="3">
        <f t="shared" ca="1" si="40"/>
        <v>6.5339999999999998</v>
      </c>
      <c r="M69" s="3">
        <f t="shared" ca="1" si="41"/>
        <v>5.0226666666666659</v>
      </c>
      <c r="N69" s="3">
        <f t="shared" ca="1" si="42"/>
        <v>3.511333333333333</v>
      </c>
      <c r="O69" s="3">
        <f t="shared" ca="1" si="31"/>
        <v>2</v>
      </c>
      <c r="P69" s="3">
        <f t="shared" ca="1" si="43"/>
        <v>0.4886666666666668</v>
      </c>
      <c r="Q69" s="3">
        <f t="shared" ca="1" si="44"/>
        <v>0</v>
      </c>
      <c r="R69" s="3">
        <v>0</v>
      </c>
    </row>
    <row r="70" spans="1:18" x14ac:dyDescent="0.2">
      <c r="A70" s="2">
        <v>44440</v>
      </c>
      <c r="B70" s="3">
        <v>2</v>
      </c>
      <c r="C70" s="3">
        <f t="shared" ca="1" si="32"/>
        <v>8.4450000000000003</v>
      </c>
      <c r="D70" s="3">
        <f t="shared" ca="1" si="33"/>
        <v>6.6716666666666669</v>
      </c>
      <c r="E70" s="3">
        <f t="shared" ca="1" si="34"/>
        <v>4.8983333333333334</v>
      </c>
      <c r="F70" s="3">
        <f t="shared" si="30"/>
        <v>3.125</v>
      </c>
      <c r="G70" s="3">
        <f t="shared" ca="1" si="35"/>
        <v>1.3516666666666666</v>
      </c>
      <c r="H70" s="3">
        <f t="shared" ca="1" si="36"/>
        <v>-0.42166666666666686</v>
      </c>
      <c r="I70" s="3">
        <f t="shared" ca="1" si="37"/>
        <v>-2.1950000000000003</v>
      </c>
      <c r="J70">
        <f t="shared" ca="1" si="38"/>
        <v>2</v>
      </c>
      <c r="K70" s="3">
        <f t="shared" ca="1" si="39"/>
        <v>4</v>
      </c>
      <c r="L70" s="3">
        <f t="shared" ca="1" si="40"/>
        <v>6.5339999999999998</v>
      </c>
      <c r="M70" s="3">
        <f t="shared" ca="1" si="41"/>
        <v>5.0226666666666659</v>
      </c>
      <c r="N70" s="3">
        <f t="shared" ca="1" si="42"/>
        <v>3.511333333333333</v>
      </c>
      <c r="O70" s="3">
        <f t="shared" ca="1" si="31"/>
        <v>2</v>
      </c>
      <c r="P70" s="3">
        <f t="shared" ca="1" si="43"/>
        <v>0.4886666666666668</v>
      </c>
      <c r="Q70" s="3">
        <f t="shared" ca="1" si="44"/>
        <v>0</v>
      </c>
      <c r="R70" s="3">
        <v>0</v>
      </c>
    </row>
    <row r="71" spans="1:18" x14ac:dyDescent="0.2">
      <c r="A71" s="2">
        <v>44470</v>
      </c>
      <c r="B71" s="3">
        <v>2</v>
      </c>
      <c r="C71" s="3">
        <f t="shared" ca="1" si="32"/>
        <v>8.4450000000000003</v>
      </c>
      <c r="D71" s="3">
        <f t="shared" ca="1" si="33"/>
        <v>6.6716666666666669</v>
      </c>
      <c r="E71" s="3">
        <f t="shared" ca="1" si="34"/>
        <v>4.8983333333333334</v>
      </c>
      <c r="F71" s="3">
        <f t="shared" si="30"/>
        <v>3.125</v>
      </c>
      <c r="G71" s="3">
        <f t="shared" ca="1" si="35"/>
        <v>1.3516666666666666</v>
      </c>
      <c r="H71" s="3">
        <f t="shared" ca="1" si="36"/>
        <v>-0.42166666666666686</v>
      </c>
      <c r="I71" s="3">
        <f t="shared" ca="1" si="37"/>
        <v>-2.1950000000000003</v>
      </c>
      <c r="J71">
        <f t="shared" ca="1" si="38"/>
        <v>2</v>
      </c>
      <c r="K71" s="3">
        <f t="shared" ca="1" si="39"/>
        <v>0</v>
      </c>
      <c r="L71" s="3">
        <f t="shared" ca="1" si="40"/>
        <v>6.5339999999999998</v>
      </c>
      <c r="M71" s="3">
        <f t="shared" ca="1" si="41"/>
        <v>5.0226666666666659</v>
      </c>
      <c r="N71" s="3">
        <f t="shared" ca="1" si="42"/>
        <v>3.511333333333333</v>
      </c>
      <c r="O71" s="3">
        <f t="shared" ca="1" si="31"/>
        <v>2</v>
      </c>
      <c r="P71" s="3">
        <f t="shared" ca="1" si="43"/>
        <v>0.4886666666666668</v>
      </c>
      <c r="Q71" s="3">
        <f t="shared" ca="1" si="44"/>
        <v>0</v>
      </c>
      <c r="R71" s="3">
        <v>0</v>
      </c>
    </row>
    <row r="72" spans="1:18" x14ac:dyDescent="0.2">
      <c r="A72" s="2">
        <v>44501</v>
      </c>
      <c r="B72" s="3">
        <v>4</v>
      </c>
      <c r="C72" s="3">
        <f t="shared" ca="1" si="32"/>
        <v>8.4450000000000003</v>
      </c>
      <c r="D72" s="3">
        <f t="shared" ca="1" si="33"/>
        <v>6.6716666666666669</v>
      </c>
      <c r="E72" s="3">
        <f t="shared" ca="1" si="34"/>
        <v>4.8983333333333334</v>
      </c>
      <c r="F72" s="3">
        <f t="shared" si="30"/>
        <v>3.125</v>
      </c>
      <c r="G72" s="3">
        <f t="shared" ca="1" si="35"/>
        <v>1.3516666666666666</v>
      </c>
      <c r="H72" s="3">
        <f t="shared" ca="1" si="36"/>
        <v>-0.42166666666666686</v>
      </c>
      <c r="I72" s="3">
        <f t="shared" ca="1" si="37"/>
        <v>-2.1950000000000003</v>
      </c>
      <c r="J72">
        <f t="shared" ca="1" si="38"/>
        <v>4</v>
      </c>
      <c r="K72" s="3">
        <f t="shared" ca="1" si="39"/>
        <v>2</v>
      </c>
      <c r="L72" s="3">
        <f t="shared" ca="1" si="40"/>
        <v>6.5339999999999998</v>
      </c>
      <c r="M72" s="3">
        <f t="shared" ca="1" si="41"/>
        <v>5.0226666666666659</v>
      </c>
      <c r="N72" s="3">
        <f t="shared" ca="1" si="42"/>
        <v>3.511333333333333</v>
      </c>
      <c r="O72" s="3">
        <f t="shared" ca="1" si="31"/>
        <v>2</v>
      </c>
      <c r="P72" s="3">
        <f t="shared" ca="1" si="43"/>
        <v>0.4886666666666668</v>
      </c>
      <c r="Q72" s="3">
        <f t="shared" ca="1" si="44"/>
        <v>0</v>
      </c>
      <c r="R72" s="3">
        <v>0</v>
      </c>
    </row>
    <row r="73" spans="1:18" x14ac:dyDescent="0.2">
      <c r="A73" s="2">
        <v>44531</v>
      </c>
      <c r="B73" s="3">
        <v>3</v>
      </c>
      <c r="C73" s="3">
        <f t="shared" ca="1" si="32"/>
        <v>8.4450000000000003</v>
      </c>
      <c r="D73" s="3">
        <f t="shared" ca="1" si="33"/>
        <v>6.6716666666666669</v>
      </c>
      <c r="E73" s="3">
        <f t="shared" ca="1" si="34"/>
        <v>4.8983333333333334</v>
      </c>
      <c r="F73" s="3">
        <f t="shared" si="30"/>
        <v>3.125</v>
      </c>
      <c r="G73" s="3">
        <f t="shared" ca="1" si="35"/>
        <v>1.3516666666666666</v>
      </c>
      <c r="H73" s="3">
        <f t="shared" ca="1" si="36"/>
        <v>-0.42166666666666686</v>
      </c>
      <c r="I73" s="3">
        <f t="shared" ca="1" si="37"/>
        <v>-2.1950000000000003</v>
      </c>
      <c r="J73">
        <f t="shared" ca="1" si="38"/>
        <v>3</v>
      </c>
      <c r="K73" s="3">
        <f t="shared" ca="1" si="39"/>
        <v>1</v>
      </c>
      <c r="L73" s="3">
        <f t="shared" ca="1" si="40"/>
        <v>6.5339999999999998</v>
      </c>
      <c r="M73" s="3">
        <f t="shared" ca="1" si="41"/>
        <v>5.0226666666666659</v>
      </c>
      <c r="N73" s="3">
        <f t="shared" ca="1" si="42"/>
        <v>3.511333333333333</v>
      </c>
      <c r="O73" s="3">
        <f t="shared" ca="1" si="31"/>
        <v>2</v>
      </c>
      <c r="P73" s="3">
        <f t="shared" ca="1" si="43"/>
        <v>0.4886666666666668</v>
      </c>
      <c r="Q73" s="3">
        <f t="shared" ca="1" si="44"/>
        <v>0</v>
      </c>
      <c r="R73" s="3">
        <v>0</v>
      </c>
    </row>
    <row r="74" spans="1:18" x14ac:dyDescent="0.2">
      <c r="A74" s="2">
        <v>44562</v>
      </c>
      <c r="B74" s="3">
        <v>5</v>
      </c>
      <c r="C74" s="3">
        <f t="shared" ca="1" si="32"/>
        <v>8.4450000000000003</v>
      </c>
      <c r="D74" s="3">
        <f t="shared" ca="1" si="33"/>
        <v>6.6716666666666669</v>
      </c>
      <c r="E74" s="3">
        <f t="shared" ca="1" si="34"/>
        <v>4.8983333333333334</v>
      </c>
      <c r="F74" s="3">
        <f t="shared" si="30"/>
        <v>3.125</v>
      </c>
      <c r="G74" s="3">
        <f t="shared" ca="1" si="35"/>
        <v>1.3516666666666666</v>
      </c>
      <c r="H74" s="3">
        <f t="shared" ca="1" si="36"/>
        <v>-0.42166666666666686</v>
      </c>
      <c r="I74" s="3">
        <f t="shared" ca="1" si="37"/>
        <v>-2.1950000000000003</v>
      </c>
      <c r="J74">
        <f t="shared" ca="1" si="38"/>
        <v>5</v>
      </c>
      <c r="K74" s="3">
        <f t="shared" ca="1" si="39"/>
        <v>2</v>
      </c>
      <c r="L74" s="3">
        <f t="shared" ca="1" si="40"/>
        <v>6.5339999999999998</v>
      </c>
      <c r="M74" s="3">
        <f t="shared" ca="1" si="41"/>
        <v>5.0226666666666659</v>
      </c>
      <c r="N74" s="3">
        <f t="shared" ca="1" si="42"/>
        <v>3.511333333333333</v>
      </c>
      <c r="O74" s="3">
        <f t="shared" ca="1" si="31"/>
        <v>2</v>
      </c>
      <c r="P74" s="3">
        <f t="shared" ca="1" si="43"/>
        <v>0.4886666666666668</v>
      </c>
      <c r="Q74" s="3">
        <f t="shared" ca="1" si="44"/>
        <v>0</v>
      </c>
      <c r="R74" s="3">
        <v>0</v>
      </c>
    </row>
    <row r="75" spans="1:18" x14ac:dyDescent="0.2">
      <c r="A75" s="2">
        <v>44593</v>
      </c>
      <c r="B75" s="3">
        <v>4</v>
      </c>
      <c r="C75" s="3">
        <f t="shared" ca="1" si="32"/>
        <v>8.4450000000000003</v>
      </c>
      <c r="D75" s="3">
        <f t="shared" ca="1" si="33"/>
        <v>6.6716666666666669</v>
      </c>
      <c r="E75" s="3">
        <f t="shared" ca="1" si="34"/>
        <v>4.8983333333333334</v>
      </c>
      <c r="F75" s="3">
        <f t="shared" si="30"/>
        <v>3.125</v>
      </c>
      <c r="G75" s="3">
        <f t="shared" ca="1" si="35"/>
        <v>1.3516666666666666</v>
      </c>
      <c r="H75" s="3">
        <f t="shared" ca="1" si="36"/>
        <v>-0.42166666666666686</v>
      </c>
      <c r="I75" s="3">
        <f t="shared" ca="1" si="37"/>
        <v>-2.1950000000000003</v>
      </c>
      <c r="J75">
        <f t="shared" ca="1" si="38"/>
        <v>4</v>
      </c>
      <c r="K75" s="3">
        <f t="shared" ca="1" si="39"/>
        <v>1</v>
      </c>
      <c r="L75" s="3">
        <f t="shared" ca="1" si="40"/>
        <v>6.5339999999999998</v>
      </c>
      <c r="M75" s="3">
        <f t="shared" ca="1" si="41"/>
        <v>5.0226666666666659</v>
      </c>
      <c r="N75" s="3">
        <f t="shared" ca="1" si="42"/>
        <v>3.511333333333333</v>
      </c>
      <c r="O75" s="3">
        <f t="shared" ca="1" si="31"/>
        <v>2</v>
      </c>
      <c r="P75" s="3">
        <f t="shared" ca="1" si="43"/>
        <v>0.4886666666666668</v>
      </c>
      <c r="Q75" s="3">
        <f t="shared" ca="1" si="44"/>
        <v>0</v>
      </c>
      <c r="R75" s="3">
        <v>0</v>
      </c>
    </row>
    <row r="76" spans="1:18" x14ac:dyDescent="0.2">
      <c r="A76" s="2">
        <v>44621</v>
      </c>
      <c r="B76" s="3">
        <v>3</v>
      </c>
      <c r="C76" s="3">
        <f t="shared" ca="1" si="32"/>
        <v>8.4450000000000003</v>
      </c>
      <c r="D76" s="3">
        <f t="shared" ca="1" si="33"/>
        <v>6.6716666666666669</v>
      </c>
      <c r="E76" s="3">
        <f t="shared" ca="1" si="34"/>
        <v>4.8983333333333334</v>
      </c>
      <c r="F76" s="3">
        <f t="shared" si="30"/>
        <v>3.125</v>
      </c>
      <c r="G76" s="3">
        <f t="shared" ca="1" si="35"/>
        <v>1.3516666666666666</v>
      </c>
      <c r="H76" s="3">
        <f t="shared" ca="1" si="36"/>
        <v>-0.42166666666666686</v>
      </c>
      <c r="I76" s="3">
        <f t="shared" ca="1" si="37"/>
        <v>-2.1950000000000003</v>
      </c>
      <c r="J76">
        <f t="shared" ca="1" si="38"/>
        <v>3</v>
      </c>
      <c r="K76" s="3">
        <f t="shared" ca="1" si="39"/>
        <v>1</v>
      </c>
      <c r="L76" s="3">
        <f t="shared" ca="1" si="40"/>
        <v>6.5339999999999998</v>
      </c>
      <c r="M76" s="3">
        <f t="shared" ca="1" si="41"/>
        <v>5.0226666666666659</v>
      </c>
      <c r="N76" s="3">
        <f t="shared" ca="1" si="42"/>
        <v>3.511333333333333</v>
      </c>
      <c r="O76" s="3">
        <f t="shared" ca="1" si="31"/>
        <v>2</v>
      </c>
      <c r="P76" s="3">
        <f t="shared" ca="1" si="43"/>
        <v>0.4886666666666668</v>
      </c>
      <c r="Q76" s="3">
        <f t="shared" ca="1" si="44"/>
        <v>0</v>
      </c>
      <c r="R76" s="3">
        <v>0</v>
      </c>
    </row>
    <row r="77" spans="1:18" x14ac:dyDescent="0.2">
      <c r="A77" s="2">
        <v>44652</v>
      </c>
      <c r="B77" s="3">
        <v>9</v>
      </c>
      <c r="C77" s="3">
        <f t="shared" ca="1" si="32"/>
        <v>15.739411764705881</v>
      </c>
      <c r="D77" s="3">
        <f t="shared" ca="1" si="33"/>
        <v>12.375294117647059</v>
      </c>
      <c r="E77" s="3">
        <f t="shared" ca="1" si="34"/>
        <v>9.0111764705882358</v>
      </c>
      <c r="F77" s="3">
        <f t="shared" ref="F77:F110" si="45">AVERAGE($B$77:$B$110)</f>
        <v>5.6470588235294121</v>
      </c>
      <c r="G77" s="3">
        <f t="shared" ca="1" si="35"/>
        <v>2.2829411764705885</v>
      </c>
      <c r="H77" s="3">
        <f t="shared" ca="1" si="36"/>
        <v>-1.0811764705882352</v>
      </c>
      <c r="I77" s="3">
        <f t="shared" ca="1" si="37"/>
        <v>-4.445294117647058</v>
      </c>
      <c r="J77">
        <f t="shared" ca="1" si="38"/>
        <v>9</v>
      </c>
      <c r="K77" s="3">
        <f t="shared" ca="1" si="39"/>
        <v>6</v>
      </c>
      <c r="L77" s="3">
        <f t="shared" ca="1" si="40"/>
        <v>12.395382352941176</v>
      </c>
      <c r="M77" s="3">
        <f t="shared" ca="1" si="41"/>
        <v>9.528294117647059</v>
      </c>
      <c r="N77" s="3">
        <f t="shared" ca="1" si="42"/>
        <v>6.6612058823529416</v>
      </c>
      <c r="O77" s="3">
        <f t="shared" ref="O77:O110" ca="1" si="46">AVERAGE($K$77:$K$110)</f>
        <v>3.7941176470588234</v>
      </c>
      <c r="P77" s="3">
        <f t="shared" ca="1" si="43"/>
        <v>0.92702941176470555</v>
      </c>
      <c r="Q77" s="3">
        <f t="shared" ca="1" si="44"/>
        <v>0</v>
      </c>
      <c r="R77" s="3">
        <v>0</v>
      </c>
    </row>
    <row r="78" spans="1:18" x14ac:dyDescent="0.2">
      <c r="A78" s="2">
        <v>44682</v>
      </c>
      <c r="B78" s="3">
        <v>4</v>
      </c>
      <c r="C78" s="3">
        <f t="shared" ca="1" si="32"/>
        <v>15.739411764705881</v>
      </c>
      <c r="D78" s="3">
        <f t="shared" ca="1" si="33"/>
        <v>12.375294117647059</v>
      </c>
      <c r="E78" s="3">
        <f t="shared" ca="1" si="34"/>
        <v>9.0111764705882358</v>
      </c>
      <c r="F78" s="3">
        <f t="shared" si="45"/>
        <v>5.6470588235294121</v>
      </c>
      <c r="G78" s="3">
        <f t="shared" ca="1" si="35"/>
        <v>2.2829411764705885</v>
      </c>
      <c r="H78" s="3">
        <f t="shared" ca="1" si="36"/>
        <v>-1.0811764705882352</v>
      </c>
      <c r="I78" s="3">
        <f t="shared" ca="1" si="37"/>
        <v>-4.445294117647058</v>
      </c>
      <c r="J78">
        <f t="shared" ca="1" si="38"/>
        <v>4</v>
      </c>
      <c r="K78" s="3">
        <f t="shared" ca="1" si="39"/>
        <v>5</v>
      </c>
      <c r="L78" s="3">
        <f t="shared" ca="1" si="40"/>
        <v>12.395382352941176</v>
      </c>
      <c r="M78" s="3">
        <f t="shared" ca="1" si="41"/>
        <v>9.528294117647059</v>
      </c>
      <c r="N78" s="3">
        <f t="shared" ca="1" si="42"/>
        <v>6.6612058823529416</v>
      </c>
      <c r="O78" s="3">
        <f t="shared" ca="1" si="46"/>
        <v>3.7941176470588234</v>
      </c>
      <c r="P78" s="3">
        <f t="shared" ca="1" si="43"/>
        <v>0.92702941176470555</v>
      </c>
      <c r="Q78" s="3">
        <f t="shared" ca="1" si="44"/>
        <v>0</v>
      </c>
      <c r="R78" s="3">
        <v>0</v>
      </c>
    </row>
    <row r="79" spans="1:18" x14ac:dyDescent="0.2">
      <c r="A79" s="2">
        <v>44713</v>
      </c>
      <c r="B79" s="3">
        <v>7</v>
      </c>
      <c r="C79" s="3">
        <f t="shared" ca="1" si="32"/>
        <v>15.739411764705881</v>
      </c>
      <c r="D79" s="3">
        <f t="shared" ca="1" si="33"/>
        <v>12.375294117647059</v>
      </c>
      <c r="E79" s="3">
        <f t="shared" ca="1" si="34"/>
        <v>9.0111764705882358</v>
      </c>
      <c r="F79" s="3">
        <f t="shared" si="45"/>
        <v>5.6470588235294121</v>
      </c>
      <c r="G79" s="3">
        <f t="shared" ca="1" si="35"/>
        <v>2.2829411764705885</v>
      </c>
      <c r="H79" s="3">
        <f t="shared" ca="1" si="36"/>
        <v>-1.0811764705882352</v>
      </c>
      <c r="I79" s="3">
        <f t="shared" ca="1" si="37"/>
        <v>-4.445294117647058</v>
      </c>
      <c r="J79">
        <f t="shared" ca="1" si="38"/>
        <v>7</v>
      </c>
      <c r="K79" s="3">
        <f t="shared" ca="1" si="39"/>
        <v>3</v>
      </c>
      <c r="L79" s="3">
        <f t="shared" ca="1" si="40"/>
        <v>12.395382352941176</v>
      </c>
      <c r="M79" s="3">
        <f t="shared" ca="1" si="41"/>
        <v>9.528294117647059</v>
      </c>
      <c r="N79" s="3">
        <f t="shared" ca="1" si="42"/>
        <v>6.6612058823529416</v>
      </c>
      <c r="O79" s="3">
        <f t="shared" ca="1" si="46"/>
        <v>3.7941176470588234</v>
      </c>
      <c r="P79" s="3">
        <f t="shared" ca="1" si="43"/>
        <v>0.92702941176470555</v>
      </c>
      <c r="Q79" s="3">
        <f t="shared" ca="1" si="44"/>
        <v>0</v>
      </c>
      <c r="R79" s="3">
        <v>0</v>
      </c>
    </row>
    <row r="80" spans="1:18" x14ac:dyDescent="0.2">
      <c r="A80" s="2">
        <v>44743</v>
      </c>
      <c r="B80" s="3">
        <v>3</v>
      </c>
      <c r="C80" s="3">
        <f t="shared" ca="1" si="32"/>
        <v>15.739411764705881</v>
      </c>
      <c r="D80" s="3">
        <f t="shared" ca="1" si="33"/>
        <v>12.375294117647059</v>
      </c>
      <c r="E80" s="3">
        <f t="shared" ca="1" si="34"/>
        <v>9.0111764705882358</v>
      </c>
      <c r="F80" s="3">
        <f t="shared" si="45"/>
        <v>5.6470588235294121</v>
      </c>
      <c r="G80" s="3">
        <f t="shared" ca="1" si="35"/>
        <v>2.2829411764705885</v>
      </c>
      <c r="H80" s="3">
        <f t="shared" ca="1" si="36"/>
        <v>-1.0811764705882352</v>
      </c>
      <c r="I80" s="3">
        <f t="shared" ca="1" si="37"/>
        <v>-4.445294117647058</v>
      </c>
      <c r="J80">
        <f t="shared" ca="1" si="38"/>
        <v>3</v>
      </c>
      <c r="K80" s="3">
        <f t="shared" ca="1" si="39"/>
        <v>4</v>
      </c>
      <c r="L80" s="3">
        <f t="shared" ca="1" si="40"/>
        <v>12.395382352941176</v>
      </c>
      <c r="M80" s="3">
        <f t="shared" ca="1" si="41"/>
        <v>9.528294117647059</v>
      </c>
      <c r="N80" s="3">
        <f t="shared" ca="1" si="42"/>
        <v>6.6612058823529416</v>
      </c>
      <c r="O80" s="3">
        <f t="shared" ca="1" si="46"/>
        <v>3.7941176470588234</v>
      </c>
      <c r="P80" s="3">
        <f t="shared" ca="1" si="43"/>
        <v>0.92702941176470555</v>
      </c>
      <c r="Q80" s="3">
        <f t="shared" ca="1" si="44"/>
        <v>0</v>
      </c>
      <c r="R80" s="3">
        <v>0</v>
      </c>
    </row>
    <row r="81" spans="1:18" x14ac:dyDescent="0.2">
      <c r="A81" s="2">
        <v>44774</v>
      </c>
      <c r="B81" s="3">
        <v>3</v>
      </c>
      <c r="C81" s="3">
        <f t="shared" ca="1" si="32"/>
        <v>15.739411764705881</v>
      </c>
      <c r="D81" s="3">
        <f t="shared" ca="1" si="33"/>
        <v>12.375294117647059</v>
      </c>
      <c r="E81" s="3">
        <f t="shared" ca="1" si="34"/>
        <v>9.0111764705882358</v>
      </c>
      <c r="F81" s="3">
        <f t="shared" si="45"/>
        <v>5.6470588235294121</v>
      </c>
      <c r="G81" s="3">
        <f t="shared" ca="1" si="35"/>
        <v>2.2829411764705885</v>
      </c>
      <c r="H81" s="3">
        <f t="shared" ca="1" si="36"/>
        <v>-1.0811764705882352</v>
      </c>
      <c r="I81" s="3">
        <f t="shared" ca="1" si="37"/>
        <v>-4.445294117647058</v>
      </c>
      <c r="J81">
        <f t="shared" ca="1" si="38"/>
        <v>3</v>
      </c>
      <c r="K81" s="3">
        <f t="shared" ca="1" si="39"/>
        <v>0</v>
      </c>
      <c r="L81" s="3">
        <f t="shared" ca="1" si="40"/>
        <v>12.395382352941176</v>
      </c>
      <c r="M81" s="3">
        <f t="shared" ca="1" si="41"/>
        <v>9.528294117647059</v>
      </c>
      <c r="N81" s="3">
        <f t="shared" ca="1" si="42"/>
        <v>6.6612058823529416</v>
      </c>
      <c r="O81" s="3">
        <f t="shared" ca="1" si="46"/>
        <v>3.7941176470588234</v>
      </c>
      <c r="P81" s="3">
        <f t="shared" ca="1" si="43"/>
        <v>0.92702941176470555</v>
      </c>
      <c r="Q81" s="3">
        <f t="shared" ca="1" si="44"/>
        <v>0</v>
      </c>
      <c r="R81" s="3">
        <v>0</v>
      </c>
    </row>
    <row r="82" spans="1:18" x14ac:dyDescent="0.2">
      <c r="A82" s="2">
        <v>44805</v>
      </c>
      <c r="B82" s="3">
        <v>3</v>
      </c>
      <c r="C82" s="3">
        <f t="shared" ca="1" si="32"/>
        <v>15.739411764705881</v>
      </c>
      <c r="D82" s="3">
        <f t="shared" ca="1" si="33"/>
        <v>12.375294117647059</v>
      </c>
      <c r="E82" s="3">
        <f t="shared" ca="1" si="34"/>
        <v>9.0111764705882358</v>
      </c>
      <c r="F82" s="3">
        <f t="shared" si="45"/>
        <v>5.6470588235294121</v>
      </c>
      <c r="G82" s="3">
        <f t="shared" ca="1" si="35"/>
        <v>2.2829411764705885</v>
      </c>
      <c r="H82" s="3">
        <f t="shared" ca="1" si="36"/>
        <v>-1.0811764705882352</v>
      </c>
      <c r="I82" s="3">
        <f t="shared" ca="1" si="37"/>
        <v>-4.445294117647058</v>
      </c>
      <c r="J82">
        <f t="shared" ca="1" si="38"/>
        <v>3</v>
      </c>
      <c r="K82" s="3">
        <f t="shared" ca="1" si="39"/>
        <v>0</v>
      </c>
      <c r="L82" s="3">
        <f t="shared" ca="1" si="40"/>
        <v>12.395382352941176</v>
      </c>
      <c r="M82" s="3">
        <f t="shared" ca="1" si="41"/>
        <v>9.528294117647059</v>
      </c>
      <c r="N82" s="3">
        <f t="shared" ca="1" si="42"/>
        <v>6.6612058823529416</v>
      </c>
      <c r="O82" s="3">
        <f t="shared" ca="1" si="46"/>
        <v>3.7941176470588234</v>
      </c>
      <c r="P82" s="3">
        <f t="shared" ca="1" si="43"/>
        <v>0.92702941176470555</v>
      </c>
      <c r="Q82" s="3">
        <f t="shared" ca="1" si="44"/>
        <v>0</v>
      </c>
      <c r="R82" s="3">
        <v>0</v>
      </c>
    </row>
    <row r="83" spans="1:18" x14ac:dyDescent="0.2">
      <c r="A83" s="2">
        <v>44835</v>
      </c>
      <c r="B83" s="3">
        <v>5</v>
      </c>
      <c r="C83" s="3">
        <f t="shared" ca="1" si="32"/>
        <v>15.739411764705881</v>
      </c>
      <c r="D83" s="3">
        <f t="shared" ca="1" si="33"/>
        <v>12.375294117647059</v>
      </c>
      <c r="E83" s="3">
        <f t="shared" ca="1" si="34"/>
        <v>9.0111764705882358</v>
      </c>
      <c r="F83" s="3">
        <f t="shared" si="45"/>
        <v>5.6470588235294121</v>
      </c>
      <c r="G83" s="3">
        <f t="shared" ca="1" si="35"/>
        <v>2.2829411764705885</v>
      </c>
      <c r="H83" s="3">
        <f t="shared" ca="1" si="36"/>
        <v>-1.0811764705882352</v>
      </c>
      <c r="I83" s="3">
        <f t="shared" ca="1" si="37"/>
        <v>-4.445294117647058</v>
      </c>
      <c r="J83">
        <f t="shared" ca="1" si="38"/>
        <v>5</v>
      </c>
      <c r="K83" s="3">
        <f t="shared" ca="1" si="39"/>
        <v>2</v>
      </c>
      <c r="L83" s="3">
        <f t="shared" ca="1" si="40"/>
        <v>12.395382352941176</v>
      </c>
      <c r="M83" s="3">
        <f t="shared" ca="1" si="41"/>
        <v>9.528294117647059</v>
      </c>
      <c r="N83" s="3">
        <f t="shared" ca="1" si="42"/>
        <v>6.6612058823529416</v>
      </c>
      <c r="O83" s="3">
        <f t="shared" ca="1" si="46"/>
        <v>3.7941176470588234</v>
      </c>
      <c r="P83" s="3">
        <f t="shared" ca="1" si="43"/>
        <v>0.92702941176470555</v>
      </c>
      <c r="Q83" s="3">
        <f t="shared" ca="1" si="44"/>
        <v>0</v>
      </c>
      <c r="R83" s="3">
        <v>0</v>
      </c>
    </row>
    <row r="84" spans="1:18" x14ac:dyDescent="0.2">
      <c r="A84" s="2">
        <v>44866</v>
      </c>
      <c r="B84" s="3">
        <v>3</v>
      </c>
      <c r="C84" s="3">
        <f t="shared" ca="1" si="32"/>
        <v>15.739411764705881</v>
      </c>
      <c r="D84" s="3">
        <f t="shared" ca="1" si="33"/>
        <v>12.375294117647059</v>
      </c>
      <c r="E84" s="3">
        <f t="shared" ca="1" si="34"/>
        <v>9.0111764705882358</v>
      </c>
      <c r="F84" s="3">
        <f t="shared" si="45"/>
        <v>5.6470588235294121</v>
      </c>
      <c r="G84" s="3">
        <f t="shared" ca="1" si="35"/>
        <v>2.2829411764705885</v>
      </c>
      <c r="H84" s="3">
        <f t="shared" ca="1" si="36"/>
        <v>-1.0811764705882352</v>
      </c>
      <c r="I84" s="3">
        <f t="shared" ca="1" si="37"/>
        <v>-4.445294117647058</v>
      </c>
      <c r="J84">
        <f t="shared" ca="1" si="38"/>
        <v>3</v>
      </c>
      <c r="K84" s="3">
        <f t="shared" ca="1" si="39"/>
        <v>2</v>
      </c>
      <c r="L84" s="3">
        <f t="shared" ca="1" si="40"/>
        <v>12.395382352941176</v>
      </c>
      <c r="M84" s="3">
        <f t="shared" ca="1" si="41"/>
        <v>9.528294117647059</v>
      </c>
      <c r="N84" s="3">
        <f t="shared" ca="1" si="42"/>
        <v>6.6612058823529416</v>
      </c>
      <c r="O84" s="3">
        <f t="shared" ca="1" si="46"/>
        <v>3.7941176470588234</v>
      </c>
      <c r="P84" s="3">
        <f t="shared" ca="1" si="43"/>
        <v>0.92702941176470555</v>
      </c>
      <c r="Q84" s="3">
        <f t="shared" ca="1" si="44"/>
        <v>0</v>
      </c>
      <c r="R84" s="3">
        <v>0</v>
      </c>
    </row>
    <row r="85" spans="1:18" x14ac:dyDescent="0.2">
      <c r="A85" s="2">
        <v>44896</v>
      </c>
      <c r="B85" s="3">
        <v>11</v>
      </c>
      <c r="C85" s="3">
        <f t="shared" ca="1" si="32"/>
        <v>15.739411764705881</v>
      </c>
      <c r="D85" s="3">
        <f t="shared" ca="1" si="33"/>
        <v>12.375294117647059</v>
      </c>
      <c r="E85" s="3">
        <f t="shared" ca="1" si="34"/>
        <v>9.0111764705882358</v>
      </c>
      <c r="F85" s="3">
        <f t="shared" si="45"/>
        <v>5.6470588235294121</v>
      </c>
      <c r="G85" s="3">
        <f t="shared" ca="1" si="35"/>
        <v>2.2829411764705885</v>
      </c>
      <c r="H85" s="3">
        <f t="shared" ca="1" si="36"/>
        <v>-1.0811764705882352</v>
      </c>
      <c r="I85" s="3">
        <f t="shared" ca="1" si="37"/>
        <v>-4.445294117647058</v>
      </c>
      <c r="J85">
        <f t="shared" ca="1" si="38"/>
        <v>11</v>
      </c>
      <c r="K85" s="3">
        <f t="shared" ca="1" si="39"/>
        <v>8</v>
      </c>
      <c r="L85" s="3">
        <f t="shared" ca="1" si="40"/>
        <v>12.395382352941176</v>
      </c>
      <c r="M85" s="3">
        <f t="shared" ca="1" si="41"/>
        <v>9.528294117647059</v>
      </c>
      <c r="N85" s="3">
        <f t="shared" ca="1" si="42"/>
        <v>6.6612058823529416</v>
      </c>
      <c r="O85" s="3">
        <f t="shared" ca="1" si="46"/>
        <v>3.7941176470588234</v>
      </c>
      <c r="P85" s="3">
        <f t="shared" ca="1" si="43"/>
        <v>0.92702941176470555</v>
      </c>
      <c r="Q85" s="3">
        <f t="shared" ca="1" si="44"/>
        <v>0</v>
      </c>
      <c r="R85" s="3">
        <v>0</v>
      </c>
    </row>
    <row r="86" spans="1:18" x14ac:dyDescent="0.2">
      <c r="A86" s="2">
        <v>44927</v>
      </c>
      <c r="B86" s="3">
        <v>7</v>
      </c>
      <c r="C86" s="3">
        <f t="shared" ca="1" si="32"/>
        <v>15.739411764705881</v>
      </c>
      <c r="D86" s="3">
        <f t="shared" ca="1" si="33"/>
        <v>12.375294117647059</v>
      </c>
      <c r="E86" s="3">
        <f t="shared" ca="1" si="34"/>
        <v>9.0111764705882358</v>
      </c>
      <c r="F86" s="3">
        <f t="shared" si="45"/>
        <v>5.6470588235294121</v>
      </c>
      <c r="G86" s="3">
        <f t="shared" ca="1" si="35"/>
        <v>2.2829411764705885</v>
      </c>
      <c r="H86" s="3">
        <f t="shared" ca="1" si="36"/>
        <v>-1.0811764705882352</v>
      </c>
      <c r="I86" s="3">
        <f t="shared" ca="1" si="37"/>
        <v>-4.445294117647058</v>
      </c>
      <c r="J86">
        <f t="shared" ca="1" si="38"/>
        <v>7</v>
      </c>
      <c r="K86" s="3">
        <f t="shared" ca="1" si="39"/>
        <v>4</v>
      </c>
      <c r="L86" s="3">
        <f t="shared" ca="1" si="40"/>
        <v>12.395382352941176</v>
      </c>
      <c r="M86" s="3">
        <f t="shared" ca="1" si="41"/>
        <v>9.528294117647059</v>
      </c>
      <c r="N86" s="3">
        <f t="shared" ca="1" si="42"/>
        <v>6.6612058823529416</v>
      </c>
      <c r="O86" s="3">
        <f t="shared" ca="1" si="46"/>
        <v>3.7941176470588234</v>
      </c>
      <c r="P86" s="3">
        <f t="shared" ca="1" si="43"/>
        <v>0.92702941176470555</v>
      </c>
      <c r="Q86" s="3">
        <f t="shared" ca="1" si="44"/>
        <v>0</v>
      </c>
      <c r="R86" s="3">
        <v>0</v>
      </c>
    </row>
    <row r="87" spans="1:18" x14ac:dyDescent="0.2">
      <c r="A87" s="2">
        <v>44958</v>
      </c>
      <c r="B87" s="3">
        <v>3</v>
      </c>
      <c r="C87" s="3">
        <f t="shared" ca="1" si="32"/>
        <v>15.739411764705881</v>
      </c>
      <c r="D87" s="3">
        <f t="shared" ca="1" si="33"/>
        <v>12.375294117647059</v>
      </c>
      <c r="E87" s="3">
        <f t="shared" ca="1" si="34"/>
        <v>9.0111764705882358</v>
      </c>
      <c r="F87" s="3">
        <f t="shared" si="45"/>
        <v>5.6470588235294121</v>
      </c>
      <c r="G87" s="3">
        <f t="shared" ca="1" si="35"/>
        <v>2.2829411764705885</v>
      </c>
      <c r="H87" s="3">
        <f t="shared" ca="1" si="36"/>
        <v>-1.0811764705882352</v>
      </c>
      <c r="I87" s="3">
        <f t="shared" ca="1" si="37"/>
        <v>-4.445294117647058</v>
      </c>
      <c r="J87">
        <f t="shared" ca="1" si="38"/>
        <v>3</v>
      </c>
      <c r="K87" s="3">
        <f t="shared" ca="1" si="39"/>
        <v>4</v>
      </c>
      <c r="L87" s="3">
        <f t="shared" ca="1" si="40"/>
        <v>12.395382352941176</v>
      </c>
      <c r="M87" s="3">
        <f t="shared" ca="1" si="41"/>
        <v>9.528294117647059</v>
      </c>
      <c r="N87" s="3">
        <f t="shared" ca="1" si="42"/>
        <v>6.6612058823529416</v>
      </c>
      <c r="O87" s="3">
        <f t="shared" ca="1" si="46"/>
        <v>3.7941176470588234</v>
      </c>
      <c r="P87" s="3">
        <f t="shared" ca="1" si="43"/>
        <v>0.92702941176470555</v>
      </c>
      <c r="Q87" s="3">
        <f t="shared" ca="1" si="44"/>
        <v>0</v>
      </c>
      <c r="R87" s="3">
        <v>0</v>
      </c>
    </row>
    <row r="88" spans="1:18" x14ac:dyDescent="0.2">
      <c r="A88" s="2">
        <v>44986</v>
      </c>
      <c r="B88" s="3">
        <v>6</v>
      </c>
      <c r="C88" s="3">
        <f t="shared" ca="1" si="32"/>
        <v>15.739411764705881</v>
      </c>
      <c r="D88" s="3">
        <f t="shared" ca="1" si="33"/>
        <v>12.375294117647059</v>
      </c>
      <c r="E88" s="3">
        <f t="shared" ca="1" si="34"/>
        <v>9.0111764705882358</v>
      </c>
      <c r="F88" s="3">
        <f t="shared" si="45"/>
        <v>5.6470588235294121</v>
      </c>
      <c r="G88" s="3">
        <f t="shared" ca="1" si="35"/>
        <v>2.2829411764705885</v>
      </c>
      <c r="H88" s="3">
        <f t="shared" ca="1" si="36"/>
        <v>-1.0811764705882352</v>
      </c>
      <c r="I88" s="3">
        <f t="shared" ca="1" si="37"/>
        <v>-4.445294117647058</v>
      </c>
      <c r="J88">
        <f t="shared" ca="1" si="38"/>
        <v>6</v>
      </c>
      <c r="K88" s="3">
        <f t="shared" ca="1" si="39"/>
        <v>3</v>
      </c>
      <c r="L88" s="3">
        <f t="shared" ca="1" si="40"/>
        <v>12.395382352941176</v>
      </c>
      <c r="M88" s="3">
        <f t="shared" ca="1" si="41"/>
        <v>9.528294117647059</v>
      </c>
      <c r="N88" s="3">
        <f t="shared" ca="1" si="42"/>
        <v>6.6612058823529416</v>
      </c>
      <c r="O88" s="3">
        <f t="shared" ca="1" si="46"/>
        <v>3.7941176470588234</v>
      </c>
      <c r="P88" s="3">
        <f t="shared" ca="1" si="43"/>
        <v>0.92702941176470555</v>
      </c>
      <c r="Q88" s="3">
        <f t="shared" ca="1" si="44"/>
        <v>0</v>
      </c>
      <c r="R88" s="3">
        <v>0</v>
      </c>
    </row>
    <row r="89" spans="1:18" x14ac:dyDescent="0.2">
      <c r="A89" s="2">
        <v>45017</v>
      </c>
      <c r="B89" s="3">
        <v>4</v>
      </c>
      <c r="C89" s="3">
        <f t="shared" ca="1" si="32"/>
        <v>15.739411764705881</v>
      </c>
      <c r="D89" s="3">
        <f t="shared" ca="1" si="33"/>
        <v>12.375294117647059</v>
      </c>
      <c r="E89" s="3">
        <f t="shared" ca="1" si="34"/>
        <v>9.0111764705882358</v>
      </c>
      <c r="F89" s="3">
        <f t="shared" si="45"/>
        <v>5.6470588235294121</v>
      </c>
      <c r="G89" s="3">
        <f t="shared" ca="1" si="35"/>
        <v>2.2829411764705885</v>
      </c>
      <c r="H89" s="3">
        <f t="shared" ca="1" si="36"/>
        <v>-1.0811764705882352</v>
      </c>
      <c r="I89" s="3">
        <f t="shared" ca="1" si="37"/>
        <v>-4.445294117647058</v>
      </c>
      <c r="J89">
        <f t="shared" ca="1" si="38"/>
        <v>4</v>
      </c>
      <c r="K89" s="3">
        <f t="shared" ca="1" si="39"/>
        <v>2</v>
      </c>
      <c r="L89" s="3">
        <f t="shared" ca="1" si="40"/>
        <v>12.395382352941176</v>
      </c>
      <c r="M89" s="3">
        <f t="shared" ca="1" si="41"/>
        <v>9.528294117647059</v>
      </c>
      <c r="N89" s="3">
        <f t="shared" ca="1" si="42"/>
        <v>6.6612058823529416</v>
      </c>
      <c r="O89" s="3">
        <f t="shared" ca="1" si="46"/>
        <v>3.7941176470588234</v>
      </c>
      <c r="P89" s="3">
        <f t="shared" ca="1" si="43"/>
        <v>0.92702941176470555</v>
      </c>
      <c r="Q89" s="3">
        <f t="shared" ca="1" si="44"/>
        <v>0</v>
      </c>
      <c r="R89" s="3">
        <v>0</v>
      </c>
    </row>
    <row r="90" spans="1:18" x14ac:dyDescent="0.2">
      <c r="A90" s="2">
        <v>45047</v>
      </c>
      <c r="B90" s="3">
        <v>3</v>
      </c>
      <c r="C90" s="3">
        <f t="shared" ca="1" si="32"/>
        <v>15.739411764705881</v>
      </c>
      <c r="D90" s="3">
        <f t="shared" ca="1" si="33"/>
        <v>12.375294117647059</v>
      </c>
      <c r="E90" s="3">
        <f t="shared" ca="1" si="34"/>
        <v>9.0111764705882358</v>
      </c>
      <c r="F90" s="3">
        <f t="shared" si="45"/>
        <v>5.6470588235294121</v>
      </c>
      <c r="G90" s="3">
        <f t="shared" ca="1" si="35"/>
        <v>2.2829411764705885</v>
      </c>
      <c r="H90" s="3">
        <f t="shared" ca="1" si="36"/>
        <v>-1.0811764705882352</v>
      </c>
      <c r="I90" s="3">
        <f t="shared" ca="1" si="37"/>
        <v>-4.445294117647058</v>
      </c>
      <c r="J90">
        <f t="shared" ca="1" si="38"/>
        <v>3</v>
      </c>
      <c r="K90" s="3">
        <f t="shared" ca="1" si="39"/>
        <v>1</v>
      </c>
      <c r="L90" s="3">
        <f t="shared" ca="1" si="40"/>
        <v>12.395382352941176</v>
      </c>
      <c r="M90" s="3">
        <f t="shared" ca="1" si="41"/>
        <v>9.528294117647059</v>
      </c>
      <c r="N90" s="3">
        <f t="shared" ca="1" si="42"/>
        <v>6.6612058823529416</v>
      </c>
      <c r="O90" s="3">
        <f t="shared" ca="1" si="46"/>
        <v>3.7941176470588234</v>
      </c>
      <c r="P90" s="3">
        <f t="shared" ca="1" si="43"/>
        <v>0.92702941176470555</v>
      </c>
      <c r="Q90" s="3">
        <f t="shared" ca="1" si="44"/>
        <v>0</v>
      </c>
      <c r="R90" s="3">
        <v>0</v>
      </c>
    </row>
    <row r="91" spans="1:18" x14ac:dyDescent="0.2">
      <c r="A91" s="2">
        <v>45078</v>
      </c>
      <c r="B91" s="3">
        <v>6</v>
      </c>
      <c r="C91" s="3">
        <f t="shared" ca="1" si="32"/>
        <v>15.739411764705881</v>
      </c>
      <c r="D91" s="3">
        <f t="shared" ca="1" si="33"/>
        <v>12.375294117647059</v>
      </c>
      <c r="E91" s="3">
        <f t="shared" ca="1" si="34"/>
        <v>9.0111764705882358</v>
      </c>
      <c r="F91" s="3">
        <f t="shared" si="45"/>
        <v>5.6470588235294121</v>
      </c>
      <c r="G91" s="3">
        <f t="shared" ca="1" si="35"/>
        <v>2.2829411764705885</v>
      </c>
      <c r="H91" s="3">
        <f t="shared" ca="1" si="36"/>
        <v>-1.0811764705882352</v>
      </c>
      <c r="I91" s="3">
        <f t="shared" ca="1" si="37"/>
        <v>-4.445294117647058</v>
      </c>
      <c r="J91">
        <f t="shared" ca="1" si="38"/>
        <v>6</v>
      </c>
      <c r="K91" s="3">
        <f t="shared" ca="1" si="39"/>
        <v>3</v>
      </c>
      <c r="L91" s="3">
        <f t="shared" ca="1" si="40"/>
        <v>12.395382352941176</v>
      </c>
      <c r="M91" s="3">
        <f t="shared" ca="1" si="41"/>
        <v>9.528294117647059</v>
      </c>
      <c r="N91" s="3">
        <f t="shared" ca="1" si="42"/>
        <v>6.6612058823529416</v>
      </c>
      <c r="O91" s="3">
        <f t="shared" ca="1" si="46"/>
        <v>3.7941176470588234</v>
      </c>
      <c r="P91" s="3">
        <f t="shared" ca="1" si="43"/>
        <v>0.92702941176470555</v>
      </c>
      <c r="Q91" s="3">
        <f t="shared" ca="1" si="44"/>
        <v>0</v>
      </c>
      <c r="R91" s="3">
        <v>0</v>
      </c>
    </row>
    <row r="92" spans="1:18" x14ac:dyDescent="0.2">
      <c r="A92" s="2">
        <v>45108</v>
      </c>
      <c r="B92" s="3">
        <v>2</v>
      </c>
      <c r="C92" s="3">
        <f t="shared" ca="1" si="32"/>
        <v>15.739411764705881</v>
      </c>
      <c r="D92" s="3">
        <f t="shared" ca="1" si="33"/>
        <v>12.375294117647059</v>
      </c>
      <c r="E92" s="3">
        <f t="shared" ca="1" si="34"/>
        <v>9.0111764705882358</v>
      </c>
      <c r="F92" s="3">
        <f t="shared" si="45"/>
        <v>5.6470588235294121</v>
      </c>
      <c r="G92" s="3">
        <f t="shared" ca="1" si="35"/>
        <v>2.2829411764705885</v>
      </c>
      <c r="H92" s="3">
        <f t="shared" ca="1" si="36"/>
        <v>-1.0811764705882352</v>
      </c>
      <c r="I92" s="3">
        <f t="shared" ca="1" si="37"/>
        <v>-4.445294117647058</v>
      </c>
      <c r="J92">
        <f t="shared" ca="1" si="38"/>
        <v>2</v>
      </c>
      <c r="K92" s="3">
        <f t="shared" ca="1" si="39"/>
        <v>4</v>
      </c>
      <c r="L92" s="3">
        <f t="shared" ca="1" si="40"/>
        <v>12.395382352941176</v>
      </c>
      <c r="M92" s="3">
        <f t="shared" ca="1" si="41"/>
        <v>9.528294117647059</v>
      </c>
      <c r="N92" s="3">
        <f t="shared" ca="1" si="42"/>
        <v>6.6612058823529416</v>
      </c>
      <c r="O92" s="3">
        <f t="shared" ca="1" si="46"/>
        <v>3.7941176470588234</v>
      </c>
      <c r="P92" s="3">
        <f t="shared" ca="1" si="43"/>
        <v>0.92702941176470555</v>
      </c>
      <c r="Q92" s="3">
        <f t="shared" ca="1" si="44"/>
        <v>0</v>
      </c>
      <c r="R92" s="3">
        <v>0</v>
      </c>
    </row>
    <row r="93" spans="1:18" x14ac:dyDescent="0.2">
      <c r="A93" s="2">
        <v>45139</v>
      </c>
      <c r="B93" s="3">
        <v>10</v>
      </c>
      <c r="C93" s="3">
        <f t="shared" ca="1" si="32"/>
        <v>15.739411764705881</v>
      </c>
      <c r="D93" s="3">
        <f t="shared" ca="1" si="33"/>
        <v>12.375294117647059</v>
      </c>
      <c r="E93" s="3">
        <f t="shared" ca="1" si="34"/>
        <v>9.0111764705882358</v>
      </c>
      <c r="F93" s="3">
        <f t="shared" si="45"/>
        <v>5.6470588235294121</v>
      </c>
      <c r="G93" s="3">
        <f t="shared" ca="1" si="35"/>
        <v>2.2829411764705885</v>
      </c>
      <c r="H93" s="3">
        <f t="shared" ca="1" si="36"/>
        <v>-1.0811764705882352</v>
      </c>
      <c r="I93" s="3">
        <f t="shared" ca="1" si="37"/>
        <v>-4.445294117647058</v>
      </c>
      <c r="J93">
        <f t="shared" ca="1" si="38"/>
        <v>10</v>
      </c>
      <c r="K93" s="3">
        <f t="shared" ca="1" si="39"/>
        <v>8</v>
      </c>
      <c r="L93" s="3">
        <f t="shared" ca="1" si="40"/>
        <v>12.395382352941176</v>
      </c>
      <c r="M93" s="3">
        <f t="shared" ca="1" si="41"/>
        <v>9.528294117647059</v>
      </c>
      <c r="N93" s="3">
        <f t="shared" ca="1" si="42"/>
        <v>6.6612058823529416</v>
      </c>
      <c r="O93" s="3">
        <f t="shared" ca="1" si="46"/>
        <v>3.7941176470588234</v>
      </c>
      <c r="P93" s="3">
        <f t="shared" ca="1" si="43"/>
        <v>0.92702941176470555</v>
      </c>
      <c r="Q93" s="3">
        <f t="shared" ca="1" si="44"/>
        <v>0</v>
      </c>
      <c r="R93" s="3">
        <v>0</v>
      </c>
    </row>
    <row r="94" spans="1:18" x14ac:dyDescent="0.2">
      <c r="A94" s="2">
        <v>45170</v>
      </c>
      <c r="B94" s="3">
        <v>6</v>
      </c>
      <c r="C94" s="3">
        <f t="shared" ca="1" si="32"/>
        <v>15.739411764705881</v>
      </c>
      <c r="D94" s="3">
        <f t="shared" ca="1" si="33"/>
        <v>12.375294117647059</v>
      </c>
      <c r="E94" s="3">
        <f t="shared" ca="1" si="34"/>
        <v>9.0111764705882358</v>
      </c>
      <c r="F94" s="3">
        <f t="shared" si="45"/>
        <v>5.6470588235294121</v>
      </c>
      <c r="G94" s="3">
        <f t="shared" ca="1" si="35"/>
        <v>2.2829411764705885</v>
      </c>
      <c r="H94" s="3">
        <f t="shared" ca="1" si="36"/>
        <v>-1.0811764705882352</v>
      </c>
      <c r="I94" s="3">
        <f t="shared" ca="1" si="37"/>
        <v>-4.445294117647058</v>
      </c>
      <c r="J94">
        <f t="shared" ca="1" si="38"/>
        <v>6</v>
      </c>
      <c r="K94" s="3">
        <f t="shared" ca="1" si="39"/>
        <v>4</v>
      </c>
      <c r="L94" s="3">
        <f t="shared" ca="1" si="40"/>
        <v>12.395382352941176</v>
      </c>
      <c r="M94" s="3">
        <f t="shared" ca="1" si="41"/>
        <v>9.528294117647059</v>
      </c>
      <c r="N94" s="3">
        <f t="shared" ca="1" si="42"/>
        <v>6.6612058823529416</v>
      </c>
      <c r="O94" s="3">
        <f t="shared" ca="1" si="46"/>
        <v>3.7941176470588234</v>
      </c>
      <c r="P94" s="3">
        <f t="shared" ca="1" si="43"/>
        <v>0.92702941176470555</v>
      </c>
      <c r="Q94" s="3">
        <f t="shared" ca="1" si="44"/>
        <v>0</v>
      </c>
      <c r="R94" s="3">
        <v>0</v>
      </c>
    </row>
    <row r="95" spans="1:18" x14ac:dyDescent="0.2">
      <c r="A95" s="2">
        <v>45200</v>
      </c>
      <c r="B95" s="3">
        <v>4</v>
      </c>
      <c r="C95" s="3">
        <f t="shared" ca="1" si="32"/>
        <v>15.739411764705881</v>
      </c>
      <c r="D95" s="3">
        <f t="shared" ca="1" si="33"/>
        <v>12.375294117647059</v>
      </c>
      <c r="E95" s="3">
        <f t="shared" ca="1" si="34"/>
        <v>9.0111764705882358</v>
      </c>
      <c r="F95" s="3">
        <f t="shared" si="45"/>
        <v>5.6470588235294121</v>
      </c>
      <c r="G95" s="3">
        <f t="shared" ca="1" si="35"/>
        <v>2.2829411764705885</v>
      </c>
      <c r="H95" s="3">
        <f t="shared" ca="1" si="36"/>
        <v>-1.0811764705882352</v>
      </c>
      <c r="I95" s="3">
        <f t="shared" ca="1" si="37"/>
        <v>-4.445294117647058</v>
      </c>
      <c r="J95">
        <f t="shared" ca="1" si="38"/>
        <v>4</v>
      </c>
      <c r="K95" s="3">
        <f t="shared" ca="1" si="39"/>
        <v>2</v>
      </c>
      <c r="L95" s="3">
        <f t="shared" ca="1" si="40"/>
        <v>12.395382352941176</v>
      </c>
      <c r="M95" s="3">
        <f t="shared" ca="1" si="41"/>
        <v>9.528294117647059</v>
      </c>
      <c r="N95" s="3">
        <f t="shared" ca="1" si="42"/>
        <v>6.6612058823529416</v>
      </c>
      <c r="O95" s="3">
        <f t="shared" ca="1" si="46"/>
        <v>3.7941176470588234</v>
      </c>
      <c r="P95" s="3">
        <f t="shared" ca="1" si="43"/>
        <v>0.92702941176470555</v>
      </c>
      <c r="Q95" s="3">
        <f t="shared" ca="1" si="44"/>
        <v>0</v>
      </c>
      <c r="R95" s="3">
        <v>0</v>
      </c>
    </row>
    <row r="96" spans="1:18" x14ac:dyDescent="0.2">
      <c r="A96" s="2">
        <v>45231</v>
      </c>
      <c r="B96" s="3">
        <v>10</v>
      </c>
      <c r="C96" s="3">
        <f t="shared" ca="1" si="32"/>
        <v>15.739411764705881</v>
      </c>
      <c r="D96" s="3">
        <f t="shared" ca="1" si="33"/>
        <v>12.375294117647059</v>
      </c>
      <c r="E96" s="3">
        <f t="shared" ca="1" si="34"/>
        <v>9.0111764705882358</v>
      </c>
      <c r="F96" s="3">
        <f t="shared" si="45"/>
        <v>5.6470588235294121</v>
      </c>
      <c r="G96" s="3">
        <f t="shared" ca="1" si="35"/>
        <v>2.2829411764705885</v>
      </c>
      <c r="H96" s="3">
        <f t="shared" ca="1" si="36"/>
        <v>-1.0811764705882352</v>
      </c>
      <c r="I96" s="3">
        <f t="shared" ca="1" si="37"/>
        <v>-4.445294117647058</v>
      </c>
      <c r="J96">
        <f t="shared" ca="1" si="38"/>
        <v>10</v>
      </c>
      <c r="K96" s="3">
        <f t="shared" ca="1" si="39"/>
        <v>6</v>
      </c>
      <c r="L96" s="3">
        <f t="shared" ca="1" si="40"/>
        <v>12.395382352941176</v>
      </c>
      <c r="M96" s="3">
        <f t="shared" ca="1" si="41"/>
        <v>9.528294117647059</v>
      </c>
      <c r="N96" s="3">
        <f t="shared" ca="1" si="42"/>
        <v>6.6612058823529416</v>
      </c>
      <c r="O96" s="3">
        <f t="shared" ca="1" si="46"/>
        <v>3.7941176470588234</v>
      </c>
      <c r="P96" s="3">
        <f t="shared" ca="1" si="43"/>
        <v>0.92702941176470555</v>
      </c>
      <c r="Q96" s="3">
        <f t="shared" ca="1" si="44"/>
        <v>0</v>
      </c>
      <c r="R96" s="3">
        <v>0</v>
      </c>
    </row>
    <row r="97" spans="1:18" x14ac:dyDescent="0.2">
      <c r="A97" s="2">
        <v>45261</v>
      </c>
      <c r="B97" s="3">
        <v>10</v>
      </c>
      <c r="C97" s="3">
        <f t="shared" ca="1" si="32"/>
        <v>15.739411764705881</v>
      </c>
      <c r="D97" s="3">
        <f t="shared" ca="1" si="33"/>
        <v>12.375294117647059</v>
      </c>
      <c r="E97" s="3">
        <f t="shared" ca="1" si="34"/>
        <v>9.0111764705882358</v>
      </c>
      <c r="F97" s="3">
        <f t="shared" si="45"/>
        <v>5.6470588235294121</v>
      </c>
      <c r="G97" s="3">
        <f t="shared" ca="1" si="35"/>
        <v>2.2829411764705885</v>
      </c>
      <c r="H97" s="3">
        <f t="shared" ca="1" si="36"/>
        <v>-1.0811764705882352</v>
      </c>
      <c r="I97" s="3">
        <f t="shared" ca="1" si="37"/>
        <v>-4.445294117647058</v>
      </c>
      <c r="J97">
        <f t="shared" ca="1" si="38"/>
        <v>10</v>
      </c>
      <c r="K97" s="3">
        <f t="shared" ca="1" si="39"/>
        <v>0</v>
      </c>
      <c r="L97" s="3">
        <f t="shared" ca="1" si="40"/>
        <v>12.395382352941176</v>
      </c>
      <c r="M97" s="3">
        <f t="shared" ca="1" si="41"/>
        <v>9.528294117647059</v>
      </c>
      <c r="N97" s="3">
        <f t="shared" ca="1" si="42"/>
        <v>6.6612058823529416</v>
      </c>
      <c r="O97" s="3">
        <f t="shared" ca="1" si="46"/>
        <v>3.7941176470588234</v>
      </c>
      <c r="P97" s="3">
        <f t="shared" ca="1" si="43"/>
        <v>0.92702941176470555</v>
      </c>
      <c r="Q97" s="3">
        <f t="shared" ca="1" si="44"/>
        <v>0</v>
      </c>
      <c r="R97" s="3">
        <v>0</v>
      </c>
    </row>
    <row r="98" spans="1:18" x14ac:dyDescent="0.2">
      <c r="A98" s="2">
        <v>45292</v>
      </c>
      <c r="B98" s="3">
        <v>5</v>
      </c>
      <c r="C98" s="3">
        <f t="shared" ref="C98:C129" ca="1" si="47">F98+2.66*O98</f>
        <v>15.739411764705881</v>
      </c>
      <c r="D98" s="3">
        <f t="shared" ref="D98:D129" ca="1" si="48">F98+(2/3)*2.66*O98</f>
        <v>12.375294117647059</v>
      </c>
      <c r="E98" s="3">
        <f t="shared" ref="E98:E129" ca="1" si="49">F98+(1/3)*2.66*O98</f>
        <v>9.0111764705882358</v>
      </c>
      <c r="F98" s="3">
        <f t="shared" si="45"/>
        <v>5.6470588235294121</v>
      </c>
      <c r="G98" s="3">
        <f t="shared" ref="G98:G129" ca="1" si="50">F98-(1/3)*2.66*O98</f>
        <v>2.2829411764705885</v>
      </c>
      <c r="H98" s="3">
        <f t="shared" ref="H98:H129" ca="1" si="51">F98-(2/3)*2.66*O98</f>
        <v>-1.0811764705882352</v>
      </c>
      <c r="I98" s="3">
        <f t="shared" ref="I98:I129" ca="1" si="52">F98-2.66*O98</f>
        <v>-4.445294117647058</v>
      </c>
      <c r="J98">
        <f t="shared" ca="1" si="38"/>
        <v>5</v>
      </c>
      <c r="K98" s="3">
        <f t="shared" ca="1" si="39"/>
        <v>5</v>
      </c>
      <c r="L98" s="3">
        <f t="shared" ca="1" si="40"/>
        <v>12.395382352941176</v>
      </c>
      <c r="M98" s="3">
        <f t="shared" ca="1" si="41"/>
        <v>9.528294117647059</v>
      </c>
      <c r="N98" s="3">
        <f t="shared" ca="1" si="42"/>
        <v>6.6612058823529416</v>
      </c>
      <c r="O98" s="3">
        <f t="shared" ca="1" si="46"/>
        <v>3.7941176470588234</v>
      </c>
      <c r="P98" s="3">
        <f t="shared" ca="1" si="43"/>
        <v>0.92702941176470555</v>
      </c>
      <c r="Q98" s="3">
        <f t="shared" ca="1" si="44"/>
        <v>0</v>
      </c>
      <c r="R98" s="3">
        <v>0</v>
      </c>
    </row>
    <row r="99" spans="1:18" x14ac:dyDescent="0.2">
      <c r="A99" s="2">
        <v>45323</v>
      </c>
      <c r="B99" s="3">
        <v>3</v>
      </c>
      <c r="C99" s="3">
        <f t="shared" ca="1" si="47"/>
        <v>15.739411764705881</v>
      </c>
      <c r="D99" s="3">
        <f t="shared" ca="1" si="48"/>
        <v>12.375294117647059</v>
      </c>
      <c r="E99" s="3">
        <f t="shared" ca="1" si="49"/>
        <v>9.0111764705882358</v>
      </c>
      <c r="F99" s="3">
        <f t="shared" si="45"/>
        <v>5.6470588235294121</v>
      </c>
      <c r="G99" s="3">
        <f t="shared" ca="1" si="50"/>
        <v>2.2829411764705885</v>
      </c>
      <c r="H99" s="3">
        <f t="shared" ca="1" si="51"/>
        <v>-1.0811764705882352</v>
      </c>
      <c r="I99" s="3">
        <f t="shared" ca="1" si="52"/>
        <v>-4.445294117647058</v>
      </c>
      <c r="J99">
        <f t="shared" ref="J99:J130" ca="1" si="53">IF(ISBLANK(B99),OFFSET(J99,-1,0,1,1),B99)</f>
        <v>3</v>
      </c>
      <c r="K99" s="3">
        <f t="shared" ref="K99:K130" ca="1" si="54">IF(OR(OFFSET(K99,-1,-9,1,1)="",OFFSET(K99,0,-9,1,1)=""),"",IF(ISERROR(ABS(B99-OFFSET(K99,-1,-1,1,1))),"",ABS(B99-OFFSET(K99,-1,-1,1,1))))</f>
        <v>2</v>
      </c>
      <c r="L99" s="3">
        <f t="shared" ref="L99:L130" ca="1" si="55">3.267*O99</f>
        <v>12.395382352941176</v>
      </c>
      <c r="M99" s="3">
        <f t="shared" ref="M99:M130" ca="1" si="56">(2/3)*(L99-O99)+O99</f>
        <v>9.528294117647059</v>
      </c>
      <c r="N99" s="3">
        <f t="shared" ref="N99:N130" ca="1" si="57">(1/3)*(L99-O99)+O99</f>
        <v>6.6612058823529416</v>
      </c>
      <c r="O99" s="3">
        <f t="shared" ca="1" si="46"/>
        <v>3.7941176470588234</v>
      </c>
      <c r="P99" s="3">
        <f t="shared" ref="P99:P130" ca="1" si="58">(MAX(O99-(1/3)*(L99-O99),0))</f>
        <v>0.92702941176470555</v>
      </c>
      <c r="Q99" s="3">
        <f t="shared" ref="Q99:Q130" ca="1" si="59">MAX(O99-(2/3)*(L99-O99),0)</f>
        <v>0</v>
      </c>
      <c r="R99" s="3">
        <v>0</v>
      </c>
    </row>
    <row r="100" spans="1:18" x14ac:dyDescent="0.2">
      <c r="A100" s="2">
        <v>45352</v>
      </c>
      <c r="B100" s="3">
        <v>8</v>
      </c>
      <c r="C100" s="3">
        <f t="shared" ca="1" si="47"/>
        <v>15.739411764705881</v>
      </c>
      <c r="D100" s="3">
        <f t="shared" ca="1" si="48"/>
        <v>12.375294117647059</v>
      </c>
      <c r="E100" s="3">
        <f t="shared" ca="1" si="49"/>
        <v>9.0111764705882358</v>
      </c>
      <c r="F100" s="3">
        <f t="shared" si="45"/>
        <v>5.6470588235294121</v>
      </c>
      <c r="G100" s="3">
        <f t="shared" ca="1" si="50"/>
        <v>2.2829411764705885</v>
      </c>
      <c r="H100" s="3">
        <f t="shared" ca="1" si="51"/>
        <v>-1.0811764705882352</v>
      </c>
      <c r="I100" s="3">
        <f t="shared" ca="1" si="52"/>
        <v>-4.445294117647058</v>
      </c>
      <c r="J100">
        <f t="shared" ca="1" si="53"/>
        <v>8</v>
      </c>
      <c r="K100" s="3">
        <f t="shared" ca="1" si="54"/>
        <v>5</v>
      </c>
      <c r="L100" s="3">
        <f t="shared" ca="1" si="55"/>
        <v>12.395382352941176</v>
      </c>
      <c r="M100" s="3">
        <f t="shared" ca="1" si="56"/>
        <v>9.528294117647059</v>
      </c>
      <c r="N100" s="3">
        <f t="shared" ca="1" si="57"/>
        <v>6.6612058823529416</v>
      </c>
      <c r="O100" s="3">
        <f t="shared" ca="1" si="46"/>
        <v>3.7941176470588234</v>
      </c>
      <c r="P100" s="3">
        <f t="shared" ca="1" si="58"/>
        <v>0.92702941176470555</v>
      </c>
      <c r="Q100" s="3">
        <f t="shared" ca="1" si="59"/>
        <v>0</v>
      </c>
      <c r="R100" s="3">
        <v>0</v>
      </c>
    </row>
    <row r="101" spans="1:18" x14ac:dyDescent="0.2">
      <c r="A101" s="2">
        <v>45383</v>
      </c>
      <c r="B101" s="3">
        <v>6</v>
      </c>
      <c r="C101" s="3">
        <f t="shared" ca="1" si="47"/>
        <v>15.739411764705881</v>
      </c>
      <c r="D101" s="3">
        <f t="shared" ca="1" si="48"/>
        <v>12.375294117647059</v>
      </c>
      <c r="E101" s="3">
        <f t="shared" ca="1" si="49"/>
        <v>9.0111764705882358</v>
      </c>
      <c r="F101" s="3">
        <f t="shared" si="45"/>
        <v>5.6470588235294121</v>
      </c>
      <c r="G101" s="3">
        <f t="shared" ca="1" si="50"/>
        <v>2.2829411764705885</v>
      </c>
      <c r="H101" s="3">
        <f t="shared" ca="1" si="51"/>
        <v>-1.0811764705882352</v>
      </c>
      <c r="I101" s="3">
        <f t="shared" ca="1" si="52"/>
        <v>-4.445294117647058</v>
      </c>
      <c r="J101">
        <f t="shared" ca="1" si="53"/>
        <v>6</v>
      </c>
      <c r="K101" s="3">
        <f t="shared" ca="1" si="54"/>
        <v>2</v>
      </c>
      <c r="L101" s="3">
        <f t="shared" ca="1" si="55"/>
        <v>12.395382352941176</v>
      </c>
      <c r="M101" s="3">
        <f t="shared" ca="1" si="56"/>
        <v>9.528294117647059</v>
      </c>
      <c r="N101" s="3">
        <f t="shared" ca="1" si="57"/>
        <v>6.6612058823529416</v>
      </c>
      <c r="O101" s="3">
        <f t="shared" ca="1" si="46"/>
        <v>3.7941176470588234</v>
      </c>
      <c r="P101" s="3">
        <f t="shared" ca="1" si="58"/>
        <v>0.92702941176470555</v>
      </c>
      <c r="Q101" s="3">
        <f t="shared" ca="1" si="59"/>
        <v>0</v>
      </c>
      <c r="R101" s="3">
        <v>0</v>
      </c>
    </row>
    <row r="102" spans="1:18" x14ac:dyDescent="0.2">
      <c r="A102" s="2">
        <v>45413</v>
      </c>
      <c r="B102" s="3">
        <v>8</v>
      </c>
      <c r="C102" s="3">
        <f t="shared" ca="1" si="47"/>
        <v>15.739411764705881</v>
      </c>
      <c r="D102" s="3">
        <f t="shared" ca="1" si="48"/>
        <v>12.375294117647059</v>
      </c>
      <c r="E102" s="3">
        <f t="shared" ca="1" si="49"/>
        <v>9.0111764705882358</v>
      </c>
      <c r="F102" s="3">
        <f t="shared" si="45"/>
        <v>5.6470588235294121</v>
      </c>
      <c r="G102" s="3">
        <f t="shared" ca="1" si="50"/>
        <v>2.2829411764705885</v>
      </c>
      <c r="H102" s="3">
        <f t="shared" ca="1" si="51"/>
        <v>-1.0811764705882352</v>
      </c>
      <c r="I102" s="3">
        <f t="shared" ca="1" si="52"/>
        <v>-4.445294117647058</v>
      </c>
      <c r="J102">
        <f t="shared" ca="1" si="53"/>
        <v>8</v>
      </c>
      <c r="K102" s="3">
        <f t="shared" ca="1" si="54"/>
        <v>2</v>
      </c>
      <c r="L102" s="3">
        <f t="shared" ca="1" si="55"/>
        <v>12.395382352941176</v>
      </c>
      <c r="M102" s="3">
        <f t="shared" ca="1" si="56"/>
        <v>9.528294117647059</v>
      </c>
      <c r="N102" s="3">
        <f t="shared" ca="1" si="57"/>
        <v>6.6612058823529416</v>
      </c>
      <c r="O102" s="3">
        <f t="shared" ca="1" si="46"/>
        <v>3.7941176470588234</v>
      </c>
      <c r="P102" s="3">
        <f t="shared" ca="1" si="58"/>
        <v>0.92702941176470555</v>
      </c>
      <c r="Q102" s="3">
        <f t="shared" ca="1" si="59"/>
        <v>0</v>
      </c>
      <c r="R102" s="3">
        <v>0</v>
      </c>
    </row>
    <row r="103" spans="1:18" x14ac:dyDescent="0.2">
      <c r="A103" s="2">
        <v>45444</v>
      </c>
      <c r="B103" s="3">
        <v>6</v>
      </c>
      <c r="C103" s="3">
        <f t="shared" ca="1" si="47"/>
        <v>15.739411764705881</v>
      </c>
      <c r="D103" s="3">
        <f t="shared" ca="1" si="48"/>
        <v>12.375294117647059</v>
      </c>
      <c r="E103" s="3">
        <f t="shared" ca="1" si="49"/>
        <v>9.0111764705882358</v>
      </c>
      <c r="F103" s="3">
        <f t="shared" si="45"/>
        <v>5.6470588235294121</v>
      </c>
      <c r="G103" s="3">
        <f t="shared" ca="1" si="50"/>
        <v>2.2829411764705885</v>
      </c>
      <c r="H103" s="3">
        <f t="shared" ca="1" si="51"/>
        <v>-1.0811764705882352</v>
      </c>
      <c r="I103" s="3">
        <f t="shared" ca="1" si="52"/>
        <v>-4.445294117647058</v>
      </c>
      <c r="J103">
        <f t="shared" ca="1" si="53"/>
        <v>6</v>
      </c>
      <c r="K103" s="3">
        <f t="shared" ca="1" si="54"/>
        <v>2</v>
      </c>
      <c r="L103" s="3">
        <f t="shared" ca="1" si="55"/>
        <v>12.395382352941176</v>
      </c>
      <c r="M103" s="3">
        <f t="shared" ca="1" si="56"/>
        <v>9.528294117647059</v>
      </c>
      <c r="N103" s="3">
        <f t="shared" ca="1" si="57"/>
        <v>6.6612058823529416</v>
      </c>
      <c r="O103" s="3">
        <f t="shared" ca="1" si="46"/>
        <v>3.7941176470588234</v>
      </c>
      <c r="P103" s="3">
        <f t="shared" ca="1" si="58"/>
        <v>0.92702941176470555</v>
      </c>
      <c r="Q103" s="3">
        <f t="shared" ca="1" si="59"/>
        <v>0</v>
      </c>
      <c r="R103" s="3">
        <v>0</v>
      </c>
    </row>
    <row r="104" spans="1:18" x14ac:dyDescent="0.2">
      <c r="A104" s="2">
        <v>45474</v>
      </c>
      <c r="B104" s="3">
        <v>13</v>
      </c>
      <c r="C104" s="3">
        <f t="shared" ca="1" si="47"/>
        <v>15.739411764705881</v>
      </c>
      <c r="D104" s="3">
        <f t="shared" ca="1" si="48"/>
        <v>12.375294117647059</v>
      </c>
      <c r="E104" s="3">
        <f t="shared" ca="1" si="49"/>
        <v>9.0111764705882358</v>
      </c>
      <c r="F104" s="3">
        <f t="shared" si="45"/>
        <v>5.6470588235294121</v>
      </c>
      <c r="G104" s="3">
        <f t="shared" ca="1" si="50"/>
        <v>2.2829411764705885</v>
      </c>
      <c r="H104" s="3">
        <f t="shared" ca="1" si="51"/>
        <v>-1.0811764705882352</v>
      </c>
      <c r="I104" s="3">
        <f t="shared" ca="1" si="52"/>
        <v>-4.445294117647058</v>
      </c>
      <c r="J104">
        <f t="shared" ca="1" si="53"/>
        <v>13</v>
      </c>
      <c r="K104" s="3">
        <f t="shared" ca="1" si="54"/>
        <v>7</v>
      </c>
      <c r="L104" s="3">
        <f t="shared" ca="1" si="55"/>
        <v>12.395382352941176</v>
      </c>
      <c r="M104" s="3">
        <f t="shared" ca="1" si="56"/>
        <v>9.528294117647059</v>
      </c>
      <c r="N104" s="3">
        <f t="shared" ca="1" si="57"/>
        <v>6.6612058823529416</v>
      </c>
      <c r="O104" s="3">
        <f t="shared" ca="1" si="46"/>
        <v>3.7941176470588234</v>
      </c>
      <c r="P104" s="3">
        <f t="shared" ca="1" si="58"/>
        <v>0.92702941176470555</v>
      </c>
      <c r="Q104" s="3">
        <f t="shared" ca="1" si="59"/>
        <v>0</v>
      </c>
      <c r="R104" s="3">
        <v>0</v>
      </c>
    </row>
    <row r="105" spans="1:18" x14ac:dyDescent="0.2">
      <c r="A105" s="2">
        <v>45505</v>
      </c>
      <c r="B105" s="3">
        <v>3</v>
      </c>
      <c r="C105" s="3">
        <f t="shared" ca="1" si="47"/>
        <v>15.739411764705881</v>
      </c>
      <c r="D105" s="3">
        <f t="shared" ca="1" si="48"/>
        <v>12.375294117647059</v>
      </c>
      <c r="E105" s="3">
        <f t="shared" ca="1" si="49"/>
        <v>9.0111764705882358</v>
      </c>
      <c r="F105" s="3">
        <f t="shared" si="45"/>
        <v>5.6470588235294121</v>
      </c>
      <c r="G105" s="3">
        <f t="shared" ca="1" si="50"/>
        <v>2.2829411764705885</v>
      </c>
      <c r="H105" s="3">
        <f t="shared" ca="1" si="51"/>
        <v>-1.0811764705882352</v>
      </c>
      <c r="I105" s="3">
        <f t="shared" ca="1" si="52"/>
        <v>-4.445294117647058</v>
      </c>
      <c r="J105">
        <f t="shared" ca="1" si="53"/>
        <v>3</v>
      </c>
      <c r="K105" s="3">
        <f t="shared" ca="1" si="54"/>
        <v>10</v>
      </c>
      <c r="L105" s="3">
        <f t="shared" ca="1" si="55"/>
        <v>12.395382352941176</v>
      </c>
      <c r="M105" s="3">
        <f t="shared" ca="1" si="56"/>
        <v>9.528294117647059</v>
      </c>
      <c r="N105" s="3">
        <f t="shared" ca="1" si="57"/>
        <v>6.6612058823529416</v>
      </c>
      <c r="O105" s="3">
        <f t="shared" ca="1" si="46"/>
        <v>3.7941176470588234</v>
      </c>
      <c r="P105" s="3">
        <f t="shared" ca="1" si="58"/>
        <v>0.92702941176470555</v>
      </c>
      <c r="Q105" s="3">
        <f t="shared" ca="1" si="59"/>
        <v>0</v>
      </c>
      <c r="R105" s="3">
        <v>0</v>
      </c>
    </row>
    <row r="106" spans="1:18" x14ac:dyDescent="0.2">
      <c r="A106" s="2">
        <v>45536</v>
      </c>
      <c r="B106" s="3">
        <v>9</v>
      </c>
      <c r="C106" s="3">
        <f t="shared" ca="1" si="47"/>
        <v>15.739411764705881</v>
      </c>
      <c r="D106" s="3">
        <f t="shared" ca="1" si="48"/>
        <v>12.375294117647059</v>
      </c>
      <c r="E106" s="3">
        <f t="shared" ca="1" si="49"/>
        <v>9.0111764705882358</v>
      </c>
      <c r="F106" s="3">
        <f t="shared" si="45"/>
        <v>5.6470588235294121</v>
      </c>
      <c r="G106" s="3">
        <f t="shared" ca="1" si="50"/>
        <v>2.2829411764705885</v>
      </c>
      <c r="H106" s="3">
        <f t="shared" ca="1" si="51"/>
        <v>-1.0811764705882352</v>
      </c>
      <c r="I106" s="3">
        <f t="shared" ca="1" si="52"/>
        <v>-4.445294117647058</v>
      </c>
      <c r="J106">
        <f t="shared" ca="1" si="53"/>
        <v>9</v>
      </c>
      <c r="K106" s="3">
        <f t="shared" ca="1" si="54"/>
        <v>6</v>
      </c>
      <c r="L106" s="3">
        <f t="shared" ca="1" si="55"/>
        <v>12.395382352941176</v>
      </c>
      <c r="M106" s="3">
        <f t="shared" ca="1" si="56"/>
        <v>9.528294117647059</v>
      </c>
      <c r="N106" s="3">
        <f t="shared" ca="1" si="57"/>
        <v>6.6612058823529416</v>
      </c>
      <c r="O106" s="3">
        <f t="shared" ca="1" si="46"/>
        <v>3.7941176470588234</v>
      </c>
      <c r="P106" s="3">
        <f t="shared" ca="1" si="58"/>
        <v>0.92702941176470555</v>
      </c>
      <c r="Q106" s="3">
        <f t="shared" ca="1" si="59"/>
        <v>0</v>
      </c>
      <c r="R106" s="3">
        <v>0</v>
      </c>
    </row>
    <row r="107" spans="1:18" x14ac:dyDescent="0.2">
      <c r="A107" s="2">
        <v>45566</v>
      </c>
      <c r="B107" s="3">
        <v>2</v>
      </c>
      <c r="C107" s="3">
        <f t="shared" ca="1" si="47"/>
        <v>15.739411764705881</v>
      </c>
      <c r="D107" s="3">
        <f t="shared" ca="1" si="48"/>
        <v>12.375294117647059</v>
      </c>
      <c r="E107" s="3">
        <f t="shared" ca="1" si="49"/>
        <v>9.0111764705882358</v>
      </c>
      <c r="F107" s="3">
        <f t="shared" si="45"/>
        <v>5.6470588235294121</v>
      </c>
      <c r="G107" s="3">
        <f t="shared" ca="1" si="50"/>
        <v>2.2829411764705885</v>
      </c>
      <c r="H107" s="3">
        <f t="shared" ca="1" si="51"/>
        <v>-1.0811764705882352</v>
      </c>
      <c r="I107" s="3">
        <f t="shared" ca="1" si="52"/>
        <v>-4.445294117647058</v>
      </c>
      <c r="J107">
        <f t="shared" ca="1" si="53"/>
        <v>2</v>
      </c>
      <c r="K107" s="3">
        <f t="shared" ca="1" si="54"/>
        <v>7</v>
      </c>
      <c r="L107" s="3">
        <f t="shared" ca="1" si="55"/>
        <v>12.395382352941176</v>
      </c>
      <c r="M107" s="3">
        <f t="shared" ca="1" si="56"/>
        <v>9.528294117647059</v>
      </c>
      <c r="N107" s="3">
        <f t="shared" ca="1" si="57"/>
        <v>6.6612058823529416</v>
      </c>
      <c r="O107" s="3">
        <f t="shared" ca="1" si="46"/>
        <v>3.7941176470588234</v>
      </c>
      <c r="P107" s="3">
        <f t="shared" ca="1" si="58"/>
        <v>0.92702941176470555</v>
      </c>
      <c r="Q107" s="3">
        <f t="shared" ca="1" si="59"/>
        <v>0</v>
      </c>
      <c r="R107" s="3">
        <v>0</v>
      </c>
    </row>
    <row r="108" spans="1:18" x14ac:dyDescent="0.2">
      <c r="A108" s="2">
        <v>45597</v>
      </c>
      <c r="B108" s="3">
        <v>5</v>
      </c>
      <c r="C108" s="3">
        <f t="shared" ca="1" si="47"/>
        <v>15.739411764705881</v>
      </c>
      <c r="D108" s="3">
        <f t="shared" ca="1" si="48"/>
        <v>12.375294117647059</v>
      </c>
      <c r="E108" s="3">
        <f t="shared" ca="1" si="49"/>
        <v>9.0111764705882358</v>
      </c>
      <c r="F108" s="3">
        <f t="shared" si="45"/>
        <v>5.6470588235294121</v>
      </c>
      <c r="G108" s="3">
        <f t="shared" ca="1" si="50"/>
        <v>2.2829411764705885</v>
      </c>
      <c r="H108" s="3">
        <f t="shared" ca="1" si="51"/>
        <v>-1.0811764705882352</v>
      </c>
      <c r="I108" s="3">
        <f t="shared" ca="1" si="52"/>
        <v>-4.445294117647058</v>
      </c>
      <c r="J108">
        <f t="shared" ca="1" si="53"/>
        <v>5</v>
      </c>
      <c r="K108" s="3">
        <f t="shared" ca="1" si="54"/>
        <v>3</v>
      </c>
      <c r="L108" s="3">
        <f t="shared" ca="1" si="55"/>
        <v>12.395382352941176</v>
      </c>
      <c r="M108" s="3">
        <f t="shared" ca="1" si="56"/>
        <v>9.528294117647059</v>
      </c>
      <c r="N108" s="3">
        <f t="shared" ca="1" si="57"/>
        <v>6.6612058823529416</v>
      </c>
      <c r="O108" s="3">
        <f t="shared" ca="1" si="46"/>
        <v>3.7941176470588234</v>
      </c>
      <c r="P108" s="3">
        <f t="shared" ca="1" si="58"/>
        <v>0.92702941176470555</v>
      </c>
      <c r="Q108" s="3">
        <f t="shared" ca="1" si="59"/>
        <v>0</v>
      </c>
      <c r="R108" s="3">
        <v>0</v>
      </c>
    </row>
    <row r="109" spans="1:18" x14ac:dyDescent="0.2">
      <c r="A109" s="2">
        <v>45627</v>
      </c>
      <c r="B109" s="3">
        <v>1</v>
      </c>
      <c r="C109" s="3">
        <f t="shared" ca="1" si="47"/>
        <v>15.739411764705881</v>
      </c>
      <c r="D109" s="3">
        <f t="shared" ca="1" si="48"/>
        <v>12.375294117647059</v>
      </c>
      <c r="E109" s="3">
        <f t="shared" ca="1" si="49"/>
        <v>9.0111764705882358</v>
      </c>
      <c r="F109" s="3">
        <f t="shared" si="45"/>
        <v>5.6470588235294121</v>
      </c>
      <c r="G109" s="3">
        <f t="shared" ca="1" si="50"/>
        <v>2.2829411764705885</v>
      </c>
      <c r="H109" s="3">
        <f t="shared" ca="1" si="51"/>
        <v>-1.0811764705882352</v>
      </c>
      <c r="I109" s="3">
        <f t="shared" ca="1" si="52"/>
        <v>-4.445294117647058</v>
      </c>
      <c r="J109">
        <f t="shared" ca="1" si="53"/>
        <v>1</v>
      </c>
      <c r="K109" s="3">
        <f t="shared" ca="1" si="54"/>
        <v>4</v>
      </c>
      <c r="L109" s="3">
        <f t="shared" ca="1" si="55"/>
        <v>12.395382352941176</v>
      </c>
      <c r="M109" s="3">
        <f t="shared" ca="1" si="56"/>
        <v>9.528294117647059</v>
      </c>
      <c r="N109" s="3">
        <f t="shared" ca="1" si="57"/>
        <v>6.6612058823529416</v>
      </c>
      <c r="O109" s="3">
        <f t="shared" ca="1" si="46"/>
        <v>3.7941176470588234</v>
      </c>
      <c r="P109" s="3">
        <f t="shared" ca="1" si="58"/>
        <v>0.92702941176470555</v>
      </c>
      <c r="Q109" s="3">
        <f t="shared" ca="1" si="59"/>
        <v>0</v>
      </c>
      <c r="R109" s="3">
        <v>0</v>
      </c>
    </row>
    <row r="110" spans="1:18" x14ac:dyDescent="0.2">
      <c r="A110" s="2">
        <v>45658</v>
      </c>
      <c r="B110" s="3">
        <v>4</v>
      </c>
      <c r="C110" s="3">
        <f t="shared" ca="1" si="47"/>
        <v>15.739411764705881</v>
      </c>
      <c r="D110" s="3">
        <f t="shared" ca="1" si="48"/>
        <v>12.375294117647059</v>
      </c>
      <c r="E110" s="3">
        <f t="shared" ca="1" si="49"/>
        <v>9.0111764705882358</v>
      </c>
      <c r="F110" s="3">
        <f t="shared" si="45"/>
        <v>5.6470588235294121</v>
      </c>
      <c r="G110" s="3">
        <f t="shared" ca="1" si="50"/>
        <v>2.2829411764705885</v>
      </c>
      <c r="H110" s="3">
        <f t="shared" ca="1" si="51"/>
        <v>-1.0811764705882352</v>
      </c>
      <c r="I110" s="3">
        <f t="shared" ca="1" si="52"/>
        <v>-4.445294117647058</v>
      </c>
      <c r="J110">
        <f t="shared" ca="1" si="53"/>
        <v>4</v>
      </c>
      <c r="K110" s="3">
        <f t="shared" ca="1" si="54"/>
        <v>3</v>
      </c>
      <c r="L110" s="3">
        <f t="shared" ca="1" si="55"/>
        <v>12.395382352941176</v>
      </c>
      <c r="M110" s="3">
        <f t="shared" ca="1" si="56"/>
        <v>9.528294117647059</v>
      </c>
      <c r="N110" s="3">
        <f t="shared" ca="1" si="57"/>
        <v>6.6612058823529416</v>
      </c>
      <c r="O110" s="3">
        <f t="shared" ca="1" si="46"/>
        <v>3.7941176470588234</v>
      </c>
      <c r="P110" s="3">
        <f t="shared" ca="1" si="58"/>
        <v>0.92702941176470555</v>
      </c>
      <c r="Q110" s="3">
        <f t="shared" ca="1" si="59"/>
        <v>0</v>
      </c>
      <c r="R110" s="3">
        <v>0</v>
      </c>
    </row>
    <row r="111" spans="1:18" x14ac:dyDescent="0.2">
      <c r="A111" s="2">
        <v>45689</v>
      </c>
      <c r="B111" s="3">
        <v>7</v>
      </c>
      <c r="C111" s="3">
        <f t="shared" ca="1" si="47"/>
        <v>15.648888888888889</v>
      </c>
      <c r="D111" s="3">
        <f t="shared" ca="1" si="48"/>
        <v>13.284444444444444</v>
      </c>
      <c r="E111" s="3">
        <f t="shared" ca="1" si="49"/>
        <v>10.92</v>
      </c>
      <c r="F111" s="3">
        <f t="shared" ref="F111:F119" si="60">AVERAGE($B$111:$B$119)</f>
        <v>8.5555555555555554</v>
      </c>
      <c r="G111" s="3">
        <f t="shared" ca="1" si="50"/>
        <v>6.1911111111111108</v>
      </c>
      <c r="H111" s="3">
        <f t="shared" ca="1" si="51"/>
        <v>3.8266666666666662</v>
      </c>
      <c r="I111" s="3">
        <f t="shared" ca="1" si="52"/>
        <v>1.4622222222222216</v>
      </c>
      <c r="J111">
        <f t="shared" ca="1" si="53"/>
        <v>7</v>
      </c>
      <c r="K111" s="3">
        <f t="shared" ca="1" si="54"/>
        <v>3</v>
      </c>
      <c r="L111" s="3">
        <f t="shared" ca="1" si="55"/>
        <v>8.7119999999999997</v>
      </c>
      <c r="M111" s="3">
        <f t="shared" ca="1" si="56"/>
        <v>6.6968888888888891</v>
      </c>
      <c r="N111" s="3">
        <f t="shared" ca="1" si="57"/>
        <v>4.6817777777777776</v>
      </c>
      <c r="O111" s="3">
        <f t="shared" ref="O111:O119" ca="1" si="61">AVERAGE($K$111:$K$119)</f>
        <v>2.6666666666666665</v>
      </c>
      <c r="P111" s="3">
        <f t="shared" ca="1" si="58"/>
        <v>0.65155555555555544</v>
      </c>
      <c r="Q111" s="3">
        <f t="shared" ca="1" si="59"/>
        <v>0</v>
      </c>
      <c r="R111" s="3">
        <v>0</v>
      </c>
    </row>
    <row r="112" spans="1:18" x14ac:dyDescent="0.2">
      <c r="A112" s="2">
        <v>45717</v>
      </c>
      <c r="B112" s="3">
        <v>9</v>
      </c>
      <c r="C112" s="3">
        <f t="shared" ca="1" si="47"/>
        <v>15.648888888888889</v>
      </c>
      <c r="D112" s="3">
        <f t="shared" ca="1" si="48"/>
        <v>13.284444444444444</v>
      </c>
      <c r="E112" s="3">
        <f t="shared" ca="1" si="49"/>
        <v>10.92</v>
      </c>
      <c r="F112" s="3">
        <f t="shared" si="60"/>
        <v>8.5555555555555554</v>
      </c>
      <c r="G112" s="3">
        <f t="shared" ca="1" si="50"/>
        <v>6.1911111111111108</v>
      </c>
      <c r="H112" s="3">
        <f t="shared" ca="1" si="51"/>
        <v>3.8266666666666662</v>
      </c>
      <c r="I112" s="3">
        <f t="shared" ca="1" si="52"/>
        <v>1.4622222222222216</v>
      </c>
      <c r="J112">
        <f t="shared" ca="1" si="53"/>
        <v>9</v>
      </c>
      <c r="K112" s="3">
        <f t="shared" ca="1" si="54"/>
        <v>2</v>
      </c>
      <c r="L112" s="3">
        <f t="shared" ca="1" si="55"/>
        <v>8.7119999999999997</v>
      </c>
      <c r="M112" s="3">
        <f t="shared" ca="1" si="56"/>
        <v>6.6968888888888891</v>
      </c>
      <c r="N112" s="3">
        <f t="shared" ca="1" si="57"/>
        <v>4.6817777777777776</v>
      </c>
      <c r="O112" s="3">
        <f t="shared" ca="1" si="61"/>
        <v>2.6666666666666665</v>
      </c>
      <c r="P112" s="3">
        <f t="shared" ca="1" si="58"/>
        <v>0.65155555555555544</v>
      </c>
      <c r="Q112" s="3">
        <f t="shared" ca="1" si="59"/>
        <v>0</v>
      </c>
      <c r="R112" s="3">
        <v>0</v>
      </c>
    </row>
    <row r="113" spans="1:18" x14ac:dyDescent="0.2">
      <c r="A113" s="2">
        <v>45748</v>
      </c>
      <c r="B113" s="3">
        <v>7</v>
      </c>
      <c r="C113" s="3">
        <f t="shared" ca="1" si="47"/>
        <v>15.648888888888889</v>
      </c>
      <c r="D113" s="3">
        <f t="shared" ca="1" si="48"/>
        <v>13.284444444444444</v>
      </c>
      <c r="E113" s="3">
        <f t="shared" ca="1" si="49"/>
        <v>10.92</v>
      </c>
      <c r="F113" s="3">
        <f t="shared" si="60"/>
        <v>8.5555555555555554</v>
      </c>
      <c r="G113" s="3">
        <f t="shared" ca="1" si="50"/>
        <v>6.1911111111111108</v>
      </c>
      <c r="H113" s="3">
        <f t="shared" ca="1" si="51"/>
        <v>3.8266666666666662</v>
      </c>
      <c r="I113" s="3">
        <f t="shared" ca="1" si="52"/>
        <v>1.4622222222222216</v>
      </c>
      <c r="J113">
        <f t="shared" ca="1" si="53"/>
        <v>7</v>
      </c>
      <c r="K113" s="3">
        <f t="shared" ca="1" si="54"/>
        <v>2</v>
      </c>
      <c r="L113" s="3">
        <f t="shared" ca="1" si="55"/>
        <v>8.7119999999999997</v>
      </c>
      <c r="M113" s="3">
        <f t="shared" ca="1" si="56"/>
        <v>6.6968888888888891</v>
      </c>
      <c r="N113" s="3">
        <f t="shared" ca="1" si="57"/>
        <v>4.6817777777777776</v>
      </c>
      <c r="O113" s="3">
        <f t="shared" ca="1" si="61"/>
        <v>2.6666666666666665</v>
      </c>
      <c r="P113" s="3">
        <f t="shared" ca="1" si="58"/>
        <v>0.65155555555555544</v>
      </c>
      <c r="Q113" s="3">
        <f t="shared" ca="1" si="59"/>
        <v>0</v>
      </c>
      <c r="R113" s="3">
        <v>0</v>
      </c>
    </row>
    <row r="114" spans="1:18" x14ac:dyDescent="0.2">
      <c r="A114" s="2">
        <v>45778</v>
      </c>
      <c r="B114" s="3">
        <v>12</v>
      </c>
      <c r="C114" s="3">
        <f t="shared" ca="1" si="47"/>
        <v>15.648888888888889</v>
      </c>
      <c r="D114" s="3">
        <f t="shared" ca="1" si="48"/>
        <v>13.284444444444444</v>
      </c>
      <c r="E114" s="3">
        <f t="shared" ca="1" si="49"/>
        <v>10.92</v>
      </c>
      <c r="F114" s="3">
        <f t="shared" si="60"/>
        <v>8.5555555555555554</v>
      </c>
      <c r="G114" s="3">
        <f t="shared" ca="1" si="50"/>
        <v>6.1911111111111108</v>
      </c>
      <c r="H114" s="3">
        <f t="shared" ca="1" si="51"/>
        <v>3.8266666666666662</v>
      </c>
      <c r="I114" s="3">
        <f t="shared" ca="1" si="52"/>
        <v>1.4622222222222216</v>
      </c>
      <c r="J114">
        <f t="shared" ca="1" si="53"/>
        <v>12</v>
      </c>
      <c r="K114" s="3">
        <f t="shared" ca="1" si="54"/>
        <v>5</v>
      </c>
      <c r="L114" s="3">
        <f t="shared" ca="1" si="55"/>
        <v>8.7119999999999997</v>
      </c>
      <c r="M114" s="3">
        <f t="shared" ca="1" si="56"/>
        <v>6.6968888888888891</v>
      </c>
      <c r="N114" s="3">
        <f t="shared" ca="1" si="57"/>
        <v>4.6817777777777776</v>
      </c>
      <c r="O114" s="3">
        <f t="shared" ca="1" si="61"/>
        <v>2.6666666666666665</v>
      </c>
      <c r="P114" s="3">
        <f t="shared" ca="1" si="58"/>
        <v>0.65155555555555544</v>
      </c>
      <c r="Q114" s="3">
        <f t="shared" ca="1" si="59"/>
        <v>0</v>
      </c>
      <c r="R114" s="3">
        <v>0</v>
      </c>
    </row>
    <row r="115" spans="1:18" x14ac:dyDescent="0.2">
      <c r="A115" s="2">
        <v>45809</v>
      </c>
      <c r="B115" s="3">
        <v>9</v>
      </c>
      <c r="C115" s="3">
        <f t="shared" ca="1" si="47"/>
        <v>15.648888888888889</v>
      </c>
      <c r="D115" s="3">
        <f t="shared" ca="1" si="48"/>
        <v>13.284444444444444</v>
      </c>
      <c r="E115" s="3">
        <f t="shared" ca="1" si="49"/>
        <v>10.92</v>
      </c>
      <c r="F115" s="3">
        <f t="shared" si="60"/>
        <v>8.5555555555555554</v>
      </c>
      <c r="G115" s="3">
        <f t="shared" ca="1" si="50"/>
        <v>6.1911111111111108</v>
      </c>
      <c r="H115" s="3">
        <f t="shared" ca="1" si="51"/>
        <v>3.8266666666666662</v>
      </c>
      <c r="I115" s="3">
        <f t="shared" ca="1" si="52"/>
        <v>1.4622222222222216</v>
      </c>
      <c r="J115">
        <f t="shared" ca="1" si="53"/>
        <v>9</v>
      </c>
      <c r="K115" s="3">
        <f t="shared" ca="1" si="54"/>
        <v>3</v>
      </c>
      <c r="L115" s="3">
        <f t="shared" ca="1" si="55"/>
        <v>8.7119999999999997</v>
      </c>
      <c r="M115" s="3">
        <f t="shared" ca="1" si="56"/>
        <v>6.6968888888888891</v>
      </c>
      <c r="N115" s="3">
        <f t="shared" ca="1" si="57"/>
        <v>4.6817777777777776</v>
      </c>
      <c r="O115" s="3">
        <f t="shared" ca="1" si="61"/>
        <v>2.6666666666666665</v>
      </c>
      <c r="P115" s="3">
        <f t="shared" ca="1" si="58"/>
        <v>0.65155555555555544</v>
      </c>
      <c r="Q115" s="3">
        <f t="shared" ca="1" si="59"/>
        <v>0</v>
      </c>
      <c r="R115" s="3">
        <v>0</v>
      </c>
    </row>
    <row r="116" spans="1:18" x14ac:dyDescent="0.2">
      <c r="A116" s="2">
        <v>45839</v>
      </c>
      <c r="B116" s="3">
        <v>7</v>
      </c>
      <c r="C116" s="3">
        <f t="shared" ca="1" si="47"/>
        <v>15.648888888888889</v>
      </c>
      <c r="D116" s="3">
        <f t="shared" ca="1" si="48"/>
        <v>13.284444444444444</v>
      </c>
      <c r="E116" s="3">
        <f t="shared" ca="1" si="49"/>
        <v>10.92</v>
      </c>
      <c r="F116" s="3">
        <f t="shared" si="60"/>
        <v>8.5555555555555554</v>
      </c>
      <c r="G116" s="3">
        <f t="shared" ca="1" si="50"/>
        <v>6.1911111111111108</v>
      </c>
      <c r="H116" s="3">
        <f t="shared" ca="1" si="51"/>
        <v>3.8266666666666662</v>
      </c>
      <c r="I116" s="3">
        <f t="shared" ca="1" si="52"/>
        <v>1.4622222222222216</v>
      </c>
      <c r="J116">
        <f t="shared" ca="1" si="53"/>
        <v>7</v>
      </c>
      <c r="K116" s="3">
        <f t="shared" ca="1" si="54"/>
        <v>2</v>
      </c>
      <c r="L116" s="3">
        <f t="shared" ca="1" si="55"/>
        <v>8.7119999999999997</v>
      </c>
      <c r="M116" s="3">
        <f t="shared" ca="1" si="56"/>
        <v>6.6968888888888891</v>
      </c>
      <c r="N116" s="3">
        <f t="shared" ca="1" si="57"/>
        <v>4.6817777777777776</v>
      </c>
      <c r="O116" s="3">
        <f t="shared" ca="1" si="61"/>
        <v>2.6666666666666665</v>
      </c>
      <c r="P116" s="3">
        <f t="shared" ca="1" si="58"/>
        <v>0.65155555555555544</v>
      </c>
      <c r="Q116" s="3">
        <f t="shared" ca="1" si="59"/>
        <v>0</v>
      </c>
      <c r="R116" s="3">
        <v>0</v>
      </c>
    </row>
    <row r="117" spans="1:18" x14ac:dyDescent="0.2">
      <c r="A117" s="2">
        <v>45870</v>
      </c>
      <c r="B117" s="3">
        <v>9</v>
      </c>
      <c r="C117" s="3">
        <f t="shared" ca="1" si="47"/>
        <v>15.648888888888889</v>
      </c>
      <c r="D117" s="3">
        <f t="shared" ca="1" si="48"/>
        <v>13.284444444444444</v>
      </c>
      <c r="E117" s="3">
        <f t="shared" ca="1" si="49"/>
        <v>10.92</v>
      </c>
      <c r="F117" s="3">
        <f t="shared" si="60"/>
        <v>8.5555555555555554</v>
      </c>
      <c r="G117" s="3">
        <f t="shared" ca="1" si="50"/>
        <v>6.1911111111111108</v>
      </c>
      <c r="H117" s="3">
        <f t="shared" ca="1" si="51"/>
        <v>3.8266666666666662</v>
      </c>
      <c r="I117" s="3">
        <f t="shared" ca="1" si="52"/>
        <v>1.4622222222222216</v>
      </c>
      <c r="J117">
        <f t="shared" ca="1" si="53"/>
        <v>9</v>
      </c>
      <c r="K117" s="3">
        <f t="shared" ca="1" si="54"/>
        <v>2</v>
      </c>
      <c r="L117" s="3">
        <f t="shared" ca="1" si="55"/>
        <v>8.7119999999999997</v>
      </c>
      <c r="M117" s="3">
        <f t="shared" ca="1" si="56"/>
        <v>6.6968888888888891</v>
      </c>
      <c r="N117" s="3">
        <f t="shared" ca="1" si="57"/>
        <v>4.6817777777777776</v>
      </c>
      <c r="O117" s="3">
        <f t="shared" ca="1" si="61"/>
        <v>2.6666666666666665</v>
      </c>
      <c r="P117" s="3">
        <f t="shared" ca="1" si="58"/>
        <v>0.65155555555555544</v>
      </c>
      <c r="Q117" s="3">
        <f t="shared" ca="1" si="59"/>
        <v>0</v>
      </c>
      <c r="R117" s="3">
        <v>0</v>
      </c>
    </row>
    <row r="118" spans="1:18" x14ac:dyDescent="0.2">
      <c r="A118" s="2">
        <v>45901</v>
      </c>
      <c r="B118" s="3">
        <v>7</v>
      </c>
      <c r="C118" s="3">
        <f t="shared" ca="1" si="47"/>
        <v>15.648888888888889</v>
      </c>
      <c r="D118" s="3">
        <f t="shared" ca="1" si="48"/>
        <v>13.284444444444444</v>
      </c>
      <c r="E118" s="3">
        <f t="shared" ca="1" si="49"/>
        <v>10.92</v>
      </c>
      <c r="F118" s="3">
        <f t="shared" si="60"/>
        <v>8.5555555555555554</v>
      </c>
      <c r="G118" s="3">
        <f t="shared" ca="1" si="50"/>
        <v>6.1911111111111108</v>
      </c>
      <c r="H118" s="3">
        <f t="shared" ca="1" si="51"/>
        <v>3.8266666666666662</v>
      </c>
      <c r="I118" s="3">
        <f t="shared" ca="1" si="52"/>
        <v>1.4622222222222216</v>
      </c>
      <c r="J118">
        <f t="shared" ca="1" si="53"/>
        <v>7</v>
      </c>
      <c r="K118" s="3">
        <f t="shared" ca="1" si="54"/>
        <v>2</v>
      </c>
      <c r="L118" s="3">
        <f t="shared" ca="1" si="55"/>
        <v>8.7119999999999997</v>
      </c>
      <c r="M118" s="3">
        <f t="shared" ca="1" si="56"/>
        <v>6.6968888888888891</v>
      </c>
      <c r="N118" s="3">
        <f t="shared" ca="1" si="57"/>
        <v>4.6817777777777776</v>
      </c>
      <c r="O118" s="3">
        <f t="shared" ca="1" si="61"/>
        <v>2.6666666666666665</v>
      </c>
      <c r="P118" s="3">
        <f t="shared" ca="1" si="58"/>
        <v>0.65155555555555544</v>
      </c>
      <c r="Q118" s="3">
        <f t="shared" ca="1" si="59"/>
        <v>0</v>
      </c>
      <c r="R118" s="3">
        <v>0</v>
      </c>
    </row>
    <row r="119" spans="1:18" x14ac:dyDescent="0.2">
      <c r="A119" s="2">
        <v>45931</v>
      </c>
      <c r="B119" s="3">
        <v>10</v>
      </c>
      <c r="C119" s="3">
        <f t="shared" ca="1" si="47"/>
        <v>15.648888888888889</v>
      </c>
      <c r="D119" s="3">
        <f t="shared" ca="1" si="48"/>
        <v>13.284444444444444</v>
      </c>
      <c r="E119" s="3">
        <f t="shared" ca="1" si="49"/>
        <v>10.92</v>
      </c>
      <c r="F119" s="3">
        <f t="shared" si="60"/>
        <v>8.5555555555555554</v>
      </c>
      <c r="G119" s="3">
        <f t="shared" ca="1" si="50"/>
        <v>6.1911111111111108</v>
      </c>
      <c r="H119" s="3">
        <f t="shared" ca="1" si="51"/>
        <v>3.8266666666666662</v>
      </c>
      <c r="I119" s="3">
        <f t="shared" ca="1" si="52"/>
        <v>1.4622222222222216</v>
      </c>
      <c r="J119">
        <f t="shared" ca="1" si="53"/>
        <v>10</v>
      </c>
      <c r="K119" s="3">
        <f t="shared" ca="1" si="54"/>
        <v>3</v>
      </c>
      <c r="L119" s="3">
        <f t="shared" ca="1" si="55"/>
        <v>8.7119999999999997</v>
      </c>
      <c r="M119" s="3">
        <f t="shared" ca="1" si="56"/>
        <v>6.6968888888888891</v>
      </c>
      <c r="N119" s="3">
        <f t="shared" ca="1" si="57"/>
        <v>4.6817777777777776</v>
      </c>
      <c r="O119" s="3">
        <f t="shared" ca="1" si="61"/>
        <v>2.6666666666666665</v>
      </c>
      <c r="P119" s="3">
        <f t="shared" ca="1" si="58"/>
        <v>0.65155555555555544</v>
      </c>
      <c r="Q119" s="3">
        <f t="shared" ca="1" si="59"/>
        <v>0</v>
      </c>
      <c r="R119" s="3">
        <v>0</v>
      </c>
    </row>
    <row r="120" spans="1:18" x14ac:dyDescent="0.2">
      <c r="A120" s="2">
        <v>45962</v>
      </c>
      <c r="B120" s="3">
        <v>5</v>
      </c>
      <c r="C120" s="3">
        <f t="shared" ca="1" si="47"/>
        <v>11.54</v>
      </c>
      <c r="D120" s="3">
        <f t="shared" ca="1" si="48"/>
        <v>9.4711111111111101</v>
      </c>
      <c r="E120" s="3">
        <f t="shared" ca="1" si="49"/>
        <v>7.402222222222222</v>
      </c>
      <c r="F120" s="3">
        <f t="shared" ref="F120:F142" si="62">AVERAGE($B$120:$B$122)</f>
        <v>5.333333333333333</v>
      </c>
      <c r="G120" s="3">
        <f t="shared" ca="1" si="50"/>
        <v>3.264444444444444</v>
      </c>
      <c r="H120" s="3">
        <f t="shared" ca="1" si="51"/>
        <v>1.195555555555555</v>
      </c>
      <c r="I120" s="3">
        <f t="shared" ca="1" si="52"/>
        <v>-0.87333333333333396</v>
      </c>
      <c r="J120">
        <f t="shared" ca="1" si="53"/>
        <v>5</v>
      </c>
      <c r="K120" s="3">
        <f t="shared" ca="1" si="54"/>
        <v>5</v>
      </c>
      <c r="L120" s="3">
        <f t="shared" ca="1" si="55"/>
        <v>7.6230000000000002</v>
      </c>
      <c r="M120" s="3">
        <f t="shared" ca="1" si="56"/>
        <v>5.8597777777777775</v>
      </c>
      <c r="N120" s="3">
        <f t="shared" ca="1" si="57"/>
        <v>4.0965555555555557</v>
      </c>
      <c r="O120" s="3">
        <f t="shared" ref="O120:O142" ca="1" si="63">AVERAGE($K$120:$K$122)</f>
        <v>2.3333333333333335</v>
      </c>
      <c r="P120" s="3">
        <f t="shared" ca="1" si="58"/>
        <v>0.57011111111111124</v>
      </c>
      <c r="Q120" s="3">
        <f t="shared" ca="1" si="59"/>
        <v>0</v>
      </c>
      <c r="R120" s="3">
        <v>0</v>
      </c>
    </row>
    <row r="121" spans="1:18" x14ac:dyDescent="0.2">
      <c r="A121" s="2">
        <v>45992</v>
      </c>
      <c r="B121" s="3">
        <v>6</v>
      </c>
      <c r="C121" s="3">
        <f t="shared" ca="1" si="47"/>
        <v>11.54</v>
      </c>
      <c r="D121" s="3">
        <f t="shared" ca="1" si="48"/>
        <v>9.4711111111111101</v>
      </c>
      <c r="E121" s="3">
        <f t="shared" ca="1" si="49"/>
        <v>7.402222222222222</v>
      </c>
      <c r="F121" s="3">
        <f t="shared" si="62"/>
        <v>5.333333333333333</v>
      </c>
      <c r="G121" s="3">
        <f t="shared" ca="1" si="50"/>
        <v>3.264444444444444</v>
      </c>
      <c r="H121" s="3">
        <f t="shared" ca="1" si="51"/>
        <v>1.195555555555555</v>
      </c>
      <c r="I121" s="3">
        <f t="shared" ca="1" si="52"/>
        <v>-0.87333333333333396</v>
      </c>
      <c r="J121">
        <f t="shared" ca="1" si="53"/>
        <v>6</v>
      </c>
      <c r="K121" s="3">
        <f t="shared" ca="1" si="54"/>
        <v>1</v>
      </c>
      <c r="L121" s="3">
        <f t="shared" ca="1" si="55"/>
        <v>7.6230000000000002</v>
      </c>
      <c r="M121" s="3">
        <f t="shared" ca="1" si="56"/>
        <v>5.8597777777777775</v>
      </c>
      <c r="N121" s="3">
        <f t="shared" ca="1" si="57"/>
        <v>4.0965555555555557</v>
      </c>
      <c r="O121" s="3">
        <f t="shared" ca="1" si="63"/>
        <v>2.3333333333333335</v>
      </c>
      <c r="P121" s="3">
        <f t="shared" ca="1" si="58"/>
        <v>0.57011111111111124</v>
      </c>
      <c r="Q121" s="3">
        <f t="shared" ca="1" si="59"/>
        <v>0</v>
      </c>
      <c r="R121" s="3">
        <v>0</v>
      </c>
    </row>
    <row r="122" spans="1:18" x14ac:dyDescent="0.2">
      <c r="A122" s="2">
        <v>46023</v>
      </c>
      <c r="B122" s="3">
        <v>5</v>
      </c>
      <c r="C122" s="3">
        <f t="shared" ca="1" si="47"/>
        <v>11.54</v>
      </c>
      <c r="D122" s="3">
        <f t="shared" ca="1" si="48"/>
        <v>9.4711111111111101</v>
      </c>
      <c r="E122" s="3">
        <f t="shared" ca="1" si="49"/>
        <v>7.402222222222222</v>
      </c>
      <c r="F122" s="3">
        <f t="shared" si="62"/>
        <v>5.333333333333333</v>
      </c>
      <c r="G122" s="3">
        <f t="shared" ca="1" si="50"/>
        <v>3.264444444444444</v>
      </c>
      <c r="H122" s="3">
        <f t="shared" ca="1" si="51"/>
        <v>1.195555555555555</v>
      </c>
      <c r="I122" s="3">
        <f t="shared" ca="1" si="52"/>
        <v>-0.87333333333333396</v>
      </c>
      <c r="J122">
        <f t="shared" ca="1" si="53"/>
        <v>5</v>
      </c>
      <c r="K122" s="3">
        <f t="shared" ca="1" si="54"/>
        <v>1</v>
      </c>
      <c r="L122" s="3">
        <f t="shared" ca="1" si="55"/>
        <v>7.6230000000000002</v>
      </c>
      <c r="M122" s="3">
        <f t="shared" ca="1" si="56"/>
        <v>5.8597777777777775</v>
      </c>
      <c r="N122" s="3">
        <f t="shared" ca="1" si="57"/>
        <v>4.0965555555555557</v>
      </c>
      <c r="O122" s="3">
        <f t="shared" ca="1" si="63"/>
        <v>2.3333333333333335</v>
      </c>
      <c r="P122" s="3">
        <f t="shared" ca="1" si="58"/>
        <v>0.57011111111111124</v>
      </c>
      <c r="Q122" s="3">
        <f t="shared" ca="1" si="59"/>
        <v>0</v>
      </c>
      <c r="R122" s="3">
        <v>0</v>
      </c>
    </row>
    <row r="123" spans="1:18" x14ac:dyDescent="0.2">
      <c r="B123" s="3"/>
      <c r="C123" s="3">
        <f t="shared" ca="1" si="47"/>
        <v>11.54</v>
      </c>
      <c r="D123" s="3">
        <f t="shared" ca="1" si="48"/>
        <v>9.4711111111111101</v>
      </c>
      <c r="E123" s="3">
        <f t="shared" ca="1" si="49"/>
        <v>7.402222222222222</v>
      </c>
      <c r="F123" s="3">
        <f t="shared" si="62"/>
        <v>5.333333333333333</v>
      </c>
      <c r="G123" s="3">
        <f t="shared" ca="1" si="50"/>
        <v>3.264444444444444</v>
      </c>
      <c r="H123" s="3">
        <f t="shared" ca="1" si="51"/>
        <v>1.195555555555555</v>
      </c>
      <c r="I123" s="3">
        <f t="shared" ca="1" si="52"/>
        <v>-0.87333333333333396</v>
      </c>
      <c r="J123">
        <f t="shared" ca="1" si="53"/>
        <v>5</v>
      </c>
      <c r="K123" t="str">
        <f t="shared" ca="1" si="54"/>
        <v/>
      </c>
      <c r="L123">
        <f t="shared" ca="1" si="55"/>
        <v>7.6230000000000002</v>
      </c>
      <c r="M123">
        <f t="shared" ca="1" si="56"/>
        <v>5.8597777777777775</v>
      </c>
      <c r="N123">
        <f t="shared" ca="1" si="57"/>
        <v>4.0965555555555557</v>
      </c>
      <c r="O123" s="3">
        <f t="shared" ca="1" si="63"/>
        <v>2.3333333333333335</v>
      </c>
      <c r="P123">
        <f t="shared" ca="1" si="58"/>
        <v>0.57011111111111124</v>
      </c>
      <c r="Q123">
        <f t="shared" ca="1" si="59"/>
        <v>0</v>
      </c>
      <c r="R123">
        <v>0</v>
      </c>
    </row>
    <row r="124" spans="1:18" x14ac:dyDescent="0.2">
      <c r="B124" s="3"/>
      <c r="C124" s="3">
        <f t="shared" ca="1" si="47"/>
        <v>11.54</v>
      </c>
      <c r="D124" s="3">
        <f t="shared" ca="1" si="48"/>
        <v>9.4711111111111101</v>
      </c>
      <c r="E124" s="3">
        <f t="shared" ca="1" si="49"/>
        <v>7.402222222222222</v>
      </c>
      <c r="F124" s="3">
        <f t="shared" si="62"/>
        <v>5.333333333333333</v>
      </c>
      <c r="G124" s="3">
        <f t="shared" ca="1" si="50"/>
        <v>3.264444444444444</v>
      </c>
      <c r="H124" s="3">
        <f t="shared" ca="1" si="51"/>
        <v>1.195555555555555</v>
      </c>
      <c r="I124" s="3">
        <f t="shared" ca="1" si="52"/>
        <v>-0.87333333333333396</v>
      </c>
      <c r="J124">
        <f t="shared" ca="1" si="53"/>
        <v>5</v>
      </c>
      <c r="K124" t="str">
        <f t="shared" ca="1" si="54"/>
        <v/>
      </c>
      <c r="L124">
        <f t="shared" ca="1" si="55"/>
        <v>7.6230000000000002</v>
      </c>
      <c r="M124">
        <f t="shared" ca="1" si="56"/>
        <v>5.8597777777777775</v>
      </c>
      <c r="N124">
        <f t="shared" ca="1" si="57"/>
        <v>4.0965555555555557</v>
      </c>
      <c r="O124" s="3">
        <f t="shared" ca="1" si="63"/>
        <v>2.3333333333333335</v>
      </c>
      <c r="P124">
        <f t="shared" ca="1" si="58"/>
        <v>0.57011111111111124</v>
      </c>
      <c r="Q124">
        <f t="shared" ca="1" si="59"/>
        <v>0</v>
      </c>
      <c r="R124">
        <v>0</v>
      </c>
    </row>
    <row r="125" spans="1:18" x14ac:dyDescent="0.2">
      <c r="B125" s="3"/>
      <c r="C125" s="3">
        <f t="shared" ca="1" si="47"/>
        <v>11.54</v>
      </c>
      <c r="D125" s="3">
        <f t="shared" ca="1" si="48"/>
        <v>9.4711111111111101</v>
      </c>
      <c r="E125" s="3">
        <f t="shared" ca="1" si="49"/>
        <v>7.402222222222222</v>
      </c>
      <c r="F125" s="3">
        <f t="shared" si="62"/>
        <v>5.333333333333333</v>
      </c>
      <c r="G125" s="3">
        <f t="shared" ca="1" si="50"/>
        <v>3.264444444444444</v>
      </c>
      <c r="H125" s="3">
        <f t="shared" ca="1" si="51"/>
        <v>1.195555555555555</v>
      </c>
      <c r="I125" s="3">
        <f t="shared" ca="1" si="52"/>
        <v>-0.87333333333333396</v>
      </c>
      <c r="J125">
        <f t="shared" ca="1" si="53"/>
        <v>5</v>
      </c>
      <c r="K125" t="str">
        <f t="shared" ca="1" si="54"/>
        <v/>
      </c>
      <c r="L125">
        <f t="shared" ca="1" si="55"/>
        <v>7.6230000000000002</v>
      </c>
      <c r="M125">
        <f t="shared" ca="1" si="56"/>
        <v>5.8597777777777775</v>
      </c>
      <c r="N125">
        <f t="shared" ca="1" si="57"/>
        <v>4.0965555555555557</v>
      </c>
      <c r="O125" s="3">
        <f t="shared" ca="1" si="63"/>
        <v>2.3333333333333335</v>
      </c>
      <c r="P125">
        <f t="shared" ca="1" si="58"/>
        <v>0.57011111111111124</v>
      </c>
      <c r="Q125">
        <f t="shared" ca="1" si="59"/>
        <v>0</v>
      </c>
      <c r="R125">
        <v>0</v>
      </c>
    </row>
    <row r="126" spans="1:18" x14ac:dyDescent="0.2">
      <c r="B126" s="3"/>
      <c r="C126" s="3">
        <f t="shared" ca="1" si="47"/>
        <v>11.54</v>
      </c>
      <c r="D126" s="3">
        <f t="shared" ca="1" si="48"/>
        <v>9.4711111111111101</v>
      </c>
      <c r="E126" s="3">
        <f t="shared" ca="1" si="49"/>
        <v>7.402222222222222</v>
      </c>
      <c r="F126" s="3">
        <f t="shared" si="62"/>
        <v>5.333333333333333</v>
      </c>
      <c r="G126" s="3">
        <f t="shared" ca="1" si="50"/>
        <v>3.264444444444444</v>
      </c>
      <c r="H126" s="3">
        <f t="shared" ca="1" si="51"/>
        <v>1.195555555555555</v>
      </c>
      <c r="I126" s="3">
        <f t="shared" ca="1" si="52"/>
        <v>-0.87333333333333396</v>
      </c>
      <c r="J126">
        <f t="shared" ca="1" si="53"/>
        <v>5</v>
      </c>
      <c r="K126" t="str">
        <f t="shared" ca="1" si="54"/>
        <v/>
      </c>
      <c r="L126">
        <f t="shared" ca="1" si="55"/>
        <v>7.6230000000000002</v>
      </c>
      <c r="M126">
        <f t="shared" ca="1" si="56"/>
        <v>5.8597777777777775</v>
      </c>
      <c r="N126">
        <f t="shared" ca="1" si="57"/>
        <v>4.0965555555555557</v>
      </c>
      <c r="O126" s="3">
        <f t="shared" ca="1" si="63"/>
        <v>2.3333333333333335</v>
      </c>
      <c r="P126">
        <f t="shared" ca="1" si="58"/>
        <v>0.57011111111111124</v>
      </c>
      <c r="Q126">
        <f t="shared" ca="1" si="59"/>
        <v>0</v>
      </c>
      <c r="R126">
        <v>0</v>
      </c>
    </row>
    <row r="127" spans="1:18" x14ac:dyDescent="0.2">
      <c r="B127" s="3"/>
      <c r="C127" s="3">
        <f t="shared" ca="1" si="47"/>
        <v>11.54</v>
      </c>
      <c r="D127" s="3">
        <f t="shared" ca="1" si="48"/>
        <v>9.4711111111111101</v>
      </c>
      <c r="E127" s="3">
        <f t="shared" ca="1" si="49"/>
        <v>7.402222222222222</v>
      </c>
      <c r="F127" s="3">
        <f t="shared" si="62"/>
        <v>5.333333333333333</v>
      </c>
      <c r="G127" s="3">
        <f t="shared" ca="1" si="50"/>
        <v>3.264444444444444</v>
      </c>
      <c r="H127" s="3">
        <f t="shared" ca="1" si="51"/>
        <v>1.195555555555555</v>
      </c>
      <c r="I127" s="3">
        <f t="shared" ca="1" si="52"/>
        <v>-0.87333333333333396</v>
      </c>
      <c r="J127">
        <f t="shared" ca="1" si="53"/>
        <v>5</v>
      </c>
      <c r="K127" t="str">
        <f t="shared" ca="1" si="54"/>
        <v/>
      </c>
      <c r="L127">
        <f t="shared" ca="1" si="55"/>
        <v>7.6230000000000002</v>
      </c>
      <c r="M127">
        <f t="shared" ca="1" si="56"/>
        <v>5.8597777777777775</v>
      </c>
      <c r="N127">
        <f t="shared" ca="1" si="57"/>
        <v>4.0965555555555557</v>
      </c>
      <c r="O127" s="3">
        <f t="shared" ca="1" si="63"/>
        <v>2.3333333333333335</v>
      </c>
      <c r="P127">
        <f t="shared" ca="1" si="58"/>
        <v>0.57011111111111124</v>
      </c>
      <c r="Q127">
        <f t="shared" ca="1" si="59"/>
        <v>0</v>
      </c>
      <c r="R127">
        <v>0</v>
      </c>
    </row>
    <row r="128" spans="1:18" x14ac:dyDescent="0.2">
      <c r="B128" s="3"/>
      <c r="C128" s="3">
        <f t="shared" ca="1" si="47"/>
        <v>11.54</v>
      </c>
      <c r="D128" s="3">
        <f t="shared" ca="1" si="48"/>
        <v>9.4711111111111101</v>
      </c>
      <c r="E128" s="3">
        <f t="shared" ca="1" si="49"/>
        <v>7.402222222222222</v>
      </c>
      <c r="F128" s="3">
        <f t="shared" si="62"/>
        <v>5.333333333333333</v>
      </c>
      <c r="G128" s="3">
        <f t="shared" ca="1" si="50"/>
        <v>3.264444444444444</v>
      </c>
      <c r="H128" s="3">
        <f t="shared" ca="1" si="51"/>
        <v>1.195555555555555</v>
      </c>
      <c r="I128" s="3">
        <f t="shared" ca="1" si="52"/>
        <v>-0.87333333333333396</v>
      </c>
      <c r="J128">
        <f t="shared" ca="1" si="53"/>
        <v>5</v>
      </c>
      <c r="K128" t="str">
        <f t="shared" ca="1" si="54"/>
        <v/>
      </c>
      <c r="L128">
        <f t="shared" ca="1" si="55"/>
        <v>7.6230000000000002</v>
      </c>
      <c r="M128">
        <f t="shared" ca="1" si="56"/>
        <v>5.8597777777777775</v>
      </c>
      <c r="N128">
        <f t="shared" ca="1" si="57"/>
        <v>4.0965555555555557</v>
      </c>
      <c r="O128" s="3">
        <f t="shared" ca="1" si="63"/>
        <v>2.3333333333333335</v>
      </c>
      <c r="P128">
        <f t="shared" ca="1" si="58"/>
        <v>0.57011111111111124</v>
      </c>
      <c r="Q128">
        <f t="shared" ca="1" si="59"/>
        <v>0</v>
      </c>
      <c r="R128">
        <v>0</v>
      </c>
    </row>
    <row r="129" spans="2:18" x14ac:dyDescent="0.2">
      <c r="B129" s="3"/>
      <c r="C129" s="3">
        <f t="shared" ca="1" si="47"/>
        <v>11.54</v>
      </c>
      <c r="D129" s="3">
        <f t="shared" ca="1" si="48"/>
        <v>9.4711111111111101</v>
      </c>
      <c r="E129" s="3">
        <f t="shared" ca="1" si="49"/>
        <v>7.402222222222222</v>
      </c>
      <c r="F129" s="3">
        <f t="shared" si="62"/>
        <v>5.333333333333333</v>
      </c>
      <c r="G129" s="3">
        <f t="shared" ca="1" si="50"/>
        <v>3.264444444444444</v>
      </c>
      <c r="H129" s="3">
        <f t="shared" ca="1" si="51"/>
        <v>1.195555555555555</v>
      </c>
      <c r="I129" s="3">
        <f t="shared" ca="1" si="52"/>
        <v>-0.87333333333333396</v>
      </c>
      <c r="J129">
        <f t="shared" ca="1" si="53"/>
        <v>5</v>
      </c>
      <c r="K129" t="str">
        <f t="shared" ca="1" si="54"/>
        <v/>
      </c>
      <c r="L129">
        <f t="shared" ca="1" si="55"/>
        <v>7.6230000000000002</v>
      </c>
      <c r="M129">
        <f t="shared" ca="1" si="56"/>
        <v>5.8597777777777775</v>
      </c>
      <c r="N129">
        <f t="shared" ca="1" si="57"/>
        <v>4.0965555555555557</v>
      </c>
      <c r="O129" s="3">
        <f t="shared" ca="1" si="63"/>
        <v>2.3333333333333335</v>
      </c>
      <c r="P129">
        <f t="shared" ca="1" si="58"/>
        <v>0.57011111111111124</v>
      </c>
      <c r="Q129">
        <f t="shared" ca="1" si="59"/>
        <v>0</v>
      </c>
      <c r="R129">
        <v>0</v>
      </c>
    </row>
    <row r="130" spans="2:18" x14ac:dyDescent="0.2">
      <c r="B130" s="3"/>
      <c r="C130" s="3">
        <f t="shared" ref="C130:C142" ca="1" si="64">F130+2.66*O130</f>
        <v>11.54</v>
      </c>
      <c r="D130" s="3">
        <f t="shared" ref="D130:D142" ca="1" si="65">F130+(2/3)*2.66*O130</f>
        <v>9.4711111111111101</v>
      </c>
      <c r="E130" s="3">
        <f t="shared" ref="E130:E142" ca="1" si="66">F130+(1/3)*2.66*O130</f>
        <v>7.402222222222222</v>
      </c>
      <c r="F130" s="3">
        <f t="shared" si="62"/>
        <v>5.333333333333333</v>
      </c>
      <c r="G130" s="3">
        <f t="shared" ref="G130:G142" ca="1" si="67">F130-(1/3)*2.66*O130</f>
        <v>3.264444444444444</v>
      </c>
      <c r="H130" s="3">
        <f t="shared" ref="H130:H142" ca="1" si="68">F130-(2/3)*2.66*O130</f>
        <v>1.195555555555555</v>
      </c>
      <c r="I130" s="3">
        <f t="shared" ref="I130:I142" ca="1" si="69">F130-2.66*O130</f>
        <v>-0.87333333333333396</v>
      </c>
      <c r="J130">
        <f t="shared" ca="1" si="53"/>
        <v>5</v>
      </c>
      <c r="K130" t="str">
        <f t="shared" ca="1" si="54"/>
        <v/>
      </c>
      <c r="L130">
        <f t="shared" ca="1" si="55"/>
        <v>7.6230000000000002</v>
      </c>
      <c r="M130">
        <f t="shared" ca="1" si="56"/>
        <v>5.8597777777777775</v>
      </c>
      <c r="N130">
        <f t="shared" ca="1" si="57"/>
        <v>4.0965555555555557</v>
      </c>
      <c r="O130" s="3">
        <f t="shared" ca="1" si="63"/>
        <v>2.3333333333333335</v>
      </c>
      <c r="P130">
        <f t="shared" ca="1" si="58"/>
        <v>0.57011111111111124</v>
      </c>
      <c r="Q130">
        <f t="shared" ca="1" si="59"/>
        <v>0</v>
      </c>
      <c r="R130">
        <v>0</v>
      </c>
    </row>
    <row r="131" spans="2:18" x14ac:dyDescent="0.2">
      <c r="B131" s="3"/>
      <c r="C131" s="3">
        <f t="shared" ca="1" si="64"/>
        <v>11.54</v>
      </c>
      <c r="D131" s="3">
        <f t="shared" ca="1" si="65"/>
        <v>9.4711111111111101</v>
      </c>
      <c r="E131" s="3">
        <f t="shared" ca="1" si="66"/>
        <v>7.402222222222222</v>
      </c>
      <c r="F131" s="3">
        <f t="shared" si="62"/>
        <v>5.333333333333333</v>
      </c>
      <c r="G131" s="3">
        <f t="shared" ca="1" si="67"/>
        <v>3.264444444444444</v>
      </c>
      <c r="H131" s="3">
        <f t="shared" ca="1" si="68"/>
        <v>1.195555555555555</v>
      </c>
      <c r="I131" s="3">
        <f t="shared" ca="1" si="69"/>
        <v>-0.87333333333333396</v>
      </c>
      <c r="J131">
        <f t="shared" ref="J131:J142" ca="1" si="70">IF(ISBLANK(B131),OFFSET(J131,-1,0,1,1),B131)</f>
        <v>5</v>
      </c>
      <c r="K131" t="str">
        <f t="shared" ref="K131:K142" ca="1" si="71">IF(OR(OFFSET(K131,-1,-9,1,1)="",OFFSET(K131,0,-9,1,1)=""),"",IF(ISERROR(ABS(B131-OFFSET(K131,-1,-1,1,1))),"",ABS(B131-OFFSET(K131,-1,-1,1,1))))</f>
        <v/>
      </c>
      <c r="L131">
        <f t="shared" ref="L131:L142" ca="1" si="72">3.267*O131</f>
        <v>7.6230000000000002</v>
      </c>
      <c r="M131">
        <f t="shared" ref="M131:M142" ca="1" si="73">(2/3)*(L131-O131)+O131</f>
        <v>5.8597777777777775</v>
      </c>
      <c r="N131">
        <f t="shared" ref="N131:N142" ca="1" si="74">(1/3)*(L131-O131)+O131</f>
        <v>4.0965555555555557</v>
      </c>
      <c r="O131" s="3">
        <f t="shared" ca="1" si="63"/>
        <v>2.3333333333333335</v>
      </c>
      <c r="P131">
        <f t="shared" ref="P131:P142" ca="1" si="75">(MAX(O131-(1/3)*(L131-O131),0))</f>
        <v>0.57011111111111124</v>
      </c>
      <c r="Q131">
        <f t="shared" ref="Q131:Q142" ca="1" si="76">MAX(O131-(2/3)*(L131-O131),0)</f>
        <v>0</v>
      </c>
      <c r="R131">
        <v>0</v>
      </c>
    </row>
    <row r="132" spans="2:18" x14ac:dyDescent="0.2">
      <c r="B132" s="3"/>
      <c r="C132" s="3">
        <f t="shared" ca="1" si="64"/>
        <v>11.54</v>
      </c>
      <c r="D132" s="3">
        <f t="shared" ca="1" si="65"/>
        <v>9.4711111111111101</v>
      </c>
      <c r="E132" s="3">
        <f t="shared" ca="1" si="66"/>
        <v>7.402222222222222</v>
      </c>
      <c r="F132" s="3">
        <f t="shared" si="62"/>
        <v>5.333333333333333</v>
      </c>
      <c r="G132" s="3">
        <f t="shared" ca="1" si="67"/>
        <v>3.264444444444444</v>
      </c>
      <c r="H132" s="3">
        <f t="shared" ca="1" si="68"/>
        <v>1.195555555555555</v>
      </c>
      <c r="I132" s="3">
        <f t="shared" ca="1" si="69"/>
        <v>-0.87333333333333396</v>
      </c>
      <c r="J132">
        <f t="shared" ca="1" si="70"/>
        <v>5</v>
      </c>
      <c r="K132" t="str">
        <f t="shared" ca="1" si="71"/>
        <v/>
      </c>
      <c r="L132">
        <f t="shared" ca="1" si="72"/>
        <v>7.6230000000000002</v>
      </c>
      <c r="M132">
        <f t="shared" ca="1" si="73"/>
        <v>5.8597777777777775</v>
      </c>
      <c r="N132">
        <f t="shared" ca="1" si="74"/>
        <v>4.0965555555555557</v>
      </c>
      <c r="O132" s="3">
        <f t="shared" ca="1" si="63"/>
        <v>2.3333333333333335</v>
      </c>
      <c r="P132">
        <f t="shared" ca="1" si="75"/>
        <v>0.57011111111111124</v>
      </c>
      <c r="Q132">
        <f t="shared" ca="1" si="76"/>
        <v>0</v>
      </c>
      <c r="R132">
        <v>0</v>
      </c>
    </row>
    <row r="133" spans="2:18" x14ac:dyDescent="0.2">
      <c r="B133" s="3"/>
      <c r="C133" s="3">
        <f t="shared" ca="1" si="64"/>
        <v>11.54</v>
      </c>
      <c r="D133" s="3">
        <f t="shared" ca="1" si="65"/>
        <v>9.4711111111111101</v>
      </c>
      <c r="E133" s="3">
        <f t="shared" ca="1" si="66"/>
        <v>7.402222222222222</v>
      </c>
      <c r="F133" s="3">
        <f t="shared" si="62"/>
        <v>5.333333333333333</v>
      </c>
      <c r="G133" s="3">
        <f t="shared" ca="1" si="67"/>
        <v>3.264444444444444</v>
      </c>
      <c r="H133" s="3">
        <f t="shared" ca="1" si="68"/>
        <v>1.195555555555555</v>
      </c>
      <c r="I133" s="3">
        <f t="shared" ca="1" si="69"/>
        <v>-0.87333333333333396</v>
      </c>
      <c r="J133">
        <f t="shared" ca="1" si="70"/>
        <v>5</v>
      </c>
      <c r="K133" t="str">
        <f t="shared" ca="1" si="71"/>
        <v/>
      </c>
      <c r="L133">
        <f t="shared" ca="1" si="72"/>
        <v>7.6230000000000002</v>
      </c>
      <c r="M133">
        <f t="shared" ca="1" si="73"/>
        <v>5.8597777777777775</v>
      </c>
      <c r="N133">
        <f t="shared" ca="1" si="74"/>
        <v>4.0965555555555557</v>
      </c>
      <c r="O133" s="3">
        <f t="shared" ca="1" si="63"/>
        <v>2.3333333333333335</v>
      </c>
      <c r="P133">
        <f t="shared" ca="1" si="75"/>
        <v>0.57011111111111124</v>
      </c>
      <c r="Q133">
        <f t="shared" ca="1" si="76"/>
        <v>0</v>
      </c>
      <c r="R133">
        <v>0</v>
      </c>
    </row>
    <row r="134" spans="2:18" x14ac:dyDescent="0.2">
      <c r="B134" s="3"/>
      <c r="C134" s="3">
        <f t="shared" ca="1" si="64"/>
        <v>11.54</v>
      </c>
      <c r="D134" s="3">
        <f t="shared" ca="1" si="65"/>
        <v>9.4711111111111101</v>
      </c>
      <c r="E134" s="3">
        <f t="shared" ca="1" si="66"/>
        <v>7.402222222222222</v>
      </c>
      <c r="F134" s="3">
        <f t="shared" si="62"/>
        <v>5.333333333333333</v>
      </c>
      <c r="G134" s="3">
        <f t="shared" ca="1" si="67"/>
        <v>3.264444444444444</v>
      </c>
      <c r="H134" s="3">
        <f t="shared" ca="1" si="68"/>
        <v>1.195555555555555</v>
      </c>
      <c r="I134" s="3">
        <f t="shared" ca="1" si="69"/>
        <v>-0.87333333333333396</v>
      </c>
      <c r="J134">
        <f t="shared" ca="1" si="70"/>
        <v>5</v>
      </c>
      <c r="K134" t="str">
        <f t="shared" ca="1" si="71"/>
        <v/>
      </c>
      <c r="L134">
        <f t="shared" ca="1" si="72"/>
        <v>7.6230000000000002</v>
      </c>
      <c r="M134">
        <f t="shared" ca="1" si="73"/>
        <v>5.8597777777777775</v>
      </c>
      <c r="N134">
        <f t="shared" ca="1" si="74"/>
        <v>4.0965555555555557</v>
      </c>
      <c r="O134" s="3">
        <f t="shared" ca="1" si="63"/>
        <v>2.3333333333333335</v>
      </c>
      <c r="P134">
        <f t="shared" ca="1" si="75"/>
        <v>0.57011111111111124</v>
      </c>
      <c r="Q134">
        <f t="shared" ca="1" si="76"/>
        <v>0</v>
      </c>
      <c r="R134">
        <v>0</v>
      </c>
    </row>
    <row r="135" spans="2:18" x14ac:dyDescent="0.2">
      <c r="B135" s="3"/>
      <c r="C135" s="3">
        <f t="shared" ca="1" si="64"/>
        <v>11.54</v>
      </c>
      <c r="D135" s="3">
        <f t="shared" ca="1" si="65"/>
        <v>9.4711111111111101</v>
      </c>
      <c r="E135" s="3">
        <f t="shared" ca="1" si="66"/>
        <v>7.402222222222222</v>
      </c>
      <c r="F135" s="3">
        <f t="shared" si="62"/>
        <v>5.333333333333333</v>
      </c>
      <c r="G135" s="3">
        <f t="shared" ca="1" si="67"/>
        <v>3.264444444444444</v>
      </c>
      <c r="H135" s="3">
        <f t="shared" ca="1" si="68"/>
        <v>1.195555555555555</v>
      </c>
      <c r="I135" s="3">
        <f t="shared" ca="1" si="69"/>
        <v>-0.87333333333333396</v>
      </c>
      <c r="J135">
        <f t="shared" ca="1" si="70"/>
        <v>5</v>
      </c>
      <c r="K135" t="str">
        <f t="shared" ca="1" si="71"/>
        <v/>
      </c>
      <c r="L135">
        <f t="shared" ca="1" si="72"/>
        <v>7.6230000000000002</v>
      </c>
      <c r="M135">
        <f t="shared" ca="1" si="73"/>
        <v>5.8597777777777775</v>
      </c>
      <c r="N135">
        <f t="shared" ca="1" si="74"/>
        <v>4.0965555555555557</v>
      </c>
      <c r="O135" s="3">
        <f t="shared" ca="1" si="63"/>
        <v>2.3333333333333335</v>
      </c>
      <c r="P135">
        <f t="shared" ca="1" si="75"/>
        <v>0.57011111111111124</v>
      </c>
      <c r="Q135">
        <f t="shared" ca="1" si="76"/>
        <v>0</v>
      </c>
      <c r="R135">
        <v>0</v>
      </c>
    </row>
    <row r="136" spans="2:18" x14ac:dyDescent="0.2">
      <c r="B136" s="3"/>
      <c r="C136" s="3">
        <f t="shared" ca="1" si="64"/>
        <v>11.54</v>
      </c>
      <c r="D136" s="3">
        <f t="shared" ca="1" si="65"/>
        <v>9.4711111111111101</v>
      </c>
      <c r="E136" s="3">
        <f t="shared" ca="1" si="66"/>
        <v>7.402222222222222</v>
      </c>
      <c r="F136" s="3">
        <f t="shared" si="62"/>
        <v>5.333333333333333</v>
      </c>
      <c r="G136" s="3">
        <f t="shared" ca="1" si="67"/>
        <v>3.264444444444444</v>
      </c>
      <c r="H136" s="3">
        <f t="shared" ca="1" si="68"/>
        <v>1.195555555555555</v>
      </c>
      <c r="I136" s="3">
        <f t="shared" ca="1" si="69"/>
        <v>-0.87333333333333396</v>
      </c>
      <c r="J136">
        <f t="shared" ca="1" si="70"/>
        <v>5</v>
      </c>
      <c r="K136" t="str">
        <f t="shared" ca="1" si="71"/>
        <v/>
      </c>
      <c r="L136">
        <f t="shared" ca="1" si="72"/>
        <v>7.6230000000000002</v>
      </c>
      <c r="M136">
        <f t="shared" ca="1" si="73"/>
        <v>5.8597777777777775</v>
      </c>
      <c r="N136">
        <f t="shared" ca="1" si="74"/>
        <v>4.0965555555555557</v>
      </c>
      <c r="O136" s="3">
        <f t="shared" ca="1" si="63"/>
        <v>2.3333333333333335</v>
      </c>
      <c r="P136">
        <f t="shared" ca="1" si="75"/>
        <v>0.57011111111111124</v>
      </c>
      <c r="Q136">
        <f t="shared" ca="1" si="76"/>
        <v>0</v>
      </c>
      <c r="R136">
        <v>0</v>
      </c>
    </row>
    <row r="137" spans="2:18" x14ac:dyDescent="0.2">
      <c r="B137" s="3"/>
      <c r="C137" s="3">
        <f t="shared" ca="1" si="64"/>
        <v>11.54</v>
      </c>
      <c r="D137" s="3">
        <f t="shared" ca="1" si="65"/>
        <v>9.4711111111111101</v>
      </c>
      <c r="E137" s="3">
        <f t="shared" ca="1" si="66"/>
        <v>7.402222222222222</v>
      </c>
      <c r="F137" s="3">
        <f t="shared" si="62"/>
        <v>5.333333333333333</v>
      </c>
      <c r="G137" s="3">
        <f t="shared" ca="1" si="67"/>
        <v>3.264444444444444</v>
      </c>
      <c r="H137" s="3">
        <f t="shared" ca="1" si="68"/>
        <v>1.195555555555555</v>
      </c>
      <c r="I137" s="3">
        <f t="shared" ca="1" si="69"/>
        <v>-0.87333333333333396</v>
      </c>
      <c r="J137">
        <f t="shared" ca="1" si="70"/>
        <v>5</v>
      </c>
      <c r="K137" t="str">
        <f t="shared" ca="1" si="71"/>
        <v/>
      </c>
      <c r="L137">
        <f t="shared" ca="1" si="72"/>
        <v>7.6230000000000002</v>
      </c>
      <c r="M137">
        <f t="shared" ca="1" si="73"/>
        <v>5.8597777777777775</v>
      </c>
      <c r="N137">
        <f t="shared" ca="1" si="74"/>
        <v>4.0965555555555557</v>
      </c>
      <c r="O137" s="3">
        <f t="shared" ca="1" si="63"/>
        <v>2.3333333333333335</v>
      </c>
      <c r="P137">
        <f t="shared" ca="1" si="75"/>
        <v>0.57011111111111124</v>
      </c>
      <c r="Q137">
        <f t="shared" ca="1" si="76"/>
        <v>0</v>
      </c>
      <c r="R137">
        <v>0</v>
      </c>
    </row>
    <row r="138" spans="2:18" x14ac:dyDescent="0.2">
      <c r="B138" s="3"/>
      <c r="C138" s="3">
        <f t="shared" ca="1" si="64"/>
        <v>11.54</v>
      </c>
      <c r="D138" s="3">
        <f t="shared" ca="1" si="65"/>
        <v>9.4711111111111101</v>
      </c>
      <c r="E138" s="3">
        <f t="shared" ca="1" si="66"/>
        <v>7.402222222222222</v>
      </c>
      <c r="F138" s="3">
        <f t="shared" si="62"/>
        <v>5.333333333333333</v>
      </c>
      <c r="G138" s="3">
        <f t="shared" ca="1" si="67"/>
        <v>3.264444444444444</v>
      </c>
      <c r="H138" s="3">
        <f t="shared" ca="1" si="68"/>
        <v>1.195555555555555</v>
      </c>
      <c r="I138" s="3">
        <f t="shared" ca="1" si="69"/>
        <v>-0.87333333333333396</v>
      </c>
      <c r="J138">
        <f t="shared" ca="1" si="70"/>
        <v>5</v>
      </c>
      <c r="K138" t="str">
        <f t="shared" ca="1" si="71"/>
        <v/>
      </c>
      <c r="L138">
        <f t="shared" ca="1" si="72"/>
        <v>7.6230000000000002</v>
      </c>
      <c r="M138">
        <f t="shared" ca="1" si="73"/>
        <v>5.8597777777777775</v>
      </c>
      <c r="N138">
        <f t="shared" ca="1" si="74"/>
        <v>4.0965555555555557</v>
      </c>
      <c r="O138" s="3">
        <f t="shared" ca="1" si="63"/>
        <v>2.3333333333333335</v>
      </c>
      <c r="P138">
        <f t="shared" ca="1" si="75"/>
        <v>0.57011111111111124</v>
      </c>
      <c r="Q138">
        <f t="shared" ca="1" si="76"/>
        <v>0</v>
      </c>
      <c r="R138">
        <v>0</v>
      </c>
    </row>
    <row r="139" spans="2:18" x14ac:dyDescent="0.2">
      <c r="B139" s="3"/>
      <c r="C139" s="3">
        <f t="shared" ca="1" si="64"/>
        <v>11.54</v>
      </c>
      <c r="D139" s="3">
        <f t="shared" ca="1" si="65"/>
        <v>9.4711111111111101</v>
      </c>
      <c r="E139" s="3">
        <f t="shared" ca="1" si="66"/>
        <v>7.402222222222222</v>
      </c>
      <c r="F139" s="3">
        <f t="shared" si="62"/>
        <v>5.333333333333333</v>
      </c>
      <c r="G139" s="3">
        <f t="shared" ca="1" si="67"/>
        <v>3.264444444444444</v>
      </c>
      <c r="H139" s="3">
        <f t="shared" ca="1" si="68"/>
        <v>1.195555555555555</v>
      </c>
      <c r="I139" s="3">
        <f t="shared" ca="1" si="69"/>
        <v>-0.87333333333333396</v>
      </c>
      <c r="J139">
        <f t="shared" ca="1" si="70"/>
        <v>5</v>
      </c>
      <c r="K139" t="str">
        <f t="shared" ca="1" si="71"/>
        <v/>
      </c>
      <c r="L139">
        <f t="shared" ca="1" si="72"/>
        <v>7.6230000000000002</v>
      </c>
      <c r="M139">
        <f t="shared" ca="1" si="73"/>
        <v>5.8597777777777775</v>
      </c>
      <c r="N139">
        <f t="shared" ca="1" si="74"/>
        <v>4.0965555555555557</v>
      </c>
      <c r="O139" s="3">
        <f t="shared" ca="1" si="63"/>
        <v>2.3333333333333335</v>
      </c>
      <c r="P139">
        <f t="shared" ca="1" si="75"/>
        <v>0.57011111111111124</v>
      </c>
      <c r="Q139">
        <f t="shared" ca="1" si="76"/>
        <v>0</v>
      </c>
      <c r="R139">
        <v>0</v>
      </c>
    </row>
    <row r="140" spans="2:18" x14ac:dyDescent="0.2">
      <c r="B140" s="3"/>
      <c r="C140" s="3">
        <f t="shared" ca="1" si="64"/>
        <v>11.54</v>
      </c>
      <c r="D140" s="3">
        <f t="shared" ca="1" si="65"/>
        <v>9.4711111111111101</v>
      </c>
      <c r="E140" s="3">
        <f t="shared" ca="1" si="66"/>
        <v>7.402222222222222</v>
      </c>
      <c r="F140" s="3">
        <f t="shared" si="62"/>
        <v>5.333333333333333</v>
      </c>
      <c r="G140" s="3">
        <f t="shared" ca="1" si="67"/>
        <v>3.264444444444444</v>
      </c>
      <c r="H140" s="3">
        <f t="shared" ca="1" si="68"/>
        <v>1.195555555555555</v>
      </c>
      <c r="I140" s="3">
        <f t="shared" ca="1" si="69"/>
        <v>-0.87333333333333396</v>
      </c>
      <c r="J140">
        <f t="shared" ca="1" si="70"/>
        <v>5</v>
      </c>
      <c r="K140" t="str">
        <f t="shared" ca="1" si="71"/>
        <v/>
      </c>
      <c r="L140">
        <f t="shared" ca="1" si="72"/>
        <v>7.6230000000000002</v>
      </c>
      <c r="M140">
        <f t="shared" ca="1" si="73"/>
        <v>5.8597777777777775</v>
      </c>
      <c r="N140">
        <f t="shared" ca="1" si="74"/>
        <v>4.0965555555555557</v>
      </c>
      <c r="O140" s="3">
        <f t="shared" ca="1" si="63"/>
        <v>2.3333333333333335</v>
      </c>
      <c r="P140">
        <f t="shared" ca="1" si="75"/>
        <v>0.57011111111111124</v>
      </c>
      <c r="Q140">
        <f t="shared" ca="1" si="76"/>
        <v>0</v>
      </c>
      <c r="R140">
        <v>0</v>
      </c>
    </row>
    <row r="141" spans="2:18" x14ac:dyDescent="0.2">
      <c r="B141" s="3"/>
      <c r="C141" s="3">
        <f t="shared" ca="1" si="64"/>
        <v>11.54</v>
      </c>
      <c r="D141" s="3">
        <f t="shared" ca="1" si="65"/>
        <v>9.4711111111111101</v>
      </c>
      <c r="E141" s="3">
        <f t="shared" ca="1" si="66"/>
        <v>7.402222222222222</v>
      </c>
      <c r="F141" s="3">
        <f t="shared" si="62"/>
        <v>5.333333333333333</v>
      </c>
      <c r="G141" s="3">
        <f t="shared" ca="1" si="67"/>
        <v>3.264444444444444</v>
      </c>
      <c r="H141" s="3">
        <f t="shared" ca="1" si="68"/>
        <v>1.195555555555555</v>
      </c>
      <c r="I141" s="3">
        <f t="shared" ca="1" si="69"/>
        <v>-0.87333333333333396</v>
      </c>
      <c r="J141">
        <f t="shared" ca="1" si="70"/>
        <v>5</v>
      </c>
      <c r="K141" t="str">
        <f t="shared" ca="1" si="71"/>
        <v/>
      </c>
      <c r="L141">
        <f t="shared" ca="1" si="72"/>
        <v>7.6230000000000002</v>
      </c>
      <c r="M141">
        <f t="shared" ca="1" si="73"/>
        <v>5.8597777777777775</v>
      </c>
      <c r="N141">
        <f t="shared" ca="1" si="74"/>
        <v>4.0965555555555557</v>
      </c>
      <c r="O141" s="3">
        <f t="shared" ca="1" si="63"/>
        <v>2.3333333333333335</v>
      </c>
      <c r="P141">
        <f t="shared" ca="1" si="75"/>
        <v>0.57011111111111124</v>
      </c>
      <c r="Q141">
        <f t="shared" ca="1" si="76"/>
        <v>0</v>
      </c>
      <c r="R141">
        <v>0</v>
      </c>
    </row>
    <row r="142" spans="2:18" x14ac:dyDescent="0.2">
      <c r="B142" s="3"/>
      <c r="C142" s="3">
        <f t="shared" ca="1" si="64"/>
        <v>11.54</v>
      </c>
      <c r="D142" s="3">
        <f t="shared" ca="1" si="65"/>
        <v>9.4711111111111101</v>
      </c>
      <c r="E142" s="3">
        <f t="shared" ca="1" si="66"/>
        <v>7.402222222222222</v>
      </c>
      <c r="F142" s="3">
        <f t="shared" si="62"/>
        <v>5.333333333333333</v>
      </c>
      <c r="G142" s="3">
        <f t="shared" ca="1" si="67"/>
        <v>3.264444444444444</v>
      </c>
      <c r="H142" s="3">
        <f t="shared" ca="1" si="68"/>
        <v>1.195555555555555</v>
      </c>
      <c r="I142" s="3">
        <f t="shared" ca="1" si="69"/>
        <v>-0.87333333333333396</v>
      </c>
      <c r="J142">
        <f t="shared" ca="1" si="70"/>
        <v>5</v>
      </c>
      <c r="K142" t="str">
        <f t="shared" ca="1" si="71"/>
        <v/>
      </c>
      <c r="L142">
        <f t="shared" ca="1" si="72"/>
        <v>7.6230000000000002</v>
      </c>
      <c r="M142">
        <f t="shared" ca="1" si="73"/>
        <v>5.8597777777777775</v>
      </c>
      <c r="N142">
        <f t="shared" ca="1" si="74"/>
        <v>4.0965555555555557</v>
      </c>
      <c r="O142" s="3">
        <f t="shared" ca="1" si="63"/>
        <v>2.3333333333333335</v>
      </c>
      <c r="P142">
        <f t="shared" ca="1" si="75"/>
        <v>0.57011111111111124</v>
      </c>
      <c r="Q142">
        <f t="shared" ca="1" si="76"/>
        <v>0</v>
      </c>
      <c r="R142">
        <v>0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1E61-958F-4545-81DE-E4C22F81FF0A}">
  <sheetPr>
    <tabColor rgb="FF66FF66"/>
    <pageSetUpPr fitToPage="1"/>
  </sheetPr>
  <dimension ref="A1:R52"/>
  <sheetViews>
    <sheetView zoomScale="174" zoomScaleNormal="174" workbookViewId="0">
      <selection activeCell="T27" sqref="T27"/>
    </sheetView>
  </sheetViews>
  <sheetFormatPr baseColWidth="10" defaultRowHeight="16" x14ac:dyDescent="0.2"/>
  <cols>
    <col min="1" max="1" width="10.6640625" bestFit="1" customWidth="1"/>
    <col min="2" max="20" width="6.83203125" customWidth="1"/>
  </cols>
  <sheetData>
    <row r="1" spans="1:18" ht="14" customHeight="1" x14ac:dyDescent="0.2">
      <c r="A1" t="s">
        <v>17</v>
      </c>
      <c r="B1" s="3" t="s">
        <v>14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</row>
    <row r="2" spans="1:18" ht="14" customHeight="1" x14ac:dyDescent="0.2">
      <c r="A2">
        <v>2016</v>
      </c>
      <c r="B2" s="3">
        <v>85</v>
      </c>
      <c r="C2" s="3">
        <f t="shared" ref="C2:C31" ca="1" si="0">F2+2.66*O2</f>
        <v>114.60000000000001</v>
      </c>
      <c r="D2" s="3">
        <f t="shared" ref="D2:D31" ca="1" si="1">F2+(2/3)*2.66*O2</f>
        <v>101.30000000000001</v>
      </c>
      <c r="E2" s="3">
        <f t="shared" ref="E2:E31" ca="1" si="2">F2+(1/3)*2.66*O2</f>
        <v>88</v>
      </c>
      <c r="F2" s="3">
        <f t="shared" ref="F2:F31" si="3">AVERAGE($B$2:$B$11)</f>
        <v>74.7</v>
      </c>
      <c r="G2" s="3">
        <f t="shared" ref="G2:G31" ca="1" si="4">F2-(1/3)*2.66*O2</f>
        <v>61.400000000000006</v>
      </c>
      <c r="H2" s="3">
        <f t="shared" ref="H2:H31" ca="1" si="5">F2-(2/3)*2.66*O2</f>
        <v>48.1</v>
      </c>
      <c r="I2" s="3">
        <f t="shared" ref="I2:I31" ca="1" si="6">F2-2.66*O2</f>
        <v>34.799999999999997</v>
      </c>
      <c r="J2" s="3">
        <f>B2</f>
        <v>85</v>
      </c>
      <c r="K2" s="3"/>
      <c r="L2" s="3"/>
      <c r="M2" s="3"/>
      <c r="N2" s="3"/>
      <c r="O2" s="3">
        <f t="shared" ref="O2:O31" ca="1" si="7">AVERAGE($K$2:$K$11)</f>
        <v>15</v>
      </c>
      <c r="P2" s="3"/>
      <c r="Q2" s="3"/>
      <c r="R2" s="3"/>
    </row>
    <row r="3" spans="1:18" ht="14" customHeight="1" x14ac:dyDescent="0.2">
      <c r="A3">
        <v>2017</v>
      </c>
      <c r="B3" s="3">
        <v>99</v>
      </c>
      <c r="C3" s="3">
        <f t="shared" ca="1" si="0"/>
        <v>114.60000000000001</v>
      </c>
      <c r="D3" s="3">
        <f t="shared" ca="1" si="1"/>
        <v>101.30000000000001</v>
      </c>
      <c r="E3" s="3">
        <f t="shared" ca="1" si="2"/>
        <v>88</v>
      </c>
      <c r="F3" s="3">
        <f t="shared" si="3"/>
        <v>74.7</v>
      </c>
      <c r="G3" s="3">
        <f t="shared" ca="1" si="4"/>
        <v>61.400000000000006</v>
      </c>
      <c r="H3" s="3">
        <f t="shared" ca="1" si="5"/>
        <v>48.1</v>
      </c>
      <c r="I3" s="3">
        <f t="shared" ca="1" si="6"/>
        <v>34.799999999999997</v>
      </c>
      <c r="J3">
        <f t="shared" ref="J3:J31" ca="1" si="8">IF(ISBLANK(B3),OFFSET(J3,-1,0,1,1),B3)</f>
        <v>99</v>
      </c>
      <c r="K3" s="3">
        <f t="shared" ref="K3:K31" ca="1" si="9">IF(OR(OFFSET(K3,-1,-9,1,1)="",OFFSET(K3,0,-9,1,1)=""),"",IF(ISERROR(ABS(B3-OFFSET(K3,-1,-1,1,1))),"",ABS(B3-OFFSET(K3,-1,-1,1,1))))</f>
        <v>14</v>
      </c>
      <c r="L3" s="3">
        <f t="shared" ref="L3:L31" ca="1" si="10">3.267*O3</f>
        <v>49.004999999999995</v>
      </c>
      <c r="M3" s="3">
        <f t="shared" ref="M3:M31" ca="1" si="11">(2/3)*(L3-O3)+O3</f>
        <v>37.669999999999995</v>
      </c>
      <c r="N3" s="3">
        <f t="shared" ref="N3:N31" ca="1" si="12">(1/3)*(L3-O3)+O3</f>
        <v>26.334999999999997</v>
      </c>
      <c r="O3" s="3">
        <f t="shared" ca="1" si="7"/>
        <v>15</v>
      </c>
      <c r="P3" s="3">
        <f t="shared" ref="P3:P31" ca="1" si="13">(MAX(O3-(1/3)*(L3-O3),0))</f>
        <v>3.6650000000000027</v>
      </c>
      <c r="Q3" s="3">
        <f t="shared" ref="Q3:Q31" ca="1" si="14">MAX(O3-(2/3)*(L3-O3),0)</f>
        <v>0</v>
      </c>
      <c r="R3" s="3">
        <v>0</v>
      </c>
    </row>
    <row r="4" spans="1:18" ht="14" customHeight="1" x14ac:dyDescent="0.2">
      <c r="A4">
        <v>2018</v>
      </c>
      <c r="B4" s="3">
        <v>95</v>
      </c>
      <c r="C4" s="3">
        <f t="shared" ca="1" si="0"/>
        <v>114.60000000000001</v>
      </c>
      <c r="D4" s="3">
        <f t="shared" ca="1" si="1"/>
        <v>101.30000000000001</v>
      </c>
      <c r="E4" s="3">
        <f t="shared" ca="1" si="2"/>
        <v>88</v>
      </c>
      <c r="F4" s="3">
        <f t="shared" si="3"/>
        <v>74.7</v>
      </c>
      <c r="G4" s="3">
        <f t="shared" ca="1" si="4"/>
        <v>61.400000000000006</v>
      </c>
      <c r="H4" s="3">
        <f t="shared" ca="1" si="5"/>
        <v>48.1</v>
      </c>
      <c r="I4" s="3">
        <f t="shared" ca="1" si="6"/>
        <v>34.799999999999997</v>
      </c>
      <c r="J4">
        <f t="shared" ca="1" si="8"/>
        <v>95</v>
      </c>
      <c r="K4" s="3">
        <f t="shared" ca="1" si="9"/>
        <v>4</v>
      </c>
      <c r="L4" s="3">
        <f t="shared" ca="1" si="10"/>
        <v>49.004999999999995</v>
      </c>
      <c r="M4" s="3">
        <f t="shared" ca="1" si="11"/>
        <v>37.669999999999995</v>
      </c>
      <c r="N4" s="3">
        <f t="shared" ca="1" si="12"/>
        <v>26.334999999999997</v>
      </c>
      <c r="O4" s="3">
        <f t="shared" ca="1" si="7"/>
        <v>15</v>
      </c>
      <c r="P4" s="3">
        <f t="shared" ca="1" si="13"/>
        <v>3.6650000000000027</v>
      </c>
      <c r="Q4" s="3">
        <f t="shared" ca="1" si="14"/>
        <v>0</v>
      </c>
      <c r="R4" s="3">
        <v>0</v>
      </c>
    </row>
    <row r="5" spans="1:18" ht="14" customHeight="1" x14ac:dyDescent="0.2">
      <c r="A5">
        <v>2019</v>
      </c>
      <c r="B5" s="3">
        <v>78</v>
      </c>
      <c r="C5" s="3">
        <f t="shared" ca="1" si="0"/>
        <v>114.60000000000001</v>
      </c>
      <c r="D5" s="3">
        <f t="shared" ca="1" si="1"/>
        <v>101.30000000000001</v>
      </c>
      <c r="E5" s="3">
        <f t="shared" ca="1" si="2"/>
        <v>88</v>
      </c>
      <c r="F5" s="3">
        <f t="shared" si="3"/>
        <v>74.7</v>
      </c>
      <c r="G5" s="3">
        <f t="shared" ca="1" si="4"/>
        <v>61.400000000000006</v>
      </c>
      <c r="H5" s="3">
        <f t="shared" ca="1" si="5"/>
        <v>48.1</v>
      </c>
      <c r="I5" s="3">
        <f t="shared" ca="1" si="6"/>
        <v>34.799999999999997</v>
      </c>
      <c r="J5">
        <f t="shared" ca="1" si="8"/>
        <v>78</v>
      </c>
      <c r="K5" s="3">
        <f t="shared" ca="1" si="9"/>
        <v>17</v>
      </c>
      <c r="L5" s="3">
        <f t="shared" ca="1" si="10"/>
        <v>49.004999999999995</v>
      </c>
      <c r="M5" s="3">
        <f t="shared" ca="1" si="11"/>
        <v>37.669999999999995</v>
      </c>
      <c r="N5" s="3">
        <f t="shared" ca="1" si="12"/>
        <v>26.334999999999997</v>
      </c>
      <c r="O5" s="3">
        <f t="shared" ca="1" si="7"/>
        <v>15</v>
      </c>
      <c r="P5" s="3">
        <f t="shared" ca="1" si="13"/>
        <v>3.6650000000000027</v>
      </c>
      <c r="Q5" s="3">
        <f t="shared" ca="1" si="14"/>
        <v>0</v>
      </c>
      <c r="R5" s="3">
        <v>0</v>
      </c>
    </row>
    <row r="6" spans="1:18" ht="14" customHeight="1" x14ac:dyDescent="0.2">
      <c r="A6">
        <v>2020</v>
      </c>
      <c r="B6" s="3">
        <v>61</v>
      </c>
      <c r="C6" s="3">
        <f t="shared" ca="1" si="0"/>
        <v>114.60000000000001</v>
      </c>
      <c r="D6" s="3">
        <f t="shared" ca="1" si="1"/>
        <v>101.30000000000001</v>
      </c>
      <c r="E6" s="3">
        <f t="shared" ca="1" si="2"/>
        <v>88</v>
      </c>
      <c r="F6" s="3">
        <f t="shared" si="3"/>
        <v>74.7</v>
      </c>
      <c r="G6" s="3">
        <f t="shared" ca="1" si="4"/>
        <v>61.400000000000006</v>
      </c>
      <c r="H6" s="3">
        <f t="shared" ca="1" si="5"/>
        <v>48.1</v>
      </c>
      <c r="I6" s="3">
        <f t="shared" ca="1" si="6"/>
        <v>34.799999999999997</v>
      </c>
      <c r="J6">
        <f t="shared" ca="1" si="8"/>
        <v>61</v>
      </c>
      <c r="K6" s="3">
        <f t="shared" ca="1" si="9"/>
        <v>17</v>
      </c>
      <c r="L6" s="3">
        <f t="shared" ca="1" si="10"/>
        <v>49.004999999999995</v>
      </c>
      <c r="M6" s="3">
        <f t="shared" ca="1" si="11"/>
        <v>37.669999999999995</v>
      </c>
      <c r="N6" s="3">
        <f t="shared" ca="1" si="12"/>
        <v>26.334999999999997</v>
      </c>
      <c r="O6" s="3">
        <f t="shared" ca="1" si="7"/>
        <v>15</v>
      </c>
      <c r="P6" s="3">
        <f t="shared" ca="1" si="13"/>
        <v>3.6650000000000027</v>
      </c>
      <c r="Q6" s="3">
        <f t="shared" ca="1" si="14"/>
        <v>0</v>
      </c>
      <c r="R6" s="3">
        <v>0</v>
      </c>
    </row>
    <row r="7" spans="1:18" ht="14" customHeight="1" x14ac:dyDescent="0.2">
      <c r="A7">
        <v>2021</v>
      </c>
      <c r="B7" s="3">
        <v>37</v>
      </c>
      <c r="C7" s="3">
        <f t="shared" ca="1" si="0"/>
        <v>114.60000000000001</v>
      </c>
      <c r="D7" s="3">
        <f t="shared" ca="1" si="1"/>
        <v>101.30000000000001</v>
      </c>
      <c r="E7" s="3">
        <f t="shared" ca="1" si="2"/>
        <v>88</v>
      </c>
      <c r="F7" s="3">
        <f t="shared" si="3"/>
        <v>74.7</v>
      </c>
      <c r="G7" s="3">
        <f t="shared" ca="1" si="4"/>
        <v>61.400000000000006</v>
      </c>
      <c r="H7" s="3">
        <f t="shared" ca="1" si="5"/>
        <v>48.1</v>
      </c>
      <c r="I7" s="3">
        <f t="shared" ca="1" si="6"/>
        <v>34.799999999999997</v>
      </c>
      <c r="J7">
        <f t="shared" ca="1" si="8"/>
        <v>37</v>
      </c>
      <c r="K7" s="3">
        <f t="shared" ca="1" si="9"/>
        <v>24</v>
      </c>
      <c r="L7" s="3">
        <f t="shared" ca="1" si="10"/>
        <v>49.004999999999995</v>
      </c>
      <c r="M7" s="3">
        <f t="shared" ca="1" si="11"/>
        <v>37.669999999999995</v>
      </c>
      <c r="N7" s="3">
        <f t="shared" ca="1" si="12"/>
        <v>26.334999999999997</v>
      </c>
      <c r="O7" s="3">
        <f t="shared" ca="1" si="7"/>
        <v>15</v>
      </c>
      <c r="P7" s="3">
        <f t="shared" ca="1" si="13"/>
        <v>3.6650000000000027</v>
      </c>
      <c r="Q7" s="3">
        <f t="shared" ca="1" si="14"/>
        <v>0</v>
      </c>
      <c r="R7" s="3">
        <v>0</v>
      </c>
    </row>
    <row r="8" spans="1:18" ht="14" customHeight="1" x14ac:dyDescent="0.2">
      <c r="A8">
        <v>2022</v>
      </c>
      <c r="B8" s="3">
        <v>60</v>
      </c>
      <c r="C8" s="3">
        <f t="shared" ca="1" si="0"/>
        <v>114.60000000000001</v>
      </c>
      <c r="D8" s="3">
        <f t="shared" ca="1" si="1"/>
        <v>101.30000000000001</v>
      </c>
      <c r="E8" s="3">
        <f t="shared" ca="1" si="2"/>
        <v>88</v>
      </c>
      <c r="F8" s="3">
        <f t="shared" si="3"/>
        <v>74.7</v>
      </c>
      <c r="G8" s="3">
        <f t="shared" ca="1" si="4"/>
        <v>61.400000000000006</v>
      </c>
      <c r="H8" s="3">
        <f t="shared" ca="1" si="5"/>
        <v>48.1</v>
      </c>
      <c r="I8" s="3">
        <f t="shared" ca="1" si="6"/>
        <v>34.799999999999997</v>
      </c>
      <c r="J8">
        <f t="shared" ca="1" si="8"/>
        <v>60</v>
      </c>
      <c r="K8" s="3">
        <f t="shared" ca="1" si="9"/>
        <v>23</v>
      </c>
      <c r="L8" s="3">
        <f t="shared" ca="1" si="10"/>
        <v>49.004999999999995</v>
      </c>
      <c r="M8" s="3">
        <f t="shared" ca="1" si="11"/>
        <v>37.669999999999995</v>
      </c>
      <c r="N8" s="3">
        <f t="shared" ca="1" si="12"/>
        <v>26.334999999999997</v>
      </c>
      <c r="O8" s="3">
        <f t="shared" ca="1" si="7"/>
        <v>15</v>
      </c>
      <c r="P8" s="3">
        <f t="shared" ca="1" si="13"/>
        <v>3.6650000000000027</v>
      </c>
      <c r="Q8" s="3">
        <f t="shared" ca="1" si="14"/>
        <v>0</v>
      </c>
      <c r="R8" s="3">
        <v>0</v>
      </c>
    </row>
    <row r="9" spans="1:18" ht="14" customHeight="1" x14ac:dyDescent="0.2">
      <c r="A9">
        <v>2023</v>
      </c>
      <c r="B9" s="3">
        <v>71</v>
      </c>
      <c r="C9" s="3">
        <f t="shared" ca="1" si="0"/>
        <v>114.60000000000001</v>
      </c>
      <c r="D9" s="3">
        <f t="shared" ca="1" si="1"/>
        <v>101.30000000000001</v>
      </c>
      <c r="E9" s="3">
        <f t="shared" ca="1" si="2"/>
        <v>88</v>
      </c>
      <c r="F9" s="3">
        <f t="shared" si="3"/>
        <v>74.7</v>
      </c>
      <c r="G9" s="3">
        <f t="shared" ca="1" si="4"/>
        <v>61.400000000000006</v>
      </c>
      <c r="H9" s="3">
        <f t="shared" ca="1" si="5"/>
        <v>48.1</v>
      </c>
      <c r="I9" s="3">
        <f t="shared" ca="1" si="6"/>
        <v>34.799999999999997</v>
      </c>
      <c r="J9">
        <f t="shared" ca="1" si="8"/>
        <v>71</v>
      </c>
      <c r="K9" s="3">
        <f t="shared" ca="1" si="9"/>
        <v>11</v>
      </c>
      <c r="L9" s="3">
        <f t="shared" ca="1" si="10"/>
        <v>49.004999999999995</v>
      </c>
      <c r="M9" s="3">
        <f t="shared" ca="1" si="11"/>
        <v>37.669999999999995</v>
      </c>
      <c r="N9" s="3">
        <f t="shared" ca="1" si="12"/>
        <v>26.334999999999997</v>
      </c>
      <c r="O9" s="3">
        <f t="shared" ca="1" si="7"/>
        <v>15</v>
      </c>
      <c r="P9" s="3">
        <f t="shared" ca="1" si="13"/>
        <v>3.6650000000000027</v>
      </c>
      <c r="Q9" s="3">
        <f t="shared" ca="1" si="14"/>
        <v>0</v>
      </c>
      <c r="R9" s="3">
        <v>0</v>
      </c>
    </row>
    <row r="10" spans="1:18" ht="14" customHeight="1" x14ac:dyDescent="0.2">
      <c r="A10">
        <v>2024</v>
      </c>
      <c r="B10" s="3">
        <v>69</v>
      </c>
      <c r="C10" s="3">
        <f t="shared" ca="1" si="0"/>
        <v>114.60000000000001</v>
      </c>
      <c r="D10" s="3">
        <f t="shared" ca="1" si="1"/>
        <v>101.30000000000001</v>
      </c>
      <c r="E10" s="3">
        <f t="shared" ca="1" si="2"/>
        <v>88</v>
      </c>
      <c r="F10" s="3">
        <f t="shared" si="3"/>
        <v>74.7</v>
      </c>
      <c r="G10" s="3">
        <f t="shared" ca="1" si="4"/>
        <v>61.400000000000006</v>
      </c>
      <c r="H10" s="3">
        <f t="shared" ca="1" si="5"/>
        <v>48.1</v>
      </c>
      <c r="I10" s="3">
        <f t="shared" ca="1" si="6"/>
        <v>34.799999999999997</v>
      </c>
      <c r="J10">
        <f t="shared" ca="1" si="8"/>
        <v>69</v>
      </c>
      <c r="K10" s="3">
        <f t="shared" ca="1" si="9"/>
        <v>2</v>
      </c>
      <c r="L10" s="3">
        <f t="shared" ca="1" si="10"/>
        <v>49.004999999999995</v>
      </c>
      <c r="M10" s="3">
        <f t="shared" ca="1" si="11"/>
        <v>37.669999999999995</v>
      </c>
      <c r="N10" s="3">
        <f t="shared" ca="1" si="12"/>
        <v>26.334999999999997</v>
      </c>
      <c r="O10" s="3">
        <f t="shared" ca="1" si="7"/>
        <v>15</v>
      </c>
      <c r="P10" s="3">
        <f t="shared" ca="1" si="13"/>
        <v>3.6650000000000027</v>
      </c>
      <c r="Q10" s="3">
        <f t="shared" ca="1" si="14"/>
        <v>0</v>
      </c>
      <c r="R10" s="3">
        <v>0</v>
      </c>
    </row>
    <row r="11" spans="1:18" ht="14" customHeight="1" x14ac:dyDescent="0.2">
      <c r="A11">
        <v>2025</v>
      </c>
      <c r="B11" s="3">
        <v>92</v>
      </c>
      <c r="C11" s="3">
        <f t="shared" ca="1" si="0"/>
        <v>114.60000000000001</v>
      </c>
      <c r="D11" s="3">
        <f t="shared" ca="1" si="1"/>
        <v>101.30000000000001</v>
      </c>
      <c r="E11" s="3">
        <f t="shared" ca="1" si="2"/>
        <v>88</v>
      </c>
      <c r="F11" s="3">
        <f t="shared" si="3"/>
        <v>74.7</v>
      </c>
      <c r="G11" s="3">
        <f t="shared" ca="1" si="4"/>
        <v>61.400000000000006</v>
      </c>
      <c r="H11" s="3">
        <f t="shared" ca="1" si="5"/>
        <v>48.1</v>
      </c>
      <c r="I11" s="3">
        <f t="shared" ca="1" si="6"/>
        <v>34.799999999999997</v>
      </c>
      <c r="J11">
        <f t="shared" ca="1" si="8"/>
        <v>92</v>
      </c>
      <c r="K11" s="3">
        <f t="shared" ca="1" si="9"/>
        <v>23</v>
      </c>
      <c r="L11" s="3">
        <f t="shared" ca="1" si="10"/>
        <v>49.004999999999995</v>
      </c>
      <c r="M11" s="3">
        <f t="shared" ca="1" si="11"/>
        <v>37.669999999999995</v>
      </c>
      <c r="N11" s="3">
        <f t="shared" ca="1" si="12"/>
        <v>26.334999999999997</v>
      </c>
      <c r="O11" s="3">
        <f t="shared" ca="1" si="7"/>
        <v>15</v>
      </c>
      <c r="P11" s="3">
        <f t="shared" ca="1" si="13"/>
        <v>3.6650000000000027</v>
      </c>
      <c r="Q11" s="3">
        <f t="shared" ca="1" si="14"/>
        <v>0</v>
      </c>
      <c r="R11" s="3">
        <v>0</v>
      </c>
    </row>
    <row r="12" spans="1:18" ht="14" customHeight="1" x14ac:dyDescent="0.2">
      <c r="B12" s="3"/>
      <c r="C12" s="3">
        <f t="shared" ca="1" si="0"/>
        <v>114.60000000000001</v>
      </c>
      <c r="D12" s="3">
        <f t="shared" ca="1" si="1"/>
        <v>101.30000000000001</v>
      </c>
      <c r="E12" s="3">
        <f t="shared" ca="1" si="2"/>
        <v>88</v>
      </c>
      <c r="F12" s="3">
        <f t="shared" si="3"/>
        <v>74.7</v>
      </c>
      <c r="G12" s="3">
        <f t="shared" ca="1" si="4"/>
        <v>61.400000000000006</v>
      </c>
      <c r="H12" s="3">
        <f t="shared" ca="1" si="5"/>
        <v>48.1</v>
      </c>
      <c r="I12" s="3">
        <f t="shared" ca="1" si="6"/>
        <v>34.799999999999997</v>
      </c>
      <c r="J12">
        <f t="shared" ca="1" si="8"/>
        <v>92</v>
      </c>
      <c r="K12" t="str">
        <f t="shared" ca="1" si="9"/>
        <v/>
      </c>
      <c r="L12">
        <f t="shared" ca="1" si="10"/>
        <v>49.004999999999995</v>
      </c>
      <c r="M12">
        <f t="shared" ca="1" si="11"/>
        <v>37.669999999999995</v>
      </c>
      <c r="N12">
        <f t="shared" ca="1" si="12"/>
        <v>26.334999999999997</v>
      </c>
      <c r="O12" s="3">
        <f t="shared" ca="1" si="7"/>
        <v>15</v>
      </c>
      <c r="P12">
        <f t="shared" ca="1" si="13"/>
        <v>3.6650000000000027</v>
      </c>
      <c r="Q12">
        <f t="shared" ca="1" si="14"/>
        <v>0</v>
      </c>
      <c r="R12">
        <v>0</v>
      </c>
    </row>
    <row r="13" spans="1:18" ht="14" customHeight="1" x14ac:dyDescent="0.2">
      <c r="B13" s="3"/>
      <c r="C13" s="3">
        <f t="shared" ca="1" si="0"/>
        <v>114.60000000000001</v>
      </c>
      <c r="D13" s="3">
        <f t="shared" ca="1" si="1"/>
        <v>101.30000000000001</v>
      </c>
      <c r="E13" s="3">
        <f t="shared" ca="1" si="2"/>
        <v>88</v>
      </c>
      <c r="F13" s="3">
        <f t="shared" si="3"/>
        <v>74.7</v>
      </c>
      <c r="G13" s="3">
        <f t="shared" ca="1" si="4"/>
        <v>61.400000000000006</v>
      </c>
      <c r="H13" s="3">
        <f t="shared" ca="1" si="5"/>
        <v>48.1</v>
      </c>
      <c r="I13" s="3">
        <f t="shared" ca="1" si="6"/>
        <v>34.799999999999997</v>
      </c>
      <c r="J13">
        <f t="shared" ca="1" si="8"/>
        <v>92</v>
      </c>
      <c r="K13" t="str">
        <f t="shared" ca="1" si="9"/>
        <v/>
      </c>
      <c r="L13">
        <f t="shared" ca="1" si="10"/>
        <v>49.004999999999995</v>
      </c>
      <c r="M13">
        <f t="shared" ca="1" si="11"/>
        <v>37.669999999999995</v>
      </c>
      <c r="N13">
        <f t="shared" ca="1" si="12"/>
        <v>26.334999999999997</v>
      </c>
      <c r="O13" s="3">
        <f t="shared" ca="1" si="7"/>
        <v>15</v>
      </c>
      <c r="P13">
        <f t="shared" ca="1" si="13"/>
        <v>3.6650000000000027</v>
      </c>
      <c r="Q13">
        <f t="shared" ca="1" si="14"/>
        <v>0</v>
      </c>
      <c r="R13">
        <v>0</v>
      </c>
    </row>
    <row r="14" spans="1:18" ht="14" customHeight="1" x14ac:dyDescent="0.2">
      <c r="B14" s="3"/>
      <c r="C14" s="3">
        <f t="shared" ca="1" si="0"/>
        <v>114.60000000000001</v>
      </c>
      <c r="D14" s="3">
        <f t="shared" ca="1" si="1"/>
        <v>101.30000000000001</v>
      </c>
      <c r="E14" s="3">
        <f t="shared" ca="1" si="2"/>
        <v>88</v>
      </c>
      <c r="F14" s="3">
        <f t="shared" si="3"/>
        <v>74.7</v>
      </c>
      <c r="G14" s="3">
        <f t="shared" ca="1" si="4"/>
        <v>61.400000000000006</v>
      </c>
      <c r="H14" s="3">
        <f t="shared" ca="1" si="5"/>
        <v>48.1</v>
      </c>
      <c r="I14" s="3">
        <f t="shared" ca="1" si="6"/>
        <v>34.799999999999997</v>
      </c>
      <c r="J14">
        <f t="shared" ca="1" si="8"/>
        <v>92</v>
      </c>
      <c r="K14" t="str">
        <f t="shared" ca="1" si="9"/>
        <v/>
      </c>
      <c r="L14">
        <f t="shared" ca="1" si="10"/>
        <v>49.004999999999995</v>
      </c>
      <c r="M14">
        <f t="shared" ca="1" si="11"/>
        <v>37.669999999999995</v>
      </c>
      <c r="N14">
        <f t="shared" ca="1" si="12"/>
        <v>26.334999999999997</v>
      </c>
      <c r="O14" s="3">
        <f t="shared" ca="1" si="7"/>
        <v>15</v>
      </c>
      <c r="P14">
        <f t="shared" ca="1" si="13"/>
        <v>3.6650000000000027</v>
      </c>
      <c r="Q14">
        <f t="shared" ca="1" si="14"/>
        <v>0</v>
      </c>
      <c r="R14">
        <v>0</v>
      </c>
    </row>
    <row r="15" spans="1:18" ht="14" customHeight="1" x14ac:dyDescent="0.2">
      <c r="B15" s="3"/>
      <c r="C15" s="3">
        <f t="shared" ca="1" si="0"/>
        <v>114.60000000000001</v>
      </c>
      <c r="D15" s="3">
        <f t="shared" ca="1" si="1"/>
        <v>101.30000000000001</v>
      </c>
      <c r="E15" s="3">
        <f t="shared" ca="1" si="2"/>
        <v>88</v>
      </c>
      <c r="F15" s="3">
        <f t="shared" si="3"/>
        <v>74.7</v>
      </c>
      <c r="G15" s="3">
        <f t="shared" ca="1" si="4"/>
        <v>61.400000000000006</v>
      </c>
      <c r="H15" s="3">
        <f t="shared" ca="1" si="5"/>
        <v>48.1</v>
      </c>
      <c r="I15" s="3">
        <f t="shared" ca="1" si="6"/>
        <v>34.799999999999997</v>
      </c>
      <c r="J15">
        <f t="shared" ca="1" si="8"/>
        <v>92</v>
      </c>
      <c r="K15" t="str">
        <f t="shared" ca="1" si="9"/>
        <v/>
      </c>
      <c r="L15">
        <f t="shared" ca="1" si="10"/>
        <v>49.004999999999995</v>
      </c>
      <c r="M15">
        <f t="shared" ca="1" si="11"/>
        <v>37.669999999999995</v>
      </c>
      <c r="N15">
        <f t="shared" ca="1" si="12"/>
        <v>26.334999999999997</v>
      </c>
      <c r="O15" s="3">
        <f t="shared" ca="1" si="7"/>
        <v>15</v>
      </c>
      <c r="P15">
        <f t="shared" ca="1" si="13"/>
        <v>3.6650000000000027</v>
      </c>
      <c r="Q15">
        <f t="shared" ca="1" si="14"/>
        <v>0</v>
      </c>
      <c r="R15">
        <v>0</v>
      </c>
    </row>
    <row r="16" spans="1:18" ht="14" customHeight="1" x14ac:dyDescent="0.2">
      <c r="B16" s="3"/>
      <c r="C16" s="3">
        <f t="shared" ca="1" si="0"/>
        <v>114.60000000000001</v>
      </c>
      <c r="D16" s="3">
        <f t="shared" ca="1" si="1"/>
        <v>101.30000000000001</v>
      </c>
      <c r="E16" s="3">
        <f t="shared" ca="1" si="2"/>
        <v>88</v>
      </c>
      <c r="F16" s="3">
        <f t="shared" si="3"/>
        <v>74.7</v>
      </c>
      <c r="G16" s="3">
        <f t="shared" ca="1" si="4"/>
        <v>61.400000000000006</v>
      </c>
      <c r="H16" s="3">
        <f t="shared" ca="1" si="5"/>
        <v>48.1</v>
      </c>
      <c r="I16" s="3">
        <f t="shared" ca="1" si="6"/>
        <v>34.799999999999997</v>
      </c>
      <c r="J16">
        <f t="shared" ca="1" si="8"/>
        <v>92</v>
      </c>
      <c r="K16" t="str">
        <f t="shared" ca="1" si="9"/>
        <v/>
      </c>
      <c r="L16">
        <f t="shared" ca="1" si="10"/>
        <v>49.004999999999995</v>
      </c>
      <c r="M16">
        <f t="shared" ca="1" si="11"/>
        <v>37.669999999999995</v>
      </c>
      <c r="N16">
        <f t="shared" ca="1" si="12"/>
        <v>26.334999999999997</v>
      </c>
      <c r="O16" s="3">
        <f t="shared" ca="1" si="7"/>
        <v>15</v>
      </c>
      <c r="P16">
        <f t="shared" ca="1" si="13"/>
        <v>3.6650000000000027</v>
      </c>
      <c r="Q16">
        <f t="shared" ca="1" si="14"/>
        <v>0</v>
      </c>
      <c r="R16">
        <v>0</v>
      </c>
    </row>
    <row r="17" spans="2:18" ht="14" customHeight="1" x14ac:dyDescent="0.2">
      <c r="B17" s="3"/>
      <c r="C17" s="3">
        <f t="shared" ca="1" si="0"/>
        <v>114.60000000000001</v>
      </c>
      <c r="D17" s="3">
        <f t="shared" ca="1" si="1"/>
        <v>101.30000000000001</v>
      </c>
      <c r="E17" s="3">
        <f t="shared" ca="1" si="2"/>
        <v>88</v>
      </c>
      <c r="F17" s="3">
        <f t="shared" si="3"/>
        <v>74.7</v>
      </c>
      <c r="G17" s="3">
        <f t="shared" ca="1" si="4"/>
        <v>61.400000000000006</v>
      </c>
      <c r="H17" s="3">
        <f t="shared" ca="1" si="5"/>
        <v>48.1</v>
      </c>
      <c r="I17" s="3">
        <f t="shared" ca="1" si="6"/>
        <v>34.799999999999997</v>
      </c>
      <c r="J17">
        <f t="shared" ca="1" si="8"/>
        <v>92</v>
      </c>
      <c r="K17" t="str">
        <f t="shared" ca="1" si="9"/>
        <v/>
      </c>
      <c r="L17">
        <f t="shared" ca="1" si="10"/>
        <v>49.004999999999995</v>
      </c>
      <c r="M17">
        <f t="shared" ca="1" si="11"/>
        <v>37.669999999999995</v>
      </c>
      <c r="N17">
        <f t="shared" ca="1" si="12"/>
        <v>26.334999999999997</v>
      </c>
      <c r="O17" s="3">
        <f t="shared" ca="1" si="7"/>
        <v>15</v>
      </c>
      <c r="P17">
        <f t="shared" ca="1" si="13"/>
        <v>3.6650000000000027</v>
      </c>
      <c r="Q17">
        <f t="shared" ca="1" si="14"/>
        <v>0</v>
      </c>
      <c r="R17">
        <v>0</v>
      </c>
    </row>
    <row r="18" spans="2:18" ht="14" customHeight="1" x14ac:dyDescent="0.2">
      <c r="B18" s="3"/>
      <c r="C18" s="3">
        <f t="shared" ca="1" si="0"/>
        <v>114.60000000000001</v>
      </c>
      <c r="D18" s="3">
        <f t="shared" ca="1" si="1"/>
        <v>101.30000000000001</v>
      </c>
      <c r="E18" s="3">
        <f t="shared" ca="1" si="2"/>
        <v>88</v>
      </c>
      <c r="F18" s="3">
        <f t="shared" si="3"/>
        <v>74.7</v>
      </c>
      <c r="G18" s="3">
        <f t="shared" ca="1" si="4"/>
        <v>61.400000000000006</v>
      </c>
      <c r="H18" s="3">
        <f t="shared" ca="1" si="5"/>
        <v>48.1</v>
      </c>
      <c r="I18" s="3">
        <f t="shared" ca="1" si="6"/>
        <v>34.799999999999997</v>
      </c>
      <c r="J18">
        <f t="shared" ca="1" si="8"/>
        <v>92</v>
      </c>
      <c r="K18" t="str">
        <f t="shared" ca="1" si="9"/>
        <v/>
      </c>
      <c r="L18">
        <f t="shared" ca="1" si="10"/>
        <v>49.004999999999995</v>
      </c>
      <c r="M18">
        <f t="shared" ca="1" si="11"/>
        <v>37.669999999999995</v>
      </c>
      <c r="N18">
        <f t="shared" ca="1" si="12"/>
        <v>26.334999999999997</v>
      </c>
      <c r="O18" s="3">
        <f t="shared" ca="1" si="7"/>
        <v>15</v>
      </c>
      <c r="P18">
        <f t="shared" ca="1" si="13"/>
        <v>3.6650000000000027</v>
      </c>
      <c r="Q18">
        <f t="shared" ca="1" si="14"/>
        <v>0</v>
      </c>
      <c r="R18">
        <v>0</v>
      </c>
    </row>
    <row r="19" spans="2:18" ht="14" customHeight="1" x14ac:dyDescent="0.2">
      <c r="B19" s="3"/>
      <c r="C19" s="3">
        <f t="shared" ca="1" si="0"/>
        <v>114.60000000000001</v>
      </c>
      <c r="D19" s="3">
        <f t="shared" ca="1" si="1"/>
        <v>101.30000000000001</v>
      </c>
      <c r="E19" s="3">
        <f t="shared" ca="1" si="2"/>
        <v>88</v>
      </c>
      <c r="F19" s="3">
        <f t="shared" si="3"/>
        <v>74.7</v>
      </c>
      <c r="G19" s="3">
        <f t="shared" ca="1" si="4"/>
        <v>61.400000000000006</v>
      </c>
      <c r="H19" s="3">
        <f t="shared" ca="1" si="5"/>
        <v>48.1</v>
      </c>
      <c r="I19" s="3">
        <f t="shared" ca="1" si="6"/>
        <v>34.799999999999997</v>
      </c>
      <c r="J19">
        <f t="shared" ca="1" si="8"/>
        <v>92</v>
      </c>
      <c r="K19" t="str">
        <f t="shared" ca="1" si="9"/>
        <v/>
      </c>
      <c r="L19">
        <f t="shared" ca="1" si="10"/>
        <v>49.004999999999995</v>
      </c>
      <c r="M19">
        <f t="shared" ca="1" si="11"/>
        <v>37.669999999999995</v>
      </c>
      <c r="N19">
        <f t="shared" ca="1" si="12"/>
        <v>26.334999999999997</v>
      </c>
      <c r="O19" s="3">
        <f t="shared" ca="1" si="7"/>
        <v>15</v>
      </c>
      <c r="P19">
        <f t="shared" ca="1" si="13"/>
        <v>3.6650000000000027</v>
      </c>
      <c r="Q19">
        <f t="shared" ca="1" si="14"/>
        <v>0</v>
      </c>
      <c r="R19">
        <v>0</v>
      </c>
    </row>
    <row r="20" spans="2:18" ht="14" customHeight="1" x14ac:dyDescent="0.2">
      <c r="B20" s="3"/>
      <c r="C20" s="3">
        <f t="shared" ca="1" si="0"/>
        <v>114.60000000000001</v>
      </c>
      <c r="D20" s="3">
        <f t="shared" ca="1" si="1"/>
        <v>101.30000000000001</v>
      </c>
      <c r="E20" s="3">
        <f t="shared" ca="1" si="2"/>
        <v>88</v>
      </c>
      <c r="F20" s="3">
        <f t="shared" si="3"/>
        <v>74.7</v>
      </c>
      <c r="G20" s="3">
        <f t="shared" ca="1" si="4"/>
        <v>61.400000000000006</v>
      </c>
      <c r="H20" s="3">
        <f t="shared" ca="1" si="5"/>
        <v>48.1</v>
      </c>
      <c r="I20" s="3">
        <f t="shared" ca="1" si="6"/>
        <v>34.799999999999997</v>
      </c>
      <c r="J20">
        <f t="shared" ca="1" si="8"/>
        <v>92</v>
      </c>
      <c r="K20" t="str">
        <f t="shared" ca="1" si="9"/>
        <v/>
      </c>
      <c r="L20">
        <f t="shared" ca="1" si="10"/>
        <v>49.004999999999995</v>
      </c>
      <c r="M20">
        <f t="shared" ca="1" si="11"/>
        <v>37.669999999999995</v>
      </c>
      <c r="N20">
        <f t="shared" ca="1" si="12"/>
        <v>26.334999999999997</v>
      </c>
      <c r="O20" s="3">
        <f t="shared" ca="1" si="7"/>
        <v>15</v>
      </c>
      <c r="P20">
        <f t="shared" ca="1" si="13"/>
        <v>3.6650000000000027</v>
      </c>
      <c r="Q20">
        <f t="shared" ca="1" si="14"/>
        <v>0</v>
      </c>
      <c r="R20">
        <v>0</v>
      </c>
    </row>
    <row r="21" spans="2:18" ht="14" customHeight="1" x14ac:dyDescent="0.2">
      <c r="B21" s="3"/>
      <c r="C21" s="3">
        <f t="shared" ca="1" si="0"/>
        <v>114.60000000000001</v>
      </c>
      <c r="D21" s="3">
        <f t="shared" ca="1" si="1"/>
        <v>101.30000000000001</v>
      </c>
      <c r="E21" s="3">
        <f t="shared" ca="1" si="2"/>
        <v>88</v>
      </c>
      <c r="F21" s="3">
        <f t="shared" si="3"/>
        <v>74.7</v>
      </c>
      <c r="G21" s="3">
        <f t="shared" ca="1" si="4"/>
        <v>61.400000000000006</v>
      </c>
      <c r="H21" s="3">
        <f t="shared" ca="1" si="5"/>
        <v>48.1</v>
      </c>
      <c r="I21" s="3">
        <f t="shared" ca="1" si="6"/>
        <v>34.799999999999997</v>
      </c>
      <c r="J21">
        <f t="shared" ca="1" si="8"/>
        <v>92</v>
      </c>
      <c r="K21" t="str">
        <f t="shared" ca="1" si="9"/>
        <v/>
      </c>
      <c r="L21">
        <f t="shared" ca="1" si="10"/>
        <v>49.004999999999995</v>
      </c>
      <c r="M21">
        <f t="shared" ca="1" si="11"/>
        <v>37.669999999999995</v>
      </c>
      <c r="N21">
        <f t="shared" ca="1" si="12"/>
        <v>26.334999999999997</v>
      </c>
      <c r="O21" s="3">
        <f t="shared" ca="1" si="7"/>
        <v>15</v>
      </c>
      <c r="P21">
        <f t="shared" ca="1" si="13"/>
        <v>3.6650000000000027</v>
      </c>
      <c r="Q21">
        <f t="shared" ca="1" si="14"/>
        <v>0</v>
      </c>
      <c r="R21">
        <v>0</v>
      </c>
    </row>
    <row r="22" spans="2:18" ht="14" customHeight="1" x14ac:dyDescent="0.2">
      <c r="B22" s="3"/>
      <c r="C22" s="3">
        <f t="shared" ca="1" si="0"/>
        <v>114.60000000000001</v>
      </c>
      <c r="D22" s="3">
        <f t="shared" ca="1" si="1"/>
        <v>101.30000000000001</v>
      </c>
      <c r="E22" s="3">
        <f t="shared" ca="1" si="2"/>
        <v>88</v>
      </c>
      <c r="F22" s="3">
        <f t="shared" si="3"/>
        <v>74.7</v>
      </c>
      <c r="G22" s="3">
        <f t="shared" ca="1" si="4"/>
        <v>61.400000000000006</v>
      </c>
      <c r="H22" s="3">
        <f t="shared" ca="1" si="5"/>
        <v>48.1</v>
      </c>
      <c r="I22" s="3">
        <f t="shared" ca="1" si="6"/>
        <v>34.799999999999997</v>
      </c>
      <c r="J22">
        <f t="shared" ca="1" si="8"/>
        <v>92</v>
      </c>
      <c r="K22" t="str">
        <f t="shared" ca="1" si="9"/>
        <v/>
      </c>
      <c r="L22">
        <f t="shared" ca="1" si="10"/>
        <v>49.004999999999995</v>
      </c>
      <c r="M22">
        <f t="shared" ca="1" si="11"/>
        <v>37.669999999999995</v>
      </c>
      <c r="N22">
        <f t="shared" ca="1" si="12"/>
        <v>26.334999999999997</v>
      </c>
      <c r="O22" s="3">
        <f t="shared" ca="1" si="7"/>
        <v>15</v>
      </c>
      <c r="P22">
        <f t="shared" ca="1" si="13"/>
        <v>3.6650000000000027</v>
      </c>
      <c r="Q22">
        <f t="shared" ca="1" si="14"/>
        <v>0</v>
      </c>
      <c r="R22">
        <v>0</v>
      </c>
    </row>
    <row r="23" spans="2:18" ht="14" customHeight="1" x14ac:dyDescent="0.2">
      <c r="B23" s="3"/>
      <c r="C23" s="3">
        <f t="shared" ca="1" si="0"/>
        <v>114.60000000000001</v>
      </c>
      <c r="D23" s="3">
        <f t="shared" ca="1" si="1"/>
        <v>101.30000000000001</v>
      </c>
      <c r="E23" s="3">
        <f t="shared" ca="1" si="2"/>
        <v>88</v>
      </c>
      <c r="F23" s="3">
        <f t="shared" si="3"/>
        <v>74.7</v>
      </c>
      <c r="G23" s="3">
        <f t="shared" ca="1" si="4"/>
        <v>61.400000000000006</v>
      </c>
      <c r="H23" s="3">
        <f t="shared" ca="1" si="5"/>
        <v>48.1</v>
      </c>
      <c r="I23" s="3">
        <f t="shared" ca="1" si="6"/>
        <v>34.799999999999997</v>
      </c>
      <c r="J23">
        <f t="shared" ca="1" si="8"/>
        <v>92</v>
      </c>
      <c r="K23" t="str">
        <f t="shared" ca="1" si="9"/>
        <v/>
      </c>
      <c r="L23">
        <f t="shared" ca="1" si="10"/>
        <v>49.004999999999995</v>
      </c>
      <c r="M23">
        <f t="shared" ca="1" si="11"/>
        <v>37.669999999999995</v>
      </c>
      <c r="N23">
        <f t="shared" ca="1" si="12"/>
        <v>26.334999999999997</v>
      </c>
      <c r="O23" s="3">
        <f t="shared" ca="1" si="7"/>
        <v>15</v>
      </c>
      <c r="P23">
        <f t="shared" ca="1" si="13"/>
        <v>3.6650000000000027</v>
      </c>
      <c r="Q23">
        <f t="shared" ca="1" si="14"/>
        <v>0</v>
      </c>
      <c r="R23">
        <v>0</v>
      </c>
    </row>
    <row r="24" spans="2:18" ht="14" customHeight="1" x14ac:dyDescent="0.2">
      <c r="B24" s="3"/>
      <c r="C24" s="3">
        <f t="shared" ca="1" si="0"/>
        <v>114.60000000000001</v>
      </c>
      <c r="D24" s="3">
        <f t="shared" ca="1" si="1"/>
        <v>101.30000000000001</v>
      </c>
      <c r="E24" s="3">
        <f t="shared" ca="1" si="2"/>
        <v>88</v>
      </c>
      <c r="F24" s="3">
        <f t="shared" si="3"/>
        <v>74.7</v>
      </c>
      <c r="G24" s="3">
        <f t="shared" ca="1" si="4"/>
        <v>61.400000000000006</v>
      </c>
      <c r="H24" s="3">
        <f t="shared" ca="1" si="5"/>
        <v>48.1</v>
      </c>
      <c r="I24" s="3">
        <f t="shared" ca="1" si="6"/>
        <v>34.799999999999997</v>
      </c>
      <c r="J24">
        <f t="shared" ca="1" si="8"/>
        <v>92</v>
      </c>
      <c r="K24" t="str">
        <f t="shared" ca="1" si="9"/>
        <v/>
      </c>
      <c r="L24">
        <f t="shared" ca="1" si="10"/>
        <v>49.004999999999995</v>
      </c>
      <c r="M24">
        <f t="shared" ca="1" si="11"/>
        <v>37.669999999999995</v>
      </c>
      <c r="N24">
        <f t="shared" ca="1" si="12"/>
        <v>26.334999999999997</v>
      </c>
      <c r="O24" s="3">
        <f t="shared" ca="1" si="7"/>
        <v>15</v>
      </c>
      <c r="P24">
        <f t="shared" ca="1" si="13"/>
        <v>3.6650000000000027</v>
      </c>
      <c r="Q24">
        <f t="shared" ca="1" si="14"/>
        <v>0</v>
      </c>
      <c r="R24">
        <v>0</v>
      </c>
    </row>
    <row r="25" spans="2:18" ht="14" customHeight="1" x14ac:dyDescent="0.2">
      <c r="B25" s="3"/>
      <c r="C25" s="3">
        <f t="shared" ca="1" si="0"/>
        <v>114.60000000000001</v>
      </c>
      <c r="D25" s="3">
        <f t="shared" ca="1" si="1"/>
        <v>101.30000000000001</v>
      </c>
      <c r="E25" s="3">
        <f t="shared" ca="1" si="2"/>
        <v>88</v>
      </c>
      <c r="F25" s="3">
        <f t="shared" si="3"/>
        <v>74.7</v>
      </c>
      <c r="G25" s="3">
        <f t="shared" ca="1" si="4"/>
        <v>61.400000000000006</v>
      </c>
      <c r="H25" s="3">
        <f t="shared" ca="1" si="5"/>
        <v>48.1</v>
      </c>
      <c r="I25" s="3">
        <f t="shared" ca="1" si="6"/>
        <v>34.799999999999997</v>
      </c>
      <c r="J25">
        <f t="shared" ca="1" si="8"/>
        <v>92</v>
      </c>
      <c r="K25" t="str">
        <f t="shared" ca="1" si="9"/>
        <v/>
      </c>
      <c r="L25">
        <f t="shared" ca="1" si="10"/>
        <v>49.004999999999995</v>
      </c>
      <c r="M25">
        <f t="shared" ca="1" si="11"/>
        <v>37.669999999999995</v>
      </c>
      <c r="N25">
        <f t="shared" ca="1" si="12"/>
        <v>26.334999999999997</v>
      </c>
      <c r="O25" s="3">
        <f t="shared" ca="1" si="7"/>
        <v>15</v>
      </c>
      <c r="P25">
        <f t="shared" ca="1" si="13"/>
        <v>3.6650000000000027</v>
      </c>
      <c r="Q25">
        <f t="shared" ca="1" si="14"/>
        <v>0</v>
      </c>
      <c r="R25">
        <v>0</v>
      </c>
    </row>
    <row r="26" spans="2:18" ht="14" customHeight="1" x14ac:dyDescent="0.2">
      <c r="B26" s="3"/>
      <c r="C26" s="3">
        <f t="shared" ca="1" si="0"/>
        <v>114.60000000000001</v>
      </c>
      <c r="D26" s="3">
        <f t="shared" ca="1" si="1"/>
        <v>101.30000000000001</v>
      </c>
      <c r="E26" s="3">
        <f t="shared" ca="1" si="2"/>
        <v>88</v>
      </c>
      <c r="F26" s="3">
        <f t="shared" si="3"/>
        <v>74.7</v>
      </c>
      <c r="G26" s="3">
        <f t="shared" ca="1" si="4"/>
        <v>61.400000000000006</v>
      </c>
      <c r="H26" s="3">
        <f t="shared" ca="1" si="5"/>
        <v>48.1</v>
      </c>
      <c r="I26" s="3">
        <f t="shared" ca="1" si="6"/>
        <v>34.799999999999997</v>
      </c>
      <c r="J26">
        <f t="shared" ca="1" si="8"/>
        <v>92</v>
      </c>
      <c r="K26" t="str">
        <f t="shared" ca="1" si="9"/>
        <v/>
      </c>
      <c r="L26">
        <f t="shared" ca="1" si="10"/>
        <v>49.004999999999995</v>
      </c>
      <c r="M26">
        <f t="shared" ca="1" si="11"/>
        <v>37.669999999999995</v>
      </c>
      <c r="N26">
        <f t="shared" ca="1" si="12"/>
        <v>26.334999999999997</v>
      </c>
      <c r="O26" s="3">
        <f t="shared" ca="1" si="7"/>
        <v>15</v>
      </c>
      <c r="P26">
        <f t="shared" ca="1" si="13"/>
        <v>3.6650000000000027</v>
      </c>
      <c r="Q26">
        <f t="shared" ca="1" si="14"/>
        <v>0</v>
      </c>
      <c r="R26">
        <v>0</v>
      </c>
    </row>
    <row r="27" spans="2:18" ht="14" customHeight="1" x14ac:dyDescent="0.2">
      <c r="B27" s="3"/>
      <c r="C27" s="3">
        <f t="shared" ca="1" si="0"/>
        <v>114.60000000000001</v>
      </c>
      <c r="D27" s="3">
        <f t="shared" ca="1" si="1"/>
        <v>101.30000000000001</v>
      </c>
      <c r="E27" s="3">
        <f t="shared" ca="1" si="2"/>
        <v>88</v>
      </c>
      <c r="F27" s="3">
        <f t="shared" si="3"/>
        <v>74.7</v>
      </c>
      <c r="G27" s="3">
        <f t="shared" ca="1" si="4"/>
        <v>61.400000000000006</v>
      </c>
      <c r="H27" s="3">
        <f t="shared" ca="1" si="5"/>
        <v>48.1</v>
      </c>
      <c r="I27" s="3">
        <f t="shared" ca="1" si="6"/>
        <v>34.799999999999997</v>
      </c>
      <c r="J27">
        <f t="shared" ca="1" si="8"/>
        <v>92</v>
      </c>
      <c r="K27" t="str">
        <f t="shared" ca="1" si="9"/>
        <v/>
      </c>
      <c r="L27">
        <f t="shared" ca="1" si="10"/>
        <v>49.004999999999995</v>
      </c>
      <c r="M27">
        <f t="shared" ca="1" si="11"/>
        <v>37.669999999999995</v>
      </c>
      <c r="N27">
        <f t="shared" ca="1" si="12"/>
        <v>26.334999999999997</v>
      </c>
      <c r="O27" s="3">
        <f t="shared" ca="1" si="7"/>
        <v>15</v>
      </c>
      <c r="P27">
        <f t="shared" ca="1" si="13"/>
        <v>3.6650000000000027</v>
      </c>
      <c r="Q27">
        <f t="shared" ca="1" si="14"/>
        <v>0</v>
      </c>
      <c r="R27">
        <v>0</v>
      </c>
    </row>
    <row r="28" spans="2:18" ht="14" customHeight="1" x14ac:dyDescent="0.2">
      <c r="B28" s="3"/>
      <c r="C28" s="3">
        <f t="shared" ca="1" si="0"/>
        <v>114.60000000000001</v>
      </c>
      <c r="D28" s="3">
        <f t="shared" ca="1" si="1"/>
        <v>101.30000000000001</v>
      </c>
      <c r="E28" s="3">
        <f t="shared" ca="1" si="2"/>
        <v>88</v>
      </c>
      <c r="F28" s="3">
        <f t="shared" si="3"/>
        <v>74.7</v>
      </c>
      <c r="G28" s="3">
        <f t="shared" ca="1" si="4"/>
        <v>61.400000000000006</v>
      </c>
      <c r="H28" s="3">
        <f t="shared" ca="1" si="5"/>
        <v>48.1</v>
      </c>
      <c r="I28" s="3">
        <f t="shared" ca="1" si="6"/>
        <v>34.799999999999997</v>
      </c>
      <c r="J28">
        <f t="shared" ca="1" si="8"/>
        <v>92</v>
      </c>
      <c r="K28" t="str">
        <f t="shared" ca="1" si="9"/>
        <v/>
      </c>
      <c r="L28">
        <f t="shared" ca="1" si="10"/>
        <v>49.004999999999995</v>
      </c>
      <c r="M28">
        <f t="shared" ca="1" si="11"/>
        <v>37.669999999999995</v>
      </c>
      <c r="N28">
        <f t="shared" ca="1" si="12"/>
        <v>26.334999999999997</v>
      </c>
      <c r="O28" s="3">
        <f t="shared" ca="1" si="7"/>
        <v>15</v>
      </c>
      <c r="P28">
        <f t="shared" ca="1" si="13"/>
        <v>3.6650000000000027</v>
      </c>
      <c r="Q28">
        <f t="shared" ca="1" si="14"/>
        <v>0</v>
      </c>
      <c r="R28">
        <v>0</v>
      </c>
    </row>
    <row r="29" spans="2:18" ht="14" customHeight="1" x14ac:dyDescent="0.2">
      <c r="B29" s="3"/>
      <c r="C29" s="3">
        <f t="shared" ca="1" si="0"/>
        <v>114.60000000000001</v>
      </c>
      <c r="D29" s="3">
        <f t="shared" ca="1" si="1"/>
        <v>101.30000000000001</v>
      </c>
      <c r="E29" s="3">
        <f t="shared" ca="1" si="2"/>
        <v>88</v>
      </c>
      <c r="F29" s="3">
        <f t="shared" si="3"/>
        <v>74.7</v>
      </c>
      <c r="G29" s="3">
        <f t="shared" ca="1" si="4"/>
        <v>61.400000000000006</v>
      </c>
      <c r="H29" s="3">
        <f t="shared" ca="1" si="5"/>
        <v>48.1</v>
      </c>
      <c r="I29" s="3">
        <f t="shared" ca="1" si="6"/>
        <v>34.799999999999997</v>
      </c>
      <c r="J29">
        <f t="shared" ca="1" si="8"/>
        <v>92</v>
      </c>
      <c r="K29" t="str">
        <f t="shared" ca="1" si="9"/>
        <v/>
      </c>
      <c r="L29">
        <f t="shared" ca="1" si="10"/>
        <v>49.004999999999995</v>
      </c>
      <c r="M29">
        <f t="shared" ca="1" si="11"/>
        <v>37.669999999999995</v>
      </c>
      <c r="N29">
        <f t="shared" ca="1" si="12"/>
        <v>26.334999999999997</v>
      </c>
      <c r="O29" s="3">
        <f t="shared" ca="1" si="7"/>
        <v>15</v>
      </c>
      <c r="P29">
        <f t="shared" ca="1" si="13"/>
        <v>3.6650000000000027</v>
      </c>
      <c r="Q29">
        <f t="shared" ca="1" si="14"/>
        <v>0</v>
      </c>
      <c r="R29">
        <v>0</v>
      </c>
    </row>
    <row r="30" spans="2:18" ht="14" customHeight="1" x14ac:dyDescent="0.2">
      <c r="B30" s="3"/>
      <c r="C30" s="3">
        <f t="shared" ca="1" si="0"/>
        <v>114.60000000000001</v>
      </c>
      <c r="D30" s="3">
        <f t="shared" ca="1" si="1"/>
        <v>101.30000000000001</v>
      </c>
      <c r="E30" s="3">
        <f t="shared" ca="1" si="2"/>
        <v>88</v>
      </c>
      <c r="F30" s="3">
        <f t="shared" si="3"/>
        <v>74.7</v>
      </c>
      <c r="G30" s="3">
        <f t="shared" ca="1" si="4"/>
        <v>61.400000000000006</v>
      </c>
      <c r="H30" s="3">
        <f t="shared" ca="1" si="5"/>
        <v>48.1</v>
      </c>
      <c r="I30" s="3">
        <f t="shared" ca="1" si="6"/>
        <v>34.799999999999997</v>
      </c>
      <c r="J30">
        <f t="shared" ca="1" si="8"/>
        <v>92</v>
      </c>
      <c r="K30" t="str">
        <f t="shared" ca="1" si="9"/>
        <v/>
      </c>
      <c r="L30">
        <f t="shared" ca="1" si="10"/>
        <v>49.004999999999995</v>
      </c>
      <c r="M30">
        <f t="shared" ca="1" si="11"/>
        <v>37.669999999999995</v>
      </c>
      <c r="N30">
        <f t="shared" ca="1" si="12"/>
        <v>26.334999999999997</v>
      </c>
      <c r="O30" s="3">
        <f t="shared" ca="1" si="7"/>
        <v>15</v>
      </c>
      <c r="P30">
        <f t="shared" ca="1" si="13"/>
        <v>3.6650000000000027</v>
      </c>
      <c r="Q30">
        <f t="shared" ca="1" si="14"/>
        <v>0</v>
      </c>
      <c r="R30">
        <v>0</v>
      </c>
    </row>
    <row r="31" spans="2:18" ht="14" customHeight="1" x14ac:dyDescent="0.2">
      <c r="B31" s="3"/>
      <c r="C31" s="3">
        <f t="shared" ca="1" si="0"/>
        <v>114.60000000000001</v>
      </c>
      <c r="D31" s="3">
        <f t="shared" ca="1" si="1"/>
        <v>101.30000000000001</v>
      </c>
      <c r="E31" s="3">
        <f t="shared" ca="1" si="2"/>
        <v>88</v>
      </c>
      <c r="F31" s="3">
        <f t="shared" si="3"/>
        <v>74.7</v>
      </c>
      <c r="G31" s="3">
        <f t="shared" ca="1" si="4"/>
        <v>61.400000000000006</v>
      </c>
      <c r="H31" s="3">
        <f t="shared" ca="1" si="5"/>
        <v>48.1</v>
      </c>
      <c r="I31" s="3">
        <f t="shared" ca="1" si="6"/>
        <v>34.799999999999997</v>
      </c>
      <c r="J31">
        <f t="shared" ca="1" si="8"/>
        <v>92</v>
      </c>
      <c r="K31" t="str">
        <f t="shared" ca="1" si="9"/>
        <v/>
      </c>
      <c r="L31">
        <f t="shared" ca="1" si="10"/>
        <v>49.004999999999995</v>
      </c>
      <c r="M31">
        <f t="shared" ca="1" si="11"/>
        <v>37.669999999999995</v>
      </c>
      <c r="N31">
        <f t="shared" ca="1" si="12"/>
        <v>26.334999999999997</v>
      </c>
      <c r="O31" s="3">
        <f t="shared" ca="1" si="7"/>
        <v>15</v>
      </c>
      <c r="P31">
        <f t="shared" ca="1" si="13"/>
        <v>3.6650000000000027</v>
      </c>
      <c r="Q31">
        <f t="shared" ca="1" si="14"/>
        <v>0</v>
      </c>
      <c r="R31">
        <v>0</v>
      </c>
    </row>
    <row r="32" spans="2:1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F3CF-C21E-E149-8E78-859D60698944}">
  <sheetPr>
    <tabColor rgb="FF66FF66"/>
    <pageSetUpPr fitToPage="1"/>
  </sheetPr>
  <dimension ref="A1:Z52"/>
  <sheetViews>
    <sheetView zoomScale="174" zoomScaleNormal="174" workbookViewId="0">
      <selection activeCell="W25" sqref="A1:XFD1048576"/>
    </sheetView>
  </sheetViews>
  <sheetFormatPr baseColWidth="10" defaultRowHeight="16" x14ac:dyDescent="0.2"/>
  <cols>
    <col min="1" max="1" width="10.6640625" bestFit="1" customWidth="1"/>
    <col min="2" max="21" width="6.5" customWidth="1"/>
  </cols>
  <sheetData>
    <row r="1" spans="1:26" ht="14" customHeight="1" x14ac:dyDescent="0.2">
      <c r="A1" t="s">
        <v>17</v>
      </c>
      <c r="B1" s="3" t="s">
        <v>15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-41.642424242424255</v>
      </c>
      <c r="W1" t="s">
        <v>20</v>
      </c>
      <c r="X1">
        <f>INDEX(LINEST($B$2:$B$11,,,TRUE),1,2)</f>
        <v>746.13333333333344</v>
      </c>
      <c r="Y1" t="s">
        <v>21</v>
      </c>
      <c r="Z1">
        <f>INDEX(LINEST($B$2:$B$11,,,TRUE),3,1)</f>
        <v>0.82553437761926773</v>
      </c>
    </row>
    <row r="2" spans="1:26" ht="14" customHeight="1" x14ac:dyDescent="0.2">
      <c r="A2">
        <v>2016</v>
      </c>
      <c r="B2" s="3">
        <v>729</v>
      </c>
      <c r="C2" s="3">
        <f t="shared" ref="C2:C31" ca="1" si="0">F2+2.66*O2</f>
        <v>886.84868686868697</v>
      </c>
      <c r="D2" s="3">
        <f t="shared" ref="D2:D31" ca="1" si="1">F2+(2/3)*2.66*O2</f>
        <v>826.06276094276109</v>
      </c>
      <c r="E2" s="3">
        <f t="shared" ref="E2:E31" ca="1" si="2">F2+(1/3)*2.66*O2</f>
        <v>765.27683501683509</v>
      </c>
      <c r="F2" s="3">
        <f t="shared" ref="F2:F31" si="3">INDEX(LINEST($B$2:$B$11,,,TRUE),1,1)* S2 +INDEX(LINEST($B$2:$B$11,,,TRUE),1,2)</f>
        <v>704.49090909090921</v>
      </c>
      <c r="G2" s="3">
        <f t="shared" ref="G2:G31" ca="1" si="4">F2-(1/3)*2.66*O2</f>
        <v>643.70498316498333</v>
      </c>
      <c r="H2" s="3">
        <f t="shared" ref="H2:H31" ca="1" si="5">F2-(2/3)*2.66*O2</f>
        <v>582.91905723905734</v>
      </c>
      <c r="I2" s="3">
        <f t="shared" ref="I2:I31" ca="1" si="6">F2-2.66*O2</f>
        <v>522.13313131313146</v>
      </c>
      <c r="J2" s="3">
        <f>B2</f>
        <v>729</v>
      </c>
      <c r="K2" s="3"/>
      <c r="L2" s="3"/>
      <c r="M2" s="3"/>
      <c r="N2" s="3"/>
      <c r="O2" s="3">
        <f t="shared" ref="O2:O31" ca="1" si="7">AVERAGE($K$3:$K$11)</f>
        <v>68.555555555555557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695</v>
      </c>
      <c r="C3" s="3">
        <f t="shared" ca="1" si="0"/>
        <v>845.20626262626274</v>
      </c>
      <c r="D3" s="3">
        <f t="shared" ca="1" si="1"/>
        <v>784.42033670033686</v>
      </c>
      <c r="E3" s="3">
        <f t="shared" ca="1" si="2"/>
        <v>723.63441077441087</v>
      </c>
      <c r="F3" s="3">
        <f t="shared" si="3"/>
        <v>662.84848484848499</v>
      </c>
      <c r="G3" s="3">
        <f t="shared" ca="1" si="4"/>
        <v>602.06255892255911</v>
      </c>
      <c r="H3" s="3">
        <f t="shared" ca="1" si="5"/>
        <v>541.27663299663311</v>
      </c>
      <c r="I3" s="3">
        <f t="shared" ca="1" si="6"/>
        <v>480.49070707070723</v>
      </c>
      <c r="J3">
        <f t="shared" ref="J3:J31" ca="1" si="8">IF(ISBLANK(B3),OFFSET(J3,-1,0,1,1),B3)</f>
        <v>695</v>
      </c>
      <c r="K3" s="3">
        <f t="shared" ref="K3:K31" ca="1" si="9">IF(OR(OFFSET(K3,-1,-9,1,1)="",OFFSET(K3,0,-9,1,1)=""),"",IF(ISERROR(ABS(B3-OFFSET(K3,-1,-1,1,1))),"",ABS(B3-OFFSET(K3,-1,-1,1,1))))</f>
        <v>34</v>
      </c>
      <c r="L3" s="3">
        <f t="shared" ref="L3:L31" ca="1" si="10">3.267*O3</f>
        <v>223.971</v>
      </c>
      <c r="M3" s="3">
        <f t="shared" ref="M3:M31" ca="1" si="11">(2/3)*(L3-O3)+O3</f>
        <v>172.16585185185187</v>
      </c>
      <c r="N3" s="3">
        <f t="shared" ref="N3:N31" ca="1" si="12">(1/3)*(L3-O3)+O3</f>
        <v>120.36070370370371</v>
      </c>
      <c r="O3" s="3">
        <f t="shared" ca="1" si="7"/>
        <v>68.555555555555557</v>
      </c>
      <c r="P3" s="3">
        <f t="shared" ref="P3:P31" ca="1" si="13">(MAX(O3-(1/3)*(L3-O3),0))</f>
        <v>16.750407407407408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671</v>
      </c>
      <c r="C4" s="3">
        <f t="shared" ca="1" si="0"/>
        <v>803.5638383838384</v>
      </c>
      <c r="D4" s="3">
        <f t="shared" ca="1" si="1"/>
        <v>742.77791245791252</v>
      </c>
      <c r="E4" s="3">
        <f t="shared" ca="1" si="2"/>
        <v>681.99198653198653</v>
      </c>
      <c r="F4" s="3">
        <f t="shared" si="3"/>
        <v>621.20606060606065</v>
      </c>
      <c r="G4" s="3">
        <f t="shared" ca="1" si="4"/>
        <v>560.42013468013477</v>
      </c>
      <c r="H4" s="3">
        <f t="shared" ca="1" si="5"/>
        <v>499.63420875420877</v>
      </c>
      <c r="I4" s="3">
        <f t="shared" ca="1" si="6"/>
        <v>438.84828282828289</v>
      </c>
      <c r="J4">
        <f t="shared" ca="1" si="8"/>
        <v>671</v>
      </c>
      <c r="K4" s="3">
        <f t="shared" ca="1" si="9"/>
        <v>24</v>
      </c>
      <c r="L4" s="3">
        <f t="shared" ca="1" si="10"/>
        <v>223.971</v>
      </c>
      <c r="M4" s="3">
        <f t="shared" ca="1" si="11"/>
        <v>172.16585185185187</v>
      </c>
      <c r="N4" s="3">
        <f t="shared" ca="1" si="12"/>
        <v>120.36070370370371</v>
      </c>
      <c r="O4" s="3">
        <f t="shared" ca="1" si="7"/>
        <v>68.555555555555557</v>
      </c>
      <c r="P4" s="3">
        <f t="shared" ca="1" si="13"/>
        <v>16.750407407407408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560</v>
      </c>
      <c r="C5" s="3">
        <f t="shared" ca="1" si="0"/>
        <v>761.92141414141417</v>
      </c>
      <c r="D5" s="3">
        <f t="shared" ca="1" si="1"/>
        <v>701.13548821548829</v>
      </c>
      <c r="E5" s="3">
        <f t="shared" ca="1" si="2"/>
        <v>640.3495622895623</v>
      </c>
      <c r="F5" s="3">
        <f t="shared" si="3"/>
        <v>579.56363636363642</v>
      </c>
      <c r="G5" s="3">
        <f t="shared" ca="1" si="4"/>
        <v>518.77771043771054</v>
      </c>
      <c r="H5" s="3">
        <f t="shared" ca="1" si="5"/>
        <v>457.99178451178454</v>
      </c>
      <c r="I5" s="3">
        <f t="shared" ca="1" si="6"/>
        <v>397.20585858585866</v>
      </c>
      <c r="J5">
        <f t="shared" ca="1" si="8"/>
        <v>560</v>
      </c>
      <c r="K5" s="3">
        <f t="shared" ca="1" si="9"/>
        <v>111</v>
      </c>
      <c r="L5" s="3">
        <f t="shared" ca="1" si="10"/>
        <v>223.971</v>
      </c>
      <c r="M5" s="3">
        <f t="shared" ca="1" si="11"/>
        <v>172.16585185185187</v>
      </c>
      <c r="N5" s="3">
        <f t="shared" ca="1" si="12"/>
        <v>120.36070370370371</v>
      </c>
      <c r="O5" s="3">
        <f t="shared" ca="1" si="7"/>
        <v>68.555555555555557</v>
      </c>
      <c r="P5" s="3">
        <f t="shared" ca="1" si="13"/>
        <v>16.750407407407408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460</v>
      </c>
      <c r="C6" s="3">
        <f t="shared" ca="1" si="0"/>
        <v>720.27898989898995</v>
      </c>
      <c r="D6" s="3">
        <f t="shared" ca="1" si="1"/>
        <v>659.49306397306407</v>
      </c>
      <c r="E6" s="3">
        <f t="shared" ca="1" si="2"/>
        <v>598.70713804713807</v>
      </c>
      <c r="F6" s="3">
        <f t="shared" si="3"/>
        <v>537.92121212121219</v>
      </c>
      <c r="G6" s="3">
        <f t="shared" ca="1" si="4"/>
        <v>477.13528619528626</v>
      </c>
      <c r="H6" s="3">
        <f t="shared" ca="1" si="5"/>
        <v>416.34936026936032</v>
      </c>
      <c r="I6" s="3">
        <f t="shared" ca="1" si="6"/>
        <v>355.56343434343444</v>
      </c>
      <c r="J6">
        <f t="shared" ca="1" si="8"/>
        <v>460</v>
      </c>
      <c r="K6" s="3">
        <f t="shared" ca="1" si="9"/>
        <v>100</v>
      </c>
      <c r="L6" s="3">
        <f t="shared" ca="1" si="10"/>
        <v>223.971</v>
      </c>
      <c r="M6" s="3">
        <f t="shared" ca="1" si="11"/>
        <v>172.16585185185187</v>
      </c>
      <c r="N6" s="3">
        <f t="shared" ca="1" si="12"/>
        <v>120.36070370370371</v>
      </c>
      <c r="O6" s="3">
        <f t="shared" ca="1" si="7"/>
        <v>68.555555555555557</v>
      </c>
      <c r="P6" s="3">
        <f t="shared" ca="1" si="13"/>
        <v>16.750407407407408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372</v>
      </c>
      <c r="C7" s="3">
        <f t="shared" ca="1" si="0"/>
        <v>678.63656565656572</v>
      </c>
      <c r="D7" s="3">
        <f t="shared" ca="1" si="1"/>
        <v>617.85063973063973</v>
      </c>
      <c r="E7" s="3">
        <f t="shared" ca="1" si="2"/>
        <v>557.06471380471385</v>
      </c>
      <c r="F7" s="3">
        <f t="shared" si="3"/>
        <v>496.27878787878791</v>
      </c>
      <c r="G7" s="3">
        <f t="shared" ca="1" si="4"/>
        <v>435.49286195286197</v>
      </c>
      <c r="H7" s="3">
        <f t="shared" ca="1" si="5"/>
        <v>374.70693602693603</v>
      </c>
      <c r="I7" s="3">
        <f t="shared" ca="1" si="6"/>
        <v>313.9210101010101</v>
      </c>
      <c r="J7">
        <f t="shared" ca="1" si="8"/>
        <v>372</v>
      </c>
      <c r="K7" s="3">
        <f t="shared" ca="1" si="9"/>
        <v>88</v>
      </c>
      <c r="L7" s="3">
        <f t="shared" ca="1" si="10"/>
        <v>223.971</v>
      </c>
      <c r="M7" s="3">
        <f t="shared" ca="1" si="11"/>
        <v>172.16585185185187</v>
      </c>
      <c r="N7" s="3">
        <f t="shared" ca="1" si="12"/>
        <v>120.36070370370371</v>
      </c>
      <c r="O7" s="3">
        <f t="shared" ca="1" si="7"/>
        <v>68.555555555555557</v>
      </c>
      <c r="P7" s="3">
        <f t="shared" ca="1" si="13"/>
        <v>16.750407407407408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501</v>
      </c>
      <c r="C8" s="3">
        <f t="shared" ca="1" si="0"/>
        <v>636.99414141414138</v>
      </c>
      <c r="D8" s="3">
        <f t="shared" ca="1" si="1"/>
        <v>576.2082154882155</v>
      </c>
      <c r="E8" s="3">
        <f t="shared" ca="1" si="2"/>
        <v>515.42228956228951</v>
      </c>
      <c r="F8" s="3">
        <f t="shared" si="3"/>
        <v>454.63636363636363</v>
      </c>
      <c r="G8" s="3">
        <f t="shared" ca="1" si="4"/>
        <v>393.85043771043769</v>
      </c>
      <c r="H8" s="3">
        <f t="shared" ca="1" si="5"/>
        <v>333.06451178451175</v>
      </c>
      <c r="I8" s="3">
        <f t="shared" ca="1" si="6"/>
        <v>272.27858585858587</v>
      </c>
      <c r="J8">
        <f t="shared" ca="1" si="8"/>
        <v>501</v>
      </c>
      <c r="K8" s="3">
        <f t="shared" ca="1" si="9"/>
        <v>129</v>
      </c>
      <c r="L8" s="3">
        <f t="shared" ca="1" si="10"/>
        <v>223.971</v>
      </c>
      <c r="M8" s="3">
        <f t="shared" ca="1" si="11"/>
        <v>172.16585185185187</v>
      </c>
      <c r="N8" s="3">
        <f t="shared" ca="1" si="12"/>
        <v>120.36070370370371</v>
      </c>
      <c r="O8" s="3">
        <f t="shared" ca="1" si="7"/>
        <v>68.555555555555557</v>
      </c>
      <c r="P8" s="3">
        <f t="shared" ca="1" si="13"/>
        <v>16.750407407407408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423</v>
      </c>
      <c r="C9" s="3">
        <f t="shared" ca="1" si="0"/>
        <v>595.35171717171715</v>
      </c>
      <c r="D9" s="3">
        <f t="shared" ca="1" si="1"/>
        <v>534.56579124579127</v>
      </c>
      <c r="E9" s="3">
        <f t="shared" ca="1" si="2"/>
        <v>473.77986531986534</v>
      </c>
      <c r="F9" s="3">
        <f t="shared" si="3"/>
        <v>412.9939393939394</v>
      </c>
      <c r="G9" s="3">
        <f t="shared" ca="1" si="4"/>
        <v>352.20801346801346</v>
      </c>
      <c r="H9" s="3">
        <f t="shared" ca="1" si="5"/>
        <v>291.42208754208752</v>
      </c>
      <c r="I9" s="3">
        <f t="shared" ca="1" si="6"/>
        <v>230.63616161616162</v>
      </c>
      <c r="J9">
        <f t="shared" ca="1" si="8"/>
        <v>423</v>
      </c>
      <c r="K9" s="3">
        <f t="shared" ca="1" si="9"/>
        <v>78</v>
      </c>
      <c r="L9" s="3">
        <f t="shared" ca="1" si="10"/>
        <v>223.971</v>
      </c>
      <c r="M9" s="3">
        <f t="shared" ca="1" si="11"/>
        <v>172.16585185185187</v>
      </c>
      <c r="N9" s="3">
        <f t="shared" ca="1" si="12"/>
        <v>120.36070370370371</v>
      </c>
      <c r="O9" s="3">
        <f t="shared" ca="1" si="7"/>
        <v>68.555555555555557</v>
      </c>
      <c r="P9" s="3">
        <f t="shared" ca="1" si="13"/>
        <v>16.750407407407408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390</v>
      </c>
      <c r="C10" s="3">
        <f t="shared" ca="1" si="0"/>
        <v>553.70929292929293</v>
      </c>
      <c r="D10" s="3">
        <f t="shared" ca="1" si="1"/>
        <v>492.92336700336705</v>
      </c>
      <c r="E10" s="3">
        <f t="shared" ca="1" si="2"/>
        <v>432.13744107744111</v>
      </c>
      <c r="F10" s="3">
        <f t="shared" si="3"/>
        <v>371.35151515151517</v>
      </c>
      <c r="G10" s="3">
        <f t="shared" ca="1" si="4"/>
        <v>310.56558922558924</v>
      </c>
      <c r="H10" s="3">
        <f t="shared" ca="1" si="5"/>
        <v>249.7796632996633</v>
      </c>
      <c r="I10" s="3">
        <f t="shared" ca="1" si="6"/>
        <v>188.99373737373739</v>
      </c>
      <c r="J10">
        <f t="shared" ca="1" si="8"/>
        <v>390</v>
      </c>
      <c r="K10" s="3">
        <f t="shared" ca="1" si="9"/>
        <v>33</v>
      </c>
      <c r="L10" s="3">
        <f t="shared" ca="1" si="10"/>
        <v>223.971</v>
      </c>
      <c r="M10" s="3">
        <f t="shared" ca="1" si="11"/>
        <v>172.16585185185187</v>
      </c>
      <c r="N10" s="3">
        <f t="shared" ca="1" si="12"/>
        <v>120.36070370370371</v>
      </c>
      <c r="O10" s="3">
        <f t="shared" ca="1" si="7"/>
        <v>68.555555555555557</v>
      </c>
      <c r="P10" s="3">
        <f t="shared" ca="1" si="13"/>
        <v>16.750407407407408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370</v>
      </c>
      <c r="C11" s="3">
        <f t="shared" ca="1" si="0"/>
        <v>512.0668686868687</v>
      </c>
      <c r="D11" s="3">
        <f t="shared" ca="1" si="1"/>
        <v>451.28094276094276</v>
      </c>
      <c r="E11" s="3">
        <f t="shared" ca="1" si="2"/>
        <v>390.49501683501683</v>
      </c>
      <c r="F11" s="3">
        <f t="shared" si="3"/>
        <v>329.70909090909089</v>
      </c>
      <c r="G11" s="3">
        <f t="shared" ca="1" si="4"/>
        <v>268.92316498316495</v>
      </c>
      <c r="H11" s="3">
        <f t="shared" ca="1" si="5"/>
        <v>208.13723905723901</v>
      </c>
      <c r="I11" s="3">
        <f t="shared" ca="1" si="6"/>
        <v>147.35131313131311</v>
      </c>
      <c r="J11">
        <f t="shared" ca="1" si="8"/>
        <v>370</v>
      </c>
      <c r="K11" s="3">
        <f t="shared" ca="1" si="9"/>
        <v>20</v>
      </c>
      <c r="L11" s="3">
        <f t="shared" ca="1" si="10"/>
        <v>223.971</v>
      </c>
      <c r="M11" s="3">
        <f t="shared" ca="1" si="11"/>
        <v>172.16585185185187</v>
      </c>
      <c r="N11" s="3">
        <f t="shared" ca="1" si="12"/>
        <v>120.36070370370371</v>
      </c>
      <c r="O11" s="3">
        <f t="shared" ca="1" si="7"/>
        <v>68.555555555555557</v>
      </c>
      <c r="P11" s="3">
        <f t="shared" ca="1" si="13"/>
        <v>16.750407407407408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470.42444444444436</v>
      </c>
      <c r="D12">
        <f t="shared" ca="1" si="1"/>
        <v>409.63851851851848</v>
      </c>
      <c r="E12">
        <f t="shared" ca="1" si="2"/>
        <v>348.85259259259254</v>
      </c>
      <c r="F12">
        <f t="shared" si="3"/>
        <v>288.06666666666661</v>
      </c>
      <c r="G12">
        <f t="shared" ca="1" si="4"/>
        <v>227.28074074074067</v>
      </c>
      <c r="H12">
        <f t="shared" ca="1" si="5"/>
        <v>166.49481481481473</v>
      </c>
      <c r="I12">
        <f t="shared" ca="1" si="6"/>
        <v>105.70888888888882</v>
      </c>
      <c r="J12">
        <f t="shared" ca="1" si="8"/>
        <v>370</v>
      </c>
      <c r="L12">
        <f t="shared" ca="1" si="10"/>
        <v>223.971</v>
      </c>
      <c r="M12">
        <f t="shared" ca="1" si="11"/>
        <v>172.16585185185187</v>
      </c>
      <c r="N12">
        <f t="shared" ca="1" si="12"/>
        <v>120.36070370370371</v>
      </c>
      <c r="O12" s="3">
        <f t="shared" ca="1" si="7"/>
        <v>68.555555555555557</v>
      </c>
      <c r="P12">
        <f t="shared" ca="1" si="13"/>
        <v>16.750407407407408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428.78202020202014</v>
      </c>
      <c r="D13">
        <f t="shared" ca="1" si="1"/>
        <v>367.99609427609425</v>
      </c>
      <c r="E13">
        <f t="shared" ca="1" si="2"/>
        <v>307.21016835016832</v>
      </c>
      <c r="F13">
        <f t="shared" si="3"/>
        <v>246.42424242424238</v>
      </c>
      <c r="G13">
        <f t="shared" ca="1" si="4"/>
        <v>185.63831649831644</v>
      </c>
      <c r="H13">
        <f t="shared" ca="1" si="5"/>
        <v>124.85239057239052</v>
      </c>
      <c r="I13">
        <f t="shared" ca="1" si="6"/>
        <v>64.066464646464595</v>
      </c>
      <c r="J13">
        <f t="shared" ca="1" si="8"/>
        <v>370</v>
      </c>
      <c r="K13" t="str">
        <f t="shared" ca="1" si="9"/>
        <v/>
      </c>
      <c r="L13">
        <f t="shared" ca="1" si="10"/>
        <v>223.971</v>
      </c>
      <c r="M13">
        <f t="shared" ca="1" si="11"/>
        <v>172.16585185185187</v>
      </c>
      <c r="N13">
        <f t="shared" ca="1" si="12"/>
        <v>120.36070370370371</v>
      </c>
      <c r="O13" s="3">
        <f t="shared" ca="1" si="7"/>
        <v>68.555555555555557</v>
      </c>
      <c r="P13">
        <f t="shared" ca="1" si="13"/>
        <v>16.750407407407408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387.13959595959591</v>
      </c>
      <c r="D14">
        <f t="shared" ca="1" si="1"/>
        <v>326.35367003367003</v>
      </c>
      <c r="E14">
        <f t="shared" ca="1" si="2"/>
        <v>265.56774410774409</v>
      </c>
      <c r="F14">
        <f t="shared" si="3"/>
        <v>204.78181818181815</v>
      </c>
      <c r="G14">
        <f t="shared" ca="1" si="4"/>
        <v>143.99589225589222</v>
      </c>
      <c r="H14">
        <f t="shared" ca="1" si="5"/>
        <v>83.209966329966292</v>
      </c>
      <c r="I14">
        <f t="shared" ca="1" si="6"/>
        <v>22.424040404040369</v>
      </c>
      <c r="J14">
        <f t="shared" ca="1" si="8"/>
        <v>370</v>
      </c>
      <c r="K14" t="str">
        <f t="shared" ca="1" si="9"/>
        <v/>
      </c>
      <c r="L14">
        <f t="shared" ca="1" si="10"/>
        <v>223.971</v>
      </c>
      <c r="M14">
        <f t="shared" ca="1" si="11"/>
        <v>172.16585185185187</v>
      </c>
      <c r="N14">
        <f t="shared" ca="1" si="12"/>
        <v>120.36070370370371</v>
      </c>
      <c r="O14" s="3">
        <f t="shared" ca="1" si="7"/>
        <v>68.555555555555557</v>
      </c>
      <c r="P14">
        <f t="shared" ca="1" si="13"/>
        <v>16.750407407407408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345.49717171717157</v>
      </c>
      <c r="D15">
        <f t="shared" ca="1" si="1"/>
        <v>284.71124579124569</v>
      </c>
      <c r="E15">
        <f t="shared" ca="1" si="2"/>
        <v>223.92531986531975</v>
      </c>
      <c r="F15">
        <f t="shared" si="3"/>
        <v>163.13939393939381</v>
      </c>
      <c r="G15">
        <f t="shared" ca="1" si="4"/>
        <v>102.35346801346788</v>
      </c>
      <c r="H15">
        <f t="shared" ca="1" si="5"/>
        <v>41.567542087541952</v>
      </c>
      <c r="I15">
        <f t="shared" ca="1" si="6"/>
        <v>-19.218383838383971</v>
      </c>
      <c r="J15">
        <f t="shared" ca="1" si="8"/>
        <v>370</v>
      </c>
      <c r="K15" t="str">
        <f t="shared" ca="1" si="9"/>
        <v/>
      </c>
      <c r="L15">
        <f t="shared" ca="1" si="10"/>
        <v>223.971</v>
      </c>
      <c r="M15">
        <f t="shared" ca="1" si="11"/>
        <v>172.16585185185187</v>
      </c>
      <c r="N15">
        <f t="shared" ca="1" si="12"/>
        <v>120.36070370370371</v>
      </c>
      <c r="O15" s="3">
        <f t="shared" ca="1" si="7"/>
        <v>68.555555555555557</v>
      </c>
      <c r="P15">
        <f t="shared" ca="1" si="13"/>
        <v>16.750407407407408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303.85474747474734</v>
      </c>
      <c r="D16">
        <f t="shared" ca="1" si="1"/>
        <v>243.06882154882146</v>
      </c>
      <c r="E16">
        <f t="shared" ca="1" si="2"/>
        <v>182.28289562289552</v>
      </c>
      <c r="F16">
        <f t="shared" si="3"/>
        <v>121.49696969696959</v>
      </c>
      <c r="G16">
        <f t="shared" ca="1" si="4"/>
        <v>60.711043771043656</v>
      </c>
      <c r="H16">
        <f t="shared" ca="1" si="5"/>
        <v>-7.4882154882274676E-2</v>
      </c>
      <c r="I16">
        <f t="shared" ca="1" si="6"/>
        <v>-60.860808080808198</v>
      </c>
      <c r="J16">
        <f t="shared" ca="1" si="8"/>
        <v>370</v>
      </c>
      <c r="K16" t="str">
        <f t="shared" ca="1" si="9"/>
        <v/>
      </c>
      <c r="L16">
        <f t="shared" ca="1" si="10"/>
        <v>223.971</v>
      </c>
      <c r="M16">
        <f t="shared" ca="1" si="11"/>
        <v>172.16585185185187</v>
      </c>
      <c r="N16">
        <f t="shared" ca="1" si="12"/>
        <v>120.36070370370371</v>
      </c>
      <c r="O16" s="3">
        <f t="shared" ca="1" si="7"/>
        <v>68.555555555555557</v>
      </c>
      <c r="P16">
        <f t="shared" ca="1" si="13"/>
        <v>16.750407407407408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262.21232323232312</v>
      </c>
      <c r="D17">
        <f t="shared" ca="1" si="1"/>
        <v>201.42639730639723</v>
      </c>
      <c r="E17">
        <f t="shared" ca="1" si="2"/>
        <v>140.6404713804713</v>
      </c>
      <c r="F17">
        <f t="shared" si="3"/>
        <v>79.854545454545359</v>
      </c>
      <c r="G17">
        <f t="shared" ca="1" si="4"/>
        <v>19.068619528619429</v>
      </c>
      <c r="H17">
        <f t="shared" ca="1" si="5"/>
        <v>-41.717306397306501</v>
      </c>
      <c r="I17">
        <f t="shared" ca="1" si="6"/>
        <v>-102.50323232323242</v>
      </c>
      <c r="J17">
        <f t="shared" ca="1" si="8"/>
        <v>370</v>
      </c>
      <c r="K17" t="str">
        <f t="shared" ca="1" si="9"/>
        <v/>
      </c>
      <c r="L17">
        <f t="shared" ca="1" si="10"/>
        <v>223.971</v>
      </c>
      <c r="M17">
        <f t="shared" ca="1" si="11"/>
        <v>172.16585185185187</v>
      </c>
      <c r="N17">
        <f t="shared" ca="1" si="12"/>
        <v>120.36070370370371</v>
      </c>
      <c r="O17" s="3">
        <f t="shared" ca="1" si="7"/>
        <v>68.555555555555557</v>
      </c>
      <c r="P17">
        <f t="shared" ca="1" si="13"/>
        <v>16.750407407407408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220.56989898989892</v>
      </c>
      <c r="D18">
        <f t="shared" ca="1" si="1"/>
        <v>159.78397306397301</v>
      </c>
      <c r="E18">
        <f t="shared" ca="1" si="2"/>
        <v>98.99804713804707</v>
      </c>
      <c r="F18">
        <f t="shared" si="3"/>
        <v>38.212121212121133</v>
      </c>
      <c r="G18">
        <f t="shared" ca="1" si="4"/>
        <v>-22.573804713804797</v>
      </c>
      <c r="H18">
        <f t="shared" ca="1" si="5"/>
        <v>-83.359730639730728</v>
      </c>
      <c r="I18">
        <f t="shared" ca="1" si="6"/>
        <v>-144.14565656565665</v>
      </c>
      <c r="J18">
        <f t="shared" ca="1" si="8"/>
        <v>370</v>
      </c>
      <c r="K18" t="str">
        <f t="shared" ca="1" si="9"/>
        <v/>
      </c>
      <c r="L18">
        <f t="shared" ca="1" si="10"/>
        <v>223.971</v>
      </c>
      <c r="M18">
        <f t="shared" ca="1" si="11"/>
        <v>172.16585185185187</v>
      </c>
      <c r="N18">
        <f t="shared" ca="1" si="12"/>
        <v>120.36070370370371</v>
      </c>
      <c r="O18" s="3">
        <f t="shared" ca="1" si="7"/>
        <v>68.555555555555557</v>
      </c>
      <c r="P18">
        <f t="shared" ca="1" si="13"/>
        <v>16.750407407407408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178.92747474747469</v>
      </c>
      <c r="D19">
        <f t="shared" ca="1" si="1"/>
        <v>118.14154882154877</v>
      </c>
      <c r="E19">
        <f t="shared" ca="1" si="2"/>
        <v>57.355622895622837</v>
      </c>
      <c r="F19">
        <f t="shared" si="3"/>
        <v>-3.4303030303030937</v>
      </c>
      <c r="G19">
        <f t="shared" ca="1" si="4"/>
        <v>-64.216228956229031</v>
      </c>
      <c r="H19">
        <f t="shared" ca="1" si="5"/>
        <v>-125.00215488215495</v>
      </c>
      <c r="I19">
        <f t="shared" ca="1" si="6"/>
        <v>-185.78808080808088</v>
      </c>
      <c r="J19">
        <f t="shared" ca="1" si="8"/>
        <v>370</v>
      </c>
      <c r="K19" t="str">
        <f t="shared" ca="1" si="9"/>
        <v/>
      </c>
      <c r="L19">
        <f t="shared" ca="1" si="10"/>
        <v>223.971</v>
      </c>
      <c r="M19">
        <f t="shared" ca="1" si="11"/>
        <v>172.16585185185187</v>
      </c>
      <c r="N19">
        <f t="shared" ca="1" si="12"/>
        <v>120.36070370370371</v>
      </c>
      <c r="O19" s="3">
        <f t="shared" ca="1" si="7"/>
        <v>68.555555555555557</v>
      </c>
      <c r="P19">
        <f t="shared" ca="1" si="13"/>
        <v>16.750407407407408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137.28505050505035</v>
      </c>
      <c r="D20">
        <f t="shared" ca="1" si="1"/>
        <v>76.499124579124427</v>
      </c>
      <c r="E20">
        <f t="shared" ca="1" si="2"/>
        <v>15.713198653198496</v>
      </c>
      <c r="F20">
        <f t="shared" si="3"/>
        <v>-45.072727272727434</v>
      </c>
      <c r="G20">
        <f t="shared" ca="1" si="4"/>
        <v>-105.85865319865337</v>
      </c>
      <c r="H20">
        <f t="shared" ca="1" si="5"/>
        <v>-166.64457912457931</v>
      </c>
      <c r="I20">
        <f t="shared" ca="1" si="6"/>
        <v>-227.43050505050522</v>
      </c>
      <c r="J20">
        <f t="shared" ca="1" si="8"/>
        <v>370</v>
      </c>
      <c r="K20" t="str">
        <f t="shared" ca="1" si="9"/>
        <v/>
      </c>
      <c r="L20">
        <f t="shared" ca="1" si="10"/>
        <v>223.971</v>
      </c>
      <c r="M20">
        <f t="shared" ca="1" si="11"/>
        <v>172.16585185185187</v>
      </c>
      <c r="N20">
        <f t="shared" ca="1" si="12"/>
        <v>120.36070370370371</v>
      </c>
      <c r="O20" s="3">
        <f t="shared" ca="1" si="7"/>
        <v>68.555555555555557</v>
      </c>
      <c r="P20">
        <f t="shared" ca="1" si="13"/>
        <v>16.750407407407408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95.642626262626123</v>
      </c>
      <c r="D21">
        <f t="shared" ca="1" si="1"/>
        <v>34.8567003367002</v>
      </c>
      <c r="E21">
        <f t="shared" ca="1" si="2"/>
        <v>-25.92922558922573</v>
      </c>
      <c r="F21">
        <f t="shared" si="3"/>
        <v>-86.715151515151661</v>
      </c>
      <c r="G21">
        <f t="shared" ca="1" si="4"/>
        <v>-147.5010774410776</v>
      </c>
      <c r="H21">
        <f t="shared" ca="1" si="5"/>
        <v>-208.28700336700354</v>
      </c>
      <c r="I21">
        <f t="shared" ca="1" si="6"/>
        <v>-269.07292929292942</v>
      </c>
      <c r="J21">
        <f t="shared" ca="1" si="8"/>
        <v>370</v>
      </c>
      <c r="K21" t="str">
        <f t="shared" ca="1" si="9"/>
        <v/>
      </c>
      <c r="L21">
        <f t="shared" ca="1" si="10"/>
        <v>223.971</v>
      </c>
      <c r="M21">
        <f t="shared" ca="1" si="11"/>
        <v>172.16585185185187</v>
      </c>
      <c r="N21">
        <f t="shared" ca="1" si="12"/>
        <v>120.36070370370371</v>
      </c>
      <c r="O21" s="3">
        <f t="shared" ca="1" si="7"/>
        <v>68.555555555555557</v>
      </c>
      <c r="P21">
        <f t="shared" ca="1" si="13"/>
        <v>16.750407407407408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54.000202020201897</v>
      </c>
      <c r="D22">
        <f t="shared" ca="1" si="1"/>
        <v>-6.7857239057240264</v>
      </c>
      <c r="E22">
        <f t="shared" ca="1" si="2"/>
        <v>-67.57164983164995</v>
      </c>
      <c r="F22">
        <f t="shared" si="3"/>
        <v>-128.35757575757589</v>
      </c>
      <c r="G22">
        <f t="shared" ca="1" si="4"/>
        <v>-189.14350168350182</v>
      </c>
      <c r="H22">
        <f t="shared" ca="1" si="5"/>
        <v>-249.92942760942776</v>
      </c>
      <c r="I22">
        <f t="shared" ca="1" si="6"/>
        <v>-310.71535353535364</v>
      </c>
      <c r="J22">
        <f t="shared" ca="1" si="8"/>
        <v>370</v>
      </c>
      <c r="K22" t="str">
        <f t="shared" ca="1" si="9"/>
        <v/>
      </c>
      <c r="L22">
        <f t="shared" ca="1" si="10"/>
        <v>223.971</v>
      </c>
      <c r="M22">
        <f t="shared" ca="1" si="11"/>
        <v>172.16585185185187</v>
      </c>
      <c r="N22">
        <f t="shared" ca="1" si="12"/>
        <v>120.36070370370371</v>
      </c>
      <c r="O22" s="3">
        <f t="shared" ca="1" si="7"/>
        <v>68.555555555555557</v>
      </c>
      <c r="P22">
        <f t="shared" ca="1" si="13"/>
        <v>16.750407407407408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12.357777777777557</v>
      </c>
      <c r="D23">
        <f t="shared" ca="1" si="1"/>
        <v>-48.428148148148367</v>
      </c>
      <c r="E23">
        <f t="shared" ca="1" si="2"/>
        <v>-109.21407407407429</v>
      </c>
      <c r="F23">
        <f t="shared" si="3"/>
        <v>-170.00000000000023</v>
      </c>
      <c r="G23">
        <f t="shared" ca="1" si="4"/>
        <v>-230.78592592592616</v>
      </c>
      <c r="H23">
        <f t="shared" ca="1" si="5"/>
        <v>-291.5718518518521</v>
      </c>
      <c r="I23">
        <f t="shared" ca="1" si="6"/>
        <v>-352.35777777777798</v>
      </c>
      <c r="J23">
        <f t="shared" ca="1" si="8"/>
        <v>370</v>
      </c>
      <c r="K23" t="str">
        <f t="shared" ca="1" si="9"/>
        <v/>
      </c>
      <c r="L23">
        <f t="shared" ca="1" si="10"/>
        <v>223.971</v>
      </c>
      <c r="M23">
        <f t="shared" ca="1" si="11"/>
        <v>172.16585185185187</v>
      </c>
      <c r="N23">
        <f t="shared" ca="1" si="12"/>
        <v>120.36070370370371</v>
      </c>
      <c r="O23" s="3">
        <f t="shared" ca="1" si="7"/>
        <v>68.555555555555557</v>
      </c>
      <c r="P23">
        <f t="shared" ca="1" si="13"/>
        <v>16.750407407407408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-29.28464646464667</v>
      </c>
      <c r="D24">
        <f t="shared" ca="1" si="1"/>
        <v>-90.070572390572593</v>
      </c>
      <c r="E24">
        <f t="shared" ca="1" si="2"/>
        <v>-150.85649831649852</v>
      </c>
      <c r="F24">
        <f t="shared" si="3"/>
        <v>-211.64242424242445</v>
      </c>
      <c r="G24">
        <f t="shared" ca="1" si="4"/>
        <v>-272.42835016835039</v>
      </c>
      <c r="H24">
        <f t="shared" ca="1" si="5"/>
        <v>-333.21427609427633</v>
      </c>
      <c r="I24">
        <f t="shared" ca="1" si="6"/>
        <v>-394.00020202020221</v>
      </c>
      <c r="J24">
        <f t="shared" ca="1" si="8"/>
        <v>370</v>
      </c>
      <c r="K24" t="str">
        <f t="shared" ca="1" si="9"/>
        <v/>
      </c>
      <c r="L24">
        <f t="shared" ca="1" si="10"/>
        <v>223.971</v>
      </c>
      <c r="M24">
        <f t="shared" ca="1" si="11"/>
        <v>172.16585185185187</v>
      </c>
      <c r="N24">
        <f t="shared" ca="1" si="12"/>
        <v>120.36070370370371</v>
      </c>
      <c r="O24" s="3">
        <f t="shared" ca="1" si="7"/>
        <v>68.555555555555557</v>
      </c>
      <c r="P24">
        <f t="shared" ca="1" si="13"/>
        <v>16.750407407407408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-70.927070707070897</v>
      </c>
      <c r="D25">
        <f t="shared" ca="1" si="1"/>
        <v>-131.71299663299681</v>
      </c>
      <c r="E25">
        <f t="shared" ca="1" si="2"/>
        <v>-192.49892255892274</v>
      </c>
      <c r="F25">
        <f t="shared" si="3"/>
        <v>-253.28484848484868</v>
      </c>
      <c r="G25">
        <f t="shared" ca="1" si="4"/>
        <v>-314.07077441077462</v>
      </c>
      <c r="H25">
        <f t="shared" ca="1" si="5"/>
        <v>-374.85670033670056</v>
      </c>
      <c r="I25">
        <f t="shared" ca="1" si="6"/>
        <v>-435.64262626262644</v>
      </c>
      <c r="J25">
        <f t="shared" ca="1" si="8"/>
        <v>370</v>
      </c>
      <c r="K25" t="str">
        <f t="shared" ca="1" si="9"/>
        <v/>
      </c>
      <c r="L25">
        <f t="shared" ca="1" si="10"/>
        <v>223.971</v>
      </c>
      <c r="M25">
        <f t="shared" ca="1" si="11"/>
        <v>172.16585185185187</v>
      </c>
      <c r="N25">
        <f t="shared" ca="1" si="12"/>
        <v>120.36070370370371</v>
      </c>
      <c r="O25" s="3">
        <f t="shared" ca="1" si="7"/>
        <v>68.555555555555557</v>
      </c>
      <c r="P25">
        <f t="shared" ca="1" si="13"/>
        <v>16.750407407407408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-112.56949494949524</v>
      </c>
      <c r="D26">
        <f t="shared" ca="1" si="1"/>
        <v>-173.35542087542115</v>
      </c>
      <c r="E26">
        <f t="shared" ca="1" si="2"/>
        <v>-234.14134680134708</v>
      </c>
      <c r="F26">
        <f t="shared" si="3"/>
        <v>-294.92727272727302</v>
      </c>
      <c r="G26">
        <f t="shared" ca="1" si="4"/>
        <v>-355.71319865319896</v>
      </c>
      <c r="H26">
        <f t="shared" ca="1" si="5"/>
        <v>-416.4991245791249</v>
      </c>
      <c r="I26">
        <f t="shared" ca="1" si="6"/>
        <v>-477.28505050505078</v>
      </c>
      <c r="J26">
        <f t="shared" ca="1" si="8"/>
        <v>370</v>
      </c>
      <c r="K26" t="str">
        <f t="shared" ca="1" si="9"/>
        <v/>
      </c>
      <c r="L26">
        <f t="shared" ca="1" si="10"/>
        <v>223.971</v>
      </c>
      <c r="M26">
        <f t="shared" ca="1" si="11"/>
        <v>172.16585185185187</v>
      </c>
      <c r="N26">
        <f t="shared" ca="1" si="12"/>
        <v>120.36070370370371</v>
      </c>
      <c r="O26" s="3">
        <f t="shared" ca="1" si="7"/>
        <v>68.555555555555557</v>
      </c>
      <c r="P26">
        <f t="shared" ca="1" si="13"/>
        <v>16.750407407407408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-154.21191919191935</v>
      </c>
      <c r="D27">
        <f t="shared" ca="1" si="1"/>
        <v>-214.99784511784526</v>
      </c>
      <c r="E27">
        <f t="shared" ca="1" si="2"/>
        <v>-275.7837710437712</v>
      </c>
      <c r="F27">
        <f t="shared" si="3"/>
        <v>-336.56969696969713</v>
      </c>
      <c r="G27">
        <f t="shared" ca="1" si="4"/>
        <v>-397.35562289562307</v>
      </c>
      <c r="H27">
        <f t="shared" ca="1" si="5"/>
        <v>-458.14154882154901</v>
      </c>
      <c r="I27">
        <f t="shared" ca="1" si="6"/>
        <v>-518.92747474747489</v>
      </c>
      <c r="J27">
        <f t="shared" ca="1" si="8"/>
        <v>370</v>
      </c>
      <c r="K27" t="str">
        <f t="shared" ca="1" si="9"/>
        <v/>
      </c>
      <c r="L27">
        <f t="shared" ca="1" si="10"/>
        <v>223.971</v>
      </c>
      <c r="M27">
        <f t="shared" ca="1" si="11"/>
        <v>172.16585185185187</v>
      </c>
      <c r="N27">
        <f t="shared" ca="1" si="12"/>
        <v>120.36070370370371</v>
      </c>
      <c r="O27" s="3">
        <f t="shared" ca="1" si="7"/>
        <v>68.555555555555557</v>
      </c>
      <c r="P27">
        <f t="shared" ca="1" si="13"/>
        <v>16.750407407407408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-195.85434343434369</v>
      </c>
      <c r="D28">
        <f t="shared" ca="1" si="1"/>
        <v>-256.6402693602696</v>
      </c>
      <c r="E28">
        <f t="shared" ca="1" si="2"/>
        <v>-317.42619528619554</v>
      </c>
      <c r="F28">
        <f t="shared" si="3"/>
        <v>-378.21212121212147</v>
      </c>
      <c r="G28">
        <f t="shared" ca="1" si="4"/>
        <v>-438.99804713804741</v>
      </c>
      <c r="H28">
        <f t="shared" ca="1" si="5"/>
        <v>-499.78397306397335</v>
      </c>
      <c r="I28">
        <f t="shared" ca="1" si="6"/>
        <v>-560.56989898989923</v>
      </c>
      <c r="J28">
        <f t="shared" ca="1" si="8"/>
        <v>370</v>
      </c>
      <c r="K28" t="str">
        <f t="shared" ca="1" si="9"/>
        <v/>
      </c>
      <c r="L28">
        <f t="shared" ca="1" si="10"/>
        <v>223.971</v>
      </c>
      <c r="M28">
        <f t="shared" ca="1" si="11"/>
        <v>172.16585185185187</v>
      </c>
      <c r="N28">
        <f t="shared" ca="1" si="12"/>
        <v>120.36070370370371</v>
      </c>
      <c r="O28" s="3">
        <f t="shared" ca="1" si="7"/>
        <v>68.555555555555557</v>
      </c>
      <c r="P28">
        <f t="shared" ca="1" si="13"/>
        <v>16.750407407407408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-237.49676767676803</v>
      </c>
      <c r="D29">
        <f t="shared" ca="1" si="1"/>
        <v>-298.28269360269394</v>
      </c>
      <c r="E29">
        <f t="shared" ca="1" si="2"/>
        <v>-359.06861952861988</v>
      </c>
      <c r="F29">
        <f t="shared" si="3"/>
        <v>-419.85454545454581</v>
      </c>
      <c r="G29">
        <f t="shared" ca="1" si="4"/>
        <v>-480.64047138047175</v>
      </c>
      <c r="H29">
        <f t="shared" ca="1" si="5"/>
        <v>-541.42639730639769</v>
      </c>
      <c r="I29">
        <f t="shared" ca="1" si="6"/>
        <v>-602.21232323232357</v>
      </c>
      <c r="J29">
        <f t="shared" ca="1" si="8"/>
        <v>370</v>
      </c>
      <c r="K29" t="str">
        <f t="shared" ca="1" si="9"/>
        <v/>
      </c>
      <c r="L29">
        <f t="shared" ca="1" si="10"/>
        <v>223.971</v>
      </c>
      <c r="M29">
        <f t="shared" ca="1" si="11"/>
        <v>172.16585185185187</v>
      </c>
      <c r="N29">
        <f t="shared" ca="1" si="12"/>
        <v>120.36070370370371</v>
      </c>
      <c r="O29" s="3">
        <f t="shared" ca="1" si="7"/>
        <v>68.555555555555557</v>
      </c>
      <c r="P29">
        <f t="shared" ca="1" si="13"/>
        <v>16.750407407407408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-279.13919191919217</v>
      </c>
      <c r="D30">
        <f t="shared" ca="1" si="1"/>
        <v>-339.92511784511805</v>
      </c>
      <c r="E30">
        <f t="shared" ca="1" si="2"/>
        <v>-400.71104377104399</v>
      </c>
      <c r="F30">
        <f t="shared" si="3"/>
        <v>-461.49696969696993</v>
      </c>
      <c r="G30">
        <f t="shared" ca="1" si="4"/>
        <v>-522.28289562289581</v>
      </c>
      <c r="H30">
        <f t="shared" ca="1" si="5"/>
        <v>-583.0688215488218</v>
      </c>
      <c r="I30">
        <f t="shared" ca="1" si="6"/>
        <v>-643.85474747474768</v>
      </c>
      <c r="J30">
        <f t="shared" ca="1" si="8"/>
        <v>370</v>
      </c>
      <c r="K30" t="str">
        <f t="shared" ca="1" si="9"/>
        <v/>
      </c>
      <c r="L30">
        <f t="shared" ca="1" si="10"/>
        <v>223.971</v>
      </c>
      <c r="M30">
        <f t="shared" ca="1" si="11"/>
        <v>172.16585185185187</v>
      </c>
      <c r="N30">
        <f t="shared" ca="1" si="12"/>
        <v>120.36070370370371</v>
      </c>
      <c r="O30" s="3">
        <f t="shared" ca="1" si="7"/>
        <v>68.555555555555557</v>
      </c>
      <c r="P30">
        <f t="shared" ca="1" si="13"/>
        <v>16.750407407407408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-320.78161616161651</v>
      </c>
      <c r="D31">
        <f t="shared" ca="1" si="1"/>
        <v>-381.56754208754239</v>
      </c>
      <c r="E31">
        <f t="shared" ca="1" si="2"/>
        <v>-442.35346801346833</v>
      </c>
      <c r="F31">
        <f t="shared" si="3"/>
        <v>-503.13939393939427</v>
      </c>
      <c r="G31">
        <f t="shared" ca="1" si="4"/>
        <v>-563.92531986532015</v>
      </c>
      <c r="H31">
        <f t="shared" ca="1" si="5"/>
        <v>-624.71124579124614</v>
      </c>
      <c r="I31">
        <f t="shared" ca="1" si="6"/>
        <v>-685.49717171717202</v>
      </c>
      <c r="J31">
        <f t="shared" ca="1" si="8"/>
        <v>370</v>
      </c>
      <c r="K31" t="str">
        <f t="shared" ca="1" si="9"/>
        <v/>
      </c>
      <c r="L31">
        <f t="shared" ca="1" si="10"/>
        <v>223.971</v>
      </c>
      <c r="M31">
        <f t="shared" ca="1" si="11"/>
        <v>172.16585185185187</v>
      </c>
      <c r="N31">
        <f t="shared" ca="1" si="12"/>
        <v>120.36070370370371</v>
      </c>
      <c r="O31" s="3">
        <f t="shared" ca="1" si="7"/>
        <v>68.555555555555557</v>
      </c>
      <c r="P31">
        <f t="shared" ca="1" si="13"/>
        <v>16.750407407407408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8CEB-6FA0-FE48-983C-516ED7AB212C}">
  <sheetPr>
    <tabColor rgb="FF66FF66"/>
    <pageSetUpPr fitToPage="1"/>
  </sheetPr>
  <dimension ref="A1:Z52"/>
  <sheetViews>
    <sheetView topLeftCell="A10" zoomScale="174" zoomScaleNormal="174" workbookViewId="0">
      <selection activeCell="V15" sqref="V15"/>
    </sheetView>
  </sheetViews>
  <sheetFormatPr baseColWidth="10" defaultRowHeight="16" x14ac:dyDescent="0.2"/>
  <cols>
    <col min="1" max="1" width="10.6640625" bestFit="1" customWidth="1"/>
    <col min="2" max="21" width="6.5" customWidth="1"/>
  </cols>
  <sheetData>
    <row r="1" spans="1:26" ht="14" customHeight="1" x14ac:dyDescent="0.2">
      <c r="A1" t="s">
        <v>17</v>
      </c>
      <c r="B1" s="3" t="s">
        <v>16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t="s">
        <v>18</v>
      </c>
      <c r="U1" t="s">
        <v>19</v>
      </c>
      <c r="V1">
        <f>INDEX(LINEST($B$2:$B$11,,,TRUE),1,1)</f>
        <v>-43.733333333333341</v>
      </c>
      <c r="W1" t="s">
        <v>20</v>
      </c>
      <c r="X1">
        <f>INDEX(LINEST($B$2:$B$11,,,TRUE),1,2)</f>
        <v>832.33333333333337</v>
      </c>
      <c r="Y1" t="s">
        <v>21</v>
      </c>
      <c r="Z1">
        <f>INDEX(LINEST($B$2:$B$11,,,TRUE),3,1)</f>
        <v>0.76536239504290116</v>
      </c>
    </row>
    <row r="2" spans="1:26" ht="14" customHeight="1" x14ac:dyDescent="0.2">
      <c r="A2">
        <v>2016</v>
      </c>
      <c r="B2" s="3">
        <v>814</v>
      </c>
      <c r="C2" s="3">
        <f t="shared" ref="C2:C31" ca="1" si="0">F2+2.66*O2</f>
        <v>984.25777777777785</v>
      </c>
      <c r="D2" s="3">
        <f t="shared" ref="D2:D31" ca="1" si="1">F2+(2/3)*2.66*O2</f>
        <v>919.03851851851857</v>
      </c>
      <c r="E2" s="3">
        <f t="shared" ref="E2:E31" ca="1" si="2">F2+(1/3)*2.66*O2</f>
        <v>853.8192592592593</v>
      </c>
      <c r="F2" s="3">
        <f t="shared" ref="F2:F31" si="3">INDEX(LINEST($B$2:$B$11,,,TRUE),1,1)* S2 +INDEX(LINEST($B$2:$B$11,,,TRUE),1,2)</f>
        <v>788.6</v>
      </c>
      <c r="G2" s="3">
        <f t="shared" ref="G2:G31" ca="1" si="4">F2-(1/3)*2.66*O2</f>
        <v>723.38074074074075</v>
      </c>
      <c r="H2" s="3">
        <f t="shared" ref="H2:H31" ca="1" si="5">F2-(2/3)*2.66*O2</f>
        <v>658.16148148148147</v>
      </c>
      <c r="I2" s="3">
        <f t="shared" ref="I2:I31" ca="1" si="6">F2-2.66*O2</f>
        <v>592.9422222222222</v>
      </c>
      <c r="J2" s="3">
        <f>B2</f>
        <v>814</v>
      </c>
      <c r="K2" s="3"/>
      <c r="L2" s="3"/>
      <c r="M2" s="3"/>
      <c r="N2" s="3"/>
      <c r="O2" s="3">
        <f t="shared" ref="O2:O31" ca="1" si="7">AVERAGE($K$3:$K$11)</f>
        <v>73.555555555555557</v>
      </c>
      <c r="P2" s="3"/>
      <c r="Q2" s="3"/>
      <c r="R2" s="3"/>
      <c r="S2">
        <v>1</v>
      </c>
    </row>
    <row r="3" spans="1:26" ht="14" customHeight="1" x14ac:dyDescent="0.2">
      <c r="A3">
        <v>2017</v>
      </c>
      <c r="B3" s="3">
        <v>794</v>
      </c>
      <c r="C3" s="3">
        <f t="shared" ca="1" si="0"/>
        <v>940.5244444444445</v>
      </c>
      <c r="D3" s="3">
        <f t="shared" ca="1" si="1"/>
        <v>875.30518518518522</v>
      </c>
      <c r="E3" s="3">
        <f t="shared" ca="1" si="2"/>
        <v>810.08592592592595</v>
      </c>
      <c r="F3" s="3">
        <f t="shared" si="3"/>
        <v>744.86666666666667</v>
      </c>
      <c r="G3" s="3">
        <f t="shared" ca="1" si="4"/>
        <v>679.6474074074074</v>
      </c>
      <c r="H3" s="3">
        <f t="shared" ca="1" si="5"/>
        <v>614.42814814814813</v>
      </c>
      <c r="I3" s="3">
        <f t="shared" ca="1" si="6"/>
        <v>549.20888888888885</v>
      </c>
      <c r="J3">
        <f t="shared" ref="J3:J31" ca="1" si="8">IF(ISBLANK(B3),OFFSET(J3,-1,0,1,1),B3)</f>
        <v>794</v>
      </c>
      <c r="K3" s="3">
        <f t="shared" ref="K3:K31" ca="1" si="9">IF(OR(OFFSET(K3,-1,-9,1,1)="",OFFSET(K3,0,-9,1,1)=""),"",IF(ISERROR(ABS(B3-OFFSET(K3,-1,-1,1,1))),"",ABS(B3-OFFSET(K3,-1,-1,1,1))))</f>
        <v>20</v>
      </c>
      <c r="L3" s="3">
        <f t="shared" ref="L3:L31" ca="1" si="10">3.267*O3</f>
        <v>240.30600000000001</v>
      </c>
      <c r="M3" s="3">
        <f t="shared" ref="M3:M31" ca="1" si="11">(2/3)*(L3-O3)+O3</f>
        <v>184.72251851851851</v>
      </c>
      <c r="N3" s="3">
        <f t="shared" ref="N3:N31" ca="1" si="12">(1/3)*(L3-O3)+O3</f>
        <v>129.13903703703704</v>
      </c>
      <c r="O3" s="3">
        <f t="shared" ca="1" si="7"/>
        <v>73.555555555555557</v>
      </c>
      <c r="P3" s="3">
        <f t="shared" ref="P3:P31" ca="1" si="13">(MAX(O3-(1/3)*(L3-O3),0))</f>
        <v>17.972074074074079</v>
      </c>
      <c r="Q3" s="3">
        <f t="shared" ref="Q3:Q31" ca="1" si="14">MAX(O3-(2/3)*(L3-O3),0)</f>
        <v>0</v>
      </c>
      <c r="R3" s="3">
        <v>0</v>
      </c>
      <c r="S3">
        <f t="shared" ref="S3:S31" si="15">S2+1</f>
        <v>2</v>
      </c>
    </row>
    <row r="4" spans="1:26" ht="14" customHeight="1" x14ac:dyDescent="0.2">
      <c r="A4">
        <v>2018</v>
      </c>
      <c r="B4" s="3">
        <v>766</v>
      </c>
      <c r="C4" s="3">
        <f t="shared" ca="1" si="0"/>
        <v>896.79111111111115</v>
      </c>
      <c r="D4" s="3">
        <f t="shared" ca="1" si="1"/>
        <v>831.57185185185187</v>
      </c>
      <c r="E4" s="3">
        <f t="shared" ca="1" si="2"/>
        <v>766.3525925925926</v>
      </c>
      <c r="F4" s="3">
        <f t="shared" si="3"/>
        <v>701.13333333333333</v>
      </c>
      <c r="G4" s="3">
        <f t="shared" ca="1" si="4"/>
        <v>635.91407407407405</v>
      </c>
      <c r="H4" s="3">
        <f t="shared" ca="1" si="5"/>
        <v>570.69481481481478</v>
      </c>
      <c r="I4" s="3">
        <f t="shared" ca="1" si="6"/>
        <v>505.4755555555555</v>
      </c>
      <c r="J4">
        <f t="shared" ca="1" si="8"/>
        <v>766</v>
      </c>
      <c r="K4" s="3">
        <f t="shared" ca="1" si="9"/>
        <v>28</v>
      </c>
      <c r="L4" s="3">
        <f t="shared" ca="1" si="10"/>
        <v>240.30600000000001</v>
      </c>
      <c r="M4" s="3">
        <f t="shared" ca="1" si="11"/>
        <v>184.72251851851851</v>
      </c>
      <c r="N4" s="3">
        <f t="shared" ca="1" si="12"/>
        <v>129.13903703703704</v>
      </c>
      <c r="O4" s="3">
        <f t="shared" ca="1" si="7"/>
        <v>73.555555555555557</v>
      </c>
      <c r="P4" s="3">
        <f t="shared" ca="1" si="13"/>
        <v>17.972074074074079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>
        <v>2019</v>
      </c>
      <c r="B5" s="3">
        <v>638</v>
      </c>
      <c r="C5" s="3">
        <f t="shared" ca="1" si="0"/>
        <v>853.0577777777778</v>
      </c>
      <c r="D5" s="3">
        <f t="shared" ca="1" si="1"/>
        <v>787.83851851851853</v>
      </c>
      <c r="E5" s="3">
        <f t="shared" ca="1" si="2"/>
        <v>722.61925925925925</v>
      </c>
      <c r="F5" s="3">
        <f t="shared" si="3"/>
        <v>657.4</v>
      </c>
      <c r="G5" s="3">
        <f t="shared" ca="1" si="4"/>
        <v>592.1807407407407</v>
      </c>
      <c r="H5" s="3">
        <f t="shared" ca="1" si="5"/>
        <v>526.96148148148143</v>
      </c>
      <c r="I5" s="3">
        <f t="shared" ca="1" si="6"/>
        <v>461.74222222222215</v>
      </c>
      <c r="J5">
        <f t="shared" ca="1" si="8"/>
        <v>638</v>
      </c>
      <c r="K5" s="3">
        <f t="shared" ca="1" si="9"/>
        <v>128</v>
      </c>
      <c r="L5" s="3">
        <f t="shared" ca="1" si="10"/>
        <v>240.30600000000001</v>
      </c>
      <c r="M5" s="3">
        <f t="shared" ca="1" si="11"/>
        <v>184.72251851851851</v>
      </c>
      <c r="N5" s="3">
        <f t="shared" ca="1" si="12"/>
        <v>129.13903703703704</v>
      </c>
      <c r="O5" s="3">
        <f t="shared" ca="1" si="7"/>
        <v>73.555555555555557</v>
      </c>
      <c r="P5" s="3">
        <f t="shared" ca="1" si="13"/>
        <v>17.972074074074079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>
        <v>2020</v>
      </c>
      <c r="B6" s="3">
        <v>521</v>
      </c>
      <c r="C6" s="3">
        <f t="shared" ca="1" si="0"/>
        <v>809.32444444444445</v>
      </c>
      <c r="D6" s="3">
        <f t="shared" ca="1" si="1"/>
        <v>744.10518518518518</v>
      </c>
      <c r="E6" s="3">
        <f t="shared" ca="1" si="2"/>
        <v>678.8859259259259</v>
      </c>
      <c r="F6" s="3">
        <f t="shared" si="3"/>
        <v>613.66666666666663</v>
      </c>
      <c r="G6" s="3">
        <f t="shared" ca="1" si="4"/>
        <v>548.44740740740735</v>
      </c>
      <c r="H6" s="3">
        <f t="shared" ca="1" si="5"/>
        <v>483.22814814814808</v>
      </c>
      <c r="I6" s="3">
        <f t="shared" ca="1" si="6"/>
        <v>418.00888888888881</v>
      </c>
      <c r="J6">
        <f t="shared" ca="1" si="8"/>
        <v>521</v>
      </c>
      <c r="K6" s="3">
        <f t="shared" ca="1" si="9"/>
        <v>117</v>
      </c>
      <c r="L6" s="3">
        <f t="shared" ca="1" si="10"/>
        <v>240.30600000000001</v>
      </c>
      <c r="M6" s="3">
        <f t="shared" ca="1" si="11"/>
        <v>184.72251851851851</v>
      </c>
      <c r="N6" s="3">
        <f t="shared" ca="1" si="12"/>
        <v>129.13903703703704</v>
      </c>
      <c r="O6" s="3">
        <f t="shared" ca="1" si="7"/>
        <v>73.555555555555557</v>
      </c>
      <c r="P6" s="3">
        <f t="shared" ca="1" si="13"/>
        <v>17.972074074074079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>
        <v>2021</v>
      </c>
      <c r="B7" s="3">
        <v>409</v>
      </c>
      <c r="C7" s="3">
        <f t="shared" ca="1" si="0"/>
        <v>765.59111111111122</v>
      </c>
      <c r="D7" s="3">
        <f t="shared" ca="1" si="1"/>
        <v>700.37185185185194</v>
      </c>
      <c r="E7" s="3">
        <f t="shared" ca="1" si="2"/>
        <v>635.15259259259267</v>
      </c>
      <c r="F7" s="3">
        <f t="shared" si="3"/>
        <v>569.93333333333339</v>
      </c>
      <c r="G7" s="3">
        <f t="shared" ca="1" si="4"/>
        <v>504.71407407407412</v>
      </c>
      <c r="H7" s="3">
        <f t="shared" ca="1" si="5"/>
        <v>439.49481481481484</v>
      </c>
      <c r="I7" s="3">
        <f t="shared" ca="1" si="6"/>
        <v>374.27555555555557</v>
      </c>
      <c r="J7">
        <f t="shared" ca="1" si="8"/>
        <v>409</v>
      </c>
      <c r="K7" s="3">
        <f t="shared" ca="1" si="9"/>
        <v>112</v>
      </c>
      <c r="L7" s="3">
        <f t="shared" ca="1" si="10"/>
        <v>240.30600000000001</v>
      </c>
      <c r="M7" s="3">
        <f t="shared" ca="1" si="11"/>
        <v>184.72251851851851</v>
      </c>
      <c r="N7" s="3">
        <f t="shared" ca="1" si="12"/>
        <v>129.13903703703704</v>
      </c>
      <c r="O7" s="3">
        <f t="shared" ca="1" si="7"/>
        <v>73.555555555555557</v>
      </c>
      <c r="P7" s="3">
        <f t="shared" ca="1" si="13"/>
        <v>17.972074074074079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>
        <v>2022</v>
      </c>
      <c r="B8" s="3">
        <v>561</v>
      </c>
      <c r="C8" s="3">
        <f t="shared" ca="1" si="0"/>
        <v>721.85777777777787</v>
      </c>
      <c r="D8" s="3">
        <f t="shared" ca="1" si="1"/>
        <v>656.63851851851859</v>
      </c>
      <c r="E8" s="3">
        <f t="shared" ca="1" si="2"/>
        <v>591.41925925925932</v>
      </c>
      <c r="F8" s="3">
        <f t="shared" si="3"/>
        <v>526.20000000000005</v>
      </c>
      <c r="G8" s="3">
        <f t="shared" ca="1" si="4"/>
        <v>460.98074074074077</v>
      </c>
      <c r="H8" s="3">
        <f t="shared" ca="1" si="5"/>
        <v>395.7614814814815</v>
      </c>
      <c r="I8" s="3">
        <f t="shared" ca="1" si="6"/>
        <v>330.54222222222222</v>
      </c>
      <c r="J8">
        <f t="shared" ca="1" si="8"/>
        <v>561</v>
      </c>
      <c r="K8" s="3">
        <f t="shared" ca="1" si="9"/>
        <v>152</v>
      </c>
      <c r="L8" s="3">
        <f t="shared" ca="1" si="10"/>
        <v>240.30600000000001</v>
      </c>
      <c r="M8" s="3">
        <f t="shared" ca="1" si="11"/>
        <v>184.72251851851851</v>
      </c>
      <c r="N8" s="3">
        <f t="shared" ca="1" si="12"/>
        <v>129.13903703703704</v>
      </c>
      <c r="O8" s="3">
        <f t="shared" ca="1" si="7"/>
        <v>73.555555555555557</v>
      </c>
      <c r="P8" s="3">
        <f t="shared" ca="1" si="13"/>
        <v>17.972074074074079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>
        <v>2023</v>
      </c>
      <c r="B9" s="3">
        <v>494</v>
      </c>
      <c r="C9" s="3">
        <f t="shared" ca="1" si="0"/>
        <v>678.12444444444441</v>
      </c>
      <c r="D9" s="3">
        <f t="shared" ca="1" si="1"/>
        <v>612.90518518518513</v>
      </c>
      <c r="E9" s="3">
        <f t="shared" ca="1" si="2"/>
        <v>547.68592592592586</v>
      </c>
      <c r="F9" s="3">
        <f t="shared" si="3"/>
        <v>482.46666666666664</v>
      </c>
      <c r="G9" s="3">
        <f t="shared" ca="1" si="4"/>
        <v>417.24740740740737</v>
      </c>
      <c r="H9" s="3">
        <f t="shared" ca="1" si="5"/>
        <v>352.02814814814815</v>
      </c>
      <c r="I9" s="3">
        <f t="shared" ca="1" si="6"/>
        <v>286.80888888888887</v>
      </c>
      <c r="J9">
        <f t="shared" ca="1" si="8"/>
        <v>494</v>
      </c>
      <c r="K9" s="3">
        <f t="shared" ca="1" si="9"/>
        <v>67</v>
      </c>
      <c r="L9" s="3">
        <f t="shared" ca="1" si="10"/>
        <v>240.30600000000001</v>
      </c>
      <c r="M9" s="3">
        <f t="shared" ca="1" si="11"/>
        <v>184.72251851851851</v>
      </c>
      <c r="N9" s="3">
        <f t="shared" ca="1" si="12"/>
        <v>129.13903703703704</v>
      </c>
      <c r="O9" s="3">
        <f t="shared" ca="1" si="7"/>
        <v>73.555555555555557</v>
      </c>
      <c r="P9" s="3">
        <f t="shared" ca="1" si="13"/>
        <v>17.972074074074079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>
        <v>2024</v>
      </c>
      <c r="B10" s="3">
        <v>459</v>
      </c>
      <c r="C10" s="3">
        <f t="shared" ca="1" si="0"/>
        <v>634.39111111111106</v>
      </c>
      <c r="D10" s="3">
        <f t="shared" ca="1" si="1"/>
        <v>569.17185185185178</v>
      </c>
      <c r="E10" s="3">
        <f t="shared" ca="1" si="2"/>
        <v>503.95259259259257</v>
      </c>
      <c r="F10" s="3">
        <f t="shared" si="3"/>
        <v>438.73333333333329</v>
      </c>
      <c r="G10" s="3">
        <f t="shared" ca="1" si="4"/>
        <v>373.51407407407402</v>
      </c>
      <c r="H10" s="3">
        <f t="shared" ca="1" si="5"/>
        <v>308.2948148148148</v>
      </c>
      <c r="I10" s="3">
        <f t="shared" ca="1" si="6"/>
        <v>243.0755555555555</v>
      </c>
      <c r="J10">
        <f t="shared" ca="1" si="8"/>
        <v>459</v>
      </c>
      <c r="K10" s="3">
        <f t="shared" ca="1" si="9"/>
        <v>35</v>
      </c>
      <c r="L10" s="3">
        <f t="shared" ca="1" si="10"/>
        <v>240.30600000000001</v>
      </c>
      <c r="M10" s="3">
        <f t="shared" ca="1" si="11"/>
        <v>184.72251851851851</v>
      </c>
      <c r="N10" s="3">
        <f t="shared" ca="1" si="12"/>
        <v>129.13903703703704</v>
      </c>
      <c r="O10" s="3">
        <f t="shared" ca="1" si="7"/>
        <v>73.555555555555557</v>
      </c>
      <c r="P10" s="3">
        <f t="shared" ca="1" si="13"/>
        <v>17.972074074074079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>
        <v>2025</v>
      </c>
      <c r="B11" s="3">
        <v>462</v>
      </c>
      <c r="C11" s="3">
        <f t="shared" ca="1" si="0"/>
        <v>590.65777777777771</v>
      </c>
      <c r="D11" s="3">
        <f t="shared" ca="1" si="1"/>
        <v>525.43851851851844</v>
      </c>
      <c r="E11" s="3">
        <f t="shared" ca="1" si="2"/>
        <v>460.21925925925922</v>
      </c>
      <c r="F11" s="3">
        <f t="shared" si="3"/>
        <v>394.99999999999994</v>
      </c>
      <c r="G11" s="3">
        <f t="shared" ca="1" si="4"/>
        <v>329.78074074074067</v>
      </c>
      <c r="H11" s="3">
        <f t="shared" ca="1" si="5"/>
        <v>264.56148148148145</v>
      </c>
      <c r="I11" s="3">
        <f t="shared" ca="1" si="6"/>
        <v>199.34222222222215</v>
      </c>
      <c r="J11">
        <f t="shared" ca="1" si="8"/>
        <v>462</v>
      </c>
      <c r="K11" s="3">
        <f t="shared" ca="1" si="9"/>
        <v>3</v>
      </c>
      <c r="L11" s="3">
        <f t="shared" ca="1" si="10"/>
        <v>240.30600000000001</v>
      </c>
      <c r="M11" s="3">
        <f t="shared" ca="1" si="11"/>
        <v>184.72251851851851</v>
      </c>
      <c r="N11" s="3">
        <f t="shared" ca="1" si="12"/>
        <v>129.13903703703704</v>
      </c>
      <c r="O11" s="3">
        <f t="shared" ca="1" si="7"/>
        <v>73.555555555555557</v>
      </c>
      <c r="P11" s="3">
        <f t="shared" ca="1" si="13"/>
        <v>17.972074074074079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C12">
        <f t="shared" ca="1" si="0"/>
        <v>546.92444444444436</v>
      </c>
      <c r="D12">
        <f t="shared" ca="1" si="1"/>
        <v>481.70518518518509</v>
      </c>
      <c r="E12">
        <f t="shared" ca="1" si="2"/>
        <v>416.48592592592587</v>
      </c>
      <c r="F12">
        <f t="shared" si="3"/>
        <v>351.26666666666659</v>
      </c>
      <c r="G12">
        <f t="shared" ca="1" si="4"/>
        <v>286.04740740740732</v>
      </c>
      <c r="H12">
        <f t="shared" ca="1" si="5"/>
        <v>220.82814814814807</v>
      </c>
      <c r="I12">
        <f t="shared" ca="1" si="6"/>
        <v>155.6088888888888</v>
      </c>
      <c r="J12">
        <f t="shared" ca="1" si="8"/>
        <v>462</v>
      </c>
      <c r="L12">
        <f t="shared" ca="1" si="10"/>
        <v>240.30600000000001</v>
      </c>
      <c r="M12">
        <f t="shared" ca="1" si="11"/>
        <v>184.72251851851851</v>
      </c>
      <c r="N12">
        <f t="shared" ca="1" si="12"/>
        <v>129.13903703703704</v>
      </c>
      <c r="O12" s="3">
        <f t="shared" ca="1" si="7"/>
        <v>73.555555555555557</v>
      </c>
      <c r="P12">
        <f t="shared" ca="1" si="13"/>
        <v>17.972074074074079</v>
      </c>
      <c r="Q12">
        <f t="shared" ca="1" si="14"/>
        <v>0</v>
      </c>
      <c r="R12">
        <v>0</v>
      </c>
      <c r="S12">
        <f t="shared" si="15"/>
        <v>11</v>
      </c>
    </row>
    <row r="13" spans="1:26" ht="14" customHeight="1" x14ac:dyDescent="0.2">
      <c r="C13">
        <f t="shared" ca="1" si="0"/>
        <v>503.19111111111113</v>
      </c>
      <c r="D13">
        <f t="shared" ca="1" si="1"/>
        <v>437.97185185185185</v>
      </c>
      <c r="E13">
        <f t="shared" ca="1" si="2"/>
        <v>372.75259259259258</v>
      </c>
      <c r="F13">
        <f t="shared" si="3"/>
        <v>307.5333333333333</v>
      </c>
      <c r="G13">
        <f t="shared" ca="1" si="4"/>
        <v>242.31407407407403</v>
      </c>
      <c r="H13">
        <f t="shared" ca="1" si="5"/>
        <v>177.09481481481478</v>
      </c>
      <c r="I13">
        <f t="shared" ca="1" si="6"/>
        <v>111.87555555555551</v>
      </c>
      <c r="J13">
        <f t="shared" ca="1" si="8"/>
        <v>462</v>
      </c>
      <c r="K13" t="str">
        <f t="shared" ca="1" si="9"/>
        <v/>
      </c>
      <c r="L13">
        <f t="shared" ca="1" si="10"/>
        <v>240.30600000000001</v>
      </c>
      <c r="M13">
        <f t="shared" ca="1" si="11"/>
        <v>184.72251851851851</v>
      </c>
      <c r="N13">
        <f t="shared" ca="1" si="12"/>
        <v>129.13903703703704</v>
      </c>
      <c r="O13" s="3">
        <f t="shared" ca="1" si="7"/>
        <v>73.555555555555557</v>
      </c>
      <c r="P13">
        <f t="shared" ca="1" si="13"/>
        <v>17.972074074074079</v>
      </c>
      <c r="Q13">
        <f t="shared" ca="1" si="14"/>
        <v>0</v>
      </c>
      <c r="R13">
        <v>0</v>
      </c>
      <c r="S13">
        <f t="shared" si="15"/>
        <v>12</v>
      </c>
    </row>
    <row r="14" spans="1:26" ht="14" customHeight="1" x14ac:dyDescent="0.2">
      <c r="C14">
        <f t="shared" ca="1" si="0"/>
        <v>459.45777777777778</v>
      </c>
      <c r="D14">
        <f t="shared" ca="1" si="1"/>
        <v>394.2385185185185</v>
      </c>
      <c r="E14">
        <f t="shared" ca="1" si="2"/>
        <v>329.01925925925923</v>
      </c>
      <c r="F14">
        <f t="shared" si="3"/>
        <v>263.79999999999995</v>
      </c>
      <c r="G14">
        <f t="shared" ca="1" si="4"/>
        <v>198.58074074074068</v>
      </c>
      <c r="H14">
        <f t="shared" ca="1" si="5"/>
        <v>133.36148148148143</v>
      </c>
      <c r="I14">
        <f t="shared" ca="1" si="6"/>
        <v>68.142222222222159</v>
      </c>
      <c r="J14">
        <f t="shared" ca="1" si="8"/>
        <v>462</v>
      </c>
      <c r="K14" t="str">
        <f t="shared" ca="1" si="9"/>
        <v/>
      </c>
      <c r="L14">
        <f t="shared" ca="1" si="10"/>
        <v>240.30600000000001</v>
      </c>
      <c r="M14">
        <f t="shared" ca="1" si="11"/>
        <v>184.72251851851851</v>
      </c>
      <c r="N14">
        <f t="shared" ca="1" si="12"/>
        <v>129.13903703703704</v>
      </c>
      <c r="O14" s="3">
        <f t="shared" ca="1" si="7"/>
        <v>73.555555555555557</v>
      </c>
      <c r="P14">
        <f t="shared" ca="1" si="13"/>
        <v>17.972074074074079</v>
      </c>
      <c r="Q14">
        <f t="shared" ca="1" si="14"/>
        <v>0</v>
      </c>
      <c r="R14">
        <v>0</v>
      </c>
      <c r="S14">
        <f t="shared" si="15"/>
        <v>13</v>
      </c>
    </row>
    <row r="15" spans="1:26" ht="14" customHeight="1" x14ac:dyDescent="0.2">
      <c r="C15">
        <f t="shared" ca="1" si="0"/>
        <v>415.72444444444443</v>
      </c>
      <c r="D15">
        <f t="shared" ca="1" si="1"/>
        <v>350.50518518518516</v>
      </c>
      <c r="E15">
        <f t="shared" ca="1" si="2"/>
        <v>285.28592592592588</v>
      </c>
      <c r="F15">
        <f t="shared" si="3"/>
        <v>220.06666666666661</v>
      </c>
      <c r="G15">
        <f t="shared" ca="1" si="4"/>
        <v>154.84740740740733</v>
      </c>
      <c r="H15">
        <f t="shared" ca="1" si="5"/>
        <v>89.628148148148085</v>
      </c>
      <c r="I15">
        <f t="shared" ca="1" si="6"/>
        <v>24.408888888888811</v>
      </c>
      <c r="J15">
        <f t="shared" ca="1" si="8"/>
        <v>462</v>
      </c>
      <c r="K15" t="str">
        <f t="shared" ca="1" si="9"/>
        <v/>
      </c>
      <c r="L15">
        <f t="shared" ca="1" si="10"/>
        <v>240.30600000000001</v>
      </c>
      <c r="M15">
        <f t="shared" ca="1" si="11"/>
        <v>184.72251851851851</v>
      </c>
      <c r="N15">
        <f t="shared" ca="1" si="12"/>
        <v>129.13903703703704</v>
      </c>
      <c r="O15" s="3">
        <f t="shared" ca="1" si="7"/>
        <v>73.555555555555557</v>
      </c>
      <c r="P15">
        <f t="shared" ca="1" si="13"/>
        <v>17.972074074074079</v>
      </c>
      <c r="Q15">
        <f t="shared" ca="1" si="14"/>
        <v>0</v>
      </c>
      <c r="R15">
        <v>0</v>
      </c>
      <c r="S15">
        <f t="shared" si="15"/>
        <v>14</v>
      </c>
    </row>
    <row r="16" spans="1:26" ht="14" customHeight="1" x14ac:dyDescent="0.2">
      <c r="C16">
        <f t="shared" ca="1" si="0"/>
        <v>371.99111111111108</v>
      </c>
      <c r="D16">
        <f t="shared" ca="1" si="1"/>
        <v>306.77185185185181</v>
      </c>
      <c r="E16">
        <f t="shared" ca="1" si="2"/>
        <v>241.55259259259253</v>
      </c>
      <c r="F16">
        <f t="shared" si="3"/>
        <v>176.33333333333326</v>
      </c>
      <c r="G16">
        <f t="shared" ca="1" si="4"/>
        <v>111.114074074074</v>
      </c>
      <c r="H16">
        <f t="shared" ca="1" si="5"/>
        <v>45.894814814814737</v>
      </c>
      <c r="I16">
        <f t="shared" ca="1" si="6"/>
        <v>-19.324444444444538</v>
      </c>
      <c r="J16">
        <f t="shared" ca="1" si="8"/>
        <v>462</v>
      </c>
      <c r="K16" t="str">
        <f t="shared" ca="1" si="9"/>
        <v/>
      </c>
      <c r="L16">
        <f t="shared" ca="1" si="10"/>
        <v>240.30600000000001</v>
      </c>
      <c r="M16">
        <f t="shared" ca="1" si="11"/>
        <v>184.72251851851851</v>
      </c>
      <c r="N16">
        <f t="shared" ca="1" si="12"/>
        <v>129.13903703703704</v>
      </c>
      <c r="O16" s="3">
        <f t="shared" ca="1" si="7"/>
        <v>73.555555555555557</v>
      </c>
      <c r="P16">
        <f t="shared" ca="1" si="13"/>
        <v>17.972074074074079</v>
      </c>
      <c r="Q16">
        <f t="shared" ca="1" si="14"/>
        <v>0</v>
      </c>
      <c r="R16">
        <v>0</v>
      </c>
      <c r="S16">
        <f t="shared" si="15"/>
        <v>15</v>
      </c>
    </row>
    <row r="17" spans="3:19" ht="14" customHeight="1" x14ac:dyDescent="0.2">
      <c r="C17">
        <f t="shared" ca="1" si="0"/>
        <v>328.25777777777773</v>
      </c>
      <c r="D17">
        <f t="shared" ca="1" si="1"/>
        <v>263.03851851851846</v>
      </c>
      <c r="E17">
        <f t="shared" ca="1" si="2"/>
        <v>197.81925925925918</v>
      </c>
      <c r="F17">
        <f t="shared" si="3"/>
        <v>132.59999999999991</v>
      </c>
      <c r="G17">
        <f t="shared" ca="1" si="4"/>
        <v>67.380740740740649</v>
      </c>
      <c r="H17">
        <f t="shared" ca="1" si="5"/>
        <v>2.1614814814813883</v>
      </c>
      <c r="I17">
        <f t="shared" ca="1" si="6"/>
        <v>-63.057777777777886</v>
      </c>
      <c r="J17">
        <f t="shared" ca="1" si="8"/>
        <v>462</v>
      </c>
      <c r="K17" t="str">
        <f t="shared" ca="1" si="9"/>
        <v/>
      </c>
      <c r="L17">
        <f t="shared" ca="1" si="10"/>
        <v>240.30600000000001</v>
      </c>
      <c r="M17">
        <f t="shared" ca="1" si="11"/>
        <v>184.72251851851851</v>
      </c>
      <c r="N17">
        <f t="shared" ca="1" si="12"/>
        <v>129.13903703703704</v>
      </c>
      <c r="O17" s="3">
        <f t="shared" ca="1" si="7"/>
        <v>73.555555555555557</v>
      </c>
      <c r="P17">
        <f t="shared" ca="1" si="13"/>
        <v>17.972074074074079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284.52444444444438</v>
      </c>
      <c r="D18">
        <f t="shared" ca="1" si="1"/>
        <v>219.30518518518508</v>
      </c>
      <c r="E18">
        <f t="shared" ca="1" si="2"/>
        <v>154.08592592592584</v>
      </c>
      <c r="F18">
        <f t="shared" si="3"/>
        <v>88.866666666666561</v>
      </c>
      <c r="G18">
        <f t="shared" ca="1" si="4"/>
        <v>23.6474074074073</v>
      </c>
      <c r="H18">
        <f t="shared" ca="1" si="5"/>
        <v>-41.57185185185196</v>
      </c>
      <c r="I18">
        <f t="shared" ca="1" si="6"/>
        <v>-106.79111111111123</v>
      </c>
      <c r="J18">
        <f t="shared" ca="1" si="8"/>
        <v>462</v>
      </c>
      <c r="K18" t="str">
        <f t="shared" ca="1" si="9"/>
        <v/>
      </c>
      <c r="L18">
        <f t="shared" ca="1" si="10"/>
        <v>240.30600000000001</v>
      </c>
      <c r="M18">
        <f t="shared" ca="1" si="11"/>
        <v>184.72251851851851</v>
      </c>
      <c r="N18">
        <f t="shared" ca="1" si="12"/>
        <v>129.13903703703704</v>
      </c>
      <c r="O18" s="3">
        <f t="shared" ca="1" si="7"/>
        <v>73.555555555555557</v>
      </c>
      <c r="P18">
        <f t="shared" ca="1" si="13"/>
        <v>17.972074074074079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240.79111111111101</v>
      </c>
      <c r="D19">
        <f t="shared" ca="1" si="1"/>
        <v>175.57185185185173</v>
      </c>
      <c r="E19">
        <f t="shared" ca="1" si="2"/>
        <v>110.35259259259247</v>
      </c>
      <c r="F19">
        <f t="shared" si="3"/>
        <v>45.133333333333212</v>
      </c>
      <c r="G19">
        <f t="shared" ca="1" si="4"/>
        <v>-20.085925925926048</v>
      </c>
      <c r="H19">
        <f t="shared" ca="1" si="5"/>
        <v>-85.305185185185309</v>
      </c>
      <c r="I19">
        <f t="shared" ca="1" si="6"/>
        <v>-150.52444444444458</v>
      </c>
      <c r="J19">
        <f t="shared" ca="1" si="8"/>
        <v>462</v>
      </c>
      <c r="K19" t="str">
        <f t="shared" ca="1" si="9"/>
        <v/>
      </c>
      <c r="L19">
        <f t="shared" ca="1" si="10"/>
        <v>240.30600000000001</v>
      </c>
      <c r="M19">
        <f t="shared" ca="1" si="11"/>
        <v>184.72251851851851</v>
      </c>
      <c r="N19">
        <f t="shared" ca="1" si="12"/>
        <v>129.13903703703704</v>
      </c>
      <c r="O19" s="3">
        <f t="shared" ca="1" si="7"/>
        <v>73.555555555555557</v>
      </c>
      <c r="P19">
        <f t="shared" ca="1" si="13"/>
        <v>17.972074074074079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197.05777777777766</v>
      </c>
      <c r="D20">
        <f t="shared" ca="1" si="1"/>
        <v>131.83851851851838</v>
      </c>
      <c r="E20">
        <f t="shared" ca="1" si="2"/>
        <v>66.619259259259124</v>
      </c>
      <c r="F20">
        <f t="shared" si="3"/>
        <v>1.3999999999998636</v>
      </c>
      <c r="G20">
        <f t="shared" ca="1" si="4"/>
        <v>-63.819259259259397</v>
      </c>
      <c r="H20">
        <f t="shared" ca="1" si="5"/>
        <v>-129.03851851851866</v>
      </c>
      <c r="I20">
        <f t="shared" ca="1" si="6"/>
        <v>-194.25777777777793</v>
      </c>
      <c r="J20">
        <f t="shared" ca="1" si="8"/>
        <v>462</v>
      </c>
      <c r="K20" t="str">
        <f t="shared" ca="1" si="9"/>
        <v/>
      </c>
      <c r="L20">
        <f t="shared" ca="1" si="10"/>
        <v>240.30600000000001</v>
      </c>
      <c r="M20">
        <f t="shared" ca="1" si="11"/>
        <v>184.72251851851851</v>
      </c>
      <c r="N20">
        <f t="shared" ca="1" si="12"/>
        <v>129.13903703703704</v>
      </c>
      <c r="O20" s="3">
        <f t="shared" ca="1" si="7"/>
        <v>73.555555555555557</v>
      </c>
      <c r="P20">
        <f t="shared" ca="1" si="13"/>
        <v>17.972074074074079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153.32444444444431</v>
      </c>
      <c r="D21">
        <f t="shared" ca="1" si="1"/>
        <v>88.105185185185036</v>
      </c>
      <c r="E21">
        <f t="shared" ca="1" si="2"/>
        <v>22.885925925925775</v>
      </c>
      <c r="F21">
        <f t="shared" si="3"/>
        <v>-42.333333333333485</v>
      </c>
      <c r="G21">
        <f t="shared" ca="1" si="4"/>
        <v>-107.55259259259275</v>
      </c>
      <c r="H21">
        <f t="shared" ca="1" si="5"/>
        <v>-172.77185185185201</v>
      </c>
      <c r="I21">
        <f t="shared" ca="1" si="6"/>
        <v>-237.99111111111128</v>
      </c>
      <c r="J21">
        <f t="shared" ca="1" si="8"/>
        <v>462</v>
      </c>
      <c r="K21" t="str">
        <f t="shared" ca="1" si="9"/>
        <v/>
      </c>
      <c r="L21">
        <f t="shared" ca="1" si="10"/>
        <v>240.30600000000001</v>
      </c>
      <c r="M21">
        <f t="shared" ca="1" si="11"/>
        <v>184.72251851851851</v>
      </c>
      <c r="N21">
        <f t="shared" ca="1" si="12"/>
        <v>129.13903703703704</v>
      </c>
      <c r="O21" s="3">
        <f t="shared" ca="1" si="7"/>
        <v>73.555555555555557</v>
      </c>
      <c r="P21">
        <f t="shared" ca="1" si="13"/>
        <v>17.972074074074079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109.59111111111096</v>
      </c>
      <c r="D22">
        <f t="shared" ca="1" si="1"/>
        <v>44.371851851851687</v>
      </c>
      <c r="E22">
        <f t="shared" ca="1" si="2"/>
        <v>-20.847407407407573</v>
      </c>
      <c r="F22">
        <f t="shared" si="3"/>
        <v>-86.066666666666833</v>
      </c>
      <c r="G22">
        <f t="shared" ca="1" si="4"/>
        <v>-151.28592592592611</v>
      </c>
      <c r="H22">
        <f t="shared" ca="1" si="5"/>
        <v>-216.50518518518535</v>
      </c>
      <c r="I22">
        <f t="shared" ca="1" si="6"/>
        <v>-281.72444444444466</v>
      </c>
      <c r="J22">
        <f t="shared" ca="1" si="8"/>
        <v>462</v>
      </c>
      <c r="K22" t="str">
        <f t="shared" ca="1" si="9"/>
        <v/>
      </c>
      <c r="L22">
        <f t="shared" ca="1" si="10"/>
        <v>240.30600000000001</v>
      </c>
      <c r="M22">
        <f t="shared" ca="1" si="11"/>
        <v>184.72251851851851</v>
      </c>
      <c r="N22">
        <f t="shared" ca="1" si="12"/>
        <v>129.13903703703704</v>
      </c>
      <c r="O22" s="3">
        <f t="shared" ca="1" si="7"/>
        <v>73.555555555555557</v>
      </c>
      <c r="P22">
        <f t="shared" ca="1" si="13"/>
        <v>17.972074074074079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65.857777777777613</v>
      </c>
      <c r="D23">
        <f t="shared" ca="1" si="1"/>
        <v>0.63851851851833885</v>
      </c>
      <c r="E23">
        <f t="shared" ca="1" si="2"/>
        <v>-64.580740740740922</v>
      </c>
      <c r="F23">
        <f t="shared" si="3"/>
        <v>-129.80000000000018</v>
      </c>
      <c r="G23">
        <f t="shared" ca="1" si="4"/>
        <v>-195.01925925925946</v>
      </c>
      <c r="H23">
        <f t="shared" ca="1" si="5"/>
        <v>-260.23851851851873</v>
      </c>
      <c r="I23">
        <f t="shared" ca="1" si="6"/>
        <v>-325.45777777777801</v>
      </c>
      <c r="J23">
        <f t="shared" ca="1" si="8"/>
        <v>462</v>
      </c>
      <c r="K23" t="str">
        <f t="shared" ca="1" si="9"/>
        <v/>
      </c>
      <c r="L23">
        <f t="shared" ca="1" si="10"/>
        <v>240.30600000000001</v>
      </c>
      <c r="M23">
        <f t="shared" ca="1" si="11"/>
        <v>184.72251851851851</v>
      </c>
      <c r="N23">
        <f t="shared" ca="1" si="12"/>
        <v>129.13903703703704</v>
      </c>
      <c r="O23" s="3">
        <f t="shared" ca="1" si="7"/>
        <v>73.555555555555557</v>
      </c>
      <c r="P23">
        <f t="shared" ca="1" si="13"/>
        <v>17.972074074074079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22.124444444444265</v>
      </c>
      <c r="D24">
        <f t="shared" ca="1" si="1"/>
        <v>-43.09481481481501</v>
      </c>
      <c r="E24">
        <f t="shared" ca="1" si="2"/>
        <v>-108.31407407407427</v>
      </c>
      <c r="F24">
        <f t="shared" si="3"/>
        <v>-173.53333333333353</v>
      </c>
      <c r="G24">
        <f t="shared" ca="1" si="4"/>
        <v>-238.7525925925928</v>
      </c>
      <c r="H24">
        <f t="shared" ca="1" si="5"/>
        <v>-303.97185185185208</v>
      </c>
      <c r="I24">
        <f t="shared" ca="1" si="6"/>
        <v>-369.19111111111135</v>
      </c>
      <c r="J24">
        <f t="shared" ca="1" si="8"/>
        <v>462</v>
      </c>
      <c r="K24" t="str">
        <f t="shared" ca="1" si="9"/>
        <v/>
      </c>
      <c r="L24">
        <f t="shared" ca="1" si="10"/>
        <v>240.30600000000001</v>
      </c>
      <c r="M24">
        <f t="shared" ca="1" si="11"/>
        <v>184.72251851851851</v>
      </c>
      <c r="N24">
        <f t="shared" ca="1" si="12"/>
        <v>129.13903703703704</v>
      </c>
      <c r="O24" s="3">
        <f t="shared" ca="1" si="7"/>
        <v>73.555555555555557</v>
      </c>
      <c r="P24">
        <f t="shared" ca="1" si="13"/>
        <v>17.972074074074079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-21.60888888888897</v>
      </c>
      <c r="D25">
        <f t="shared" ca="1" si="1"/>
        <v>-86.828148148148244</v>
      </c>
      <c r="E25">
        <f t="shared" ca="1" si="2"/>
        <v>-152.04740740740749</v>
      </c>
      <c r="F25">
        <f t="shared" si="3"/>
        <v>-217.26666666666677</v>
      </c>
      <c r="G25">
        <f t="shared" ca="1" si="4"/>
        <v>-282.48592592592604</v>
      </c>
      <c r="H25">
        <f t="shared" ca="1" si="5"/>
        <v>-347.70518518518531</v>
      </c>
      <c r="I25">
        <f t="shared" ca="1" si="6"/>
        <v>-412.92444444444459</v>
      </c>
      <c r="J25">
        <f t="shared" ca="1" si="8"/>
        <v>462</v>
      </c>
      <c r="K25" t="str">
        <f t="shared" ca="1" si="9"/>
        <v/>
      </c>
      <c r="L25">
        <f t="shared" ca="1" si="10"/>
        <v>240.30600000000001</v>
      </c>
      <c r="M25">
        <f t="shared" ca="1" si="11"/>
        <v>184.72251851851851</v>
      </c>
      <c r="N25">
        <f t="shared" ca="1" si="12"/>
        <v>129.13903703703704</v>
      </c>
      <c r="O25" s="3">
        <f t="shared" ca="1" si="7"/>
        <v>73.555555555555557</v>
      </c>
      <c r="P25">
        <f t="shared" ca="1" si="13"/>
        <v>17.972074074074079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-65.342222222222318</v>
      </c>
      <c r="D26">
        <f t="shared" ca="1" si="1"/>
        <v>-130.56148148148159</v>
      </c>
      <c r="E26">
        <f t="shared" ca="1" si="2"/>
        <v>-195.78074074074084</v>
      </c>
      <c r="F26">
        <f t="shared" si="3"/>
        <v>-261.00000000000011</v>
      </c>
      <c r="G26">
        <f t="shared" ca="1" si="4"/>
        <v>-326.21925925925939</v>
      </c>
      <c r="H26">
        <f t="shared" ca="1" si="5"/>
        <v>-391.43851851851866</v>
      </c>
      <c r="I26">
        <f t="shared" ca="1" si="6"/>
        <v>-456.65777777777794</v>
      </c>
      <c r="J26">
        <f t="shared" ca="1" si="8"/>
        <v>462</v>
      </c>
      <c r="K26" t="str">
        <f t="shared" ca="1" si="9"/>
        <v/>
      </c>
      <c r="L26">
        <f t="shared" ca="1" si="10"/>
        <v>240.30600000000001</v>
      </c>
      <c r="M26">
        <f t="shared" ca="1" si="11"/>
        <v>184.72251851851851</v>
      </c>
      <c r="N26">
        <f t="shared" ca="1" si="12"/>
        <v>129.13903703703704</v>
      </c>
      <c r="O26" s="3">
        <f t="shared" ca="1" si="7"/>
        <v>73.555555555555557</v>
      </c>
      <c r="P26">
        <f t="shared" ca="1" si="13"/>
        <v>17.972074074074079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-109.07555555555567</v>
      </c>
      <c r="D27">
        <f t="shared" ca="1" si="1"/>
        <v>-174.29481481481494</v>
      </c>
      <c r="E27">
        <f t="shared" ca="1" si="2"/>
        <v>-239.51407407407419</v>
      </c>
      <c r="F27">
        <f t="shared" si="3"/>
        <v>-304.73333333333346</v>
      </c>
      <c r="G27">
        <f t="shared" ca="1" si="4"/>
        <v>-369.95259259259274</v>
      </c>
      <c r="H27">
        <f t="shared" ca="1" si="5"/>
        <v>-435.17185185185201</v>
      </c>
      <c r="I27">
        <f t="shared" ca="1" si="6"/>
        <v>-500.39111111111129</v>
      </c>
      <c r="J27">
        <f t="shared" ca="1" si="8"/>
        <v>462</v>
      </c>
      <c r="K27" t="str">
        <f t="shared" ca="1" si="9"/>
        <v/>
      </c>
      <c r="L27">
        <f t="shared" ca="1" si="10"/>
        <v>240.30600000000001</v>
      </c>
      <c r="M27">
        <f t="shared" ca="1" si="11"/>
        <v>184.72251851851851</v>
      </c>
      <c r="N27">
        <f t="shared" ca="1" si="12"/>
        <v>129.13903703703704</v>
      </c>
      <c r="O27" s="3">
        <f t="shared" ca="1" si="7"/>
        <v>73.555555555555557</v>
      </c>
      <c r="P27">
        <f t="shared" ca="1" si="13"/>
        <v>17.972074074074079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-152.80888888888902</v>
      </c>
      <c r="D28">
        <f t="shared" ca="1" si="1"/>
        <v>-218.02814814814829</v>
      </c>
      <c r="E28">
        <f t="shared" ca="1" si="2"/>
        <v>-283.24740740740754</v>
      </c>
      <c r="F28">
        <f t="shared" si="3"/>
        <v>-348.46666666666681</v>
      </c>
      <c r="G28">
        <f t="shared" ca="1" si="4"/>
        <v>-413.68592592592609</v>
      </c>
      <c r="H28">
        <f t="shared" ca="1" si="5"/>
        <v>-478.90518518518536</v>
      </c>
      <c r="I28">
        <f t="shared" ca="1" si="6"/>
        <v>-544.12444444444463</v>
      </c>
      <c r="J28">
        <f t="shared" ca="1" si="8"/>
        <v>462</v>
      </c>
      <c r="K28" t="str">
        <f t="shared" ca="1" si="9"/>
        <v/>
      </c>
      <c r="L28">
        <f t="shared" ca="1" si="10"/>
        <v>240.30600000000001</v>
      </c>
      <c r="M28">
        <f t="shared" ca="1" si="11"/>
        <v>184.72251851851851</v>
      </c>
      <c r="N28">
        <f t="shared" ca="1" si="12"/>
        <v>129.13903703703704</v>
      </c>
      <c r="O28" s="3">
        <f t="shared" ca="1" si="7"/>
        <v>73.555555555555557</v>
      </c>
      <c r="P28">
        <f t="shared" ca="1" si="13"/>
        <v>17.972074074074079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-196.54222222222236</v>
      </c>
      <c r="D29">
        <f t="shared" ca="1" si="1"/>
        <v>-261.76148148148161</v>
      </c>
      <c r="E29">
        <f t="shared" ca="1" si="2"/>
        <v>-326.98074074074088</v>
      </c>
      <c r="F29">
        <f t="shared" si="3"/>
        <v>-392.20000000000016</v>
      </c>
      <c r="G29">
        <f t="shared" ca="1" si="4"/>
        <v>-457.41925925925943</v>
      </c>
      <c r="H29">
        <f t="shared" ca="1" si="5"/>
        <v>-522.63851851851871</v>
      </c>
      <c r="I29">
        <f t="shared" ca="1" si="6"/>
        <v>-587.85777777777798</v>
      </c>
      <c r="J29">
        <f t="shared" ca="1" si="8"/>
        <v>462</v>
      </c>
      <c r="K29" t="str">
        <f t="shared" ca="1" si="9"/>
        <v/>
      </c>
      <c r="L29">
        <f t="shared" ca="1" si="10"/>
        <v>240.30600000000001</v>
      </c>
      <c r="M29">
        <f t="shared" ca="1" si="11"/>
        <v>184.72251851851851</v>
      </c>
      <c r="N29">
        <f t="shared" ca="1" si="12"/>
        <v>129.13903703703704</v>
      </c>
      <c r="O29" s="3">
        <f t="shared" ca="1" si="7"/>
        <v>73.555555555555557</v>
      </c>
      <c r="P29">
        <f t="shared" ca="1" si="13"/>
        <v>17.972074074074079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-240.27555555555571</v>
      </c>
      <c r="D30">
        <f t="shared" ca="1" si="1"/>
        <v>-305.49481481481496</v>
      </c>
      <c r="E30">
        <f t="shared" ca="1" si="2"/>
        <v>-370.71407407407423</v>
      </c>
      <c r="F30">
        <f t="shared" si="3"/>
        <v>-435.93333333333351</v>
      </c>
      <c r="G30">
        <f t="shared" ca="1" si="4"/>
        <v>-501.15259259259278</v>
      </c>
      <c r="H30">
        <f t="shared" ca="1" si="5"/>
        <v>-566.37185185185206</v>
      </c>
      <c r="I30">
        <f t="shared" ca="1" si="6"/>
        <v>-631.59111111111133</v>
      </c>
      <c r="J30">
        <f t="shared" ca="1" si="8"/>
        <v>462</v>
      </c>
      <c r="K30" t="str">
        <f t="shared" ca="1" si="9"/>
        <v/>
      </c>
      <c r="L30">
        <f t="shared" ca="1" si="10"/>
        <v>240.30600000000001</v>
      </c>
      <c r="M30">
        <f t="shared" ca="1" si="11"/>
        <v>184.72251851851851</v>
      </c>
      <c r="N30">
        <f t="shared" ca="1" si="12"/>
        <v>129.13903703703704</v>
      </c>
      <c r="O30" s="3">
        <f t="shared" ca="1" si="7"/>
        <v>73.555555555555557</v>
      </c>
      <c r="P30">
        <f t="shared" ca="1" si="13"/>
        <v>17.972074074074079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-284.00888888888903</v>
      </c>
      <c r="D31">
        <f t="shared" ca="1" si="1"/>
        <v>-349.22814814814831</v>
      </c>
      <c r="E31">
        <f t="shared" ca="1" si="2"/>
        <v>-414.44740740740758</v>
      </c>
      <c r="F31">
        <f t="shared" si="3"/>
        <v>-479.66666666666686</v>
      </c>
      <c r="G31">
        <f t="shared" ca="1" si="4"/>
        <v>-544.88592592592613</v>
      </c>
      <c r="H31">
        <f t="shared" ca="1" si="5"/>
        <v>-610.10518518518541</v>
      </c>
      <c r="I31">
        <f t="shared" ca="1" si="6"/>
        <v>-675.32444444444468</v>
      </c>
      <c r="J31">
        <f t="shared" ca="1" si="8"/>
        <v>462</v>
      </c>
      <c r="K31" t="str">
        <f t="shared" ca="1" si="9"/>
        <v/>
      </c>
      <c r="L31">
        <f t="shared" ca="1" si="10"/>
        <v>240.30600000000001</v>
      </c>
      <c r="M31">
        <f t="shared" ca="1" si="11"/>
        <v>184.72251851851851</v>
      </c>
      <c r="N31">
        <f t="shared" ca="1" si="12"/>
        <v>129.13903703703704</v>
      </c>
      <c r="O31" s="3">
        <f t="shared" ca="1" si="7"/>
        <v>73.555555555555557</v>
      </c>
      <c r="P31">
        <f t="shared" ca="1" si="13"/>
        <v>17.972074074074079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8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Monthly Data Both Crimes</vt:lpstr>
      <vt:lpstr>Annual Data Both Crimes</vt:lpstr>
      <vt:lpstr>Annual Violent Crime XmR </vt:lpstr>
      <vt:lpstr>Annual Prop Crime Trended XmR </vt:lpstr>
      <vt:lpstr>Annual Both Crimes Trended XmR </vt:lpstr>
      <vt:lpstr>Monthly Violent Crimes XmR </vt:lpstr>
      <vt:lpstr>Annual Violent XmR</vt:lpstr>
      <vt:lpstr>Annual Property Trended XmR </vt:lpstr>
      <vt:lpstr>Combined Figures Annual XmR </vt:lpstr>
      <vt:lpstr>'Annual Both Crimes Trended XmR '!Print_Area</vt:lpstr>
      <vt:lpstr>'Annual Prop Crime Trended XmR '!Print_Area</vt:lpstr>
      <vt:lpstr>'Annual Property Trended XmR '!Print_Area</vt:lpstr>
      <vt:lpstr>'Annual Violent Crime XmR '!Print_Area</vt:lpstr>
      <vt:lpstr>'Annual Violent XmR'!Print_Area</vt:lpstr>
      <vt:lpstr>'Combined Figures Annual XmR '!Print_Area</vt:lpstr>
      <vt:lpstr>'Monthly Violent Crimes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Combined Figures Violent Cri</dc:title>
  <dc:creator>D S and QI Macros</dc:creator>
  <dc:description>
_x000d_QI Macros 2025.01
_x000d_qimacros.com</dc:description>
  <cp:lastModifiedBy>D S</cp:lastModifiedBy>
  <dcterms:created xsi:type="dcterms:W3CDTF">2026-03-07T16:43:40Z</dcterms:created>
  <dcterms:modified xsi:type="dcterms:W3CDTF">2026-03-08T01:57:44Z</dcterms:modified>
</cp:coreProperties>
</file>
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nalysis_us_census_data/pop_and_housing_schertz_per_us_census/"/>
    </mc:Choice>
  </mc:AlternateContent>
  <xr:revisionPtr revIDLastSave="0" documentId="13_ncr:1_{44455057-2071-E24D-82CE-5542FB8FB8AE}" xr6:coauthVersionLast="47" xr6:coauthVersionMax="47" xr10:uidLastSave="{00000000-0000-0000-0000-000000000000}"/>
  <bookViews>
    <workbookView xWindow="0" yWindow="500" windowWidth="40960" windowHeight="22540" activeTab="3" xr2:uid="{00000000-000D-0000-FFFF-FFFF00000000}"/>
  </bookViews>
  <sheets>
    <sheet name="TOTAL Housing Units 2009-2024" sheetId="5" r:id="rId1"/>
    <sheet name="Housing Units Added Annualy" sheetId="8" r:id="rId2"/>
    <sheet name="Annual Growth Rate-Housing Unit" sheetId="11" r:id="rId3"/>
    <sheet name="Housing UnitsData RAW-2009-2024" sheetId="1" r:id="rId4"/>
  </sheets>
  <definedNames>
    <definedName name="_xlnm.Print_Area" localSheetId="2">'Annual Growth Rate-Housing Unit'!$C$1:$T$36</definedName>
    <definedName name="_xlnm.Print_Area" localSheetId="1">'Housing Units Added Annualy'!$C$1:$T$36</definedName>
    <definedName name="_xlnm.Print_Area" localSheetId="0">'TOTAL Housing Units 2009-2024'!$C$1:$T$36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" i="11" l="1"/>
  <c r="X1" i="11"/>
  <c r="V1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S3" i="11"/>
  <c r="S4" i="11"/>
  <c r="S5" i="11"/>
  <c r="S6" i="11"/>
  <c r="S7" i="11"/>
  <c r="S8" i="11"/>
  <c r="S9" i="11"/>
  <c r="S10" i="11"/>
  <c r="S11" i="11"/>
  <c r="S12" i="11"/>
  <c r="S13" i="11"/>
  <c r="S14" i="11" s="1"/>
  <c r="S15" i="11" s="1"/>
  <c r="S16" i="11" s="1"/>
  <c r="S17" i="11" s="1"/>
  <c r="S18" i="11" s="1"/>
  <c r="S19" i="11" s="1"/>
  <c r="S20" i="11" s="1"/>
  <c r="S21" i="11" s="1"/>
  <c r="S22" i="11" s="1"/>
  <c r="S23" i="11" s="1"/>
  <c r="S24" i="11" s="1"/>
  <c r="S25" i="11" s="1"/>
  <c r="S26" i="11" s="1"/>
  <c r="S27" i="11" s="1"/>
  <c r="S28" i="11" s="1"/>
  <c r="S29" i="11" s="1"/>
  <c r="S30" i="11" s="1"/>
  <c r="S31" i="11" s="1"/>
  <c r="S32" i="11" s="1"/>
  <c r="S33" i="11" s="1"/>
  <c r="S34" i="11" s="1"/>
  <c r="S35" i="11" s="1"/>
  <c r="S36" i="11" s="1"/>
  <c r="K3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J3" i="11"/>
  <c r="K4" i="11" s="1"/>
  <c r="J4" i="11"/>
  <c r="K5" i="11" s="1"/>
  <c r="J5" i="11"/>
  <c r="K6" i="11" s="1"/>
  <c r="J6" i="11"/>
  <c r="K7" i="11" s="1"/>
  <c r="J7" i="11"/>
  <c r="K8" i="11" s="1"/>
  <c r="J8" i="11"/>
  <c r="K9" i="11" s="1"/>
  <c r="J9" i="11"/>
  <c r="K10" i="11" s="1"/>
  <c r="J10" i="11"/>
  <c r="K11" i="11" s="1"/>
  <c r="J11" i="11"/>
  <c r="K12" i="11" s="1"/>
  <c r="J12" i="11"/>
  <c r="K13" i="11" s="1"/>
  <c r="J13" i="11"/>
  <c r="K14" i="11" s="1"/>
  <c r="J14" i="11"/>
  <c r="K15" i="11" s="1"/>
  <c r="J15" i="11"/>
  <c r="K16" i="11" s="1"/>
  <c r="J16" i="1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2" i="11"/>
  <c r="Z1" i="8"/>
  <c r="X1" i="8"/>
  <c r="V1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K3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J3" i="8"/>
  <c r="K4" i="8" s="1"/>
  <c r="J4" i="8"/>
  <c r="K5" i="8" s="1"/>
  <c r="J5" i="8"/>
  <c r="K6" i="8" s="1"/>
  <c r="J6" i="8"/>
  <c r="K7" i="8" s="1"/>
  <c r="J7" i="8"/>
  <c r="K8" i="8" s="1"/>
  <c r="J8" i="8"/>
  <c r="K9" i="8" s="1"/>
  <c r="J9" i="8"/>
  <c r="K10" i="8" s="1"/>
  <c r="J10" i="8"/>
  <c r="K11" i="8" s="1"/>
  <c r="J11" i="8"/>
  <c r="K12" i="8" s="1"/>
  <c r="J12" i="8"/>
  <c r="K13" i="8" s="1"/>
  <c r="J13" i="8"/>
  <c r="K14" i="8" s="1"/>
  <c r="J14" i="8"/>
  <c r="K15" i="8" s="1"/>
  <c r="J15" i="8"/>
  <c r="K16" i="8" s="1"/>
  <c r="J16" i="8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2" i="8"/>
  <c r="Z1" i="5"/>
  <c r="X1" i="5"/>
  <c r="V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K3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J3" i="5"/>
  <c r="K4" i="5" s="1"/>
  <c r="J4" i="5"/>
  <c r="K5" i="5" s="1"/>
  <c r="J5" i="5"/>
  <c r="K6" i="5" s="1"/>
  <c r="J6" i="5"/>
  <c r="K7" i="5" s="1"/>
  <c r="J7" i="5"/>
  <c r="K8" i="5" s="1"/>
  <c r="J8" i="5"/>
  <c r="K9" i="5" s="1"/>
  <c r="J9" i="5"/>
  <c r="K10" i="5" s="1"/>
  <c r="J10" i="5"/>
  <c r="K11" i="5" s="1"/>
  <c r="J11" i="5"/>
  <c r="K12" i="5" s="1"/>
  <c r="J12" i="5"/>
  <c r="K13" i="5" s="1"/>
  <c r="J13" i="5"/>
  <c r="K14" i="5" s="1"/>
  <c r="J14" i="5"/>
  <c r="K15" i="5" s="1"/>
  <c r="J15" i="5"/>
  <c r="K16" i="5" s="1"/>
  <c r="J16" i="5"/>
  <c r="K17" i="5" s="1"/>
  <c r="J17" i="5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2" i="5"/>
  <c r="O2" i="11" l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2" i="8"/>
  <c r="O4" i="8"/>
  <c r="O5" i="8"/>
  <c r="O6" i="8"/>
  <c r="O7" i="8"/>
  <c r="O8" i="8"/>
  <c r="O9" i="8"/>
  <c r="O10" i="8"/>
  <c r="O11" i="8"/>
  <c r="O12" i="8"/>
  <c r="O14" i="8"/>
  <c r="O16" i="8"/>
  <c r="O17" i="8"/>
  <c r="O19" i="8"/>
  <c r="O21" i="8"/>
  <c r="O23" i="8"/>
  <c r="O26" i="8"/>
  <c r="O28" i="8"/>
  <c r="O30" i="8"/>
  <c r="O32" i="8"/>
  <c r="O34" i="8"/>
  <c r="O36" i="8"/>
  <c r="O3" i="8"/>
  <c r="O13" i="8"/>
  <c r="O15" i="8"/>
  <c r="O18" i="8"/>
  <c r="O20" i="8"/>
  <c r="O22" i="8"/>
  <c r="O24" i="8"/>
  <c r="O27" i="8"/>
  <c r="O29" i="8"/>
  <c r="O31" i="8"/>
  <c r="O33" i="8"/>
  <c r="O35" i="8"/>
  <c r="O25" i="8"/>
  <c r="O2" i="5"/>
  <c r="O3" i="5"/>
  <c r="O4" i="5"/>
  <c r="O5" i="5"/>
  <c r="O6" i="5"/>
  <c r="O7" i="5"/>
  <c r="O8" i="5"/>
  <c r="O9" i="5"/>
  <c r="O10" i="5"/>
  <c r="O11" i="5"/>
  <c r="O12" i="5"/>
  <c r="O13" i="5"/>
  <c r="O15" i="5"/>
  <c r="O17" i="5"/>
  <c r="O18" i="5"/>
  <c r="O19" i="5"/>
  <c r="O20" i="5"/>
  <c r="O21" i="5"/>
  <c r="O22" i="5"/>
  <c r="O23" i="5"/>
  <c r="O25" i="5"/>
  <c r="O26" i="5"/>
  <c r="O27" i="5"/>
  <c r="O28" i="5"/>
  <c r="O31" i="5"/>
  <c r="O33" i="5"/>
  <c r="O35" i="5"/>
  <c r="O14" i="5"/>
  <c r="O29" i="5"/>
  <c r="O32" i="5"/>
  <c r="O36" i="5"/>
  <c r="O16" i="5"/>
  <c r="O30" i="5"/>
  <c r="O34" i="5"/>
  <c r="O37" i="5"/>
  <c r="O24" i="5"/>
  <c r="H2" i="11" l="1"/>
  <c r="I2" i="11"/>
  <c r="H3" i="11"/>
  <c r="I3" i="11"/>
  <c r="H4" i="11"/>
  <c r="I4" i="11"/>
  <c r="H5" i="11"/>
  <c r="I5" i="11"/>
  <c r="H6" i="11"/>
  <c r="I6" i="11"/>
  <c r="H7" i="11"/>
  <c r="I7" i="11"/>
  <c r="H8" i="11"/>
  <c r="I8" i="11"/>
  <c r="H9" i="11"/>
  <c r="I9" i="11"/>
  <c r="H10" i="11"/>
  <c r="I10" i="11"/>
  <c r="H11" i="11"/>
  <c r="I11" i="11"/>
  <c r="H12" i="11"/>
  <c r="I12" i="11"/>
  <c r="H13" i="11"/>
  <c r="I13" i="11"/>
  <c r="H14" i="11"/>
  <c r="I14" i="11"/>
  <c r="H15" i="11"/>
  <c r="I15" i="11"/>
  <c r="H16" i="11"/>
  <c r="I16" i="11"/>
  <c r="H17" i="11"/>
  <c r="I17" i="11"/>
  <c r="H18" i="11"/>
  <c r="I18" i="11"/>
  <c r="H19" i="11"/>
  <c r="I19" i="11"/>
  <c r="H20" i="11"/>
  <c r="I20" i="11"/>
  <c r="H21" i="11"/>
  <c r="I21" i="11"/>
  <c r="H22" i="11"/>
  <c r="I22" i="11"/>
  <c r="H23" i="11"/>
  <c r="I23" i="11"/>
  <c r="H24" i="11"/>
  <c r="I24" i="11"/>
  <c r="H25" i="11"/>
  <c r="I25" i="11"/>
  <c r="H26" i="11"/>
  <c r="I26" i="11"/>
  <c r="H27" i="11"/>
  <c r="I27" i="11"/>
  <c r="H28" i="11"/>
  <c r="I28" i="11"/>
  <c r="H29" i="11"/>
  <c r="I29" i="11"/>
  <c r="H30" i="11"/>
  <c r="I30" i="11"/>
  <c r="H31" i="11"/>
  <c r="I31" i="11"/>
  <c r="H32" i="11"/>
  <c r="I32" i="11"/>
  <c r="H33" i="11"/>
  <c r="I33" i="11"/>
  <c r="H34" i="11"/>
  <c r="I34" i="11"/>
  <c r="H35" i="11"/>
  <c r="I35" i="11"/>
  <c r="H36" i="11"/>
  <c r="I36" i="11"/>
  <c r="E2" i="11"/>
  <c r="G2" i="11"/>
  <c r="E3" i="11"/>
  <c r="G3" i="11"/>
  <c r="E4" i="11"/>
  <c r="G4" i="11"/>
  <c r="E5" i="11"/>
  <c r="G5" i="11"/>
  <c r="E6" i="11"/>
  <c r="G6" i="11"/>
  <c r="E7" i="11"/>
  <c r="G7" i="11"/>
  <c r="E8" i="11"/>
  <c r="G8" i="11"/>
  <c r="E9" i="11"/>
  <c r="G9" i="11"/>
  <c r="E10" i="11"/>
  <c r="G10" i="11"/>
  <c r="E11" i="11"/>
  <c r="G11" i="11"/>
  <c r="E12" i="11"/>
  <c r="G12" i="11"/>
  <c r="E13" i="11"/>
  <c r="G13" i="11"/>
  <c r="E14" i="11"/>
  <c r="G14" i="11"/>
  <c r="E15" i="11"/>
  <c r="G15" i="11"/>
  <c r="E16" i="11"/>
  <c r="G16" i="11"/>
  <c r="E17" i="11"/>
  <c r="G17" i="11"/>
  <c r="E18" i="11"/>
  <c r="G18" i="11"/>
  <c r="E19" i="11"/>
  <c r="G19" i="11"/>
  <c r="E20" i="11"/>
  <c r="G20" i="11"/>
  <c r="E21" i="11"/>
  <c r="G21" i="11"/>
  <c r="E22" i="11"/>
  <c r="G22" i="11"/>
  <c r="E23" i="11"/>
  <c r="G23" i="11"/>
  <c r="E24" i="11"/>
  <c r="G24" i="11"/>
  <c r="E25" i="11"/>
  <c r="G25" i="11"/>
  <c r="E26" i="11"/>
  <c r="G26" i="11"/>
  <c r="E27" i="11"/>
  <c r="G27" i="11"/>
  <c r="E28" i="11"/>
  <c r="G28" i="11"/>
  <c r="E29" i="11"/>
  <c r="G29" i="11"/>
  <c r="E30" i="11"/>
  <c r="G30" i="11"/>
  <c r="E31" i="11"/>
  <c r="G31" i="11"/>
  <c r="E32" i="11"/>
  <c r="G32" i="11"/>
  <c r="E33" i="11"/>
  <c r="G33" i="11"/>
  <c r="E34" i="11"/>
  <c r="G34" i="11"/>
  <c r="E35" i="11"/>
  <c r="G35" i="11"/>
  <c r="E36" i="11"/>
  <c r="G36" i="11"/>
  <c r="C2" i="11"/>
  <c r="D2" i="11"/>
  <c r="C3" i="11"/>
  <c r="D3" i="11"/>
  <c r="C4" i="11"/>
  <c r="D4" i="11"/>
  <c r="C5" i="11"/>
  <c r="D5" i="11"/>
  <c r="C6" i="11"/>
  <c r="D6" i="11"/>
  <c r="C7" i="11"/>
  <c r="D7" i="11"/>
  <c r="C8" i="11"/>
  <c r="D8" i="11"/>
  <c r="C9" i="11"/>
  <c r="D9" i="11"/>
  <c r="C10" i="11"/>
  <c r="D10" i="11"/>
  <c r="C11" i="11"/>
  <c r="D11" i="11"/>
  <c r="C12" i="11"/>
  <c r="D12" i="11"/>
  <c r="C13" i="11"/>
  <c r="D13" i="11"/>
  <c r="C14" i="11"/>
  <c r="D14" i="11"/>
  <c r="C15" i="11"/>
  <c r="D15" i="11"/>
  <c r="C16" i="11"/>
  <c r="D16" i="11"/>
  <c r="C17" i="11"/>
  <c r="D17" i="11"/>
  <c r="C18" i="11"/>
  <c r="D18" i="11"/>
  <c r="C19" i="11"/>
  <c r="D19" i="11"/>
  <c r="C20" i="11"/>
  <c r="D20" i="11"/>
  <c r="C21" i="11"/>
  <c r="D21" i="11"/>
  <c r="C22" i="11"/>
  <c r="D22" i="11"/>
  <c r="C23" i="11"/>
  <c r="D23" i="11"/>
  <c r="C24" i="11"/>
  <c r="D24" i="11"/>
  <c r="C25" i="11"/>
  <c r="D25" i="11"/>
  <c r="C26" i="11"/>
  <c r="D26" i="11"/>
  <c r="C27" i="11"/>
  <c r="D27" i="11"/>
  <c r="C28" i="11"/>
  <c r="D28" i="11"/>
  <c r="C29" i="11"/>
  <c r="D29" i="11"/>
  <c r="C30" i="11"/>
  <c r="D30" i="11"/>
  <c r="C31" i="11"/>
  <c r="D31" i="11"/>
  <c r="C32" i="11"/>
  <c r="D32" i="11"/>
  <c r="C33" i="11"/>
  <c r="D33" i="11"/>
  <c r="C34" i="11"/>
  <c r="D34" i="11"/>
  <c r="C35" i="11"/>
  <c r="D35" i="11"/>
  <c r="C36" i="11"/>
  <c r="D36" i="11"/>
  <c r="L3" i="11"/>
  <c r="Q3" i="11" s="1"/>
  <c r="P3" i="11"/>
  <c r="L4" i="11"/>
  <c r="P4" i="11"/>
  <c r="L5" i="11"/>
  <c r="P5" i="11"/>
  <c r="L6" i="11"/>
  <c r="P6" i="11" s="1"/>
  <c r="L7" i="11"/>
  <c r="P7" i="11"/>
  <c r="L8" i="11"/>
  <c r="P8" i="11"/>
  <c r="L9" i="11"/>
  <c r="P9" i="11"/>
  <c r="L10" i="11"/>
  <c r="P10" i="11" s="1"/>
  <c r="L11" i="11"/>
  <c r="P11" i="11" s="1"/>
  <c r="L12" i="11"/>
  <c r="P12" i="11"/>
  <c r="L13" i="11"/>
  <c r="P13" i="11"/>
  <c r="L14" i="11"/>
  <c r="P14" i="11" s="1"/>
  <c r="L15" i="11"/>
  <c r="P15" i="11" s="1"/>
  <c r="L16" i="11"/>
  <c r="P16" i="11" s="1"/>
  <c r="L17" i="11"/>
  <c r="L18" i="11"/>
  <c r="P18" i="11" s="1"/>
  <c r="L19" i="11"/>
  <c r="P19" i="11" s="1"/>
  <c r="L20" i="11"/>
  <c r="P20" i="11"/>
  <c r="L21" i="11"/>
  <c r="P21" i="11"/>
  <c r="L22" i="11"/>
  <c r="P22" i="11" s="1"/>
  <c r="L23" i="11"/>
  <c r="P23" i="11" s="1"/>
  <c r="L24" i="11"/>
  <c r="P24" i="11" s="1"/>
  <c r="L25" i="11"/>
  <c r="P25" i="11"/>
  <c r="L26" i="11"/>
  <c r="P26" i="11" s="1"/>
  <c r="L27" i="11"/>
  <c r="L28" i="11"/>
  <c r="P28" i="11" s="1"/>
  <c r="L29" i="11"/>
  <c r="L30" i="11"/>
  <c r="P30" i="11" s="1"/>
  <c r="L31" i="11"/>
  <c r="L32" i="11"/>
  <c r="P32" i="11" s="1"/>
  <c r="L33" i="11"/>
  <c r="P33" i="11" s="1"/>
  <c r="L34" i="11"/>
  <c r="P34" i="11" s="1"/>
  <c r="L35" i="11"/>
  <c r="P35" i="11" s="1"/>
  <c r="L36" i="11"/>
  <c r="P36" i="11" s="1"/>
  <c r="M3" i="11"/>
  <c r="N3" i="11"/>
  <c r="N4" i="11"/>
  <c r="H2" i="8"/>
  <c r="I2" i="8"/>
  <c r="H4" i="8"/>
  <c r="I4" i="8"/>
  <c r="H5" i="8"/>
  <c r="I5" i="8"/>
  <c r="H6" i="8"/>
  <c r="I6" i="8"/>
  <c r="H7" i="8"/>
  <c r="I7" i="8"/>
  <c r="H8" i="8"/>
  <c r="I8" i="8"/>
  <c r="H9" i="8"/>
  <c r="I9" i="8"/>
  <c r="H10" i="8"/>
  <c r="I10" i="8"/>
  <c r="H11" i="8"/>
  <c r="I11" i="8"/>
  <c r="H12" i="8"/>
  <c r="I12" i="8"/>
  <c r="H14" i="8"/>
  <c r="I14" i="8"/>
  <c r="H16" i="8"/>
  <c r="I16" i="8"/>
  <c r="H17" i="8"/>
  <c r="I17" i="8"/>
  <c r="H19" i="8"/>
  <c r="I19" i="8"/>
  <c r="H21" i="8"/>
  <c r="I21" i="8"/>
  <c r="H23" i="8"/>
  <c r="I23" i="8"/>
  <c r="H26" i="8"/>
  <c r="I26" i="8"/>
  <c r="H28" i="8"/>
  <c r="I28" i="8"/>
  <c r="H30" i="8"/>
  <c r="I30" i="8"/>
  <c r="H32" i="8"/>
  <c r="I32" i="8"/>
  <c r="H34" i="8"/>
  <c r="I34" i="8"/>
  <c r="H36" i="8"/>
  <c r="I36" i="8"/>
  <c r="H3" i="8"/>
  <c r="I3" i="8"/>
  <c r="H13" i="8"/>
  <c r="I13" i="8"/>
  <c r="H15" i="8"/>
  <c r="I15" i="8"/>
  <c r="H18" i="8"/>
  <c r="I18" i="8"/>
  <c r="H20" i="8"/>
  <c r="I20" i="8"/>
  <c r="H22" i="8"/>
  <c r="I22" i="8"/>
  <c r="H24" i="8"/>
  <c r="I24" i="8"/>
  <c r="H27" i="8"/>
  <c r="I27" i="8"/>
  <c r="H29" i="8"/>
  <c r="I29" i="8"/>
  <c r="H31" i="8"/>
  <c r="I31" i="8"/>
  <c r="H33" i="8"/>
  <c r="I33" i="8"/>
  <c r="H35" i="8"/>
  <c r="I35" i="8"/>
  <c r="H25" i="8"/>
  <c r="I25" i="8"/>
  <c r="E2" i="8"/>
  <c r="G2" i="8"/>
  <c r="E4" i="8"/>
  <c r="G4" i="8"/>
  <c r="E5" i="8"/>
  <c r="G5" i="8"/>
  <c r="E6" i="8"/>
  <c r="G6" i="8"/>
  <c r="E7" i="8"/>
  <c r="G7" i="8"/>
  <c r="E8" i="8"/>
  <c r="G8" i="8"/>
  <c r="E9" i="8"/>
  <c r="G9" i="8"/>
  <c r="E10" i="8"/>
  <c r="G10" i="8"/>
  <c r="E11" i="8"/>
  <c r="G11" i="8"/>
  <c r="E12" i="8"/>
  <c r="G12" i="8"/>
  <c r="E14" i="8"/>
  <c r="G14" i="8"/>
  <c r="E16" i="8"/>
  <c r="G16" i="8"/>
  <c r="E17" i="8"/>
  <c r="G17" i="8"/>
  <c r="E19" i="8"/>
  <c r="G19" i="8"/>
  <c r="E21" i="8"/>
  <c r="G21" i="8"/>
  <c r="E23" i="8"/>
  <c r="G23" i="8"/>
  <c r="E26" i="8"/>
  <c r="G26" i="8"/>
  <c r="E28" i="8"/>
  <c r="G28" i="8"/>
  <c r="E30" i="8"/>
  <c r="G30" i="8"/>
  <c r="E32" i="8"/>
  <c r="G32" i="8"/>
  <c r="E34" i="8"/>
  <c r="G34" i="8"/>
  <c r="E36" i="8"/>
  <c r="G36" i="8"/>
  <c r="E3" i="8"/>
  <c r="G3" i="8"/>
  <c r="E13" i="8"/>
  <c r="G13" i="8"/>
  <c r="E15" i="8"/>
  <c r="G15" i="8"/>
  <c r="E18" i="8"/>
  <c r="G18" i="8"/>
  <c r="E20" i="8"/>
  <c r="G20" i="8"/>
  <c r="E22" i="8"/>
  <c r="G22" i="8"/>
  <c r="E24" i="8"/>
  <c r="G24" i="8"/>
  <c r="E27" i="8"/>
  <c r="G27" i="8"/>
  <c r="E29" i="8"/>
  <c r="G29" i="8"/>
  <c r="E31" i="8"/>
  <c r="G31" i="8"/>
  <c r="E33" i="8"/>
  <c r="G33" i="8"/>
  <c r="E35" i="8"/>
  <c r="G35" i="8"/>
  <c r="E25" i="8"/>
  <c r="G25" i="8"/>
  <c r="C2" i="8"/>
  <c r="D2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4" i="8"/>
  <c r="D14" i="8"/>
  <c r="C16" i="8"/>
  <c r="D16" i="8"/>
  <c r="C17" i="8"/>
  <c r="D17" i="8"/>
  <c r="C19" i="8"/>
  <c r="D19" i="8"/>
  <c r="C21" i="8"/>
  <c r="D21" i="8"/>
  <c r="C23" i="8"/>
  <c r="D23" i="8"/>
  <c r="C26" i="8"/>
  <c r="D26" i="8"/>
  <c r="C28" i="8"/>
  <c r="D28" i="8"/>
  <c r="C30" i="8"/>
  <c r="D30" i="8"/>
  <c r="C32" i="8"/>
  <c r="D32" i="8"/>
  <c r="C34" i="8"/>
  <c r="D34" i="8"/>
  <c r="C36" i="8"/>
  <c r="D36" i="8"/>
  <c r="C3" i="8"/>
  <c r="D3" i="8"/>
  <c r="C13" i="8"/>
  <c r="D13" i="8"/>
  <c r="C15" i="8"/>
  <c r="D15" i="8"/>
  <c r="C18" i="8"/>
  <c r="D18" i="8"/>
  <c r="C20" i="8"/>
  <c r="D20" i="8"/>
  <c r="C22" i="8"/>
  <c r="D22" i="8"/>
  <c r="C24" i="8"/>
  <c r="D24" i="8"/>
  <c r="C27" i="8"/>
  <c r="D27" i="8"/>
  <c r="C29" i="8"/>
  <c r="D29" i="8"/>
  <c r="C31" i="8"/>
  <c r="D31" i="8"/>
  <c r="C33" i="8"/>
  <c r="D33" i="8"/>
  <c r="C35" i="8"/>
  <c r="D35" i="8"/>
  <c r="C25" i="8"/>
  <c r="D25" i="8"/>
  <c r="L4" i="8"/>
  <c r="P4" i="8"/>
  <c r="L5" i="8"/>
  <c r="P5" i="8" s="1"/>
  <c r="L6" i="8"/>
  <c r="P6" i="8"/>
  <c r="L7" i="8"/>
  <c r="P7" i="8"/>
  <c r="L8" i="8"/>
  <c r="P8" i="8"/>
  <c r="L9" i="8"/>
  <c r="P9" i="8" s="1"/>
  <c r="L10" i="8"/>
  <c r="P10" i="8" s="1"/>
  <c r="L11" i="8"/>
  <c r="P11" i="8"/>
  <c r="L12" i="8"/>
  <c r="P12" i="8" s="1"/>
  <c r="L14" i="8"/>
  <c r="P14" i="8" s="1"/>
  <c r="L16" i="8"/>
  <c r="P16" i="8" s="1"/>
  <c r="L17" i="8"/>
  <c r="P17" i="8"/>
  <c r="L19" i="8"/>
  <c r="P19" i="8" s="1"/>
  <c r="L21" i="8"/>
  <c r="P21" i="8" s="1"/>
  <c r="L23" i="8"/>
  <c r="P23" i="8" s="1"/>
  <c r="L26" i="8"/>
  <c r="P26" i="8" s="1"/>
  <c r="L28" i="8"/>
  <c r="P28" i="8" s="1"/>
  <c r="L30" i="8"/>
  <c r="P30" i="8"/>
  <c r="L32" i="8"/>
  <c r="P32" i="8" s="1"/>
  <c r="L34" i="8"/>
  <c r="P34" i="8"/>
  <c r="L36" i="8"/>
  <c r="P36" i="8" s="1"/>
  <c r="L3" i="8"/>
  <c r="P3" i="8" s="1"/>
  <c r="L13" i="8"/>
  <c r="P13" i="8" s="1"/>
  <c r="L15" i="8"/>
  <c r="P15" i="8" s="1"/>
  <c r="L18" i="8"/>
  <c r="P18" i="8" s="1"/>
  <c r="L20" i="8"/>
  <c r="P20" i="8" s="1"/>
  <c r="L22" i="8"/>
  <c r="P22" i="8" s="1"/>
  <c r="L24" i="8"/>
  <c r="P24" i="8" s="1"/>
  <c r="L27" i="8"/>
  <c r="P27" i="8" s="1"/>
  <c r="L29" i="8"/>
  <c r="P29" i="8" s="1"/>
  <c r="L31" i="8"/>
  <c r="P31" i="8" s="1"/>
  <c r="L33" i="8"/>
  <c r="P33" i="8" s="1"/>
  <c r="L35" i="8"/>
  <c r="P35" i="8" s="1"/>
  <c r="L25" i="8"/>
  <c r="P25" i="8"/>
  <c r="H2" i="5"/>
  <c r="I2" i="5"/>
  <c r="H3" i="5"/>
  <c r="I3" i="5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5" i="5"/>
  <c r="I15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5" i="5"/>
  <c r="I25" i="5"/>
  <c r="H26" i="5"/>
  <c r="I26" i="5"/>
  <c r="H27" i="5"/>
  <c r="I27" i="5"/>
  <c r="H28" i="5"/>
  <c r="I28" i="5"/>
  <c r="H31" i="5"/>
  <c r="I31" i="5"/>
  <c r="H33" i="5"/>
  <c r="I33" i="5"/>
  <c r="H35" i="5"/>
  <c r="I35" i="5"/>
  <c r="H14" i="5"/>
  <c r="I14" i="5"/>
  <c r="H29" i="5"/>
  <c r="I29" i="5"/>
  <c r="H32" i="5"/>
  <c r="I32" i="5"/>
  <c r="H36" i="5"/>
  <c r="I36" i="5"/>
  <c r="H16" i="5"/>
  <c r="I16" i="5"/>
  <c r="H30" i="5"/>
  <c r="I30" i="5"/>
  <c r="H34" i="5"/>
  <c r="I34" i="5"/>
  <c r="H37" i="5"/>
  <c r="I37" i="5"/>
  <c r="H24" i="5"/>
  <c r="I24" i="5"/>
  <c r="E2" i="5"/>
  <c r="G2" i="5"/>
  <c r="E3" i="5"/>
  <c r="G3" i="5"/>
  <c r="E4" i="5"/>
  <c r="G4" i="5"/>
  <c r="E5" i="5"/>
  <c r="G5" i="5"/>
  <c r="E6" i="5"/>
  <c r="G6" i="5"/>
  <c r="E7" i="5"/>
  <c r="G7" i="5"/>
  <c r="E8" i="5"/>
  <c r="G8" i="5"/>
  <c r="E9" i="5"/>
  <c r="G9" i="5"/>
  <c r="E10" i="5"/>
  <c r="G10" i="5"/>
  <c r="E11" i="5"/>
  <c r="G11" i="5"/>
  <c r="E12" i="5"/>
  <c r="G12" i="5"/>
  <c r="E13" i="5"/>
  <c r="G13" i="5"/>
  <c r="E15" i="5"/>
  <c r="G15" i="5"/>
  <c r="E17" i="5"/>
  <c r="G17" i="5"/>
  <c r="E18" i="5"/>
  <c r="G18" i="5"/>
  <c r="E19" i="5"/>
  <c r="G19" i="5"/>
  <c r="E20" i="5"/>
  <c r="G20" i="5"/>
  <c r="E21" i="5"/>
  <c r="G21" i="5"/>
  <c r="E22" i="5"/>
  <c r="G22" i="5"/>
  <c r="E23" i="5"/>
  <c r="G23" i="5"/>
  <c r="E25" i="5"/>
  <c r="G25" i="5"/>
  <c r="E26" i="5"/>
  <c r="G26" i="5"/>
  <c r="E27" i="5"/>
  <c r="G27" i="5"/>
  <c r="E28" i="5"/>
  <c r="G28" i="5"/>
  <c r="E31" i="5"/>
  <c r="G31" i="5"/>
  <c r="E33" i="5"/>
  <c r="G33" i="5"/>
  <c r="E35" i="5"/>
  <c r="G35" i="5"/>
  <c r="E14" i="5"/>
  <c r="G14" i="5"/>
  <c r="E29" i="5"/>
  <c r="G29" i="5"/>
  <c r="E32" i="5"/>
  <c r="G32" i="5"/>
  <c r="E36" i="5"/>
  <c r="G36" i="5"/>
  <c r="E16" i="5"/>
  <c r="G16" i="5"/>
  <c r="E30" i="5"/>
  <c r="G30" i="5"/>
  <c r="E34" i="5"/>
  <c r="G34" i="5"/>
  <c r="E37" i="5"/>
  <c r="G37" i="5"/>
  <c r="E24" i="5"/>
  <c r="G24" i="5"/>
  <c r="C2" i="5"/>
  <c r="D2" i="5"/>
  <c r="C3" i="5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5" i="5"/>
  <c r="D15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5" i="5"/>
  <c r="D25" i="5"/>
  <c r="C26" i="5"/>
  <c r="D26" i="5"/>
  <c r="C27" i="5"/>
  <c r="D27" i="5"/>
  <c r="C28" i="5"/>
  <c r="D28" i="5"/>
  <c r="C31" i="5"/>
  <c r="D31" i="5"/>
  <c r="C33" i="5"/>
  <c r="D33" i="5"/>
  <c r="C35" i="5"/>
  <c r="D35" i="5"/>
  <c r="C14" i="5"/>
  <c r="D14" i="5"/>
  <c r="C29" i="5"/>
  <c r="D29" i="5"/>
  <c r="C32" i="5"/>
  <c r="D32" i="5"/>
  <c r="C36" i="5"/>
  <c r="D36" i="5"/>
  <c r="C16" i="5"/>
  <c r="D16" i="5"/>
  <c r="C30" i="5"/>
  <c r="D30" i="5"/>
  <c r="C34" i="5"/>
  <c r="D34" i="5"/>
  <c r="C37" i="5"/>
  <c r="D37" i="5"/>
  <c r="C24" i="5"/>
  <c r="D24" i="5"/>
  <c r="L3" i="5"/>
  <c r="P3" i="5" s="1"/>
  <c r="L4" i="5"/>
  <c r="P4" i="5" s="1"/>
  <c r="L5" i="5"/>
  <c r="P5" i="5" s="1"/>
  <c r="L6" i="5"/>
  <c r="P6" i="5" s="1"/>
  <c r="L7" i="5"/>
  <c r="P7" i="5" s="1"/>
  <c r="L8" i="5"/>
  <c r="P8" i="5" s="1"/>
  <c r="L9" i="5"/>
  <c r="P9" i="5" s="1"/>
  <c r="L10" i="5"/>
  <c r="P10" i="5" s="1"/>
  <c r="L11" i="5"/>
  <c r="P11" i="5" s="1"/>
  <c r="L12" i="5"/>
  <c r="P12" i="5" s="1"/>
  <c r="L13" i="5"/>
  <c r="P13" i="5" s="1"/>
  <c r="L15" i="5"/>
  <c r="P15" i="5" s="1"/>
  <c r="L17" i="5"/>
  <c r="P17" i="5" s="1"/>
  <c r="L18" i="5"/>
  <c r="P18" i="5" s="1"/>
  <c r="L19" i="5"/>
  <c r="P19" i="5" s="1"/>
  <c r="L20" i="5"/>
  <c r="P20" i="5"/>
  <c r="L21" i="5"/>
  <c r="P21" i="5" s="1"/>
  <c r="L22" i="5"/>
  <c r="P22" i="5" s="1"/>
  <c r="L23" i="5"/>
  <c r="P23" i="5" s="1"/>
  <c r="L25" i="5"/>
  <c r="P25" i="5" s="1"/>
  <c r="L26" i="5"/>
  <c r="P26" i="5"/>
  <c r="L27" i="5"/>
  <c r="P27" i="5" s="1"/>
  <c r="L28" i="5"/>
  <c r="P28" i="5" s="1"/>
  <c r="L31" i="5"/>
  <c r="P31" i="5" s="1"/>
  <c r="L33" i="5"/>
  <c r="P33" i="5" s="1"/>
  <c r="L35" i="5"/>
  <c r="P35" i="5" s="1"/>
  <c r="L14" i="5"/>
  <c r="P14" i="5" s="1"/>
  <c r="L29" i="5"/>
  <c r="P29" i="5"/>
  <c r="L32" i="5"/>
  <c r="P32" i="5" s="1"/>
  <c r="L36" i="5"/>
  <c r="P36" i="5" s="1"/>
  <c r="L16" i="5"/>
  <c r="P16" i="5" s="1"/>
  <c r="L30" i="5"/>
  <c r="P30" i="5" s="1"/>
  <c r="L34" i="5"/>
  <c r="P34" i="5" s="1"/>
  <c r="L37" i="5"/>
  <c r="L24" i="5"/>
  <c r="P24" i="5" s="1"/>
  <c r="Q4" i="11" l="1"/>
  <c r="M4" i="11"/>
  <c r="Q5" i="11"/>
  <c r="M5" i="11"/>
  <c r="N5" i="11"/>
  <c r="Q6" i="11"/>
  <c r="M6" i="11"/>
  <c r="N6" i="11"/>
  <c r="Q7" i="11"/>
  <c r="M7" i="11"/>
  <c r="N7" i="11"/>
  <c r="Q8" i="11"/>
  <c r="M8" i="11"/>
  <c r="N8" i="11"/>
  <c r="Q9" i="11"/>
  <c r="N9" i="11"/>
  <c r="M9" i="11"/>
  <c r="Q10" i="11"/>
  <c r="M10" i="11"/>
  <c r="N10" i="11"/>
  <c r="Q11" i="11"/>
  <c r="M11" i="11"/>
  <c r="N11" i="11"/>
  <c r="Q12" i="11"/>
  <c r="M12" i="11"/>
  <c r="N12" i="11"/>
  <c r="Q13" i="11"/>
  <c r="M13" i="11"/>
  <c r="N13" i="11"/>
  <c r="Q14" i="11"/>
  <c r="M14" i="11"/>
  <c r="N14" i="11"/>
  <c r="Q15" i="11"/>
  <c r="M15" i="11"/>
  <c r="N15" i="11"/>
  <c r="Q16" i="11"/>
  <c r="N16" i="11"/>
  <c r="M16" i="11"/>
  <c r="N17" i="11"/>
  <c r="M17" i="11"/>
  <c r="Q18" i="11"/>
  <c r="M18" i="11"/>
  <c r="N18" i="11"/>
  <c r="Q19" i="11"/>
  <c r="M19" i="11"/>
  <c r="N19" i="11"/>
  <c r="Q20" i="11"/>
  <c r="M20" i="11"/>
  <c r="N20" i="11"/>
  <c r="Q21" i="11"/>
  <c r="M21" i="11"/>
  <c r="N21" i="11"/>
  <c r="Q22" i="11"/>
  <c r="M22" i="11"/>
  <c r="N22" i="11"/>
  <c r="Q23" i="11"/>
  <c r="M23" i="11"/>
  <c r="N23" i="11"/>
  <c r="Q24" i="11"/>
  <c r="M24" i="11"/>
  <c r="N24" i="11"/>
  <c r="Q25" i="11"/>
  <c r="M25" i="11"/>
  <c r="N25" i="11"/>
  <c r="Q26" i="11"/>
  <c r="M26" i="11"/>
  <c r="N26" i="11"/>
  <c r="P17" i="11"/>
  <c r="Q17" i="11"/>
  <c r="Q27" i="11"/>
  <c r="P27" i="11"/>
  <c r="N27" i="11"/>
  <c r="M27" i="11"/>
  <c r="N28" i="11"/>
  <c r="M28" i="11"/>
  <c r="Q28" i="11"/>
  <c r="M29" i="11"/>
  <c r="P29" i="11"/>
  <c r="Q29" i="11"/>
  <c r="N29" i="11"/>
  <c r="N30" i="11"/>
  <c r="M30" i="11"/>
  <c r="Q30" i="11"/>
  <c r="N31" i="11"/>
  <c r="M31" i="11"/>
  <c r="P31" i="11"/>
  <c r="Q31" i="11"/>
  <c r="M32" i="11"/>
  <c r="N32" i="11"/>
  <c r="Q32" i="11"/>
  <c r="M33" i="11"/>
  <c r="Q33" i="11"/>
  <c r="N33" i="11"/>
  <c r="Q34" i="11"/>
  <c r="N34" i="11"/>
  <c r="M34" i="11"/>
  <c r="N35" i="11"/>
  <c r="M35" i="11"/>
  <c r="Q35" i="11"/>
  <c r="Q36" i="11"/>
  <c r="N36" i="11"/>
  <c r="M36" i="11"/>
  <c r="Q4" i="8"/>
  <c r="M4" i="8"/>
  <c r="N4" i="8"/>
  <c r="Q5" i="8"/>
  <c r="N5" i="8"/>
  <c r="M5" i="8"/>
  <c r="N6" i="8"/>
  <c r="M6" i="8"/>
  <c r="Q6" i="8"/>
  <c r="M7" i="8"/>
  <c r="N7" i="8"/>
  <c r="Q7" i="8"/>
  <c r="M8" i="8"/>
  <c r="N8" i="8"/>
  <c r="Q8" i="8"/>
  <c r="M9" i="8"/>
  <c r="N9" i="8"/>
  <c r="Q9" i="8"/>
  <c r="M10" i="8"/>
  <c r="N10" i="8"/>
  <c r="Q10" i="8"/>
  <c r="Q11" i="8"/>
  <c r="M11" i="8"/>
  <c r="N11" i="8"/>
  <c r="M12" i="8"/>
  <c r="N12" i="8"/>
  <c r="Q12" i="8"/>
  <c r="N14" i="8"/>
  <c r="Q14" i="8"/>
  <c r="M14" i="8"/>
  <c r="N16" i="8"/>
  <c r="Q16" i="8"/>
  <c r="M16" i="8"/>
  <c r="N17" i="8"/>
  <c r="M17" i="8"/>
  <c r="Q17" i="8"/>
  <c r="Q19" i="8"/>
  <c r="N19" i="8"/>
  <c r="M19" i="8"/>
  <c r="N21" i="8"/>
  <c r="M21" i="8"/>
  <c r="Q21" i="8"/>
  <c r="N23" i="8"/>
  <c r="M23" i="8"/>
  <c r="Q23" i="8"/>
  <c r="M26" i="8"/>
  <c r="Q26" i="8"/>
  <c r="N26" i="8"/>
  <c r="N28" i="8"/>
  <c r="M28" i="8"/>
  <c r="Q28" i="8"/>
  <c r="Q30" i="8"/>
  <c r="N30" i="8"/>
  <c r="M30" i="8"/>
  <c r="N32" i="8"/>
  <c r="M32" i="8"/>
  <c r="Q32" i="8"/>
  <c r="M34" i="8"/>
  <c r="N34" i="8"/>
  <c r="Q34" i="8"/>
  <c r="M36" i="8"/>
  <c r="Q36" i="8"/>
  <c r="N36" i="8"/>
  <c r="N3" i="8"/>
  <c r="Q3" i="8"/>
  <c r="M3" i="8"/>
  <c r="N13" i="8"/>
  <c r="M13" i="8"/>
  <c r="Q13" i="8"/>
  <c r="N15" i="8"/>
  <c r="M15" i="8"/>
  <c r="Q15" i="8"/>
  <c r="N18" i="8"/>
  <c r="M18" i="8"/>
  <c r="Q18" i="8"/>
  <c r="Q20" i="8"/>
  <c r="N20" i="8"/>
  <c r="M20" i="8"/>
  <c r="M22" i="8"/>
  <c r="Q22" i="8"/>
  <c r="N22" i="8"/>
  <c r="N24" i="8"/>
  <c r="M24" i="8"/>
  <c r="Q24" i="8"/>
  <c r="Q27" i="8"/>
  <c r="N27" i="8"/>
  <c r="M27" i="8"/>
  <c r="Q29" i="8"/>
  <c r="N29" i="8"/>
  <c r="M29" i="8"/>
  <c r="Q31" i="8"/>
  <c r="N31" i="8"/>
  <c r="M31" i="8"/>
  <c r="Q33" i="8"/>
  <c r="N33" i="8"/>
  <c r="M33" i="8"/>
  <c r="Q35" i="8"/>
  <c r="N35" i="8"/>
  <c r="M35" i="8"/>
  <c r="Q25" i="8"/>
  <c r="N25" i="8"/>
  <c r="M25" i="8"/>
  <c r="M3" i="5"/>
  <c r="N3" i="5"/>
  <c r="Q3" i="5"/>
  <c r="M4" i="5"/>
  <c r="N4" i="5"/>
  <c r="Q4" i="5"/>
  <c r="M5" i="5"/>
  <c r="N5" i="5"/>
  <c r="Q5" i="5"/>
  <c r="M6" i="5"/>
  <c r="N6" i="5"/>
  <c r="Q6" i="5"/>
  <c r="Q7" i="5"/>
  <c r="M7" i="5"/>
  <c r="N7" i="5"/>
  <c r="N8" i="5"/>
  <c r="Q8" i="5"/>
  <c r="M8" i="5"/>
  <c r="Q9" i="5"/>
  <c r="N9" i="5"/>
  <c r="M9" i="5"/>
  <c r="N10" i="5"/>
  <c r="M10" i="5"/>
  <c r="Q10" i="5"/>
  <c r="Q11" i="5"/>
  <c r="M11" i="5"/>
  <c r="N11" i="5"/>
  <c r="Q12" i="5"/>
  <c r="N12" i="5"/>
  <c r="M12" i="5"/>
  <c r="Q13" i="5"/>
  <c r="N13" i="5"/>
  <c r="M13" i="5"/>
  <c r="Q15" i="5"/>
  <c r="N15" i="5"/>
  <c r="M15" i="5"/>
  <c r="N17" i="5"/>
  <c r="Q17" i="5"/>
  <c r="M17" i="5"/>
  <c r="N18" i="5"/>
  <c r="M18" i="5"/>
  <c r="Q18" i="5"/>
  <c r="N19" i="5"/>
  <c r="M19" i="5"/>
  <c r="Q19" i="5"/>
  <c r="N20" i="5"/>
  <c r="M20" i="5"/>
  <c r="Q20" i="5"/>
  <c r="N21" i="5"/>
  <c r="M21" i="5"/>
  <c r="Q21" i="5"/>
  <c r="M22" i="5"/>
  <c r="N22" i="5"/>
  <c r="Q22" i="5"/>
  <c r="M23" i="5"/>
  <c r="N23" i="5"/>
  <c r="Q23" i="5"/>
  <c r="M25" i="5"/>
  <c r="Q25" i="5"/>
  <c r="N25" i="5"/>
  <c r="Q26" i="5"/>
  <c r="N26" i="5"/>
  <c r="M26" i="5"/>
  <c r="Q27" i="5"/>
  <c r="N27" i="5"/>
  <c r="M27" i="5"/>
  <c r="Q28" i="5"/>
  <c r="N28" i="5"/>
  <c r="M28" i="5"/>
  <c r="Q31" i="5"/>
  <c r="N31" i="5"/>
  <c r="M31" i="5"/>
  <c r="Q33" i="5"/>
  <c r="N33" i="5"/>
  <c r="M33" i="5"/>
  <c r="Q35" i="5"/>
  <c r="N35" i="5"/>
  <c r="M35" i="5"/>
  <c r="M14" i="5"/>
  <c r="N14" i="5"/>
  <c r="Q14" i="5"/>
  <c r="M29" i="5"/>
  <c r="N29" i="5"/>
  <c r="Q29" i="5"/>
  <c r="N32" i="5"/>
  <c r="Q32" i="5"/>
  <c r="M32" i="5"/>
  <c r="N36" i="5"/>
  <c r="Q36" i="5"/>
  <c r="M36" i="5"/>
  <c r="N16" i="5"/>
  <c r="M16" i="5"/>
  <c r="Q16" i="5"/>
  <c r="N30" i="5"/>
  <c r="M30" i="5"/>
  <c r="Q30" i="5"/>
  <c r="N34" i="5"/>
  <c r="M34" i="5"/>
  <c r="Q34" i="5"/>
  <c r="P37" i="5"/>
  <c r="Q37" i="5"/>
  <c r="M37" i="5"/>
  <c r="N37" i="5"/>
  <c r="Q24" i="5"/>
  <c r="M24" i="5"/>
  <c r="N24" i="5"/>
</calcChain>
</file>

<file path=xl/sharedStrings.xml><?xml version="1.0" encoding="utf-8"?>
<sst xmlns="http://schemas.openxmlformats.org/spreadsheetml/2006/main" count="118" uniqueCount="26">
  <si>
    <t>GEOID</t>
  </si>
  <si>
    <t>NAME</t>
  </si>
  <si>
    <t>variable</t>
  </si>
  <si>
    <t>estimate</t>
  </si>
  <si>
    <t>moe</t>
  </si>
  <si>
    <t>year</t>
  </si>
  <si>
    <t>change</t>
  </si>
  <si>
    <t>pct_change</t>
  </si>
  <si>
    <t>4866128</t>
  </si>
  <si>
    <t>Schertz city, Texas</t>
  </si>
  <si>
    <t>B25001_001</t>
  </si>
  <si>
    <t>CREATED IN R FROM FILENAME -  US Census Pop and Housing Data for Schertz-no functions.QMD</t>
  </si>
  <si>
    <t>Data1</t>
  </si>
  <si>
    <t>LastCell</t>
  </si>
  <si>
    <t>Range</t>
  </si>
  <si>
    <t>t^2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</si>
  <si>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</si>
  <si>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</si>
  <si>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</si>
  <si>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</si>
  <si>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</si>
  <si>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</si>
  <si>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</si>
  <si>
    <t>Slope</t>
  </si>
  <si>
    <t>bValue</t>
  </si>
  <si>
    <t>Rxy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</si>
</sst>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Total Housing Units Avg Increase - Schertz, TX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Housing Units 2009-2024'!$K$1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2009-2024'!$K$2:$K$17</c:f>
              <c:numCache>
                <c:formatCode>0.0</c:formatCode>
                <c:ptCount val="16"/>
                <c:pt idx="1">
                  <c:v>234</c:v>
                </c:pt>
                <c:pt idx="2">
                  <c:v>875</c:v>
                </c:pt>
                <c:pt idx="3">
                  <c:v>399</c:v>
                </c:pt>
                <c:pt idx="4">
                  <c:v>423</c:v>
                </c:pt>
                <c:pt idx="5">
                  <c:v>484</c:v>
                </c:pt>
                <c:pt idx="6">
                  <c:v>160</c:v>
                </c:pt>
                <c:pt idx="7">
                  <c:v>366</c:v>
                </c:pt>
                <c:pt idx="8">
                  <c:v>326</c:v>
                </c:pt>
                <c:pt idx="9">
                  <c:v>363</c:v>
                </c:pt>
                <c:pt idx="10">
                  <c:v>572</c:v>
                </c:pt>
                <c:pt idx="11">
                  <c:v>709</c:v>
                </c:pt>
                <c:pt idx="12">
                  <c:v>51</c:v>
                </c:pt>
                <c:pt idx="13">
                  <c:v>353</c:v>
                </c:pt>
                <c:pt idx="14">
                  <c:v>336</c:v>
                </c:pt>
                <c:pt idx="15">
                  <c:v>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F2-534A-9E9C-CA2E013A9946}"/>
            </c:ext>
          </c:extLst>
        </c:ser>
        <c:ser>
          <c:idx val="1"/>
          <c:order val="1"/>
          <c:tx>
            <c:strRef>
              <c:f>'TOTAL Housing Units 2009-2024'!$L$1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3F2-534A-9E9C-CA2E013A9946}"/>
                </c:ext>
              </c:extLst>
            </c:dLbl>
            <c:dLbl>
              <c:idx val="14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F2-534A-9E9C-CA2E013A994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2009-2024'!$L$2:$L$17</c:f>
              <c:numCache>
                <c:formatCode>0.0</c:formatCode>
                <c:ptCount val="16"/>
                <c:pt idx="1">
                  <c:v>1317.4721999999999</c:v>
                </c:pt>
                <c:pt idx="2">
                  <c:v>1317.4721999999999</c:v>
                </c:pt>
                <c:pt idx="3">
                  <c:v>1317.4721999999999</c:v>
                </c:pt>
                <c:pt idx="4">
                  <c:v>1317.4721999999999</c:v>
                </c:pt>
                <c:pt idx="5">
                  <c:v>1317.4721999999999</c:v>
                </c:pt>
                <c:pt idx="6">
                  <c:v>1317.4721999999999</c:v>
                </c:pt>
                <c:pt idx="7">
                  <c:v>1317.4721999999999</c:v>
                </c:pt>
                <c:pt idx="8">
                  <c:v>1317.4721999999999</c:v>
                </c:pt>
                <c:pt idx="9">
                  <c:v>1317.4721999999999</c:v>
                </c:pt>
                <c:pt idx="10">
                  <c:v>1317.4721999999999</c:v>
                </c:pt>
                <c:pt idx="11">
                  <c:v>1317.4721999999999</c:v>
                </c:pt>
                <c:pt idx="12">
                  <c:v>1317.4721999999999</c:v>
                </c:pt>
                <c:pt idx="13">
                  <c:v>1317.4721999999999</c:v>
                </c:pt>
                <c:pt idx="14">
                  <c:v>1317.4721999999999</c:v>
                </c:pt>
                <c:pt idx="15">
                  <c:v>1317.4721999999999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F2-534A-9E9C-CA2E013A9946}"/>
            </c:ext>
          </c:extLst>
        </c:ser>
        <c:ser>
          <c:idx val="2"/>
          <c:order val="2"/>
          <c:tx>
            <c:strRef>
              <c:f>'TOTAL Housing Units 2009-2024'!$M$1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2009-2024'!$M$2:$M$17</c:f>
              <c:numCache>
                <c:formatCode>0.0</c:formatCode>
                <c:ptCount val="16"/>
                <c:pt idx="1">
                  <c:v>1012.7370222222221</c:v>
                </c:pt>
                <c:pt idx="2">
                  <c:v>1012.7370222222221</c:v>
                </c:pt>
                <c:pt idx="3">
                  <c:v>1012.7370222222221</c:v>
                </c:pt>
                <c:pt idx="4">
                  <c:v>1012.7370222222221</c:v>
                </c:pt>
                <c:pt idx="5">
                  <c:v>1012.7370222222221</c:v>
                </c:pt>
                <c:pt idx="6">
                  <c:v>1012.7370222222221</c:v>
                </c:pt>
                <c:pt idx="7">
                  <c:v>1012.7370222222221</c:v>
                </c:pt>
                <c:pt idx="8">
                  <c:v>1012.7370222222221</c:v>
                </c:pt>
                <c:pt idx="9">
                  <c:v>1012.7370222222221</c:v>
                </c:pt>
                <c:pt idx="10">
                  <c:v>1012.7370222222221</c:v>
                </c:pt>
                <c:pt idx="11">
                  <c:v>1012.7370222222221</c:v>
                </c:pt>
                <c:pt idx="12">
                  <c:v>1012.7370222222221</c:v>
                </c:pt>
                <c:pt idx="13">
                  <c:v>1012.7370222222221</c:v>
                </c:pt>
                <c:pt idx="14">
                  <c:v>1012.7370222222221</c:v>
                </c:pt>
                <c:pt idx="15">
                  <c:v>1012.7370222222221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F2-534A-9E9C-CA2E013A9946}"/>
            </c:ext>
          </c:extLst>
        </c:ser>
        <c:ser>
          <c:idx val="3"/>
          <c:order val="3"/>
          <c:tx>
            <c:strRef>
              <c:f>'TOTAL Housing Units 2009-2024'!$N$1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2009-2024'!$N$2:$N$17</c:f>
              <c:numCache>
                <c:formatCode>0.0</c:formatCode>
                <c:ptCount val="16"/>
                <c:pt idx="1">
                  <c:v>708.00184444444437</c:v>
                </c:pt>
                <c:pt idx="2">
                  <c:v>708.00184444444437</c:v>
                </c:pt>
                <c:pt idx="3">
                  <c:v>708.00184444444437</c:v>
                </c:pt>
                <c:pt idx="4">
                  <c:v>708.00184444444437</c:v>
                </c:pt>
                <c:pt idx="5">
                  <c:v>708.00184444444437</c:v>
                </c:pt>
                <c:pt idx="6">
                  <c:v>708.00184444444437</c:v>
                </c:pt>
                <c:pt idx="7">
                  <c:v>708.00184444444437</c:v>
                </c:pt>
                <c:pt idx="8">
                  <c:v>708.00184444444437</c:v>
                </c:pt>
                <c:pt idx="9">
                  <c:v>708.00184444444437</c:v>
                </c:pt>
                <c:pt idx="10">
                  <c:v>708.00184444444437</c:v>
                </c:pt>
                <c:pt idx="11">
                  <c:v>708.00184444444437</c:v>
                </c:pt>
                <c:pt idx="12">
                  <c:v>708.00184444444437</c:v>
                </c:pt>
                <c:pt idx="13">
                  <c:v>708.00184444444437</c:v>
                </c:pt>
                <c:pt idx="14">
                  <c:v>708.00184444444437</c:v>
                </c:pt>
                <c:pt idx="15">
                  <c:v>708.00184444444437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F2-534A-9E9C-CA2E013A9946}"/>
            </c:ext>
          </c:extLst>
        </c:ser>
        <c:ser>
          <c:idx val="4"/>
          <c:order val="4"/>
          <c:tx>
            <c:strRef>
              <c:f>'TOTAL Housing Units 2009-2024'!$O$1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F2-534A-9E9C-CA2E013A9946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F2-534A-9E9C-CA2E013A9946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E3F2-534A-9E9C-CA2E013A9946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E3F2-534A-9E9C-CA2E013A9946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E3F2-534A-9E9C-CA2E013A9946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E3F2-534A-9E9C-CA2E013A9946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E3F2-534A-9E9C-CA2E013A9946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E3F2-534A-9E9C-CA2E013A9946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E3F2-534A-9E9C-CA2E013A9946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E3F2-534A-9E9C-CA2E013A9946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E3F2-534A-9E9C-CA2E013A9946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E3F2-534A-9E9C-CA2E013A9946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E3F2-534A-9E9C-CA2E013A9946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E3F2-534A-9E9C-CA2E013A9946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E3F2-534A-9E9C-CA2E013A9946}"/>
              </c:ext>
            </c:extLst>
          </c:dPt>
          <c:dPt>
            <c:idx val="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5-E3F2-534A-9E9C-CA2E013A9946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3F2-534A-9E9C-CA2E013A9946}"/>
                </c:ext>
              </c:extLst>
            </c:dLbl>
            <c:dLbl>
              <c:idx val="14"/>
              <c:layout>
                <c:manualLayout>
                  <c:x val="-1.4638026388327584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3F2-534A-9E9C-CA2E013A994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2009-2024'!$O$2:$O$17</c:f>
              <c:numCache>
                <c:formatCode>0.0</c:formatCode>
                <c:ptCount val="16"/>
                <c:pt idx="0">
                  <c:v>403.26666666666665</c:v>
                </c:pt>
                <c:pt idx="1">
                  <c:v>403.26666666666665</c:v>
                </c:pt>
                <c:pt idx="2">
                  <c:v>403.26666666666665</c:v>
                </c:pt>
                <c:pt idx="3">
                  <c:v>403.26666666666665</c:v>
                </c:pt>
                <c:pt idx="4">
                  <c:v>403.26666666666665</c:v>
                </c:pt>
                <c:pt idx="5">
                  <c:v>403.26666666666665</c:v>
                </c:pt>
                <c:pt idx="6">
                  <c:v>403.26666666666665</c:v>
                </c:pt>
                <c:pt idx="7">
                  <c:v>403.26666666666665</c:v>
                </c:pt>
                <c:pt idx="8">
                  <c:v>403.26666666666665</c:v>
                </c:pt>
                <c:pt idx="9">
                  <c:v>403.26666666666665</c:v>
                </c:pt>
                <c:pt idx="10">
                  <c:v>403.26666666666665</c:v>
                </c:pt>
                <c:pt idx="11">
                  <c:v>403.26666666666665</c:v>
                </c:pt>
                <c:pt idx="12">
                  <c:v>403.26666666666665</c:v>
                </c:pt>
                <c:pt idx="13">
                  <c:v>403.26666666666665</c:v>
                </c:pt>
                <c:pt idx="14">
                  <c:v>403.26666666666665</c:v>
                </c:pt>
                <c:pt idx="15">
                  <c:v>403.26666666666665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3F2-534A-9E9C-CA2E013A9946}"/>
            </c:ext>
          </c:extLst>
        </c:ser>
        <c:ser>
          <c:idx val="5"/>
          <c:order val="5"/>
          <c:tx>
            <c:strRef>
              <c:f>'TOTAL Housing Units 2009-2024'!$P$1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2009-2024'!$P$2:$P$17</c:f>
              <c:numCache>
                <c:formatCode>0.0</c:formatCode>
                <c:ptCount val="16"/>
                <c:pt idx="1">
                  <c:v>98.53148888888893</c:v>
                </c:pt>
                <c:pt idx="2">
                  <c:v>98.53148888888893</c:v>
                </c:pt>
                <c:pt idx="3">
                  <c:v>98.53148888888893</c:v>
                </c:pt>
                <c:pt idx="4">
                  <c:v>98.53148888888893</c:v>
                </c:pt>
                <c:pt idx="5">
                  <c:v>98.53148888888893</c:v>
                </c:pt>
                <c:pt idx="6">
                  <c:v>98.53148888888893</c:v>
                </c:pt>
                <c:pt idx="7">
                  <c:v>98.53148888888893</c:v>
                </c:pt>
                <c:pt idx="8">
                  <c:v>98.53148888888893</c:v>
                </c:pt>
                <c:pt idx="9">
                  <c:v>98.53148888888893</c:v>
                </c:pt>
                <c:pt idx="10">
                  <c:v>98.53148888888893</c:v>
                </c:pt>
                <c:pt idx="11">
                  <c:v>98.53148888888893</c:v>
                </c:pt>
                <c:pt idx="12">
                  <c:v>98.53148888888893</c:v>
                </c:pt>
                <c:pt idx="13">
                  <c:v>98.53148888888893</c:v>
                </c:pt>
                <c:pt idx="14">
                  <c:v>98.53148888888893</c:v>
                </c:pt>
                <c:pt idx="15">
                  <c:v>98.53148888888893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3F2-534A-9E9C-CA2E013A9946}"/>
            </c:ext>
          </c:extLst>
        </c:ser>
        <c:ser>
          <c:idx val="6"/>
          <c:order val="6"/>
          <c:tx>
            <c:strRef>
              <c:f>'TOTAL Housing Units 2009-2024'!$Q$1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2009-2024'!$Q$2:$Q$17</c:f>
              <c:numCache>
                <c:formatCode>0.0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3F2-534A-9E9C-CA2E013A9946}"/>
            </c:ext>
          </c:extLst>
        </c:ser>
        <c:ser>
          <c:idx val="7"/>
          <c:order val="7"/>
          <c:tx>
            <c:strRef>
              <c:f>'TOTAL Housing Units 2009-2024'!$R$1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2009-2024'!$R$2:$R$17</c:f>
              <c:numCache>
                <c:formatCode>0.0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E3F2-534A-9E9C-CA2E013A9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202192"/>
        <c:axId val="367726448"/>
      </c:lineChart>
      <c:catAx>
        <c:axId val="541202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7726448"/>
        <c:crosses val="autoZero"/>
        <c:auto val="0"/>
        <c:lblAlgn val="ctr"/>
        <c:lblOffset val="100"/>
        <c:noMultiLvlLbl val="0"/>
      </c:catAx>
      <c:valAx>
        <c:axId val="3677264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41202192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Total Housing</a:t>
            </a:r>
            <a:r>
              <a:rPr lang="en-US" sz="2000" b="1" i="0" baseline="0">
                <a:solidFill>
                  <a:srgbClr val="000000"/>
                </a:solidFill>
                <a:latin typeface=" +mn-lt"/>
              </a:rPr>
              <a:t> Units Are Increasing 400/Year -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 Schertz, TX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Housing Units 2009-2024'!$B$1</c:f>
              <c:strCache>
                <c:ptCount val="1"/>
                <c:pt idx="0">
                  <c:v>Data1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2009-2024'!$B$2:$B$17</c:f>
              <c:numCache>
                <c:formatCode>0.0</c:formatCode>
                <c:ptCount val="16"/>
                <c:pt idx="0">
                  <c:v>10524</c:v>
                </c:pt>
                <c:pt idx="1">
                  <c:v>10758</c:v>
                </c:pt>
                <c:pt idx="2">
                  <c:v>11633</c:v>
                </c:pt>
                <c:pt idx="3">
                  <c:v>12032</c:v>
                </c:pt>
                <c:pt idx="4">
                  <c:v>12455</c:v>
                </c:pt>
                <c:pt idx="5">
                  <c:v>12939</c:v>
                </c:pt>
                <c:pt idx="6">
                  <c:v>13099</c:v>
                </c:pt>
                <c:pt idx="7">
                  <c:v>13465</c:v>
                </c:pt>
                <c:pt idx="8">
                  <c:v>13791</c:v>
                </c:pt>
                <c:pt idx="9">
                  <c:v>14154</c:v>
                </c:pt>
                <c:pt idx="10">
                  <c:v>14726</c:v>
                </c:pt>
                <c:pt idx="11">
                  <c:v>15435</c:v>
                </c:pt>
                <c:pt idx="12">
                  <c:v>15486</c:v>
                </c:pt>
                <c:pt idx="13">
                  <c:v>15839</c:v>
                </c:pt>
                <c:pt idx="14">
                  <c:v>16175</c:v>
                </c:pt>
                <c:pt idx="15">
                  <c:v>16573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D-D74D-8A86-0D7BB9FAE561}"/>
            </c:ext>
          </c:extLst>
        </c:ser>
        <c:ser>
          <c:idx val="1"/>
          <c:order val="1"/>
          <c:tx>
            <c:strRef>
              <c:f>'TOTAL Housing Units 2009-2024'!$C$1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24D-D74D-8A86-0D7BB9FAE561}"/>
                </c:ext>
              </c:extLst>
            </c:dLbl>
            <c:dLbl>
              <c:idx val="14"/>
              <c:layout>
                <c:manualLayout>
                  <c:x val="-1.4638026388327369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4D-D74D-8A86-0D7BB9FAE56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2009-2024'!$C$2:$C$17</c:f>
              <c:numCache>
                <c:formatCode>0.0</c:formatCode>
                <c:ptCount val="16"/>
                <c:pt idx="0">
                  <c:v>11767.711392156863</c:v>
                </c:pt>
                <c:pt idx="1">
                  <c:v>12167.408450980392</c:v>
                </c:pt>
                <c:pt idx="2">
                  <c:v>12567.105509803923</c:v>
                </c:pt>
                <c:pt idx="3">
                  <c:v>12966.802568627452</c:v>
                </c:pt>
                <c:pt idx="4">
                  <c:v>13366.499627450981</c:v>
                </c:pt>
                <c:pt idx="5">
                  <c:v>13766.19668627451</c:v>
                </c:pt>
                <c:pt idx="6">
                  <c:v>14165.893745098039</c:v>
                </c:pt>
                <c:pt idx="7">
                  <c:v>14565.59080392157</c:v>
                </c:pt>
                <c:pt idx="8">
                  <c:v>14965.287862745099</c:v>
                </c:pt>
                <c:pt idx="9">
                  <c:v>15364.984921568628</c:v>
                </c:pt>
                <c:pt idx="10">
                  <c:v>15764.681980392159</c:v>
                </c:pt>
                <c:pt idx="11">
                  <c:v>16164.379039215686</c:v>
                </c:pt>
                <c:pt idx="12">
                  <c:v>16564.076098039215</c:v>
                </c:pt>
                <c:pt idx="13">
                  <c:v>16963.773156862746</c:v>
                </c:pt>
                <c:pt idx="14">
                  <c:v>17363.470215686273</c:v>
                </c:pt>
                <c:pt idx="15">
                  <c:v>17763.167274509804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4D-D74D-8A86-0D7BB9FAE561}"/>
            </c:ext>
          </c:extLst>
        </c:ser>
        <c:ser>
          <c:idx val="2"/>
          <c:order val="2"/>
          <c:tx>
            <c:strRef>
              <c:f>'TOTAL Housing Units 2009-2024'!$D$1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2009-2024'!$D$2:$D$17</c:f>
              <c:numCache>
                <c:formatCode>0.0</c:formatCode>
                <c:ptCount val="16"/>
                <c:pt idx="0">
                  <c:v>11410.148281045753</c:v>
                </c:pt>
                <c:pt idx="1">
                  <c:v>11809.845339869282</c:v>
                </c:pt>
                <c:pt idx="2">
                  <c:v>12209.542398692813</c:v>
                </c:pt>
                <c:pt idx="3">
                  <c:v>12609.239457516342</c:v>
                </c:pt>
                <c:pt idx="4">
                  <c:v>13008.936516339871</c:v>
                </c:pt>
                <c:pt idx="5">
                  <c:v>13408.6335751634</c:v>
                </c:pt>
                <c:pt idx="6">
                  <c:v>13808.330633986929</c:v>
                </c:pt>
                <c:pt idx="7">
                  <c:v>14208.027692810459</c:v>
                </c:pt>
                <c:pt idx="8">
                  <c:v>14607.724751633988</c:v>
                </c:pt>
                <c:pt idx="9">
                  <c:v>15007.421810457517</c:v>
                </c:pt>
                <c:pt idx="10">
                  <c:v>15407.118869281048</c:v>
                </c:pt>
                <c:pt idx="11">
                  <c:v>15806.815928104576</c:v>
                </c:pt>
                <c:pt idx="12">
                  <c:v>16206.512986928106</c:v>
                </c:pt>
                <c:pt idx="13">
                  <c:v>16606.210045751635</c:v>
                </c:pt>
                <c:pt idx="14">
                  <c:v>17005.907104575163</c:v>
                </c:pt>
                <c:pt idx="15">
                  <c:v>17405.604163398693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4D-D74D-8A86-0D7BB9FAE561}"/>
            </c:ext>
          </c:extLst>
        </c:ser>
        <c:ser>
          <c:idx val="3"/>
          <c:order val="3"/>
          <c:tx>
            <c:strRef>
              <c:f>'TOTAL Housing Units 2009-2024'!$E$1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2009-2024'!$E$2:$E$17</c:f>
              <c:numCache>
                <c:formatCode>0.0</c:formatCode>
                <c:ptCount val="16"/>
                <c:pt idx="0">
                  <c:v>11052.58516993464</c:v>
                </c:pt>
                <c:pt idx="1">
                  <c:v>11452.282228758169</c:v>
                </c:pt>
                <c:pt idx="2">
                  <c:v>11851.9792875817</c:v>
                </c:pt>
                <c:pt idx="3">
                  <c:v>12251.676346405229</c:v>
                </c:pt>
                <c:pt idx="4">
                  <c:v>12651.373405228758</c:v>
                </c:pt>
                <c:pt idx="5">
                  <c:v>13051.070464052287</c:v>
                </c:pt>
                <c:pt idx="6">
                  <c:v>13450.767522875816</c:v>
                </c:pt>
                <c:pt idx="7">
                  <c:v>13850.464581699347</c:v>
                </c:pt>
                <c:pt idx="8">
                  <c:v>14250.161640522876</c:v>
                </c:pt>
                <c:pt idx="9">
                  <c:v>14649.858699346405</c:v>
                </c:pt>
                <c:pt idx="10">
                  <c:v>15049.555758169936</c:v>
                </c:pt>
                <c:pt idx="11">
                  <c:v>15449.252816993463</c:v>
                </c:pt>
                <c:pt idx="12">
                  <c:v>15848.949875816994</c:v>
                </c:pt>
                <c:pt idx="13">
                  <c:v>16248.646934640523</c:v>
                </c:pt>
                <c:pt idx="14">
                  <c:v>16648.343993464052</c:v>
                </c:pt>
                <c:pt idx="15">
                  <c:v>17048.041052287583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4D-D74D-8A86-0D7BB9FAE561}"/>
            </c:ext>
          </c:extLst>
        </c:ser>
        <c:ser>
          <c:idx val="4"/>
          <c:order val="4"/>
          <c:tx>
            <c:strRef>
              <c:f>'TOTAL Housing Units 2009-2024'!$F$1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324D-D74D-8A86-0D7BB9FAE561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324D-D74D-8A86-0D7BB9FAE561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324D-D74D-8A86-0D7BB9FAE561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324D-D74D-8A86-0D7BB9FAE561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324D-D74D-8A86-0D7BB9FAE561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324D-D74D-8A86-0D7BB9FAE561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324D-D74D-8A86-0D7BB9FAE561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324D-D74D-8A86-0D7BB9FAE561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324D-D74D-8A86-0D7BB9FAE561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324D-D74D-8A86-0D7BB9FAE561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324D-D74D-8A86-0D7BB9FAE561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324D-D74D-8A86-0D7BB9FAE561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324D-D74D-8A86-0D7BB9FAE561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324D-D74D-8A86-0D7BB9FAE561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324D-D74D-8A86-0D7BB9FAE561}"/>
              </c:ext>
            </c:extLst>
          </c:dPt>
          <c:dPt>
            <c:idx val="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5-324D-D74D-8A86-0D7BB9FAE561}"/>
              </c:ext>
            </c:extLst>
          </c:dPt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24D-D74D-8A86-0D7BB9FAE561}"/>
                </c:ext>
              </c:extLst>
            </c:dLbl>
            <c:dLbl>
              <c:idx val="14"/>
              <c:layout>
                <c:manualLayout>
                  <c:x val="-1.4638026388327369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324D-D74D-8A86-0D7BB9FAE56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2009-2024'!$F$2:$F$17</c:f>
              <c:numCache>
                <c:formatCode>0.0</c:formatCode>
                <c:ptCount val="16"/>
                <c:pt idx="0">
                  <c:v>10695.02205882353</c:v>
                </c:pt>
                <c:pt idx="1">
                  <c:v>11094.719117647059</c:v>
                </c:pt>
                <c:pt idx="2">
                  <c:v>11494.41617647059</c:v>
                </c:pt>
                <c:pt idx="3">
                  <c:v>11894.113235294119</c:v>
                </c:pt>
                <c:pt idx="4">
                  <c:v>12293.810294117648</c:v>
                </c:pt>
                <c:pt idx="5">
                  <c:v>12693.507352941177</c:v>
                </c:pt>
                <c:pt idx="6">
                  <c:v>13093.204411764706</c:v>
                </c:pt>
                <c:pt idx="7">
                  <c:v>13492.901470588236</c:v>
                </c:pt>
                <c:pt idx="8">
                  <c:v>13892.598529411765</c:v>
                </c:pt>
                <c:pt idx="9">
                  <c:v>14292.295588235294</c:v>
                </c:pt>
                <c:pt idx="10">
                  <c:v>14691.992647058825</c:v>
                </c:pt>
                <c:pt idx="11">
                  <c:v>15091.689705882352</c:v>
                </c:pt>
                <c:pt idx="12">
                  <c:v>15491.386764705883</c:v>
                </c:pt>
                <c:pt idx="13">
                  <c:v>15891.083823529412</c:v>
                </c:pt>
                <c:pt idx="14">
                  <c:v>16290.780882352941</c:v>
                </c:pt>
                <c:pt idx="15">
                  <c:v>16690.477941176472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24D-D74D-8A86-0D7BB9FAE561}"/>
            </c:ext>
          </c:extLst>
        </c:ser>
        <c:ser>
          <c:idx val="5"/>
          <c:order val="5"/>
          <c:tx>
            <c:strRef>
              <c:f>'TOTAL Housing Units 2009-2024'!$G$1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2009-2024'!$G$2:$G$17</c:f>
              <c:numCache>
                <c:formatCode>0.0</c:formatCode>
                <c:ptCount val="16"/>
                <c:pt idx="0">
                  <c:v>10337.458947712419</c:v>
                </c:pt>
                <c:pt idx="1">
                  <c:v>10737.156006535948</c:v>
                </c:pt>
                <c:pt idx="2">
                  <c:v>11136.853065359479</c:v>
                </c:pt>
                <c:pt idx="3">
                  <c:v>11536.550124183008</c:v>
                </c:pt>
                <c:pt idx="4">
                  <c:v>11936.247183006537</c:v>
                </c:pt>
                <c:pt idx="5">
                  <c:v>12335.944241830066</c:v>
                </c:pt>
                <c:pt idx="6">
                  <c:v>12735.641300653595</c:v>
                </c:pt>
                <c:pt idx="7">
                  <c:v>13135.338359477126</c:v>
                </c:pt>
                <c:pt idx="8">
                  <c:v>13535.035418300655</c:v>
                </c:pt>
                <c:pt idx="9">
                  <c:v>13934.732477124184</c:v>
                </c:pt>
                <c:pt idx="10">
                  <c:v>14334.429535947715</c:v>
                </c:pt>
                <c:pt idx="11">
                  <c:v>14734.126594771242</c:v>
                </c:pt>
                <c:pt idx="12">
                  <c:v>15133.823653594773</c:v>
                </c:pt>
                <c:pt idx="13">
                  <c:v>15533.520712418302</c:v>
                </c:pt>
                <c:pt idx="14">
                  <c:v>15933.217771241831</c:v>
                </c:pt>
                <c:pt idx="15">
                  <c:v>16332.914830065361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324D-D74D-8A86-0D7BB9FAE561}"/>
            </c:ext>
          </c:extLst>
        </c:ser>
        <c:ser>
          <c:idx val="6"/>
          <c:order val="6"/>
          <c:tx>
            <c:strRef>
              <c:f>'TOTAL Housing Units 2009-2024'!$H$1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2009-2024'!$H$2:$H$17</c:f>
              <c:numCache>
                <c:formatCode>0.0</c:formatCode>
                <c:ptCount val="16"/>
                <c:pt idx="0">
                  <c:v>9979.8958366013067</c:v>
                </c:pt>
                <c:pt idx="1">
                  <c:v>10379.592895424836</c:v>
                </c:pt>
                <c:pt idx="2">
                  <c:v>10779.289954248366</c:v>
                </c:pt>
                <c:pt idx="3">
                  <c:v>11178.987013071895</c:v>
                </c:pt>
                <c:pt idx="4">
                  <c:v>11578.684071895424</c:v>
                </c:pt>
                <c:pt idx="5">
                  <c:v>11978.381130718954</c:v>
                </c:pt>
                <c:pt idx="6">
                  <c:v>12378.078189542483</c:v>
                </c:pt>
                <c:pt idx="7">
                  <c:v>12777.775248366013</c:v>
                </c:pt>
                <c:pt idx="8">
                  <c:v>13177.472307189542</c:v>
                </c:pt>
                <c:pt idx="9">
                  <c:v>13577.169366013071</c:v>
                </c:pt>
                <c:pt idx="10">
                  <c:v>13976.866424836602</c:v>
                </c:pt>
                <c:pt idx="11">
                  <c:v>14376.563483660129</c:v>
                </c:pt>
                <c:pt idx="12">
                  <c:v>14776.26054248366</c:v>
                </c:pt>
                <c:pt idx="13">
                  <c:v>15175.957601307189</c:v>
                </c:pt>
                <c:pt idx="14">
                  <c:v>15575.654660130718</c:v>
                </c:pt>
                <c:pt idx="15">
                  <c:v>15975.351718954249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24D-D74D-8A86-0D7BB9FAE561}"/>
            </c:ext>
          </c:extLst>
        </c:ser>
        <c:ser>
          <c:idx val="7"/>
          <c:order val="7"/>
          <c:tx>
            <c:strRef>
              <c:f>'TOTAL Housing Units 2009-2024'!$I$1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324D-D74D-8A86-0D7BB9FAE561}"/>
                </c:ext>
              </c:extLst>
            </c:dLbl>
            <c:dLbl>
              <c:idx val="14"/>
              <c:layout>
                <c:manualLayout>
                  <c:x val="-1.4638026388327369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324D-D74D-8A86-0D7BB9FAE56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2009-2024'!$I$2:$I$17</c:f>
              <c:numCache>
                <c:formatCode>0.0</c:formatCode>
                <c:ptCount val="16"/>
                <c:pt idx="0">
                  <c:v>9622.332725490196</c:v>
                </c:pt>
                <c:pt idx="1">
                  <c:v>10022.029784313725</c:v>
                </c:pt>
                <c:pt idx="2">
                  <c:v>10421.726843137256</c:v>
                </c:pt>
                <c:pt idx="3">
                  <c:v>10821.423901960785</c:v>
                </c:pt>
                <c:pt idx="4">
                  <c:v>11221.120960784314</c:v>
                </c:pt>
                <c:pt idx="5">
                  <c:v>11620.818019607843</c:v>
                </c:pt>
                <c:pt idx="6">
                  <c:v>12020.515078431372</c:v>
                </c:pt>
                <c:pt idx="7">
                  <c:v>12420.212137254903</c:v>
                </c:pt>
                <c:pt idx="8">
                  <c:v>12819.909196078432</c:v>
                </c:pt>
                <c:pt idx="9">
                  <c:v>13219.606254901961</c:v>
                </c:pt>
                <c:pt idx="10">
                  <c:v>13619.303313725492</c:v>
                </c:pt>
                <c:pt idx="11">
                  <c:v>14019.000372549019</c:v>
                </c:pt>
                <c:pt idx="12">
                  <c:v>14418.69743137255</c:v>
                </c:pt>
                <c:pt idx="13">
                  <c:v>14818.394490196079</c:v>
                </c:pt>
                <c:pt idx="14">
                  <c:v>15218.091549019608</c:v>
                </c:pt>
                <c:pt idx="15">
                  <c:v>15617.788607843138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324D-D74D-8A86-0D7BB9FAE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167808"/>
        <c:axId val="545169536"/>
      </c:lineChart>
      <c:catAx>
        <c:axId val="545167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5169536"/>
        <c:crosses val="autoZero"/>
        <c:auto val="0"/>
        <c:lblAlgn val="ctr"/>
        <c:lblOffset val="100"/>
        <c:noMultiLvlLbl val="0"/>
      </c:catAx>
      <c:valAx>
        <c:axId val="545169536"/>
        <c:scaling>
          <c:orientation val="minMax"/>
          <c:min val="9264.75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Est of Housing Units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45167808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Avg Housing Units Added DECLINING 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-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'Housing Units Added Annualy'!$K$1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Annualy'!$K$2:$K$16</c:f>
              <c:numCache>
                <c:formatCode>0.0</c:formatCode>
                <c:ptCount val="15"/>
                <c:pt idx="1">
                  <c:v>641</c:v>
                </c:pt>
                <c:pt idx="2">
                  <c:v>476</c:v>
                </c:pt>
                <c:pt idx="3">
                  <c:v>24</c:v>
                </c:pt>
                <c:pt idx="4">
                  <c:v>61</c:v>
                </c:pt>
                <c:pt idx="5">
                  <c:v>324</c:v>
                </c:pt>
                <c:pt idx="6">
                  <c:v>206</c:v>
                </c:pt>
                <c:pt idx="7">
                  <c:v>40</c:v>
                </c:pt>
                <c:pt idx="8">
                  <c:v>37</c:v>
                </c:pt>
                <c:pt idx="9">
                  <c:v>209</c:v>
                </c:pt>
                <c:pt idx="10">
                  <c:v>137</c:v>
                </c:pt>
                <c:pt idx="11">
                  <c:v>658</c:v>
                </c:pt>
                <c:pt idx="12">
                  <c:v>302</c:v>
                </c:pt>
                <c:pt idx="13">
                  <c:v>17</c:v>
                </c:pt>
                <c:pt idx="14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2-FD4C-8B02-DB3761131771}"/>
            </c:ext>
          </c:extLst>
        </c:ser>
        <c:ser>
          <c:idx val="1"/>
          <c:order val="1"/>
          <c:tx>
            <c:strRef>
              <c:f>'Housing Units Added Annualy'!$L$1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EC2-FD4C-8B02-DB3761131771}"/>
                </c:ext>
              </c:extLst>
            </c:dLbl>
            <c:dLbl>
              <c:idx val="13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C2-FD4C-8B02-DB37611317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Annualy'!$L$2:$L$16</c:f>
              <c:numCache>
                <c:formatCode>0.0</c:formatCode>
                <c:ptCount val="15"/>
                <c:pt idx="1">
                  <c:v>745.34271428571424</c:v>
                </c:pt>
                <c:pt idx="2">
                  <c:v>745.34271428571424</c:v>
                </c:pt>
                <c:pt idx="3">
                  <c:v>745.34271428571424</c:v>
                </c:pt>
                <c:pt idx="4">
                  <c:v>745.34271428571424</c:v>
                </c:pt>
                <c:pt idx="5">
                  <c:v>745.34271428571424</c:v>
                </c:pt>
                <c:pt idx="6">
                  <c:v>745.34271428571424</c:v>
                </c:pt>
                <c:pt idx="7">
                  <c:v>745.34271428571424</c:v>
                </c:pt>
                <c:pt idx="8">
                  <c:v>745.34271428571424</c:v>
                </c:pt>
                <c:pt idx="9">
                  <c:v>745.34271428571424</c:v>
                </c:pt>
                <c:pt idx="10">
                  <c:v>745.34271428571424</c:v>
                </c:pt>
                <c:pt idx="11">
                  <c:v>745.34271428571424</c:v>
                </c:pt>
                <c:pt idx="12">
                  <c:v>745.34271428571424</c:v>
                </c:pt>
                <c:pt idx="13">
                  <c:v>745.34271428571424</c:v>
                </c:pt>
                <c:pt idx="14">
                  <c:v>745.34271428571424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C2-FD4C-8B02-DB3761131771}"/>
            </c:ext>
          </c:extLst>
        </c:ser>
        <c:ser>
          <c:idx val="2"/>
          <c:order val="2"/>
          <c:tx>
            <c:strRef>
              <c:f>'Housing Units Added Annualy'!$M$1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Annualy'!$M$2:$M$16</c:f>
              <c:numCache>
                <c:formatCode>0.0</c:formatCode>
                <c:ptCount val="15"/>
                <c:pt idx="1">
                  <c:v>572.94276190476182</c:v>
                </c:pt>
                <c:pt idx="2">
                  <c:v>572.94276190476182</c:v>
                </c:pt>
                <c:pt idx="3">
                  <c:v>572.94276190476182</c:v>
                </c:pt>
                <c:pt idx="4">
                  <c:v>572.94276190476182</c:v>
                </c:pt>
                <c:pt idx="5">
                  <c:v>572.94276190476182</c:v>
                </c:pt>
                <c:pt idx="6">
                  <c:v>572.94276190476182</c:v>
                </c:pt>
                <c:pt idx="7">
                  <c:v>572.94276190476182</c:v>
                </c:pt>
                <c:pt idx="8">
                  <c:v>572.94276190476182</c:v>
                </c:pt>
                <c:pt idx="9">
                  <c:v>572.94276190476182</c:v>
                </c:pt>
                <c:pt idx="10">
                  <c:v>572.94276190476182</c:v>
                </c:pt>
                <c:pt idx="11">
                  <c:v>572.94276190476182</c:v>
                </c:pt>
                <c:pt idx="12">
                  <c:v>572.94276190476182</c:v>
                </c:pt>
                <c:pt idx="13">
                  <c:v>572.94276190476182</c:v>
                </c:pt>
                <c:pt idx="14">
                  <c:v>572.94276190476182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C2-FD4C-8B02-DB3761131771}"/>
            </c:ext>
          </c:extLst>
        </c:ser>
        <c:ser>
          <c:idx val="3"/>
          <c:order val="3"/>
          <c:tx>
            <c:strRef>
              <c:f>'Housing Units Added Annualy'!$N$1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Annualy'!$N$2:$N$16</c:f>
              <c:numCache>
                <c:formatCode>0.0</c:formatCode>
                <c:ptCount val="15"/>
                <c:pt idx="1">
                  <c:v>400.54280952380952</c:v>
                </c:pt>
                <c:pt idx="2">
                  <c:v>400.54280952380952</c:v>
                </c:pt>
                <c:pt idx="3">
                  <c:v>400.54280952380952</c:v>
                </c:pt>
                <c:pt idx="4">
                  <c:v>400.54280952380952</c:v>
                </c:pt>
                <c:pt idx="5">
                  <c:v>400.54280952380952</c:v>
                </c:pt>
                <c:pt idx="6">
                  <c:v>400.54280952380952</c:v>
                </c:pt>
                <c:pt idx="7">
                  <c:v>400.54280952380952</c:v>
                </c:pt>
                <c:pt idx="8">
                  <c:v>400.54280952380952</c:v>
                </c:pt>
                <c:pt idx="9">
                  <c:v>400.54280952380952</c:v>
                </c:pt>
                <c:pt idx="10">
                  <c:v>400.54280952380952</c:v>
                </c:pt>
                <c:pt idx="11">
                  <c:v>400.54280952380952</c:v>
                </c:pt>
                <c:pt idx="12">
                  <c:v>400.54280952380952</c:v>
                </c:pt>
                <c:pt idx="13">
                  <c:v>400.54280952380952</c:v>
                </c:pt>
                <c:pt idx="14">
                  <c:v>400.54280952380952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C2-FD4C-8B02-DB3761131771}"/>
            </c:ext>
          </c:extLst>
        </c:ser>
        <c:ser>
          <c:idx val="4"/>
          <c:order val="4"/>
          <c:tx>
            <c:strRef>
              <c:f>'Housing Units Added Annualy'!$O$1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EC2-FD4C-8B02-DB3761131771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EC2-FD4C-8B02-DB3761131771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EC2-FD4C-8B02-DB3761131771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EC2-FD4C-8B02-DB3761131771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EC2-FD4C-8B02-DB3761131771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EC2-FD4C-8B02-DB3761131771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EC2-FD4C-8B02-DB3761131771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EC2-FD4C-8B02-DB3761131771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BEC2-FD4C-8B02-DB3761131771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BEC2-FD4C-8B02-DB3761131771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BEC2-FD4C-8B02-DB3761131771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BEC2-FD4C-8B02-DB3761131771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BEC2-FD4C-8B02-DB3761131771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BEC2-FD4C-8B02-DB3761131771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BEC2-FD4C-8B02-DB3761131771}"/>
              </c:ext>
            </c:extLst>
          </c:dPt>
          <c:dLbls>
            <c:dLbl>
              <c:idx val="1"/>
              <c:layout>
                <c:manualLayout>
                  <c:x val="-1.4638026388327504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EC2-FD4C-8B02-DB3761131771}"/>
                </c:ext>
              </c:extLst>
            </c:dLbl>
            <c:dLbl>
              <c:idx val="13"/>
              <c:layout>
                <c:manualLayout>
                  <c:x val="-1.4638026388327584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EC2-FD4C-8B02-DB37611317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Annualy'!$O$2:$O$16</c:f>
              <c:numCache>
                <c:formatCode>0.0</c:formatCode>
                <c:ptCount val="15"/>
                <c:pt idx="0">
                  <c:v>228.14285714285714</c:v>
                </c:pt>
                <c:pt idx="1">
                  <c:v>228.14285714285714</c:v>
                </c:pt>
                <c:pt idx="2">
                  <c:v>228.14285714285714</c:v>
                </c:pt>
                <c:pt idx="3">
                  <c:v>228.14285714285714</c:v>
                </c:pt>
                <c:pt idx="4">
                  <c:v>228.14285714285714</c:v>
                </c:pt>
                <c:pt idx="5">
                  <c:v>228.14285714285714</c:v>
                </c:pt>
                <c:pt idx="6">
                  <c:v>228.14285714285714</c:v>
                </c:pt>
                <c:pt idx="7">
                  <c:v>228.14285714285714</c:v>
                </c:pt>
                <c:pt idx="8">
                  <c:v>228.14285714285714</c:v>
                </c:pt>
                <c:pt idx="9">
                  <c:v>228.14285714285714</c:v>
                </c:pt>
                <c:pt idx="10">
                  <c:v>228.14285714285714</c:v>
                </c:pt>
                <c:pt idx="11">
                  <c:v>228.14285714285714</c:v>
                </c:pt>
                <c:pt idx="12">
                  <c:v>228.14285714285714</c:v>
                </c:pt>
                <c:pt idx="13">
                  <c:v>228.14285714285714</c:v>
                </c:pt>
                <c:pt idx="14">
                  <c:v>228.14285714285714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EC2-FD4C-8B02-DB3761131771}"/>
            </c:ext>
          </c:extLst>
        </c:ser>
        <c:ser>
          <c:idx val="5"/>
          <c:order val="5"/>
          <c:tx>
            <c:strRef>
              <c:f>'Housing Units Added Annualy'!$P$1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Annualy'!$P$2:$P$16</c:f>
              <c:numCache>
                <c:formatCode>0.0</c:formatCode>
                <c:ptCount val="15"/>
                <c:pt idx="1">
                  <c:v>55.742904761904782</c:v>
                </c:pt>
                <c:pt idx="2">
                  <c:v>55.742904761904782</c:v>
                </c:pt>
                <c:pt idx="3">
                  <c:v>55.742904761904782</c:v>
                </c:pt>
                <c:pt idx="4">
                  <c:v>55.742904761904782</c:v>
                </c:pt>
                <c:pt idx="5">
                  <c:v>55.742904761904782</c:v>
                </c:pt>
                <c:pt idx="6">
                  <c:v>55.742904761904782</c:v>
                </c:pt>
                <c:pt idx="7">
                  <c:v>55.742904761904782</c:v>
                </c:pt>
                <c:pt idx="8">
                  <c:v>55.742904761904782</c:v>
                </c:pt>
                <c:pt idx="9">
                  <c:v>55.742904761904782</c:v>
                </c:pt>
                <c:pt idx="10">
                  <c:v>55.742904761904782</c:v>
                </c:pt>
                <c:pt idx="11">
                  <c:v>55.742904761904782</c:v>
                </c:pt>
                <c:pt idx="12">
                  <c:v>55.742904761904782</c:v>
                </c:pt>
                <c:pt idx="13">
                  <c:v>55.742904761904782</c:v>
                </c:pt>
                <c:pt idx="14">
                  <c:v>55.742904761904782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EC2-FD4C-8B02-DB3761131771}"/>
            </c:ext>
          </c:extLst>
        </c:ser>
        <c:ser>
          <c:idx val="6"/>
          <c:order val="6"/>
          <c:tx>
            <c:strRef>
              <c:f>'Housing Units Added Annualy'!$Q$1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Annualy'!$Q$2:$Q$16</c:f>
              <c:numCache>
                <c:formatCode>0.0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EC2-FD4C-8B02-DB3761131771}"/>
            </c:ext>
          </c:extLst>
        </c:ser>
        <c:ser>
          <c:idx val="7"/>
          <c:order val="7"/>
          <c:tx>
            <c:strRef>
              <c:f>'Housing Units Added Annualy'!$R$1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Annualy'!$R$2:$R$16</c:f>
              <c:numCache>
                <c:formatCode>0.0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EC2-FD4C-8B02-DB3761131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037871"/>
        <c:axId val="361715264"/>
      </c:lineChart>
      <c:catAx>
        <c:axId val="1997037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715264"/>
        <c:crosses val="autoZero"/>
        <c:auto val="0"/>
        <c:lblAlgn val="ctr"/>
        <c:lblOffset val="100"/>
        <c:noMultiLvlLbl val="0"/>
      </c:catAx>
      <c:valAx>
        <c:axId val="361715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99703787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Avg Housing</a:t>
            </a:r>
            <a:r>
              <a:rPr lang="en-US" sz="2000" b="1" i="0" baseline="0">
                <a:solidFill>
                  <a:srgbClr val="000000"/>
                </a:solidFill>
                <a:latin typeface=" +mn-lt"/>
              </a:rPr>
              <a:t> Units Added is DECLINING 8 Units Annually- Schertz, TX</a:t>
            </a:r>
            <a:endParaRPr lang="en-US" sz="2000" b="1" i="0">
              <a:solidFill>
                <a:srgbClr val="000000"/>
              </a:solidFill>
              <a:latin typeface=" 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'Housing Units Added Annualy'!$B$1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Annualy'!$B$2:$B$16</c:f>
              <c:numCache>
                <c:formatCode>0.0</c:formatCode>
                <c:ptCount val="15"/>
                <c:pt idx="0">
                  <c:v>234</c:v>
                </c:pt>
                <c:pt idx="1">
                  <c:v>875</c:v>
                </c:pt>
                <c:pt idx="2">
                  <c:v>399</c:v>
                </c:pt>
                <c:pt idx="3">
                  <c:v>423</c:v>
                </c:pt>
                <c:pt idx="4">
                  <c:v>484</c:v>
                </c:pt>
                <c:pt idx="5">
                  <c:v>160</c:v>
                </c:pt>
                <c:pt idx="6">
                  <c:v>366</c:v>
                </c:pt>
                <c:pt idx="7">
                  <c:v>326</c:v>
                </c:pt>
                <c:pt idx="8">
                  <c:v>363</c:v>
                </c:pt>
                <c:pt idx="9">
                  <c:v>572</c:v>
                </c:pt>
                <c:pt idx="10">
                  <c:v>709</c:v>
                </c:pt>
                <c:pt idx="11">
                  <c:v>51</c:v>
                </c:pt>
                <c:pt idx="12">
                  <c:v>353</c:v>
                </c:pt>
                <c:pt idx="13">
                  <c:v>336</c:v>
                </c:pt>
                <c:pt idx="14">
                  <c:v>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7B-C94D-9A00-4DC589FB5C9C}"/>
            </c:ext>
          </c:extLst>
        </c:ser>
        <c:ser>
          <c:idx val="1"/>
          <c:order val="1"/>
          <c:tx>
            <c:strRef>
              <c:f>'Housing Units Added Annualy'!$C$1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37B-C94D-9A00-4DC589FB5C9C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7B-C94D-9A00-4DC589FB5C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Annualy'!$C$2:$C$16</c:f>
              <c:numCache>
                <c:formatCode>0.0</c:formatCode>
                <c:ptCount val="15"/>
                <c:pt idx="0">
                  <c:v>1067.8266666666668</c:v>
                </c:pt>
                <c:pt idx="1">
                  <c:v>1059.5838095238096</c:v>
                </c:pt>
                <c:pt idx="2">
                  <c:v>1051.3409523809523</c:v>
                </c:pt>
                <c:pt idx="3">
                  <c:v>1043.0980952380953</c:v>
                </c:pt>
                <c:pt idx="4">
                  <c:v>1034.8552380952381</c:v>
                </c:pt>
                <c:pt idx="5">
                  <c:v>1026.612380952381</c:v>
                </c:pt>
                <c:pt idx="6">
                  <c:v>1018.3695238095238</c:v>
                </c:pt>
                <c:pt idx="7">
                  <c:v>1010.1266666666667</c:v>
                </c:pt>
                <c:pt idx="8">
                  <c:v>1001.8838095238095</c:v>
                </c:pt>
                <c:pt idx="9">
                  <c:v>993.6409523809524</c:v>
                </c:pt>
                <c:pt idx="10">
                  <c:v>985.39809523809527</c:v>
                </c:pt>
                <c:pt idx="11">
                  <c:v>977.15523809523813</c:v>
                </c:pt>
                <c:pt idx="12">
                  <c:v>968.912380952381</c:v>
                </c:pt>
                <c:pt idx="13">
                  <c:v>960.66952380952375</c:v>
                </c:pt>
                <c:pt idx="14">
                  <c:v>952.42666666666673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7B-C94D-9A00-4DC589FB5C9C}"/>
            </c:ext>
          </c:extLst>
        </c:ser>
        <c:ser>
          <c:idx val="2"/>
          <c:order val="2"/>
          <c:tx>
            <c:strRef>
              <c:f>'Housing Units Added Annualy'!$D$1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Annualy'!$D$2:$D$16</c:f>
              <c:numCache>
                <c:formatCode>0.0</c:formatCode>
                <c:ptCount val="15"/>
                <c:pt idx="0">
                  <c:v>865.54</c:v>
                </c:pt>
                <c:pt idx="1">
                  <c:v>857.29714285714294</c:v>
                </c:pt>
                <c:pt idx="2">
                  <c:v>849.0542857142857</c:v>
                </c:pt>
                <c:pt idx="3">
                  <c:v>840.81142857142856</c:v>
                </c:pt>
                <c:pt idx="4">
                  <c:v>832.56857142857143</c:v>
                </c:pt>
                <c:pt idx="5">
                  <c:v>824.3257142857143</c:v>
                </c:pt>
                <c:pt idx="6">
                  <c:v>816.08285714285716</c:v>
                </c:pt>
                <c:pt idx="7">
                  <c:v>807.83999999999992</c:v>
                </c:pt>
                <c:pt idx="8">
                  <c:v>799.5971428571429</c:v>
                </c:pt>
                <c:pt idx="9">
                  <c:v>791.35428571428565</c:v>
                </c:pt>
                <c:pt idx="10">
                  <c:v>783.11142857142863</c:v>
                </c:pt>
                <c:pt idx="11">
                  <c:v>774.86857142857139</c:v>
                </c:pt>
                <c:pt idx="12">
                  <c:v>766.62571428571425</c:v>
                </c:pt>
                <c:pt idx="13">
                  <c:v>758.38285714285712</c:v>
                </c:pt>
                <c:pt idx="14">
                  <c:v>750.14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7B-C94D-9A00-4DC589FB5C9C}"/>
            </c:ext>
          </c:extLst>
        </c:ser>
        <c:ser>
          <c:idx val="3"/>
          <c:order val="3"/>
          <c:tx>
            <c:strRef>
              <c:f>'Housing Units Added Annualy'!$E$1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Annualy'!$E$2:$E$16</c:f>
              <c:numCache>
                <c:formatCode>0.0</c:formatCode>
                <c:ptCount val="15"/>
                <c:pt idx="0">
                  <c:v>663.25333333333333</c:v>
                </c:pt>
                <c:pt idx="1">
                  <c:v>655.0104761904762</c:v>
                </c:pt>
                <c:pt idx="2">
                  <c:v>646.76761904761906</c:v>
                </c:pt>
                <c:pt idx="3">
                  <c:v>638.52476190476193</c:v>
                </c:pt>
                <c:pt idx="4">
                  <c:v>630.2819047619048</c:v>
                </c:pt>
                <c:pt idx="5">
                  <c:v>622.03904761904766</c:v>
                </c:pt>
                <c:pt idx="6">
                  <c:v>613.79619047619042</c:v>
                </c:pt>
                <c:pt idx="7">
                  <c:v>605.55333333333328</c:v>
                </c:pt>
                <c:pt idx="8">
                  <c:v>597.31047619047615</c:v>
                </c:pt>
                <c:pt idx="9">
                  <c:v>589.06761904761902</c:v>
                </c:pt>
                <c:pt idx="10">
                  <c:v>580.82476190476189</c:v>
                </c:pt>
                <c:pt idx="11">
                  <c:v>572.58190476190475</c:v>
                </c:pt>
                <c:pt idx="12">
                  <c:v>564.33904761904762</c:v>
                </c:pt>
                <c:pt idx="13">
                  <c:v>556.09619047619049</c:v>
                </c:pt>
                <c:pt idx="14">
                  <c:v>547.85333333333335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7B-C94D-9A00-4DC589FB5C9C}"/>
            </c:ext>
          </c:extLst>
        </c:ser>
        <c:ser>
          <c:idx val="4"/>
          <c:order val="4"/>
          <c:tx>
            <c:strRef>
              <c:f>'Housing Units Added Annualy'!$F$1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537B-C94D-9A00-4DC589FB5C9C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537B-C94D-9A00-4DC589FB5C9C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537B-C94D-9A00-4DC589FB5C9C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537B-C94D-9A00-4DC589FB5C9C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537B-C94D-9A00-4DC589FB5C9C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537B-C94D-9A00-4DC589FB5C9C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537B-C94D-9A00-4DC589FB5C9C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537B-C94D-9A00-4DC589FB5C9C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537B-C94D-9A00-4DC589FB5C9C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537B-C94D-9A00-4DC589FB5C9C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537B-C94D-9A00-4DC589FB5C9C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537B-C94D-9A00-4DC589FB5C9C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537B-C94D-9A00-4DC589FB5C9C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537B-C94D-9A00-4DC589FB5C9C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537B-C94D-9A00-4DC589FB5C9C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537B-C94D-9A00-4DC589FB5C9C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37B-C94D-9A00-4DC589FB5C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Annualy'!$F$2:$F$16</c:f>
              <c:numCache>
                <c:formatCode>0.0</c:formatCode>
                <c:ptCount val="15"/>
                <c:pt idx="0">
                  <c:v>460.9666666666667</c:v>
                </c:pt>
                <c:pt idx="1">
                  <c:v>452.72380952380956</c:v>
                </c:pt>
                <c:pt idx="2">
                  <c:v>444.48095238095237</c:v>
                </c:pt>
                <c:pt idx="3">
                  <c:v>436.23809523809524</c:v>
                </c:pt>
                <c:pt idx="4">
                  <c:v>427.99523809523811</c:v>
                </c:pt>
                <c:pt idx="5">
                  <c:v>419.75238095238097</c:v>
                </c:pt>
                <c:pt idx="6">
                  <c:v>411.50952380952378</c:v>
                </c:pt>
                <c:pt idx="7">
                  <c:v>403.26666666666665</c:v>
                </c:pt>
                <c:pt idx="8">
                  <c:v>395.02380952380952</c:v>
                </c:pt>
                <c:pt idx="9">
                  <c:v>386.78095238095239</c:v>
                </c:pt>
                <c:pt idx="10">
                  <c:v>378.53809523809525</c:v>
                </c:pt>
                <c:pt idx="11">
                  <c:v>370.29523809523812</c:v>
                </c:pt>
                <c:pt idx="12">
                  <c:v>362.05238095238093</c:v>
                </c:pt>
                <c:pt idx="13">
                  <c:v>353.8095238095238</c:v>
                </c:pt>
                <c:pt idx="14">
                  <c:v>345.56666666666666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37B-C94D-9A00-4DC589FB5C9C}"/>
            </c:ext>
          </c:extLst>
        </c:ser>
        <c:ser>
          <c:idx val="5"/>
          <c:order val="5"/>
          <c:tx>
            <c:strRef>
              <c:f>'Housing Units Added Annualy'!$G$1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Annualy'!$G$2:$G$16</c:f>
              <c:numCache>
                <c:formatCode>0.0</c:formatCode>
                <c:ptCount val="15"/>
                <c:pt idx="0">
                  <c:v>258.68000000000006</c:v>
                </c:pt>
                <c:pt idx="1">
                  <c:v>250.4371428571429</c:v>
                </c:pt>
                <c:pt idx="2">
                  <c:v>242.19428571428571</c:v>
                </c:pt>
                <c:pt idx="3">
                  <c:v>233.95142857142858</c:v>
                </c:pt>
                <c:pt idx="4">
                  <c:v>225.70857142857145</c:v>
                </c:pt>
                <c:pt idx="5">
                  <c:v>217.46571428571431</c:v>
                </c:pt>
                <c:pt idx="6">
                  <c:v>209.22285714285712</c:v>
                </c:pt>
                <c:pt idx="7">
                  <c:v>200.98</c:v>
                </c:pt>
                <c:pt idx="8">
                  <c:v>192.73714285714286</c:v>
                </c:pt>
                <c:pt idx="9">
                  <c:v>184.49428571428572</c:v>
                </c:pt>
                <c:pt idx="10">
                  <c:v>176.25142857142859</c:v>
                </c:pt>
                <c:pt idx="11">
                  <c:v>168.00857142857146</c:v>
                </c:pt>
                <c:pt idx="12">
                  <c:v>159.76571428571427</c:v>
                </c:pt>
                <c:pt idx="13">
                  <c:v>151.52285714285713</c:v>
                </c:pt>
                <c:pt idx="14">
                  <c:v>143.28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537B-C94D-9A00-4DC589FB5C9C}"/>
            </c:ext>
          </c:extLst>
        </c:ser>
        <c:ser>
          <c:idx val="6"/>
          <c:order val="6"/>
          <c:tx>
            <c:strRef>
              <c:f>'Housing Units Added Annualy'!$H$1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Annualy'!$H$2:$H$16</c:f>
              <c:numCache>
                <c:formatCode>0.0</c:formatCode>
                <c:ptCount val="15"/>
                <c:pt idx="0">
                  <c:v>56.393333333333374</c:v>
                </c:pt>
                <c:pt idx="1">
                  <c:v>48.15047619047624</c:v>
                </c:pt>
                <c:pt idx="2">
                  <c:v>39.90761904761905</c:v>
                </c:pt>
                <c:pt idx="3">
                  <c:v>31.664761904761917</c:v>
                </c:pt>
                <c:pt idx="4">
                  <c:v>23.421904761904784</c:v>
                </c:pt>
                <c:pt idx="5">
                  <c:v>15.179047619047651</c:v>
                </c:pt>
                <c:pt idx="6">
                  <c:v>6.9361904761904611</c:v>
                </c:pt>
                <c:pt idx="7">
                  <c:v>-1.306666666666672</c:v>
                </c:pt>
                <c:pt idx="8">
                  <c:v>-9.5495238095238051</c:v>
                </c:pt>
                <c:pt idx="9">
                  <c:v>-17.792380952380938</c:v>
                </c:pt>
                <c:pt idx="10">
                  <c:v>-26.035238095238071</c:v>
                </c:pt>
                <c:pt idx="11">
                  <c:v>-34.278095238095204</c:v>
                </c:pt>
                <c:pt idx="12">
                  <c:v>-42.520952380952394</c:v>
                </c:pt>
                <c:pt idx="13">
                  <c:v>-50.763809523809527</c:v>
                </c:pt>
                <c:pt idx="14">
                  <c:v>-59.006666666666661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37B-C94D-9A00-4DC589FB5C9C}"/>
            </c:ext>
          </c:extLst>
        </c:ser>
        <c:ser>
          <c:idx val="7"/>
          <c:order val="7"/>
          <c:tx>
            <c:strRef>
              <c:f>'Housing Units Added Annualy'!$I$1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537B-C94D-9A00-4DC589FB5C9C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37B-C94D-9A00-4DC589FB5C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Annualy'!$I$2:$I$16</c:f>
              <c:numCache>
                <c:formatCode>0.0</c:formatCode>
                <c:ptCount val="15"/>
                <c:pt idx="0">
                  <c:v>-145.89333333333332</c:v>
                </c:pt>
                <c:pt idx="1">
                  <c:v>-154.13619047619045</c:v>
                </c:pt>
                <c:pt idx="2">
                  <c:v>-162.37904761904764</c:v>
                </c:pt>
                <c:pt idx="3">
                  <c:v>-170.62190476190477</c:v>
                </c:pt>
                <c:pt idx="4">
                  <c:v>-178.86476190476191</c:v>
                </c:pt>
                <c:pt idx="5">
                  <c:v>-187.10761904761904</c:v>
                </c:pt>
                <c:pt idx="6">
                  <c:v>-195.35047619047623</c:v>
                </c:pt>
                <c:pt idx="7">
                  <c:v>-203.59333333333336</c:v>
                </c:pt>
                <c:pt idx="8">
                  <c:v>-211.8361904761905</c:v>
                </c:pt>
                <c:pt idx="9">
                  <c:v>-220.07904761904763</c:v>
                </c:pt>
                <c:pt idx="10">
                  <c:v>-228.32190476190476</c:v>
                </c:pt>
                <c:pt idx="11">
                  <c:v>-236.56476190476189</c:v>
                </c:pt>
                <c:pt idx="12">
                  <c:v>-244.80761904761908</c:v>
                </c:pt>
                <c:pt idx="13">
                  <c:v>-253.05047619047622</c:v>
                </c:pt>
                <c:pt idx="14">
                  <c:v>-261.29333333333335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537B-C94D-9A00-4DC589FB5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064335"/>
        <c:axId val="2008781391"/>
      </c:lineChart>
      <c:catAx>
        <c:axId val="2009064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8781391"/>
        <c:crossesAt val="-400"/>
        <c:auto val="0"/>
        <c:lblAlgn val="ctr"/>
        <c:lblOffset val="100"/>
        <c:noMultiLvlLbl val="0"/>
      </c:catAx>
      <c:valAx>
        <c:axId val="2008781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# of</a:t>
                </a:r>
                <a:r>
                  <a:rPr lang="en-US" sz="1400" b="1" i="0" baseline="0">
                    <a:solidFill>
                      <a:srgbClr val="000000"/>
                    </a:solidFill>
                    <a:latin typeface=" +mn-lt"/>
                  </a:rPr>
                  <a:t> Housing Units Added</a:t>
                </a:r>
                <a:endParaRPr lang="en-US" sz="1400" b="1" i="0">
                  <a:solidFill>
                    <a:srgbClr val="000000"/>
                  </a:solidFill>
                  <a:latin typeface=" +mn-lt"/>
                </a:endParaRP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200906433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Rate of Growth of Housing Units 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  -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Growth Rate-Housing Unit'!$K$1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1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2A18-2648-B2F2-15952E8E5476}"/>
              </c:ext>
            </c:extLst>
          </c:dPt>
          <c:dPt>
            <c:idx val="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9-2A18-2648-B2F2-15952E8E5476}"/>
              </c:ext>
            </c:extLst>
          </c:dPt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Unit'!$K$2:$K$16</c:f>
              <c:numCache>
                <c:formatCode>0.0000</c:formatCode>
                <c:ptCount val="15"/>
                <c:pt idx="1">
                  <c:v>5.9099928922455511</c:v>
                </c:pt>
                <c:pt idx="2">
                  <c:v>4.7035843550571315</c:v>
                </c:pt>
                <c:pt idx="3">
                  <c:v>8.5727295194705011E-2</c:v>
                </c:pt>
                <c:pt idx="4">
                  <c:v>0.37036456242472893</c:v>
                </c:pt>
                <c:pt idx="5">
                  <c:v>2.6494179572002139</c:v>
                </c:pt>
                <c:pt idx="6">
                  <c:v>1.5575348151129149</c:v>
                </c:pt>
                <c:pt idx="7">
                  <c:v>0.37301470106524315</c:v>
                </c:pt>
                <c:pt idx="8">
                  <c:v>0.21105968381678419</c:v>
                </c:pt>
                <c:pt idx="9">
                  <c:v>1.409109017993408</c:v>
                </c:pt>
                <c:pt idx="10">
                  <c:v>0.77335318750107884</c:v>
                </c:pt>
                <c:pt idx="11">
                  <c:v>4.4841957271451687</c:v>
                </c:pt>
                <c:pt idx="12">
                  <c:v>1.9490603569705955</c:v>
                </c:pt>
                <c:pt idx="13">
                  <c:v>0.15813219383536437</c:v>
                </c:pt>
                <c:pt idx="14">
                  <c:v>0.33924128154703626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18-2648-B2F2-15952E8E5476}"/>
            </c:ext>
          </c:extLst>
        </c:ser>
        <c:ser>
          <c:idx val="1"/>
          <c:order val="1"/>
          <c:tx>
            <c:strRef>
              <c:f>'Annual Growth Rate-Housing Unit'!$L$1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A18-2648-B2F2-15952E8E5476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61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18-2648-B2F2-15952E8E547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Unit'!$L$2:$L$16</c:f>
              <c:numCache>
                <c:formatCode>0.0000</c:formatCode>
                <c:ptCount val="15"/>
                <c:pt idx="1">
                  <c:v>5.8278118203262945</c:v>
                </c:pt>
                <c:pt idx="2">
                  <c:v>5.8278118203262945</c:v>
                </c:pt>
                <c:pt idx="3">
                  <c:v>5.8278118203262945</c:v>
                </c:pt>
                <c:pt idx="4">
                  <c:v>5.8278118203262945</c:v>
                </c:pt>
                <c:pt idx="5">
                  <c:v>5.8278118203262945</c:v>
                </c:pt>
                <c:pt idx="6">
                  <c:v>5.8278118203262945</c:v>
                </c:pt>
                <c:pt idx="7">
                  <c:v>5.8278118203262945</c:v>
                </c:pt>
                <c:pt idx="8">
                  <c:v>5.8278118203262945</c:v>
                </c:pt>
                <c:pt idx="9">
                  <c:v>5.8278118203262945</c:v>
                </c:pt>
                <c:pt idx="10">
                  <c:v>5.8278118203262945</c:v>
                </c:pt>
                <c:pt idx="11">
                  <c:v>5.8278118203262945</c:v>
                </c:pt>
                <c:pt idx="12">
                  <c:v>5.8278118203262945</c:v>
                </c:pt>
                <c:pt idx="13">
                  <c:v>5.8278118203262945</c:v>
                </c:pt>
                <c:pt idx="14">
                  <c:v>5.8278118203262945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18-2648-B2F2-15952E8E5476}"/>
            </c:ext>
          </c:extLst>
        </c:ser>
        <c:ser>
          <c:idx val="2"/>
          <c:order val="2"/>
          <c:tx>
            <c:strRef>
              <c:f>'Annual Growth Rate-Housing Unit'!$M$1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Unit'!$M$2:$M$16</c:f>
              <c:numCache>
                <c:formatCode>0.0000</c:formatCode>
                <c:ptCount val="15"/>
                <c:pt idx="1">
                  <c:v>4.4798218808630041</c:v>
                </c:pt>
                <c:pt idx="2">
                  <c:v>4.4798218808630041</c:v>
                </c:pt>
                <c:pt idx="3">
                  <c:v>4.4798218808630041</c:v>
                </c:pt>
                <c:pt idx="4">
                  <c:v>4.4798218808630041</c:v>
                </c:pt>
                <c:pt idx="5">
                  <c:v>4.4798218808630041</c:v>
                </c:pt>
                <c:pt idx="6">
                  <c:v>4.4798218808630041</c:v>
                </c:pt>
                <c:pt idx="7">
                  <c:v>4.4798218808630041</c:v>
                </c:pt>
                <c:pt idx="8">
                  <c:v>4.4798218808630041</c:v>
                </c:pt>
                <c:pt idx="9">
                  <c:v>4.4798218808630041</c:v>
                </c:pt>
                <c:pt idx="10">
                  <c:v>4.4798218808630041</c:v>
                </c:pt>
                <c:pt idx="11">
                  <c:v>4.4798218808630041</c:v>
                </c:pt>
                <c:pt idx="12">
                  <c:v>4.4798218808630041</c:v>
                </c:pt>
                <c:pt idx="13">
                  <c:v>4.4798218808630041</c:v>
                </c:pt>
                <c:pt idx="14">
                  <c:v>4.4798218808630041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18-2648-B2F2-15952E8E5476}"/>
            </c:ext>
          </c:extLst>
        </c:ser>
        <c:ser>
          <c:idx val="3"/>
          <c:order val="3"/>
          <c:tx>
            <c:strRef>
              <c:f>'Annual Growth Rate-Housing Unit'!$N$1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Unit'!$N$2:$N$16</c:f>
              <c:numCache>
                <c:formatCode>0.0000</c:formatCode>
                <c:ptCount val="15"/>
                <c:pt idx="1">
                  <c:v>3.1318319413997138</c:v>
                </c:pt>
                <c:pt idx="2">
                  <c:v>3.1318319413997138</c:v>
                </c:pt>
                <c:pt idx="3">
                  <c:v>3.1318319413997138</c:v>
                </c:pt>
                <c:pt idx="4">
                  <c:v>3.1318319413997138</c:v>
                </c:pt>
                <c:pt idx="5">
                  <c:v>3.1318319413997138</c:v>
                </c:pt>
                <c:pt idx="6">
                  <c:v>3.1318319413997138</c:v>
                </c:pt>
                <c:pt idx="7">
                  <c:v>3.1318319413997138</c:v>
                </c:pt>
                <c:pt idx="8">
                  <c:v>3.1318319413997138</c:v>
                </c:pt>
                <c:pt idx="9">
                  <c:v>3.1318319413997138</c:v>
                </c:pt>
                <c:pt idx="10">
                  <c:v>3.1318319413997138</c:v>
                </c:pt>
                <c:pt idx="11">
                  <c:v>3.1318319413997138</c:v>
                </c:pt>
                <c:pt idx="12">
                  <c:v>3.1318319413997138</c:v>
                </c:pt>
                <c:pt idx="13">
                  <c:v>3.1318319413997138</c:v>
                </c:pt>
                <c:pt idx="14">
                  <c:v>3.1318319413997138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18-2648-B2F2-15952E8E5476}"/>
            </c:ext>
          </c:extLst>
        </c:ser>
        <c:ser>
          <c:idx val="4"/>
          <c:order val="4"/>
          <c:tx>
            <c:strRef>
              <c:f>'Annual Growth Rate-Housing Unit'!$O$1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18-2648-B2F2-15952E8E5476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18-2648-B2F2-15952E8E5476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18-2648-B2F2-15952E8E5476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2A18-2648-B2F2-15952E8E5476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2A18-2648-B2F2-15952E8E5476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2A18-2648-B2F2-15952E8E5476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2A18-2648-B2F2-15952E8E5476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2A18-2648-B2F2-15952E8E5476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2A18-2648-B2F2-15952E8E5476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2A18-2648-B2F2-15952E8E5476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2A18-2648-B2F2-15952E8E5476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2A18-2648-B2F2-15952E8E5476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2A18-2648-B2F2-15952E8E5476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2A18-2648-B2F2-15952E8E5476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2A18-2648-B2F2-15952E8E5476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A18-2648-B2F2-15952E8E5476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96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A18-2648-B2F2-15952E8E547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Unit'!$O$2:$O$16</c:f>
              <c:numCache>
                <c:formatCode>0.0000</c:formatCode>
                <c:ptCount val="15"/>
                <c:pt idx="0">
                  <c:v>1.7838420019364232</c:v>
                </c:pt>
                <c:pt idx="1">
                  <c:v>1.7838420019364232</c:v>
                </c:pt>
                <c:pt idx="2">
                  <c:v>1.7838420019364232</c:v>
                </c:pt>
                <c:pt idx="3">
                  <c:v>1.7838420019364232</c:v>
                </c:pt>
                <c:pt idx="4">
                  <c:v>1.7838420019364232</c:v>
                </c:pt>
                <c:pt idx="5">
                  <c:v>1.7838420019364232</c:v>
                </c:pt>
                <c:pt idx="6">
                  <c:v>1.7838420019364232</c:v>
                </c:pt>
                <c:pt idx="7">
                  <c:v>1.7838420019364232</c:v>
                </c:pt>
                <c:pt idx="8">
                  <c:v>1.7838420019364232</c:v>
                </c:pt>
                <c:pt idx="9">
                  <c:v>1.7838420019364232</c:v>
                </c:pt>
                <c:pt idx="10">
                  <c:v>1.7838420019364232</c:v>
                </c:pt>
                <c:pt idx="11">
                  <c:v>1.7838420019364232</c:v>
                </c:pt>
                <c:pt idx="12">
                  <c:v>1.7838420019364232</c:v>
                </c:pt>
                <c:pt idx="13">
                  <c:v>1.7838420019364232</c:v>
                </c:pt>
                <c:pt idx="14">
                  <c:v>1.7838420019364232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A18-2648-B2F2-15952E8E5476}"/>
            </c:ext>
          </c:extLst>
        </c:ser>
        <c:ser>
          <c:idx val="5"/>
          <c:order val="5"/>
          <c:tx>
            <c:strRef>
              <c:f>'Annual Growth Rate-Housing Unit'!$P$1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Unit'!$P$2:$P$16</c:f>
              <c:numCache>
                <c:formatCode>0.0000</c:formatCode>
                <c:ptCount val="15"/>
                <c:pt idx="1">
                  <c:v>0.4358520624731328</c:v>
                </c:pt>
                <c:pt idx="2">
                  <c:v>0.4358520624731328</c:v>
                </c:pt>
                <c:pt idx="3">
                  <c:v>0.4358520624731328</c:v>
                </c:pt>
                <c:pt idx="4">
                  <c:v>0.4358520624731328</c:v>
                </c:pt>
                <c:pt idx="5">
                  <c:v>0.4358520624731328</c:v>
                </c:pt>
                <c:pt idx="6">
                  <c:v>0.4358520624731328</c:v>
                </c:pt>
                <c:pt idx="7">
                  <c:v>0.4358520624731328</c:v>
                </c:pt>
                <c:pt idx="8">
                  <c:v>0.4358520624731328</c:v>
                </c:pt>
                <c:pt idx="9">
                  <c:v>0.4358520624731328</c:v>
                </c:pt>
                <c:pt idx="10">
                  <c:v>0.4358520624731328</c:v>
                </c:pt>
                <c:pt idx="11">
                  <c:v>0.4358520624731328</c:v>
                </c:pt>
                <c:pt idx="12">
                  <c:v>0.4358520624731328</c:v>
                </c:pt>
                <c:pt idx="13">
                  <c:v>0.4358520624731328</c:v>
                </c:pt>
                <c:pt idx="14">
                  <c:v>0.4358520624731328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A18-2648-B2F2-15952E8E5476}"/>
            </c:ext>
          </c:extLst>
        </c:ser>
        <c:ser>
          <c:idx val="6"/>
          <c:order val="6"/>
          <c:tx>
            <c:strRef>
              <c:f>'Annual Growth Rate-Housing Unit'!$Q$1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Unit'!$Q$2:$Q$16</c:f>
              <c:numCache>
                <c:formatCode>0.0000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A18-2648-B2F2-15952E8E5476}"/>
            </c:ext>
          </c:extLst>
        </c:ser>
        <c:ser>
          <c:idx val="7"/>
          <c:order val="7"/>
          <c:tx>
            <c:strRef>
              <c:f>'Annual Growth Rate-Housing Unit'!$R$1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Unit'!$R$2:$R$16</c:f>
              <c:numCache>
                <c:formatCode>0.0000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2A18-2648-B2F2-15952E8E5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2450255"/>
        <c:axId val="1997043119"/>
      </c:lineChart>
      <c:catAx>
        <c:axId val="2012450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2009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7043119"/>
        <c:crosses val="autoZero"/>
        <c:auto val="0"/>
        <c:lblAlgn val="ctr"/>
        <c:lblOffset val="100"/>
        <c:noMultiLvlLbl val="0"/>
      </c:catAx>
      <c:valAx>
        <c:axId val="1997043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201245025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Avg Growth Rate of Housing Units</a:t>
            </a:r>
            <a:r>
              <a:rPr lang="en-US" sz="2000" b="1" i="0" baseline="0">
                <a:solidFill>
                  <a:srgbClr val="000000"/>
                </a:solidFill>
                <a:latin typeface=" +mn-lt"/>
              </a:rPr>
              <a:t> DECLINING .16% Annually - Schertz, TX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Growth Rate-Housing Unit'!$B$1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Unit'!$B$2:$B$16</c:f>
              <c:numCache>
                <c:formatCode>0.0000</c:formatCode>
                <c:ptCount val="15"/>
                <c:pt idx="0">
                  <c:v>2.2234891676168762</c:v>
                </c:pt>
                <c:pt idx="1">
                  <c:v>8.1334820598624269</c:v>
                </c:pt>
                <c:pt idx="2">
                  <c:v>3.429897704805295</c:v>
                </c:pt>
                <c:pt idx="3">
                  <c:v>3.515625</c:v>
                </c:pt>
                <c:pt idx="4">
                  <c:v>3.8859895624247289</c:v>
                </c:pt>
                <c:pt idx="5">
                  <c:v>1.236571605224515</c:v>
                </c:pt>
                <c:pt idx="6">
                  <c:v>2.79410642033743</c:v>
                </c:pt>
                <c:pt idx="7">
                  <c:v>2.4210917192721868</c:v>
                </c:pt>
                <c:pt idx="8">
                  <c:v>2.632151403088971</c:v>
                </c:pt>
                <c:pt idx="9">
                  <c:v>4.041260421082379</c:v>
                </c:pt>
                <c:pt idx="10">
                  <c:v>4.8146136085834579</c:v>
                </c:pt>
                <c:pt idx="11">
                  <c:v>0.3304178814382896</c:v>
                </c:pt>
                <c:pt idx="12">
                  <c:v>2.2794782384088852</c:v>
                </c:pt>
                <c:pt idx="13">
                  <c:v>2.1213460445735208</c:v>
                </c:pt>
                <c:pt idx="14">
                  <c:v>2.4605873261205571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48-D542-A9F7-1F4BD316E8A0}"/>
            </c:ext>
          </c:extLst>
        </c:ser>
        <c:ser>
          <c:idx val="1"/>
          <c:order val="1"/>
          <c:tx>
            <c:strRef>
              <c:f>'Annual Growth Rate-Housing Unit'!$C$1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448-D542-A9F7-1F4BD316E8A0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61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48-D542-A9F7-1F4BD316E8A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Unit'!$C$2:$C$16</c:f>
              <c:numCache>
                <c:formatCode>0.0000</c:formatCode>
                <c:ptCount val="15"/>
                <c:pt idx="0">
                  <c:v>8.9498459368941816</c:v>
                </c:pt>
                <c:pt idx="1">
                  <c:v>8.7903003653388492</c:v>
                </c:pt>
                <c:pt idx="2">
                  <c:v>8.6307547937835167</c:v>
                </c:pt>
                <c:pt idx="3">
                  <c:v>8.4712092222281843</c:v>
                </c:pt>
                <c:pt idx="4">
                  <c:v>8.3116636506728518</c:v>
                </c:pt>
                <c:pt idx="5">
                  <c:v>8.1521180791175194</c:v>
                </c:pt>
                <c:pt idx="6">
                  <c:v>7.9925725075621861</c:v>
                </c:pt>
                <c:pt idx="7">
                  <c:v>7.8330269360068536</c:v>
                </c:pt>
                <c:pt idx="8">
                  <c:v>7.6734813644515212</c:v>
                </c:pt>
                <c:pt idx="9">
                  <c:v>7.5139357928961887</c:v>
                </c:pt>
                <c:pt idx="10">
                  <c:v>7.3543902213408563</c:v>
                </c:pt>
                <c:pt idx="11">
                  <c:v>7.1948446497855238</c:v>
                </c:pt>
                <c:pt idx="12">
                  <c:v>7.0352990782301914</c:v>
                </c:pt>
                <c:pt idx="13">
                  <c:v>6.8757535066748581</c:v>
                </c:pt>
                <c:pt idx="14">
                  <c:v>6.7162079351195256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48-D542-A9F7-1F4BD316E8A0}"/>
            </c:ext>
          </c:extLst>
        </c:ser>
        <c:ser>
          <c:idx val="2"/>
          <c:order val="2"/>
          <c:tx>
            <c:strRef>
              <c:f>'Annual Growth Rate-Housing Unit'!$D$1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Unit'!$D$2:$D$16</c:f>
              <c:numCache>
                <c:formatCode>0.0000</c:formatCode>
                <c:ptCount val="15"/>
                <c:pt idx="0">
                  <c:v>7.3681726951772193</c:v>
                </c:pt>
                <c:pt idx="1">
                  <c:v>7.2086271236218868</c:v>
                </c:pt>
                <c:pt idx="2">
                  <c:v>7.0490815520665544</c:v>
                </c:pt>
                <c:pt idx="3">
                  <c:v>6.8895359805112211</c:v>
                </c:pt>
                <c:pt idx="4">
                  <c:v>6.7299904089558886</c:v>
                </c:pt>
                <c:pt idx="5">
                  <c:v>6.5704448374005562</c:v>
                </c:pt>
                <c:pt idx="6">
                  <c:v>6.4108992658452237</c:v>
                </c:pt>
                <c:pt idx="7">
                  <c:v>6.2513536942898913</c:v>
                </c:pt>
                <c:pt idx="8">
                  <c:v>6.0918081227345589</c:v>
                </c:pt>
                <c:pt idx="9">
                  <c:v>5.9322625511792264</c:v>
                </c:pt>
                <c:pt idx="10">
                  <c:v>5.772716979623894</c:v>
                </c:pt>
                <c:pt idx="11">
                  <c:v>5.6131714080685615</c:v>
                </c:pt>
                <c:pt idx="12">
                  <c:v>5.4536258365132291</c:v>
                </c:pt>
                <c:pt idx="13">
                  <c:v>5.2940802649578966</c:v>
                </c:pt>
                <c:pt idx="14">
                  <c:v>5.1345346934025642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48-D542-A9F7-1F4BD316E8A0}"/>
            </c:ext>
          </c:extLst>
        </c:ser>
        <c:ser>
          <c:idx val="3"/>
          <c:order val="3"/>
          <c:tx>
            <c:strRef>
              <c:f>'Annual Growth Rate-Housing Unit'!$E$1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Unit'!$E$2:$E$16</c:f>
              <c:numCache>
                <c:formatCode>0.0000</c:formatCode>
                <c:ptCount val="15"/>
                <c:pt idx="0">
                  <c:v>5.786499453460257</c:v>
                </c:pt>
                <c:pt idx="1">
                  <c:v>5.6269538819049245</c:v>
                </c:pt>
                <c:pt idx="2">
                  <c:v>5.4674083103495921</c:v>
                </c:pt>
                <c:pt idx="3">
                  <c:v>5.3078627387942596</c:v>
                </c:pt>
                <c:pt idx="4">
                  <c:v>5.1483171672389272</c:v>
                </c:pt>
                <c:pt idx="5">
                  <c:v>4.9887715956835947</c:v>
                </c:pt>
                <c:pt idx="6">
                  <c:v>4.8292260241282623</c:v>
                </c:pt>
                <c:pt idx="7">
                  <c:v>4.6696804525729299</c:v>
                </c:pt>
                <c:pt idx="8">
                  <c:v>4.5101348810175974</c:v>
                </c:pt>
                <c:pt idx="9">
                  <c:v>4.350589309462265</c:v>
                </c:pt>
                <c:pt idx="10">
                  <c:v>4.1910437379069325</c:v>
                </c:pt>
                <c:pt idx="11">
                  <c:v>4.0314981663516001</c:v>
                </c:pt>
                <c:pt idx="12">
                  <c:v>3.8719525947962672</c:v>
                </c:pt>
                <c:pt idx="13">
                  <c:v>3.7124070232409343</c:v>
                </c:pt>
                <c:pt idx="14">
                  <c:v>3.5528614516856019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48-D542-A9F7-1F4BD316E8A0}"/>
            </c:ext>
          </c:extLst>
        </c:ser>
        <c:ser>
          <c:idx val="4"/>
          <c:order val="4"/>
          <c:tx>
            <c:strRef>
              <c:f>'Annual Growth Rate-Housing Unit'!$F$1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48-D542-A9F7-1F4BD316E8A0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48-D542-A9F7-1F4BD316E8A0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6448-D542-A9F7-1F4BD316E8A0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6448-D542-A9F7-1F4BD316E8A0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6448-D542-A9F7-1F4BD316E8A0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6448-D542-A9F7-1F4BD316E8A0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6448-D542-A9F7-1F4BD316E8A0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6448-D542-A9F7-1F4BD316E8A0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6448-D542-A9F7-1F4BD316E8A0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6448-D542-A9F7-1F4BD316E8A0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6448-D542-A9F7-1F4BD316E8A0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6448-D542-A9F7-1F4BD316E8A0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6448-D542-A9F7-1F4BD316E8A0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6448-D542-A9F7-1F4BD316E8A0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6448-D542-A9F7-1F4BD316E8A0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6448-D542-A9F7-1F4BD316E8A0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96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448-D542-A9F7-1F4BD316E8A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Unit'!$F$2:$F$16</c:f>
              <c:numCache>
                <c:formatCode>0.0000</c:formatCode>
                <c:ptCount val="15"/>
                <c:pt idx="0">
                  <c:v>4.2048262117432955</c:v>
                </c:pt>
                <c:pt idx="1">
                  <c:v>4.0452806401879631</c:v>
                </c:pt>
                <c:pt idx="2">
                  <c:v>3.8857350686326306</c:v>
                </c:pt>
                <c:pt idx="3">
                  <c:v>3.7261894970772977</c:v>
                </c:pt>
                <c:pt idx="4">
                  <c:v>3.5666439255219653</c:v>
                </c:pt>
                <c:pt idx="5">
                  <c:v>3.4070983539666329</c:v>
                </c:pt>
                <c:pt idx="6">
                  <c:v>3.2475527824113</c:v>
                </c:pt>
                <c:pt idx="7">
                  <c:v>3.0880072108559675</c:v>
                </c:pt>
                <c:pt idx="8">
                  <c:v>2.9284616393006351</c:v>
                </c:pt>
                <c:pt idx="9">
                  <c:v>2.7689160677453026</c:v>
                </c:pt>
                <c:pt idx="10">
                  <c:v>2.6093704961899702</c:v>
                </c:pt>
                <c:pt idx="11">
                  <c:v>2.4498249246346377</c:v>
                </c:pt>
                <c:pt idx="12">
                  <c:v>2.2902793530793053</c:v>
                </c:pt>
                <c:pt idx="13">
                  <c:v>2.1307337815239724</c:v>
                </c:pt>
                <c:pt idx="14">
                  <c:v>1.97118820996864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448-D542-A9F7-1F4BD316E8A0}"/>
            </c:ext>
          </c:extLst>
        </c:ser>
        <c:ser>
          <c:idx val="5"/>
          <c:order val="5"/>
          <c:tx>
            <c:strRef>
              <c:f>'Annual Growth Rate-Housing Unit'!$G$1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Unit'!$G$2:$G$16</c:f>
              <c:numCache>
                <c:formatCode>0.0000</c:formatCode>
                <c:ptCount val="15"/>
                <c:pt idx="0">
                  <c:v>2.6231529700263336</c:v>
                </c:pt>
                <c:pt idx="1">
                  <c:v>2.4636073984710012</c:v>
                </c:pt>
                <c:pt idx="2">
                  <c:v>2.3040618269156687</c:v>
                </c:pt>
                <c:pt idx="3">
                  <c:v>2.1445162553603359</c:v>
                </c:pt>
                <c:pt idx="4">
                  <c:v>1.9849706838050034</c:v>
                </c:pt>
                <c:pt idx="5">
                  <c:v>1.825425112249671</c:v>
                </c:pt>
                <c:pt idx="6">
                  <c:v>1.6658795406943381</c:v>
                </c:pt>
                <c:pt idx="7">
                  <c:v>1.5063339691390056</c:v>
                </c:pt>
                <c:pt idx="8">
                  <c:v>1.3467883975836732</c:v>
                </c:pt>
                <c:pt idx="9">
                  <c:v>1.1872428260283407</c:v>
                </c:pt>
                <c:pt idx="10">
                  <c:v>1.0276972544730083</c:v>
                </c:pt>
                <c:pt idx="11">
                  <c:v>0.86815168291767586</c:v>
                </c:pt>
                <c:pt idx="12">
                  <c:v>0.70860611136234342</c:v>
                </c:pt>
                <c:pt idx="13">
                  <c:v>0.54906053980701053</c:v>
                </c:pt>
                <c:pt idx="14">
                  <c:v>0.38951496825167808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6448-D542-A9F7-1F4BD316E8A0}"/>
            </c:ext>
          </c:extLst>
        </c:ser>
        <c:ser>
          <c:idx val="6"/>
          <c:order val="6"/>
          <c:tx>
            <c:strRef>
              <c:f>'Annual Growth Rate-Housing Unit'!$H$1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Unit'!$H$2:$H$16</c:f>
              <c:numCache>
                <c:formatCode>0.0000</c:formatCode>
                <c:ptCount val="15"/>
                <c:pt idx="0">
                  <c:v>1.0414797283093717</c:v>
                </c:pt>
                <c:pt idx="1">
                  <c:v>0.8819341567540393</c:v>
                </c:pt>
                <c:pt idx="2">
                  <c:v>0.72238858519870686</c:v>
                </c:pt>
                <c:pt idx="3">
                  <c:v>0.56284301364337397</c:v>
                </c:pt>
                <c:pt idx="4">
                  <c:v>0.40329744208804152</c:v>
                </c:pt>
                <c:pt idx="5">
                  <c:v>0.24375187053270908</c:v>
                </c:pt>
                <c:pt idx="6">
                  <c:v>8.4206298977376193E-2</c:v>
                </c:pt>
                <c:pt idx="7">
                  <c:v>-7.5339272577956251E-2</c:v>
                </c:pt>
                <c:pt idx="8">
                  <c:v>-0.23488484413328869</c:v>
                </c:pt>
                <c:pt idx="9">
                  <c:v>-0.39443041568862114</c:v>
                </c:pt>
                <c:pt idx="10">
                  <c:v>-0.55397598724395358</c:v>
                </c:pt>
                <c:pt idx="11">
                  <c:v>-0.71352155879928603</c:v>
                </c:pt>
                <c:pt idx="12">
                  <c:v>-0.87306713035461847</c:v>
                </c:pt>
                <c:pt idx="13">
                  <c:v>-1.0326127019099514</c:v>
                </c:pt>
                <c:pt idx="14">
                  <c:v>-1.1921582734652838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448-D542-A9F7-1F4BD316E8A0}"/>
            </c:ext>
          </c:extLst>
        </c:ser>
        <c:ser>
          <c:idx val="7"/>
          <c:order val="7"/>
          <c:tx>
            <c:strRef>
              <c:f>'Annual Growth Rate-Housing Unit'!$I$1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6448-D542-A9F7-1F4BD316E8A0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448-D542-A9F7-1F4BD316E8A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Unit'!$I$2:$I$16</c:f>
              <c:numCache>
                <c:formatCode>0.0000</c:formatCode>
                <c:ptCount val="15"/>
                <c:pt idx="0">
                  <c:v>-0.54019351340759059</c:v>
                </c:pt>
                <c:pt idx="1">
                  <c:v>-0.69973908496292303</c:v>
                </c:pt>
                <c:pt idx="2">
                  <c:v>-0.85928465651825547</c:v>
                </c:pt>
                <c:pt idx="3">
                  <c:v>-1.0188302280735884</c:v>
                </c:pt>
                <c:pt idx="4">
                  <c:v>-1.1783757996289208</c:v>
                </c:pt>
                <c:pt idx="5">
                  <c:v>-1.3379213711842532</c:v>
                </c:pt>
                <c:pt idx="6">
                  <c:v>-1.4974669427395861</c:v>
                </c:pt>
                <c:pt idx="7">
                  <c:v>-1.6570125142949186</c:v>
                </c:pt>
                <c:pt idx="8">
                  <c:v>-1.816558085850251</c:v>
                </c:pt>
                <c:pt idx="9">
                  <c:v>-1.9761036574055835</c:v>
                </c:pt>
                <c:pt idx="10">
                  <c:v>-2.1356492289609159</c:v>
                </c:pt>
                <c:pt idx="11">
                  <c:v>-2.2951948005162484</c:v>
                </c:pt>
                <c:pt idx="12">
                  <c:v>-2.4547403720715808</c:v>
                </c:pt>
                <c:pt idx="13">
                  <c:v>-2.6142859436269137</c:v>
                </c:pt>
                <c:pt idx="14">
                  <c:v>-2.7738315151822461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6448-D542-A9F7-1F4BD316E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335264"/>
        <c:axId val="103336992"/>
      </c:lineChart>
      <c:catAx>
        <c:axId val="10333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2009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3336992"/>
        <c:crossesAt val="-4"/>
        <c:auto val="0"/>
        <c:lblAlgn val="ctr"/>
        <c:lblOffset val="100"/>
        <c:noMultiLvlLbl val="0"/>
      </c:catAx>
      <c:valAx>
        <c:axId val="1033369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Rate</a:t>
                </a:r>
                <a:r>
                  <a:rPr lang="en-US" sz="1400" b="1" i="0" baseline="0">
                    <a:solidFill>
                      <a:srgbClr val="000000"/>
                    </a:solidFill>
                    <a:latin typeface=" +mn-lt"/>
                  </a:rPr>
                  <a:t> of Growth (%)</a:t>
                </a:r>
                <a:endParaRPr lang="en-US" sz="1400" b="1" i="0">
                  <a:solidFill>
                    <a:srgbClr val="000000"/>
                  </a:solidFill>
                  <a:latin typeface=" +mn-lt"/>
                </a:endParaRP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333526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46D80F9-BBCA-6003-6725-352718D55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6F6A1A3-8079-E259-F1D5-BAFCB4F33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0.10868</cdr:x>
      <cdr:y>0.1875</cdr:y>
    </cdr:from>
    <cdr:ext cx="1360757" cy="264560"/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E1E9D1F-3446-AB82-499F-5AE1301C0461}"/>
            </a:ext>
          </a:extLst>
        </cdr:cNvPr>
        <cdr:cNvSpPr txBox="1"/>
      </cdr:nvSpPr>
      <cdr:spPr>
        <a:xfrm xmlns:a="http://schemas.openxmlformats.org/drawingml/2006/main">
          <a:off x="1042276" y="656896"/>
          <a:ext cx="1360757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Useful Fit R^2 &gt; 0.80</a:t>
          </a:r>
        </a:p>
      </cdr:txBody>
    </cdr:sp>
  </cdr:absSizeAnchor>
  <cdr:absSizeAnchor xmlns:cdr="http://schemas.openxmlformats.org/drawingml/2006/chartDrawing">
    <cdr:from>
      <cdr:x>0.24642</cdr:x>
      <cdr:y>0.18796</cdr:y>
    </cdr:from>
    <cdr:ext cx="841834" cy="264560"/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806DF14-91C4-B914-BCFD-7D83F7973619}"/>
            </a:ext>
          </a:extLst>
        </cdr:cNvPr>
        <cdr:cNvSpPr txBox="1"/>
      </cdr:nvSpPr>
      <cdr:spPr>
        <a:xfrm xmlns:a="http://schemas.openxmlformats.org/drawingml/2006/main">
          <a:off x="2363367" y="658519"/>
          <a:ext cx="84183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Ryx = 0.992</a:t>
          </a:r>
        </a:p>
      </cdr:txBody>
    </cdr:sp>
  </cdr:absSizeAnchor>
  <cdr:absSizeAnchor xmlns:cdr="http://schemas.openxmlformats.org/drawingml/2006/chartDrawing">
    <cdr:from>
      <cdr:x>0.5554</cdr:x>
      <cdr:y>0.18426</cdr:y>
    </cdr:from>
    <cdr:ext cx="2201949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03852D1-93AA-FE7C-2486-9E1152DB99C7}"/>
            </a:ext>
          </a:extLst>
        </cdr:cNvPr>
        <cdr:cNvSpPr txBox="1"/>
      </cdr:nvSpPr>
      <cdr:spPr>
        <a:xfrm xmlns:a="http://schemas.openxmlformats.org/drawingml/2006/main">
          <a:off x="5326701" y="645543"/>
          <a:ext cx="2201949" cy="2645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/>
        </a:solidFill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399.697 housing units</a:t>
          </a:r>
          <a:r>
            <a:rPr lang="en-US" sz="1100" kern="1200" baseline="0"/>
            <a:t>/year</a:t>
          </a:r>
          <a:endParaRPr lang="en-US" sz="1100" kern="1200"/>
        </a:p>
      </cdr:txBody>
    </cdr:sp>
  </cdr:absSizeAnchor>
  <cdr:absSizeAnchor xmlns:cdr="http://schemas.openxmlformats.org/drawingml/2006/chartDrawing">
    <cdr:from>
      <cdr:x>0.32709</cdr:x>
      <cdr:y>0.18472</cdr:y>
    </cdr:from>
    <cdr:ext cx="1127103" cy="264560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8CABC22-4D3B-2C94-A2AA-ACB294C70171}"/>
            </a:ext>
          </a:extLst>
        </cdr:cNvPr>
        <cdr:cNvSpPr txBox="1"/>
      </cdr:nvSpPr>
      <cdr:spPr>
        <a:xfrm xmlns:a="http://schemas.openxmlformats.org/drawingml/2006/main">
          <a:off x="3137046" y="647165"/>
          <a:ext cx="1127103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Sigma = 357.563</a:t>
          </a:r>
        </a:p>
      </cdr:txBody>
    </cdr:sp>
  </cdr:absSizeAnchor>
  <cdr:absSizeAnchor xmlns:cdr="http://schemas.openxmlformats.org/drawingml/2006/chartDrawing">
    <cdr:from>
      <cdr:x>0.43059</cdr:x>
      <cdr:y>0.18519</cdr:y>
    </cdr:from>
    <cdr:ext cx="1260794" cy="264560"/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7F38F3D-60E2-4EBC-2456-6FC17E4F7A44}"/>
            </a:ext>
          </a:extLst>
        </cdr:cNvPr>
        <cdr:cNvSpPr txBox="1"/>
      </cdr:nvSpPr>
      <cdr:spPr>
        <a:xfrm xmlns:a="http://schemas.openxmlformats.org/drawingml/2006/main">
          <a:off x="4129690" y="648787"/>
          <a:ext cx="126079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Probability = 0.497</a:t>
          </a:r>
        </a:p>
      </cdr:txBody>
    </cdr:sp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87A5B69-B775-30A2-DEF8-4C069A509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EB31EA1-46F4-33B0-88A4-180945AAA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0.20727</cdr:x>
      <cdr:y>0.125</cdr:y>
    </cdr:from>
    <cdr:ext cx="1049005" cy="264560"/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56F4410-6646-7967-2968-AD9EE982890A}"/>
            </a:ext>
          </a:extLst>
        </cdr:cNvPr>
        <cdr:cNvSpPr txBox="1"/>
      </cdr:nvSpPr>
      <cdr:spPr>
        <a:xfrm xmlns:a="http://schemas.openxmlformats.org/drawingml/2006/main">
          <a:off x="1987842" y="437931"/>
          <a:ext cx="1049005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Fit (R^2) &lt; 0.80</a:t>
          </a:r>
        </a:p>
      </cdr:txBody>
    </cdr:sp>
  </cdr:absSizeAnchor>
  <cdr:absSizeAnchor xmlns:cdr="http://schemas.openxmlformats.org/drawingml/2006/chartDrawing">
    <cdr:from>
      <cdr:x>0.31153</cdr:x>
      <cdr:y>0.12755</cdr:y>
    </cdr:from>
    <cdr:ext cx="841834" cy="264560"/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C8055DB-BFBF-9830-455B-A54DC090A86A}"/>
            </a:ext>
          </a:extLst>
        </cdr:cNvPr>
        <cdr:cNvSpPr txBox="1"/>
      </cdr:nvSpPr>
      <cdr:spPr>
        <a:xfrm xmlns:a="http://schemas.openxmlformats.org/drawingml/2006/main">
          <a:off x="2987785" y="446852"/>
          <a:ext cx="84183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Ryx = 0.033</a:t>
          </a:r>
        </a:p>
      </cdr:txBody>
    </cdr:sp>
  </cdr:absSizeAnchor>
  <cdr:absSizeAnchor xmlns:cdr="http://schemas.openxmlformats.org/drawingml/2006/chartDrawing">
    <cdr:from>
      <cdr:x>0.62355</cdr:x>
      <cdr:y>0.12384</cdr:y>
    </cdr:from>
    <cdr:ext cx="999376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4B9265C-7DEC-19A2-28CB-C66E68570C6D}"/>
            </a:ext>
          </a:extLst>
        </cdr:cNvPr>
        <cdr:cNvSpPr txBox="1"/>
      </cdr:nvSpPr>
      <cdr:spPr>
        <a:xfrm xmlns:a="http://schemas.openxmlformats.org/drawingml/2006/main">
          <a:off x="5980313" y="433876"/>
          <a:ext cx="999376" cy="2645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/>
        </a:solidFill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-8.243</a:t>
          </a:r>
        </a:p>
      </cdr:txBody>
    </cdr:sp>
  </cdr:absSizeAnchor>
  <cdr:absSizeAnchor xmlns:cdr="http://schemas.openxmlformats.org/drawingml/2006/chartDrawing">
    <cdr:from>
      <cdr:x>0.39372</cdr:x>
      <cdr:y>0.12431</cdr:y>
    </cdr:from>
    <cdr:ext cx="1127103" cy="264560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6E0A8AC-9BAF-7CFC-4C96-01CAA6F4CB07}"/>
            </a:ext>
          </a:extLst>
        </cdr:cNvPr>
        <cdr:cNvSpPr txBox="1"/>
      </cdr:nvSpPr>
      <cdr:spPr>
        <a:xfrm xmlns:a="http://schemas.openxmlformats.org/drawingml/2006/main">
          <a:off x="3776060" y="435498"/>
          <a:ext cx="1127103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Sigma = 202.287</a:t>
          </a:r>
        </a:p>
      </cdr:txBody>
    </cdr:sp>
  </cdr:absSizeAnchor>
  <cdr:absSizeAnchor xmlns:cdr="http://schemas.openxmlformats.org/drawingml/2006/chartDrawing">
    <cdr:from>
      <cdr:x>0.49874</cdr:x>
      <cdr:y>0.12894</cdr:y>
    </cdr:from>
    <cdr:ext cx="1260794" cy="264560"/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E5B120A-A004-BEE4-5D1A-EF9D6AC61BB4}"/>
            </a:ext>
          </a:extLst>
        </cdr:cNvPr>
        <cdr:cNvSpPr txBox="1"/>
      </cdr:nvSpPr>
      <cdr:spPr>
        <a:xfrm xmlns:a="http://schemas.openxmlformats.org/drawingml/2006/main">
          <a:off x="4783302" y="451718"/>
          <a:ext cx="126079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Probability = 0.514</a:t>
          </a:r>
        </a:p>
      </cdr:txBody>
    </cdr:sp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6E54161-E667-7448-07C1-EA971FE2C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77F6A05-ECFB-A8ED-0217-2A3C584D8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0.19817</cdr:x>
      <cdr:y>0.18333</cdr:y>
    </cdr:from>
    <cdr:ext cx="1049005" cy="264559"/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5A59FF1-0F41-9D67-B045-75BEC29CE915}"/>
            </a:ext>
          </a:extLst>
        </cdr:cNvPr>
        <cdr:cNvSpPr txBox="1"/>
      </cdr:nvSpPr>
      <cdr:spPr>
        <a:xfrm xmlns:a="http://schemas.openxmlformats.org/drawingml/2006/main">
          <a:off x="1900621" y="642303"/>
          <a:ext cx="1049005" cy="264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Fit (R^2) &lt; 0.80</a:t>
          </a:r>
        </a:p>
      </cdr:txBody>
    </cdr:sp>
  </cdr:absSizeAnchor>
  <cdr:absSizeAnchor xmlns:cdr="http://schemas.openxmlformats.org/drawingml/2006/chartDrawing">
    <cdr:from>
      <cdr:x>0.29863</cdr:x>
      <cdr:y>0.18171</cdr:y>
    </cdr:from>
    <cdr:ext cx="841832" cy="264557"/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609AAEE-6DFB-4107-9E28-EB8E0B146860}"/>
            </a:ext>
          </a:extLst>
        </cdr:cNvPr>
        <cdr:cNvSpPr txBox="1"/>
      </cdr:nvSpPr>
      <cdr:spPr>
        <a:xfrm xmlns:a="http://schemas.openxmlformats.org/drawingml/2006/main">
          <a:off x="2864069" y="636627"/>
          <a:ext cx="841832" cy="264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Ryx = 0.159</a:t>
          </a:r>
        </a:p>
      </cdr:txBody>
    </cdr:sp>
  </cdr:absSizeAnchor>
  <cdr:absSizeAnchor xmlns:cdr="http://schemas.openxmlformats.org/drawingml/2006/chartDrawing">
    <cdr:from>
      <cdr:x>0.60685</cdr:x>
      <cdr:y>0.18843</cdr:y>
    </cdr:from>
    <cdr:ext cx="999376" cy="264557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73BB112-3975-90C7-61F7-B0B50E58E07E}"/>
            </a:ext>
          </a:extLst>
        </cdr:cNvPr>
        <cdr:cNvSpPr txBox="1"/>
      </cdr:nvSpPr>
      <cdr:spPr>
        <a:xfrm xmlns:a="http://schemas.openxmlformats.org/drawingml/2006/main">
          <a:off x="5820104" y="660145"/>
          <a:ext cx="999376" cy="264557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/>
        </a:solidFill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-0.160</a:t>
          </a:r>
        </a:p>
      </cdr:txBody>
    </cdr:sp>
  </cdr:absSizeAnchor>
  <cdr:absSizeAnchor xmlns:cdr="http://schemas.openxmlformats.org/drawingml/2006/chartDrawing">
    <cdr:from>
      <cdr:x>0.38158</cdr:x>
      <cdr:y>0.18264</cdr:y>
    </cdr:from>
    <cdr:ext cx="984113" cy="264558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629335F-6625-D974-FFC2-66EC52F40EED}"/>
            </a:ext>
          </a:extLst>
        </cdr:cNvPr>
        <cdr:cNvSpPr txBox="1"/>
      </cdr:nvSpPr>
      <cdr:spPr>
        <a:xfrm xmlns:a="http://schemas.openxmlformats.org/drawingml/2006/main">
          <a:off x="3659644" y="639870"/>
          <a:ext cx="984113" cy="264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Sigma = 1.582</a:t>
          </a:r>
        </a:p>
      </cdr:txBody>
    </cdr:sp>
  </cdr:absSizeAnchor>
  <cdr:absSizeAnchor xmlns:cdr="http://schemas.openxmlformats.org/drawingml/2006/chartDrawing">
    <cdr:from>
      <cdr:x>0.47747</cdr:x>
      <cdr:y>0.18727</cdr:y>
    </cdr:from>
    <cdr:ext cx="1260793" cy="264555"/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114BE1C-E8BF-5EB9-4F9F-CCBCBD6EE411}"/>
            </a:ext>
          </a:extLst>
        </cdr:cNvPr>
        <cdr:cNvSpPr txBox="1"/>
      </cdr:nvSpPr>
      <cdr:spPr>
        <a:xfrm xmlns:a="http://schemas.openxmlformats.org/drawingml/2006/main">
          <a:off x="4579299" y="656091"/>
          <a:ext cx="1260793" cy="2645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Probability = 0.514</a:t>
          </a:r>
        </a:p>
      </cdr:txBody>
    </cdr:sp>
  </cdr:abs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AA78-B5F0-3546-9E90-4CC6B8365080}">
  <sheetPr>
    <tabColor rgb="FF66FF66"/>
    <pageSetUpPr fitToPage="1"/>
  </sheetPr>
  <dimension ref="A1:Z52"/>
  <sheetViews>
    <sheetView zoomScale="174" zoomScaleNormal="174" workbookViewId="0">
      <selection activeCell="U23" sqref="U23"/>
    </sheetView>
  </sheetViews>
  <sheetFormatPr baseColWidth="10" defaultRowHeight="15" x14ac:dyDescent="0.2"/>
  <cols>
    <col min="1" max="1" width="5.1640625" bestFit="1" customWidth="1"/>
    <col min="2" max="21" width="7" customWidth="1"/>
  </cols>
  <sheetData>
    <row r="1" spans="1:26" ht="14" customHeight="1" x14ac:dyDescent="0.2">
      <c r="B1" s="2" t="s">
        <v>12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t="s">
        <v>13</v>
      </c>
      <c r="K1" s="2" t="s">
        <v>14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t="s">
        <v>15</v>
      </c>
      <c r="U1" t="s">
        <v>23</v>
      </c>
      <c r="V1">
        <f>INDEX(LINEST($B$2:$B$17,,,TRUE),1,1)</f>
        <v>399.6970588235294</v>
      </c>
      <c r="W1" t="s">
        <v>24</v>
      </c>
      <c r="X1">
        <f>INDEX(LINEST($B$2:$B$17,,,TRUE),1,2)</f>
        <v>10295.325000000001</v>
      </c>
      <c r="Y1" t="s">
        <v>25</v>
      </c>
      <c r="Z1">
        <f>INDEX(LINEST($B$2:$B$17,,,TRUE),3,1)</f>
        <v>0.9918500807080376</v>
      </c>
    </row>
    <row r="2" spans="1:26" ht="14" customHeight="1" x14ac:dyDescent="0.2">
      <c r="A2">
        <v>2009</v>
      </c>
      <c r="B2" s="2">
        <v>10524</v>
      </c>
      <c r="C2" s="2">
        <f t="shared" ref="C2:C37" ca="1" si="0">F2+2.66*O2</f>
        <v>11767.711392156863</v>
      </c>
      <c r="D2" s="2">
        <f t="shared" ref="D2:D37" ca="1" si="1">F2+(2/3)*2.66*O2</f>
        <v>11410.148281045753</v>
      </c>
      <c r="E2" s="2">
        <f t="shared" ref="E2:E37" ca="1" si="2">F2+(1/3)*2.66*O2</f>
        <v>11052.58516993464</v>
      </c>
      <c r="F2" s="2">
        <f t="shared" ref="F2:F37" si="3">INDEX(LINEST($B$2:$B$17,,,TRUE),1,1)* S2 +INDEX(LINEST($B$2:$B$17,,,TRUE),1,2)</f>
        <v>10695.02205882353</v>
      </c>
      <c r="G2" s="2">
        <f t="shared" ref="G2:G37" ca="1" si="4">F2-(1/3)*2.66*O2</f>
        <v>10337.458947712419</v>
      </c>
      <c r="H2" s="2">
        <f t="shared" ref="H2:H37" ca="1" si="5">F2-(2/3)*2.66*O2</f>
        <v>9979.8958366013067</v>
      </c>
      <c r="I2" s="2">
        <f t="shared" ref="I2:I37" ca="1" si="6">F2-2.66*O2</f>
        <v>9622.332725490196</v>
      </c>
      <c r="J2">
        <f>B2</f>
        <v>10524</v>
      </c>
      <c r="K2" s="2"/>
      <c r="L2" s="2"/>
      <c r="M2" s="2"/>
      <c r="N2" s="2"/>
      <c r="O2" s="2">
        <f t="shared" ref="O2:O37" ca="1" si="7">AVERAGE($K$3:$K$17)</f>
        <v>403.26666666666665</v>
      </c>
      <c r="P2" s="2"/>
      <c r="Q2" s="2"/>
      <c r="R2" s="2"/>
      <c r="S2">
        <v>1</v>
      </c>
    </row>
    <row r="3" spans="1:26" ht="14" customHeight="1" x14ac:dyDescent="0.2">
      <c r="A3">
        <v>2010</v>
      </c>
      <c r="B3" s="2">
        <v>10758</v>
      </c>
      <c r="C3" s="2">
        <f t="shared" ca="1" si="0"/>
        <v>12167.408450980392</v>
      </c>
      <c r="D3" s="2">
        <f t="shared" ca="1" si="1"/>
        <v>11809.845339869282</v>
      </c>
      <c r="E3" s="2">
        <f t="shared" ca="1" si="2"/>
        <v>11452.282228758169</v>
      </c>
      <c r="F3" s="2">
        <f t="shared" si="3"/>
        <v>11094.719117647059</v>
      </c>
      <c r="G3" s="2">
        <f t="shared" ca="1" si="4"/>
        <v>10737.156006535948</v>
      </c>
      <c r="H3" s="2">
        <f t="shared" ca="1" si="5"/>
        <v>10379.592895424836</v>
      </c>
      <c r="I3" s="2">
        <f t="shared" ca="1" si="6"/>
        <v>10022.029784313725</v>
      </c>
      <c r="J3">
        <f t="shared" ref="J3:J37" ca="1" si="8">IF(ISBLANK(B3),OFFSET(J3,-1,0,1,1),B3)</f>
        <v>10758</v>
      </c>
      <c r="K3" s="2">
        <f t="shared" ref="K3:K37" ca="1" si="9">IF(OR(OFFSET(K3,-1,-9,1,1)="",OFFSET(K3,0,-9,1,1)=""),"",IF(ISERROR(ABS(B3-OFFSET(K3,-1,-1,1,1))),"",ABS(B3-OFFSET(K3,-1,-1,1,1))))</f>
        <v>234</v>
      </c>
      <c r="L3" s="2">
        <f t="shared" ref="L3:L37" ca="1" si="10">3.267*O3</f>
        <v>1317.4721999999999</v>
      </c>
      <c r="M3" s="2">
        <f t="shared" ref="M3:M37" ca="1" si="11">(2/3)*(L3-O3)+O3</f>
        <v>1012.7370222222221</v>
      </c>
      <c r="N3" s="2">
        <f t="shared" ref="N3:N37" ca="1" si="12">(1/3)*(L3-O3)+O3</f>
        <v>708.00184444444437</v>
      </c>
      <c r="O3" s="2">
        <f t="shared" ca="1" si="7"/>
        <v>403.26666666666665</v>
      </c>
      <c r="P3" s="2">
        <f t="shared" ref="P3:P37" ca="1" si="13">(MAX(O3-(1/3)*(L3-O3),0))</f>
        <v>98.53148888888893</v>
      </c>
      <c r="Q3" s="2">
        <f t="shared" ref="Q3:Q37" ca="1" si="14">MAX(O3-(2/3)*(L3-O3),0)</f>
        <v>0</v>
      </c>
      <c r="R3" s="2">
        <v>0</v>
      </c>
      <c r="S3">
        <f t="shared" ref="S3:S37" si="15">S2+1</f>
        <v>2</v>
      </c>
    </row>
    <row r="4" spans="1:26" ht="14" customHeight="1" x14ac:dyDescent="0.2">
      <c r="A4">
        <v>2011</v>
      </c>
      <c r="B4" s="2">
        <v>11633</v>
      </c>
      <c r="C4" s="2">
        <f t="shared" ca="1" si="0"/>
        <v>12567.105509803923</v>
      </c>
      <c r="D4" s="2">
        <f t="shared" ca="1" si="1"/>
        <v>12209.542398692813</v>
      </c>
      <c r="E4" s="2">
        <f t="shared" ca="1" si="2"/>
        <v>11851.9792875817</v>
      </c>
      <c r="F4" s="2">
        <f t="shared" si="3"/>
        <v>11494.41617647059</v>
      </c>
      <c r="G4" s="2">
        <f t="shared" ca="1" si="4"/>
        <v>11136.853065359479</v>
      </c>
      <c r="H4" s="2">
        <f t="shared" ca="1" si="5"/>
        <v>10779.289954248366</v>
      </c>
      <c r="I4" s="2">
        <f t="shared" ca="1" si="6"/>
        <v>10421.726843137256</v>
      </c>
      <c r="J4">
        <f t="shared" ca="1" si="8"/>
        <v>11633</v>
      </c>
      <c r="K4" s="2">
        <f t="shared" ca="1" si="9"/>
        <v>875</v>
      </c>
      <c r="L4" s="2">
        <f t="shared" ca="1" si="10"/>
        <v>1317.4721999999999</v>
      </c>
      <c r="M4" s="2">
        <f t="shared" ca="1" si="11"/>
        <v>1012.7370222222221</v>
      </c>
      <c r="N4" s="2">
        <f t="shared" ca="1" si="12"/>
        <v>708.00184444444437</v>
      </c>
      <c r="O4" s="2">
        <f t="shared" ca="1" si="7"/>
        <v>403.26666666666665</v>
      </c>
      <c r="P4" s="2">
        <f t="shared" ca="1" si="13"/>
        <v>98.53148888888893</v>
      </c>
      <c r="Q4" s="2">
        <f t="shared" ca="1" si="14"/>
        <v>0</v>
      </c>
      <c r="R4" s="2">
        <v>0</v>
      </c>
      <c r="S4">
        <f t="shared" si="15"/>
        <v>3</v>
      </c>
    </row>
    <row r="5" spans="1:26" ht="14" customHeight="1" x14ac:dyDescent="0.2">
      <c r="A5">
        <v>2012</v>
      </c>
      <c r="B5" s="2">
        <v>12032</v>
      </c>
      <c r="C5" s="2">
        <f t="shared" ca="1" si="0"/>
        <v>12966.802568627452</v>
      </c>
      <c r="D5" s="2">
        <f t="shared" ca="1" si="1"/>
        <v>12609.239457516342</v>
      </c>
      <c r="E5" s="2">
        <f t="shared" ca="1" si="2"/>
        <v>12251.676346405229</v>
      </c>
      <c r="F5" s="2">
        <f t="shared" si="3"/>
        <v>11894.113235294119</v>
      </c>
      <c r="G5" s="2">
        <f t="shared" ca="1" si="4"/>
        <v>11536.550124183008</v>
      </c>
      <c r="H5" s="2">
        <f t="shared" ca="1" si="5"/>
        <v>11178.987013071895</v>
      </c>
      <c r="I5" s="2">
        <f t="shared" ca="1" si="6"/>
        <v>10821.423901960785</v>
      </c>
      <c r="J5">
        <f t="shared" ca="1" si="8"/>
        <v>12032</v>
      </c>
      <c r="K5" s="2">
        <f t="shared" ca="1" si="9"/>
        <v>399</v>
      </c>
      <c r="L5" s="2">
        <f t="shared" ca="1" si="10"/>
        <v>1317.4721999999999</v>
      </c>
      <c r="M5" s="2">
        <f t="shared" ca="1" si="11"/>
        <v>1012.7370222222221</v>
      </c>
      <c r="N5" s="2">
        <f t="shared" ca="1" si="12"/>
        <v>708.00184444444437</v>
      </c>
      <c r="O5" s="2">
        <f t="shared" ca="1" si="7"/>
        <v>403.26666666666665</v>
      </c>
      <c r="P5" s="2">
        <f t="shared" ca="1" si="13"/>
        <v>98.53148888888893</v>
      </c>
      <c r="Q5" s="2">
        <f t="shared" ca="1" si="14"/>
        <v>0</v>
      </c>
      <c r="R5" s="2">
        <v>0</v>
      </c>
      <c r="S5">
        <f t="shared" si="15"/>
        <v>4</v>
      </c>
    </row>
    <row r="6" spans="1:26" ht="14" customHeight="1" x14ac:dyDescent="0.2">
      <c r="A6">
        <v>2013</v>
      </c>
      <c r="B6" s="2">
        <v>12455</v>
      </c>
      <c r="C6" s="2">
        <f t="shared" ca="1" si="0"/>
        <v>13366.499627450981</v>
      </c>
      <c r="D6" s="2">
        <f t="shared" ca="1" si="1"/>
        <v>13008.936516339871</v>
      </c>
      <c r="E6" s="2">
        <f t="shared" ca="1" si="2"/>
        <v>12651.373405228758</v>
      </c>
      <c r="F6" s="2">
        <f t="shared" si="3"/>
        <v>12293.810294117648</v>
      </c>
      <c r="G6" s="2">
        <f t="shared" ca="1" si="4"/>
        <v>11936.247183006537</v>
      </c>
      <c r="H6" s="2">
        <f t="shared" ca="1" si="5"/>
        <v>11578.684071895424</v>
      </c>
      <c r="I6" s="2">
        <f t="shared" ca="1" si="6"/>
        <v>11221.120960784314</v>
      </c>
      <c r="J6">
        <f t="shared" ca="1" si="8"/>
        <v>12455</v>
      </c>
      <c r="K6" s="2">
        <f t="shared" ca="1" si="9"/>
        <v>423</v>
      </c>
      <c r="L6" s="2">
        <f t="shared" ca="1" si="10"/>
        <v>1317.4721999999999</v>
      </c>
      <c r="M6" s="2">
        <f t="shared" ca="1" si="11"/>
        <v>1012.7370222222221</v>
      </c>
      <c r="N6" s="2">
        <f t="shared" ca="1" si="12"/>
        <v>708.00184444444437</v>
      </c>
      <c r="O6" s="2">
        <f t="shared" ca="1" si="7"/>
        <v>403.26666666666665</v>
      </c>
      <c r="P6" s="2">
        <f t="shared" ca="1" si="13"/>
        <v>98.53148888888893</v>
      </c>
      <c r="Q6" s="2">
        <f t="shared" ca="1" si="14"/>
        <v>0</v>
      </c>
      <c r="R6" s="2">
        <v>0</v>
      </c>
      <c r="S6">
        <f t="shared" si="15"/>
        <v>5</v>
      </c>
    </row>
    <row r="7" spans="1:26" ht="14" customHeight="1" x14ac:dyDescent="0.2">
      <c r="A7">
        <v>2014</v>
      </c>
      <c r="B7" s="2">
        <v>12939</v>
      </c>
      <c r="C7" s="2">
        <f t="shared" ca="1" si="0"/>
        <v>13766.19668627451</v>
      </c>
      <c r="D7" s="2">
        <f t="shared" ca="1" si="1"/>
        <v>13408.6335751634</v>
      </c>
      <c r="E7" s="2">
        <f t="shared" ca="1" si="2"/>
        <v>13051.070464052287</v>
      </c>
      <c r="F7" s="2">
        <f t="shared" si="3"/>
        <v>12693.507352941177</v>
      </c>
      <c r="G7" s="2">
        <f t="shared" ca="1" si="4"/>
        <v>12335.944241830066</v>
      </c>
      <c r="H7" s="2">
        <f t="shared" ca="1" si="5"/>
        <v>11978.381130718954</v>
      </c>
      <c r="I7" s="2">
        <f t="shared" ca="1" si="6"/>
        <v>11620.818019607843</v>
      </c>
      <c r="J7">
        <f t="shared" ca="1" si="8"/>
        <v>12939</v>
      </c>
      <c r="K7" s="2">
        <f t="shared" ca="1" si="9"/>
        <v>484</v>
      </c>
      <c r="L7" s="2">
        <f t="shared" ca="1" si="10"/>
        <v>1317.4721999999999</v>
      </c>
      <c r="M7" s="2">
        <f t="shared" ca="1" si="11"/>
        <v>1012.7370222222221</v>
      </c>
      <c r="N7" s="2">
        <f t="shared" ca="1" si="12"/>
        <v>708.00184444444437</v>
      </c>
      <c r="O7" s="2">
        <f t="shared" ca="1" si="7"/>
        <v>403.26666666666665</v>
      </c>
      <c r="P7" s="2">
        <f t="shared" ca="1" si="13"/>
        <v>98.53148888888893</v>
      </c>
      <c r="Q7" s="2">
        <f t="shared" ca="1" si="14"/>
        <v>0</v>
      </c>
      <c r="R7" s="2">
        <v>0</v>
      </c>
      <c r="S7">
        <f t="shared" si="15"/>
        <v>6</v>
      </c>
    </row>
    <row r="8" spans="1:26" ht="14" customHeight="1" x14ac:dyDescent="0.2">
      <c r="A8">
        <v>2015</v>
      </c>
      <c r="B8" s="2">
        <v>13099</v>
      </c>
      <c r="C8" s="2">
        <f t="shared" ca="1" si="0"/>
        <v>14165.893745098039</v>
      </c>
      <c r="D8" s="2">
        <f t="shared" ca="1" si="1"/>
        <v>13808.330633986929</v>
      </c>
      <c r="E8" s="2">
        <f t="shared" ca="1" si="2"/>
        <v>13450.767522875816</v>
      </c>
      <c r="F8" s="2">
        <f t="shared" si="3"/>
        <v>13093.204411764706</v>
      </c>
      <c r="G8" s="2">
        <f t="shared" ca="1" si="4"/>
        <v>12735.641300653595</v>
      </c>
      <c r="H8" s="2">
        <f t="shared" ca="1" si="5"/>
        <v>12378.078189542483</v>
      </c>
      <c r="I8" s="2">
        <f t="shared" ca="1" si="6"/>
        <v>12020.515078431372</v>
      </c>
      <c r="J8">
        <f t="shared" ca="1" si="8"/>
        <v>13099</v>
      </c>
      <c r="K8" s="2">
        <f t="shared" ca="1" si="9"/>
        <v>160</v>
      </c>
      <c r="L8" s="2">
        <f t="shared" ca="1" si="10"/>
        <v>1317.4721999999999</v>
      </c>
      <c r="M8" s="2">
        <f t="shared" ca="1" si="11"/>
        <v>1012.7370222222221</v>
      </c>
      <c r="N8" s="2">
        <f t="shared" ca="1" si="12"/>
        <v>708.00184444444437</v>
      </c>
      <c r="O8" s="2">
        <f t="shared" ca="1" si="7"/>
        <v>403.26666666666665</v>
      </c>
      <c r="P8" s="2">
        <f t="shared" ca="1" si="13"/>
        <v>98.53148888888893</v>
      </c>
      <c r="Q8" s="2">
        <f t="shared" ca="1" si="14"/>
        <v>0</v>
      </c>
      <c r="R8" s="2">
        <v>0</v>
      </c>
      <c r="S8">
        <f t="shared" si="15"/>
        <v>7</v>
      </c>
    </row>
    <row r="9" spans="1:26" ht="14" customHeight="1" x14ac:dyDescent="0.2">
      <c r="A9">
        <v>2016</v>
      </c>
      <c r="B9" s="2">
        <v>13465</v>
      </c>
      <c r="C9" s="2">
        <f t="shared" ca="1" si="0"/>
        <v>14565.59080392157</v>
      </c>
      <c r="D9" s="2">
        <f t="shared" ca="1" si="1"/>
        <v>14208.027692810459</v>
      </c>
      <c r="E9" s="2">
        <f t="shared" ca="1" si="2"/>
        <v>13850.464581699347</v>
      </c>
      <c r="F9" s="2">
        <f t="shared" si="3"/>
        <v>13492.901470588236</v>
      </c>
      <c r="G9" s="2">
        <f t="shared" ca="1" si="4"/>
        <v>13135.338359477126</v>
      </c>
      <c r="H9" s="2">
        <f t="shared" ca="1" si="5"/>
        <v>12777.775248366013</v>
      </c>
      <c r="I9" s="2">
        <f t="shared" ca="1" si="6"/>
        <v>12420.212137254903</v>
      </c>
      <c r="J9">
        <f t="shared" ca="1" si="8"/>
        <v>13465</v>
      </c>
      <c r="K9" s="2">
        <f t="shared" ca="1" si="9"/>
        <v>366</v>
      </c>
      <c r="L9" s="2">
        <f t="shared" ca="1" si="10"/>
        <v>1317.4721999999999</v>
      </c>
      <c r="M9" s="2">
        <f t="shared" ca="1" si="11"/>
        <v>1012.7370222222221</v>
      </c>
      <c r="N9" s="2">
        <f t="shared" ca="1" si="12"/>
        <v>708.00184444444437</v>
      </c>
      <c r="O9" s="2">
        <f t="shared" ca="1" si="7"/>
        <v>403.26666666666665</v>
      </c>
      <c r="P9" s="2">
        <f t="shared" ca="1" si="13"/>
        <v>98.53148888888893</v>
      </c>
      <c r="Q9" s="2">
        <f t="shared" ca="1" si="14"/>
        <v>0</v>
      </c>
      <c r="R9" s="2">
        <v>0</v>
      </c>
      <c r="S9">
        <f t="shared" si="15"/>
        <v>8</v>
      </c>
    </row>
    <row r="10" spans="1:26" ht="14" customHeight="1" x14ac:dyDescent="0.2">
      <c r="A10">
        <v>2017</v>
      </c>
      <c r="B10" s="2">
        <v>13791</v>
      </c>
      <c r="C10" s="2">
        <f t="shared" ca="1" si="0"/>
        <v>14965.287862745099</v>
      </c>
      <c r="D10" s="2">
        <f t="shared" ca="1" si="1"/>
        <v>14607.724751633988</v>
      </c>
      <c r="E10" s="2">
        <f t="shared" ca="1" si="2"/>
        <v>14250.161640522876</v>
      </c>
      <c r="F10" s="2">
        <f t="shared" si="3"/>
        <v>13892.598529411765</v>
      </c>
      <c r="G10" s="2">
        <f t="shared" ca="1" si="4"/>
        <v>13535.035418300655</v>
      </c>
      <c r="H10" s="2">
        <f t="shared" ca="1" si="5"/>
        <v>13177.472307189542</v>
      </c>
      <c r="I10" s="2">
        <f t="shared" ca="1" si="6"/>
        <v>12819.909196078432</v>
      </c>
      <c r="J10">
        <f t="shared" ca="1" si="8"/>
        <v>13791</v>
      </c>
      <c r="K10" s="2">
        <f t="shared" ca="1" si="9"/>
        <v>326</v>
      </c>
      <c r="L10" s="2">
        <f t="shared" ca="1" si="10"/>
        <v>1317.4721999999999</v>
      </c>
      <c r="M10" s="2">
        <f t="shared" ca="1" si="11"/>
        <v>1012.7370222222221</v>
      </c>
      <c r="N10" s="2">
        <f t="shared" ca="1" si="12"/>
        <v>708.00184444444437</v>
      </c>
      <c r="O10" s="2">
        <f t="shared" ca="1" si="7"/>
        <v>403.26666666666665</v>
      </c>
      <c r="P10" s="2">
        <f t="shared" ca="1" si="13"/>
        <v>98.53148888888893</v>
      </c>
      <c r="Q10" s="2">
        <f t="shared" ca="1" si="14"/>
        <v>0</v>
      </c>
      <c r="R10" s="2">
        <v>0</v>
      </c>
      <c r="S10">
        <f t="shared" si="15"/>
        <v>9</v>
      </c>
    </row>
    <row r="11" spans="1:26" ht="14" customHeight="1" x14ac:dyDescent="0.2">
      <c r="A11">
        <v>2018</v>
      </c>
      <c r="B11" s="2">
        <v>14154</v>
      </c>
      <c r="C11" s="2">
        <f t="shared" ca="1" si="0"/>
        <v>15364.984921568628</v>
      </c>
      <c r="D11" s="2">
        <f t="shared" ca="1" si="1"/>
        <v>15007.421810457517</v>
      </c>
      <c r="E11" s="2">
        <f t="shared" ca="1" si="2"/>
        <v>14649.858699346405</v>
      </c>
      <c r="F11" s="2">
        <f t="shared" si="3"/>
        <v>14292.295588235294</v>
      </c>
      <c r="G11" s="2">
        <f t="shared" ca="1" si="4"/>
        <v>13934.732477124184</v>
      </c>
      <c r="H11" s="2">
        <f t="shared" ca="1" si="5"/>
        <v>13577.169366013071</v>
      </c>
      <c r="I11" s="2">
        <f t="shared" ca="1" si="6"/>
        <v>13219.606254901961</v>
      </c>
      <c r="J11">
        <f t="shared" ca="1" si="8"/>
        <v>14154</v>
      </c>
      <c r="K11" s="2">
        <f t="shared" ca="1" si="9"/>
        <v>363</v>
      </c>
      <c r="L11" s="2">
        <f t="shared" ca="1" si="10"/>
        <v>1317.4721999999999</v>
      </c>
      <c r="M11" s="2">
        <f t="shared" ca="1" si="11"/>
        <v>1012.7370222222221</v>
      </c>
      <c r="N11" s="2">
        <f t="shared" ca="1" si="12"/>
        <v>708.00184444444437</v>
      </c>
      <c r="O11" s="2">
        <f t="shared" ca="1" si="7"/>
        <v>403.26666666666665</v>
      </c>
      <c r="P11" s="2">
        <f t="shared" ca="1" si="13"/>
        <v>98.53148888888893</v>
      </c>
      <c r="Q11" s="2">
        <f t="shared" ca="1" si="14"/>
        <v>0</v>
      </c>
      <c r="R11" s="2">
        <v>0</v>
      </c>
      <c r="S11">
        <f t="shared" si="15"/>
        <v>10</v>
      </c>
    </row>
    <row r="12" spans="1:26" ht="14" customHeight="1" x14ac:dyDescent="0.2">
      <c r="A12">
        <v>2019</v>
      </c>
      <c r="B12" s="2">
        <v>14726</v>
      </c>
      <c r="C12" s="2">
        <f t="shared" ca="1" si="0"/>
        <v>15764.681980392159</v>
      </c>
      <c r="D12" s="2">
        <f t="shared" ca="1" si="1"/>
        <v>15407.118869281048</v>
      </c>
      <c r="E12" s="2">
        <f t="shared" ca="1" si="2"/>
        <v>15049.555758169936</v>
      </c>
      <c r="F12" s="2">
        <f t="shared" si="3"/>
        <v>14691.992647058825</v>
      </c>
      <c r="G12" s="2">
        <f t="shared" ca="1" si="4"/>
        <v>14334.429535947715</v>
      </c>
      <c r="H12" s="2">
        <f t="shared" ca="1" si="5"/>
        <v>13976.866424836602</v>
      </c>
      <c r="I12" s="2">
        <f t="shared" ca="1" si="6"/>
        <v>13619.303313725492</v>
      </c>
      <c r="J12">
        <f t="shared" ca="1" si="8"/>
        <v>14726</v>
      </c>
      <c r="K12" s="2">
        <f t="shared" ca="1" si="9"/>
        <v>572</v>
      </c>
      <c r="L12" s="2">
        <f t="shared" ca="1" si="10"/>
        <v>1317.4721999999999</v>
      </c>
      <c r="M12" s="2">
        <f t="shared" ca="1" si="11"/>
        <v>1012.7370222222221</v>
      </c>
      <c r="N12" s="2">
        <f t="shared" ca="1" si="12"/>
        <v>708.00184444444437</v>
      </c>
      <c r="O12" s="2">
        <f t="shared" ca="1" si="7"/>
        <v>403.26666666666665</v>
      </c>
      <c r="P12" s="2">
        <f t="shared" ca="1" si="13"/>
        <v>98.53148888888893</v>
      </c>
      <c r="Q12" s="2">
        <f t="shared" ca="1" si="14"/>
        <v>0</v>
      </c>
      <c r="R12" s="2">
        <v>0</v>
      </c>
      <c r="S12">
        <f t="shared" si="15"/>
        <v>11</v>
      </c>
    </row>
    <row r="13" spans="1:26" ht="14" customHeight="1" x14ac:dyDescent="0.2">
      <c r="A13">
        <v>2020</v>
      </c>
      <c r="B13" s="2">
        <v>15435</v>
      </c>
      <c r="C13" s="2">
        <f t="shared" ca="1" si="0"/>
        <v>16164.379039215686</v>
      </c>
      <c r="D13" s="2">
        <f t="shared" ca="1" si="1"/>
        <v>15806.815928104576</v>
      </c>
      <c r="E13" s="2">
        <f t="shared" ca="1" si="2"/>
        <v>15449.252816993463</v>
      </c>
      <c r="F13" s="2">
        <f t="shared" si="3"/>
        <v>15091.689705882352</v>
      </c>
      <c r="G13" s="2">
        <f t="shared" ca="1" si="4"/>
        <v>14734.126594771242</v>
      </c>
      <c r="H13" s="2">
        <f t="shared" ca="1" si="5"/>
        <v>14376.563483660129</v>
      </c>
      <c r="I13" s="2">
        <f t="shared" ca="1" si="6"/>
        <v>14019.000372549019</v>
      </c>
      <c r="J13">
        <f t="shared" ca="1" si="8"/>
        <v>15435</v>
      </c>
      <c r="K13" s="2">
        <f t="shared" ca="1" si="9"/>
        <v>709</v>
      </c>
      <c r="L13" s="2">
        <f t="shared" ca="1" si="10"/>
        <v>1317.4721999999999</v>
      </c>
      <c r="M13" s="2">
        <f t="shared" ca="1" si="11"/>
        <v>1012.7370222222221</v>
      </c>
      <c r="N13" s="2">
        <f t="shared" ca="1" si="12"/>
        <v>708.00184444444437</v>
      </c>
      <c r="O13" s="2">
        <f t="shared" ca="1" si="7"/>
        <v>403.26666666666665</v>
      </c>
      <c r="P13" s="2">
        <f t="shared" ca="1" si="13"/>
        <v>98.53148888888893</v>
      </c>
      <c r="Q13" s="2">
        <f t="shared" ca="1" si="14"/>
        <v>0</v>
      </c>
      <c r="R13" s="2">
        <v>0</v>
      </c>
      <c r="S13">
        <f t="shared" si="15"/>
        <v>12</v>
      </c>
    </row>
    <row r="14" spans="1:26" ht="14" customHeight="1" x14ac:dyDescent="0.2">
      <c r="A14">
        <v>2021</v>
      </c>
      <c r="B14" s="2">
        <v>15486</v>
      </c>
      <c r="C14" s="2">
        <f t="shared" ca="1" si="0"/>
        <v>16564.076098039215</v>
      </c>
      <c r="D14" s="2">
        <f t="shared" ca="1" si="1"/>
        <v>16206.512986928106</v>
      </c>
      <c r="E14" s="2">
        <f t="shared" ca="1" si="2"/>
        <v>15848.949875816994</v>
      </c>
      <c r="F14" s="2">
        <f t="shared" si="3"/>
        <v>15491.386764705883</v>
      </c>
      <c r="G14" s="2">
        <f t="shared" ca="1" si="4"/>
        <v>15133.823653594773</v>
      </c>
      <c r="H14" s="2">
        <f t="shared" ca="1" si="5"/>
        <v>14776.26054248366</v>
      </c>
      <c r="I14" s="2">
        <f t="shared" ca="1" si="6"/>
        <v>14418.69743137255</v>
      </c>
      <c r="J14">
        <f t="shared" ca="1" si="8"/>
        <v>15486</v>
      </c>
      <c r="K14" s="2">
        <f t="shared" ca="1" si="9"/>
        <v>51</v>
      </c>
      <c r="L14" s="2">
        <f t="shared" ca="1" si="10"/>
        <v>1317.4721999999999</v>
      </c>
      <c r="M14" s="2">
        <f t="shared" ca="1" si="11"/>
        <v>1012.7370222222221</v>
      </c>
      <c r="N14" s="2">
        <f t="shared" ca="1" si="12"/>
        <v>708.00184444444437</v>
      </c>
      <c r="O14" s="2">
        <f t="shared" ca="1" si="7"/>
        <v>403.26666666666665</v>
      </c>
      <c r="P14" s="2">
        <f t="shared" ca="1" si="13"/>
        <v>98.53148888888893</v>
      </c>
      <c r="Q14" s="2">
        <f t="shared" ca="1" si="14"/>
        <v>0</v>
      </c>
      <c r="R14" s="2">
        <v>0</v>
      </c>
      <c r="S14">
        <f t="shared" si="15"/>
        <v>13</v>
      </c>
    </row>
    <row r="15" spans="1:26" ht="14" customHeight="1" x14ac:dyDescent="0.2">
      <c r="A15">
        <v>2022</v>
      </c>
      <c r="B15" s="2">
        <v>15839</v>
      </c>
      <c r="C15" s="2">
        <f t="shared" ca="1" si="0"/>
        <v>16963.773156862746</v>
      </c>
      <c r="D15" s="2">
        <f t="shared" ca="1" si="1"/>
        <v>16606.210045751635</v>
      </c>
      <c r="E15" s="2">
        <f t="shared" ca="1" si="2"/>
        <v>16248.646934640523</v>
      </c>
      <c r="F15" s="2">
        <f t="shared" si="3"/>
        <v>15891.083823529412</v>
      </c>
      <c r="G15" s="2">
        <f t="shared" ca="1" si="4"/>
        <v>15533.520712418302</v>
      </c>
      <c r="H15" s="2">
        <f t="shared" ca="1" si="5"/>
        <v>15175.957601307189</v>
      </c>
      <c r="I15" s="2">
        <f t="shared" ca="1" si="6"/>
        <v>14818.394490196079</v>
      </c>
      <c r="J15">
        <f t="shared" ca="1" si="8"/>
        <v>15839</v>
      </c>
      <c r="K15" s="2">
        <f t="shared" ca="1" si="9"/>
        <v>353</v>
      </c>
      <c r="L15" s="2">
        <f t="shared" ca="1" si="10"/>
        <v>1317.4721999999999</v>
      </c>
      <c r="M15" s="2">
        <f t="shared" ca="1" si="11"/>
        <v>1012.7370222222221</v>
      </c>
      <c r="N15" s="2">
        <f t="shared" ca="1" si="12"/>
        <v>708.00184444444437</v>
      </c>
      <c r="O15" s="2">
        <f t="shared" ca="1" si="7"/>
        <v>403.26666666666665</v>
      </c>
      <c r="P15" s="2">
        <f t="shared" ca="1" si="13"/>
        <v>98.53148888888893</v>
      </c>
      <c r="Q15" s="2">
        <f t="shared" ca="1" si="14"/>
        <v>0</v>
      </c>
      <c r="R15" s="2">
        <v>0</v>
      </c>
      <c r="S15">
        <f t="shared" si="15"/>
        <v>14</v>
      </c>
    </row>
    <row r="16" spans="1:26" ht="14" customHeight="1" x14ac:dyDescent="0.2">
      <c r="A16">
        <v>2023</v>
      </c>
      <c r="B16" s="2">
        <v>16175</v>
      </c>
      <c r="C16" s="2">
        <f t="shared" ca="1" si="0"/>
        <v>17363.470215686273</v>
      </c>
      <c r="D16" s="2">
        <f t="shared" ca="1" si="1"/>
        <v>17005.907104575163</v>
      </c>
      <c r="E16" s="2">
        <f t="shared" ca="1" si="2"/>
        <v>16648.343993464052</v>
      </c>
      <c r="F16" s="2">
        <f t="shared" si="3"/>
        <v>16290.780882352941</v>
      </c>
      <c r="G16" s="2">
        <f t="shared" ca="1" si="4"/>
        <v>15933.217771241831</v>
      </c>
      <c r="H16" s="2">
        <f t="shared" ca="1" si="5"/>
        <v>15575.654660130718</v>
      </c>
      <c r="I16" s="2">
        <f t="shared" ca="1" si="6"/>
        <v>15218.091549019608</v>
      </c>
      <c r="J16">
        <f t="shared" ca="1" si="8"/>
        <v>16175</v>
      </c>
      <c r="K16" s="2">
        <f t="shared" ca="1" si="9"/>
        <v>336</v>
      </c>
      <c r="L16" s="2">
        <f t="shared" ca="1" si="10"/>
        <v>1317.4721999999999</v>
      </c>
      <c r="M16" s="2">
        <f t="shared" ca="1" si="11"/>
        <v>1012.7370222222221</v>
      </c>
      <c r="N16" s="2">
        <f t="shared" ca="1" si="12"/>
        <v>708.00184444444437</v>
      </c>
      <c r="O16" s="2">
        <f t="shared" ca="1" si="7"/>
        <v>403.26666666666665</v>
      </c>
      <c r="P16" s="2">
        <f t="shared" ca="1" si="13"/>
        <v>98.53148888888893</v>
      </c>
      <c r="Q16" s="2">
        <f t="shared" ca="1" si="14"/>
        <v>0</v>
      </c>
      <c r="R16" s="2">
        <v>0</v>
      </c>
      <c r="S16">
        <f t="shared" si="15"/>
        <v>15</v>
      </c>
    </row>
    <row r="17" spans="1:19" ht="14" customHeight="1" x14ac:dyDescent="0.2">
      <c r="A17">
        <v>2024</v>
      </c>
      <c r="B17" s="2">
        <v>16573</v>
      </c>
      <c r="C17" s="2">
        <f t="shared" ca="1" si="0"/>
        <v>17763.167274509804</v>
      </c>
      <c r="D17" s="2">
        <f t="shared" ca="1" si="1"/>
        <v>17405.604163398693</v>
      </c>
      <c r="E17" s="2">
        <f t="shared" ca="1" si="2"/>
        <v>17048.041052287583</v>
      </c>
      <c r="F17" s="2">
        <f t="shared" si="3"/>
        <v>16690.477941176472</v>
      </c>
      <c r="G17" s="2">
        <f t="shared" ca="1" si="4"/>
        <v>16332.914830065361</v>
      </c>
      <c r="H17" s="2">
        <f t="shared" ca="1" si="5"/>
        <v>15975.351718954249</v>
      </c>
      <c r="I17" s="2">
        <f t="shared" ca="1" si="6"/>
        <v>15617.788607843138</v>
      </c>
      <c r="J17">
        <f t="shared" ca="1" si="8"/>
        <v>16573</v>
      </c>
      <c r="K17" s="2">
        <f t="shared" ca="1" si="9"/>
        <v>398</v>
      </c>
      <c r="L17" s="2">
        <f t="shared" ca="1" si="10"/>
        <v>1317.4721999999999</v>
      </c>
      <c r="M17" s="2">
        <f t="shared" ca="1" si="11"/>
        <v>1012.7370222222221</v>
      </c>
      <c r="N17" s="2">
        <f t="shared" ca="1" si="12"/>
        <v>708.00184444444437</v>
      </c>
      <c r="O17" s="2">
        <f t="shared" ca="1" si="7"/>
        <v>403.26666666666665</v>
      </c>
      <c r="P17" s="2">
        <f t="shared" ca="1" si="13"/>
        <v>98.53148888888893</v>
      </c>
      <c r="Q17" s="2">
        <f t="shared" ca="1" si="14"/>
        <v>0</v>
      </c>
      <c r="R17" s="2">
        <v>0</v>
      </c>
      <c r="S17">
        <f t="shared" si="15"/>
        <v>16</v>
      </c>
    </row>
    <row r="18" spans="1:19" ht="14" customHeight="1" x14ac:dyDescent="0.2">
      <c r="C18">
        <f t="shared" ca="1" si="0"/>
        <v>18162.864333333331</v>
      </c>
      <c r="D18">
        <f t="shared" ca="1" si="1"/>
        <v>17805.301222222221</v>
      </c>
      <c r="E18">
        <f t="shared" ca="1" si="2"/>
        <v>17447.73811111111</v>
      </c>
      <c r="F18">
        <f t="shared" si="3"/>
        <v>17090.174999999999</v>
      </c>
      <c r="G18">
        <f t="shared" ca="1" si="4"/>
        <v>16732.611888888889</v>
      </c>
      <c r="H18">
        <f t="shared" ca="1" si="5"/>
        <v>16375.048777777776</v>
      </c>
      <c r="I18">
        <f t="shared" ca="1" si="6"/>
        <v>16017.485666666666</v>
      </c>
      <c r="J18">
        <f t="shared" ca="1" si="8"/>
        <v>16573</v>
      </c>
      <c r="L18">
        <f t="shared" ca="1" si="10"/>
        <v>1317.4721999999999</v>
      </c>
      <c r="M18">
        <f t="shared" ca="1" si="11"/>
        <v>1012.7370222222221</v>
      </c>
      <c r="N18">
        <f t="shared" ca="1" si="12"/>
        <v>708.00184444444437</v>
      </c>
      <c r="O18" s="2">
        <f t="shared" ca="1" si="7"/>
        <v>403.26666666666665</v>
      </c>
      <c r="P18">
        <f t="shared" ca="1" si="13"/>
        <v>98.53148888888893</v>
      </c>
      <c r="Q18">
        <f t="shared" ca="1" si="14"/>
        <v>0</v>
      </c>
      <c r="R18">
        <v>0</v>
      </c>
      <c r="S18">
        <f t="shared" si="15"/>
        <v>17</v>
      </c>
    </row>
    <row r="19" spans="1:19" ht="14" customHeight="1" x14ac:dyDescent="0.2">
      <c r="C19">
        <f t="shared" ca="1" si="0"/>
        <v>18562.561392156862</v>
      </c>
      <c r="D19">
        <f t="shared" ca="1" si="1"/>
        <v>18204.998281045751</v>
      </c>
      <c r="E19">
        <f t="shared" ca="1" si="2"/>
        <v>17847.435169934641</v>
      </c>
      <c r="F19">
        <f t="shared" si="3"/>
        <v>17489.87205882353</v>
      </c>
      <c r="G19">
        <f t="shared" ca="1" si="4"/>
        <v>17132.308947712419</v>
      </c>
      <c r="H19">
        <f t="shared" ca="1" si="5"/>
        <v>16774.745836601309</v>
      </c>
      <c r="I19">
        <f t="shared" ca="1" si="6"/>
        <v>16417.182725490198</v>
      </c>
      <c r="J19">
        <f t="shared" ca="1" si="8"/>
        <v>16573</v>
      </c>
      <c r="K19" t="str">
        <f t="shared" ca="1" si="9"/>
        <v/>
      </c>
      <c r="L19">
        <f t="shared" ca="1" si="10"/>
        <v>1317.4721999999999</v>
      </c>
      <c r="M19">
        <f t="shared" ca="1" si="11"/>
        <v>1012.7370222222221</v>
      </c>
      <c r="N19">
        <f t="shared" ca="1" si="12"/>
        <v>708.00184444444437</v>
      </c>
      <c r="O19" s="2">
        <f t="shared" ca="1" si="7"/>
        <v>403.26666666666665</v>
      </c>
      <c r="P19">
        <f t="shared" ca="1" si="13"/>
        <v>98.53148888888893</v>
      </c>
      <c r="Q19">
        <f t="shared" ca="1" si="14"/>
        <v>0</v>
      </c>
      <c r="R19">
        <v>0</v>
      </c>
      <c r="S19">
        <f t="shared" si="15"/>
        <v>18</v>
      </c>
    </row>
    <row r="20" spans="1:19" ht="14" customHeight="1" x14ac:dyDescent="0.2">
      <c r="C20">
        <f t="shared" ca="1" si="0"/>
        <v>18962.258450980389</v>
      </c>
      <c r="D20">
        <f t="shared" ca="1" si="1"/>
        <v>18604.695339869279</v>
      </c>
      <c r="E20">
        <f t="shared" ca="1" si="2"/>
        <v>18247.132228758168</v>
      </c>
      <c r="F20">
        <f t="shared" si="3"/>
        <v>17889.569117647057</v>
      </c>
      <c r="G20">
        <f t="shared" ca="1" si="4"/>
        <v>17532.006006535947</v>
      </c>
      <c r="H20">
        <f t="shared" ca="1" si="5"/>
        <v>17174.442895424836</v>
      </c>
      <c r="I20">
        <f t="shared" ca="1" si="6"/>
        <v>16816.879784313725</v>
      </c>
      <c r="J20">
        <f t="shared" ca="1" si="8"/>
        <v>16573</v>
      </c>
      <c r="K20" t="str">
        <f t="shared" ca="1" si="9"/>
        <v/>
      </c>
      <c r="L20">
        <f t="shared" ca="1" si="10"/>
        <v>1317.4721999999999</v>
      </c>
      <c r="M20">
        <f t="shared" ca="1" si="11"/>
        <v>1012.7370222222221</v>
      </c>
      <c r="N20">
        <f t="shared" ca="1" si="12"/>
        <v>708.00184444444437</v>
      </c>
      <c r="O20" s="2">
        <f t="shared" ca="1" si="7"/>
        <v>403.26666666666665</v>
      </c>
      <c r="P20">
        <f t="shared" ca="1" si="13"/>
        <v>98.53148888888893</v>
      </c>
      <c r="Q20">
        <f t="shared" ca="1" si="14"/>
        <v>0</v>
      </c>
      <c r="R20">
        <v>0</v>
      </c>
      <c r="S20">
        <f t="shared" si="15"/>
        <v>19</v>
      </c>
    </row>
    <row r="21" spans="1:19" ht="14" customHeight="1" x14ac:dyDescent="0.2">
      <c r="C21">
        <f t="shared" ca="1" si="0"/>
        <v>19361.95550980392</v>
      </c>
      <c r="D21">
        <f t="shared" ca="1" si="1"/>
        <v>19004.392398692809</v>
      </c>
      <c r="E21">
        <f t="shared" ca="1" si="2"/>
        <v>18646.829287581699</v>
      </c>
      <c r="F21">
        <f t="shared" si="3"/>
        <v>18289.266176470588</v>
      </c>
      <c r="G21">
        <f t="shared" ca="1" si="4"/>
        <v>17931.703065359477</v>
      </c>
      <c r="H21">
        <f t="shared" ca="1" si="5"/>
        <v>17574.139954248367</v>
      </c>
      <c r="I21">
        <f t="shared" ca="1" si="6"/>
        <v>17216.576843137256</v>
      </c>
      <c r="J21">
        <f t="shared" ca="1" si="8"/>
        <v>16573</v>
      </c>
      <c r="K21" t="str">
        <f t="shared" ca="1" si="9"/>
        <v/>
      </c>
      <c r="L21">
        <f t="shared" ca="1" si="10"/>
        <v>1317.4721999999999</v>
      </c>
      <c r="M21">
        <f t="shared" ca="1" si="11"/>
        <v>1012.7370222222221</v>
      </c>
      <c r="N21">
        <f t="shared" ca="1" si="12"/>
        <v>708.00184444444437</v>
      </c>
      <c r="O21" s="2">
        <f t="shared" ca="1" si="7"/>
        <v>403.26666666666665</v>
      </c>
      <c r="P21">
        <f t="shared" ca="1" si="13"/>
        <v>98.53148888888893</v>
      </c>
      <c r="Q21">
        <f t="shared" ca="1" si="14"/>
        <v>0</v>
      </c>
      <c r="R21">
        <v>0</v>
      </c>
      <c r="S21">
        <f t="shared" si="15"/>
        <v>20</v>
      </c>
    </row>
    <row r="22" spans="1:19" ht="14" customHeight="1" x14ac:dyDescent="0.2">
      <c r="C22">
        <f t="shared" ca="1" si="0"/>
        <v>19761.652568627451</v>
      </c>
      <c r="D22">
        <f t="shared" ca="1" si="1"/>
        <v>19404.08945751634</v>
      </c>
      <c r="E22">
        <f t="shared" ca="1" si="2"/>
        <v>19046.52634640523</v>
      </c>
      <c r="F22">
        <f t="shared" si="3"/>
        <v>18688.963235294119</v>
      </c>
      <c r="G22">
        <f t="shared" ca="1" si="4"/>
        <v>18331.400124183008</v>
      </c>
      <c r="H22">
        <f t="shared" ca="1" si="5"/>
        <v>17973.837013071898</v>
      </c>
      <c r="I22">
        <f t="shared" ca="1" si="6"/>
        <v>17616.273901960787</v>
      </c>
      <c r="J22">
        <f t="shared" ca="1" si="8"/>
        <v>16573</v>
      </c>
      <c r="K22" t="str">
        <f t="shared" ca="1" si="9"/>
        <v/>
      </c>
      <c r="L22">
        <f t="shared" ca="1" si="10"/>
        <v>1317.4721999999999</v>
      </c>
      <c r="M22">
        <f t="shared" ca="1" si="11"/>
        <v>1012.7370222222221</v>
      </c>
      <c r="N22">
        <f t="shared" ca="1" si="12"/>
        <v>708.00184444444437</v>
      </c>
      <c r="O22" s="2">
        <f t="shared" ca="1" si="7"/>
        <v>403.26666666666665</v>
      </c>
      <c r="P22">
        <f t="shared" ca="1" si="13"/>
        <v>98.53148888888893</v>
      </c>
      <c r="Q22">
        <f t="shared" ca="1" si="14"/>
        <v>0</v>
      </c>
      <c r="R22">
        <v>0</v>
      </c>
      <c r="S22">
        <f t="shared" si="15"/>
        <v>21</v>
      </c>
    </row>
    <row r="23" spans="1:19" ht="14" customHeight="1" x14ac:dyDescent="0.2">
      <c r="C23">
        <f t="shared" ca="1" si="0"/>
        <v>20161.349627450978</v>
      </c>
      <c r="D23">
        <f t="shared" ca="1" si="1"/>
        <v>19803.786516339867</v>
      </c>
      <c r="E23">
        <f t="shared" ca="1" si="2"/>
        <v>19446.223405228757</v>
      </c>
      <c r="F23">
        <f t="shared" si="3"/>
        <v>19088.660294117646</v>
      </c>
      <c r="G23">
        <f t="shared" ca="1" si="4"/>
        <v>18731.097183006535</v>
      </c>
      <c r="H23">
        <f t="shared" ca="1" si="5"/>
        <v>18373.534071895425</v>
      </c>
      <c r="I23">
        <f t="shared" ca="1" si="6"/>
        <v>18015.970960784314</v>
      </c>
      <c r="J23">
        <f t="shared" ca="1" si="8"/>
        <v>16573</v>
      </c>
      <c r="K23" t="str">
        <f t="shared" ca="1" si="9"/>
        <v/>
      </c>
      <c r="L23">
        <f t="shared" ca="1" si="10"/>
        <v>1317.4721999999999</v>
      </c>
      <c r="M23">
        <f t="shared" ca="1" si="11"/>
        <v>1012.7370222222221</v>
      </c>
      <c r="N23">
        <f t="shared" ca="1" si="12"/>
        <v>708.00184444444437</v>
      </c>
      <c r="O23" s="2">
        <f t="shared" ca="1" si="7"/>
        <v>403.26666666666665</v>
      </c>
      <c r="P23">
        <f t="shared" ca="1" si="13"/>
        <v>98.53148888888893</v>
      </c>
      <c r="Q23">
        <f t="shared" ca="1" si="14"/>
        <v>0</v>
      </c>
      <c r="R23">
        <v>0</v>
      </c>
      <c r="S23">
        <f t="shared" si="15"/>
        <v>22</v>
      </c>
    </row>
    <row r="24" spans="1:19" ht="14" customHeight="1" x14ac:dyDescent="0.2">
      <c r="C24">
        <f t="shared" ca="1" si="0"/>
        <v>20561.046686274509</v>
      </c>
      <c r="D24">
        <f t="shared" ca="1" si="1"/>
        <v>20203.483575163398</v>
      </c>
      <c r="E24">
        <f t="shared" ca="1" si="2"/>
        <v>19845.920464052288</v>
      </c>
      <c r="F24">
        <f t="shared" si="3"/>
        <v>19488.357352941177</v>
      </c>
      <c r="G24">
        <f t="shared" ca="1" si="4"/>
        <v>19130.794241830066</v>
      </c>
      <c r="H24">
        <f t="shared" ca="1" si="5"/>
        <v>18773.231130718956</v>
      </c>
      <c r="I24">
        <f t="shared" ca="1" si="6"/>
        <v>18415.668019607845</v>
      </c>
      <c r="J24">
        <f t="shared" ca="1" si="8"/>
        <v>16573</v>
      </c>
      <c r="K24" t="str">
        <f t="shared" ca="1" si="9"/>
        <v/>
      </c>
      <c r="L24">
        <f t="shared" ca="1" si="10"/>
        <v>1317.4721999999999</v>
      </c>
      <c r="M24">
        <f t="shared" ca="1" si="11"/>
        <v>1012.7370222222221</v>
      </c>
      <c r="N24">
        <f t="shared" ca="1" si="12"/>
        <v>708.00184444444437</v>
      </c>
      <c r="O24" s="2">
        <f t="shared" ca="1" si="7"/>
        <v>403.26666666666665</v>
      </c>
      <c r="P24">
        <f t="shared" ca="1" si="13"/>
        <v>98.53148888888893</v>
      </c>
      <c r="Q24">
        <f t="shared" ca="1" si="14"/>
        <v>0</v>
      </c>
      <c r="R24">
        <v>0</v>
      </c>
      <c r="S24">
        <f t="shared" si="15"/>
        <v>23</v>
      </c>
    </row>
    <row r="25" spans="1:19" ht="14" customHeight="1" x14ac:dyDescent="0.2">
      <c r="C25">
        <f t="shared" ca="1" si="0"/>
        <v>20960.74374509804</v>
      </c>
      <c r="D25">
        <f t="shared" ca="1" si="1"/>
        <v>20603.180633986929</v>
      </c>
      <c r="E25">
        <f t="shared" ca="1" si="2"/>
        <v>20245.617522875818</v>
      </c>
      <c r="F25">
        <f t="shared" si="3"/>
        <v>19888.054411764708</v>
      </c>
      <c r="G25">
        <f t="shared" ca="1" si="4"/>
        <v>19530.491300653597</v>
      </c>
      <c r="H25">
        <f t="shared" ca="1" si="5"/>
        <v>19172.928189542487</v>
      </c>
      <c r="I25">
        <f t="shared" ca="1" si="6"/>
        <v>18815.365078431376</v>
      </c>
      <c r="J25">
        <f t="shared" ca="1" si="8"/>
        <v>16573</v>
      </c>
      <c r="K25" t="str">
        <f t="shared" ca="1" si="9"/>
        <v/>
      </c>
      <c r="L25">
        <f t="shared" ca="1" si="10"/>
        <v>1317.4721999999999</v>
      </c>
      <c r="M25">
        <f t="shared" ca="1" si="11"/>
        <v>1012.7370222222221</v>
      </c>
      <c r="N25">
        <f t="shared" ca="1" si="12"/>
        <v>708.00184444444437</v>
      </c>
      <c r="O25" s="2">
        <f t="shared" ca="1" si="7"/>
        <v>403.26666666666665</v>
      </c>
      <c r="P25">
        <f t="shared" ca="1" si="13"/>
        <v>98.53148888888893</v>
      </c>
      <c r="Q25">
        <f t="shared" ca="1" si="14"/>
        <v>0</v>
      </c>
      <c r="R25">
        <v>0</v>
      </c>
      <c r="S25">
        <f t="shared" si="15"/>
        <v>24</v>
      </c>
    </row>
    <row r="26" spans="1:19" ht="14" customHeight="1" x14ac:dyDescent="0.2">
      <c r="C26">
        <f t="shared" ca="1" si="0"/>
        <v>21360.440803921567</v>
      </c>
      <c r="D26">
        <f t="shared" ca="1" si="1"/>
        <v>21002.877692810456</v>
      </c>
      <c r="E26">
        <f t="shared" ca="1" si="2"/>
        <v>20645.314581699346</v>
      </c>
      <c r="F26">
        <f t="shared" si="3"/>
        <v>20287.751470588235</v>
      </c>
      <c r="G26">
        <f t="shared" ca="1" si="4"/>
        <v>19930.188359477124</v>
      </c>
      <c r="H26">
        <f t="shared" ca="1" si="5"/>
        <v>19572.625248366014</v>
      </c>
      <c r="I26">
        <f t="shared" ca="1" si="6"/>
        <v>19215.062137254903</v>
      </c>
      <c r="J26">
        <f t="shared" ca="1" si="8"/>
        <v>16573</v>
      </c>
      <c r="K26" t="str">
        <f t="shared" ca="1" si="9"/>
        <v/>
      </c>
      <c r="L26">
        <f t="shared" ca="1" si="10"/>
        <v>1317.4721999999999</v>
      </c>
      <c r="M26">
        <f t="shared" ca="1" si="11"/>
        <v>1012.7370222222221</v>
      </c>
      <c r="N26">
        <f t="shared" ca="1" si="12"/>
        <v>708.00184444444437</v>
      </c>
      <c r="O26" s="2">
        <f t="shared" ca="1" si="7"/>
        <v>403.26666666666665</v>
      </c>
      <c r="P26">
        <f t="shared" ca="1" si="13"/>
        <v>98.53148888888893</v>
      </c>
      <c r="Q26">
        <f t="shared" ca="1" si="14"/>
        <v>0</v>
      </c>
      <c r="R26">
        <v>0</v>
      </c>
      <c r="S26">
        <f t="shared" si="15"/>
        <v>25</v>
      </c>
    </row>
    <row r="27" spans="1:19" ht="14" customHeight="1" x14ac:dyDescent="0.2">
      <c r="C27">
        <f t="shared" ca="1" si="0"/>
        <v>21760.137862745098</v>
      </c>
      <c r="D27">
        <f t="shared" ca="1" si="1"/>
        <v>21402.574751633987</v>
      </c>
      <c r="E27">
        <f t="shared" ca="1" si="2"/>
        <v>21045.011640522876</v>
      </c>
      <c r="F27">
        <f t="shared" si="3"/>
        <v>20687.448529411766</v>
      </c>
      <c r="G27">
        <f t="shared" ca="1" si="4"/>
        <v>20329.885418300655</v>
      </c>
      <c r="H27">
        <f t="shared" ca="1" si="5"/>
        <v>19972.322307189545</v>
      </c>
      <c r="I27">
        <f t="shared" ca="1" si="6"/>
        <v>19614.759196078434</v>
      </c>
      <c r="J27">
        <f t="shared" ca="1" si="8"/>
        <v>16573</v>
      </c>
      <c r="K27" t="str">
        <f t="shared" ca="1" si="9"/>
        <v/>
      </c>
      <c r="L27">
        <f t="shared" ca="1" si="10"/>
        <v>1317.4721999999999</v>
      </c>
      <c r="M27">
        <f t="shared" ca="1" si="11"/>
        <v>1012.7370222222221</v>
      </c>
      <c r="N27">
        <f t="shared" ca="1" si="12"/>
        <v>708.00184444444437</v>
      </c>
      <c r="O27" s="2">
        <f t="shared" ca="1" si="7"/>
        <v>403.26666666666665</v>
      </c>
      <c r="P27">
        <f t="shared" ca="1" si="13"/>
        <v>98.53148888888893</v>
      </c>
      <c r="Q27">
        <f t="shared" ca="1" si="14"/>
        <v>0</v>
      </c>
      <c r="R27">
        <v>0</v>
      </c>
      <c r="S27">
        <f t="shared" si="15"/>
        <v>26</v>
      </c>
    </row>
    <row r="28" spans="1:19" ht="14" customHeight="1" x14ac:dyDescent="0.2">
      <c r="C28">
        <f t="shared" ca="1" si="0"/>
        <v>22159.834921568628</v>
      </c>
      <c r="D28">
        <f t="shared" ca="1" si="1"/>
        <v>21802.271810457518</v>
      </c>
      <c r="E28">
        <f t="shared" ca="1" si="2"/>
        <v>21444.708699346407</v>
      </c>
      <c r="F28">
        <f t="shared" si="3"/>
        <v>21087.145588235297</v>
      </c>
      <c r="G28">
        <f t="shared" ca="1" si="4"/>
        <v>20729.582477124186</v>
      </c>
      <c r="H28">
        <f t="shared" ca="1" si="5"/>
        <v>20372.019366013075</v>
      </c>
      <c r="I28">
        <f t="shared" ca="1" si="6"/>
        <v>20014.456254901965</v>
      </c>
      <c r="J28">
        <f t="shared" ca="1" si="8"/>
        <v>16573</v>
      </c>
      <c r="K28" t="str">
        <f t="shared" ca="1" si="9"/>
        <v/>
      </c>
      <c r="L28">
        <f t="shared" ca="1" si="10"/>
        <v>1317.4721999999999</v>
      </c>
      <c r="M28">
        <f t="shared" ca="1" si="11"/>
        <v>1012.7370222222221</v>
      </c>
      <c r="N28">
        <f t="shared" ca="1" si="12"/>
        <v>708.00184444444437</v>
      </c>
      <c r="O28" s="2">
        <f t="shared" ca="1" si="7"/>
        <v>403.26666666666665</v>
      </c>
      <c r="P28">
        <f t="shared" ca="1" si="13"/>
        <v>98.53148888888893</v>
      </c>
      <c r="Q28">
        <f t="shared" ca="1" si="14"/>
        <v>0</v>
      </c>
      <c r="R28">
        <v>0</v>
      </c>
      <c r="S28">
        <f t="shared" si="15"/>
        <v>27</v>
      </c>
    </row>
    <row r="29" spans="1:19" ht="14" customHeight="1" x14ac:dyDescent="0.2">
      <c r="C29">
        <f t="shared" ca="1" si="0"/>
        <v>22559.531980392156</v>
      </c>
      <c r="D29">
        <f t="shared" ca="1" si="1"/>
        <v>22201.968869281045</v>
      </c>
      <c r="E29">
        <f t="shared" ca="1" si="2"/>
        <v>21844.405758169934</v>
      </c>
      <c r="F29">
        <f t="shared" si="3"/>
        <v>21486.842647058824</v>
      </c>
      <c r="G29">
        <f t="shared" ca="1" si="4"/>
        <v>21129.279535947713</v>
      </c>
      <c r="H29">
        <f t="shared" ca="1" si="5"/>
        <v>20771.716424836603</v>
      </c>
      <c r="I29">
        <f t="shared" ca="1" si="6"/>
        <v>20414.153313725492</v>
      </c>
      <c r="J29">
        <f t="shared" ca="1" si="8"/>
        <v>16573</v>
      </c>
      <c r="K29" t="str">
        <f t="shared" ca="1" si="9"/>
        <v/>
      </c>
      <c r="L29">
        <f t="shared" ca="1" si="10"/>
        <v>1317.4721999999999</v>
      </c>
      <c r="M29">
        <f t="shared" ca="1" si="11"/>
        <v>1012.7370222222221</v>
      </c>
      <c r="N29">
        <f t="shared" ca="1" si="12"/>
        <v>708.00184444444437</v>
      </c>
      <c r="O29" s="2">
        <f t="shared" ca="1" si="7"/>
        <v>403.26666666666665</v>
      </c>
      <c r="P29">
        <f t="shared" ca="1" si="13"/>
        <v>98.53148888888893</v>
      </c>
      <c r="Q29">
        <f t="shared" ca="1" si="14"/>
        <v>0</v>
      </c>
      <c r="R29">
        <v>0</v>
      </c>
      <c r="S29">
        <f t="shared" si="15"/>
        <v>28</v>
      </c>
    </row>
    <row r="30" spans="1:19" ht="14" customHeight="1" x14ac:dyDescent="0.2">
      <c r="C30">
        <f t="shared" ca="1" si="0"/>
        <v>22959.229039215683</v>
      </c>
      <c r="D30">
        <f t="shared" ca="1" si="1"/>
        <v>22601.665928104572</v>
      </c>
      <c r="E30">
        <f t="shared" ca="1" si="2"/>
        <v>22244.102816993462</v>
      </c>
      <c r="F30">
        <f t="shared" si="3"/>
        <v>21886.539705882351</v>
      </c>
      <c r="G30">
        <f t="shared" ca="1" si="4"/>
        <v>21528.97659477124</v>
      </c>
      <c r="H30">
        <f t="shared" ca="1" si="5"/>
        <v>21171.41348366013</v>
      </c>
      <c r="I30">
        <f t="shared" ca="1" si="6"/>
        <v>20813.850372549019</v>
      </c>
      <c r="J30">
        <f t="shared" ca="1" si="8"/>
        <v>16573</v>
      </c>
      <c r="K30" t="str">
        <f t="shared" ca="1" si="9"/>
        <v/>
      </c>
      <c r="L30">
        <f t="shared" ca="1" si="10"/>
        <v>1317.4721999999999</v>
      </c>
      <c r="M30">
        <f t="shared" ca="1" si="11"/>
        <v>1012.7370222222221</v>
      </c>
      <c r="N30">
        <f t="shared" ca="1" si="12"/>
        <v>708.00184444444437</v>
      </c>
      <c r="O30" s="2">
        <f t="shared" ca="1" si="7"/>
        <v>403.26666666666665</v>
      </c>
      <c r="P30">
        <f t="shared" ca="1" si="13"/>
        <v>98.53148888888893</v>
      </c>
      <c r="Q30">
        <f t="shared" ca="1" si="14"/>
        <v>0</v>
      </c>
      <c r="R30">
        <v>0</v>
      </c>
      <c r="S30">
        <f t="shared" si="15"/>
        <v>29</v>
      </c>
    </row>
    <row r="31" spans="1:19" ht="14" customHeight="1" x14ac:dyDescent="0.2">
      <c r="C31">
        <f t="shared" ca="1" si="0"/>
        <v>23358.926098039217</v>
      </c>
      <c r="D31">
        <f t="shared" ca="1" si="1"/>
        <v>23001.362986928107</v>
      </c>
      <c r="E31">
        <f t="shared" ca="1" si="2"/>
        <v>22643.799875816996</v>
      </c>
      <c r="F31">
        <f t="shared" si="3"/>
        <v>22286.236764705885</v>
      </c>
      <c r="G31">
        <f t="shared" ca="1" si="4"/>
        <v>21928.673653594775</v>
      </c>
      <c r="H31">
        <f t="shared" ca="1" si="5"/>
        <v>21571.110542483664</v>
      </c>
      <c r="I31">
        <f t="shared" ca="1" si="6"/>
        <v>21213.547431372554</v>
      </c>
      <c r="J31">
        <f t="shared" ca="1" si="8"/>
        <v>16573</v>
      </c>
      <c r="K31" t="str">
        <f t="shared" ca="1" si="9"/>
        <v/>
      </c>
      <c r="L31">
        <f t="shared" ca="1" si="10"/>
        <v>1317.4721999999999</v>
      </c>
      <c r="M31">
        <f t="shared" ca="1" si="11"/>
        <v>1012.7370222222221</v>
      </c>
      <c r="N31">
        <f t="shared" ca="1" si="12"/>
        <v>708.00184444444437</v>
      </c>
      <c r="O31" s="2">
        <f t="shared" ca="1" si="7"/>
        <v>403.26666666666665</v>
      </c>
      <c r="P31">
        <f t="shared" ca="1" si="13"/>
        <v>98.53148888888893</v>
      </c>
      <c r="Q31">
        <f t="shared" ca="1" si="14"/>
        <v>0</v>
      </c>
      <c r="R31">
        <v>0</v>
      </c>
      <c r="S31">
        <f t="shared" si="15"/>
        <v>30</v>
      </c>
    </row>
    <row r="32" spans="1:19" ht="14" customHeight="1" x14ac:dyDescent="0.2">
      <c r="C32">
        <f t="shared" ca="1" si="0"/>
        <v>23758.623156862745</v>
      </c>
      <c r="D32">
        <f t="shared" ca="1" si="1"/>
        <v>23401.060045751634</v>
      </c>
      <c r="E32">
        <f t="shared" ca="1" si="2"/>
        <v>23043.496934640523</v>
      </c>
      <c r="F32">
        <f t="shared" si="3"/>
        <v>22685.933823529413</v>
      </c>
      <c r="G32">
        <f t="shared" ca="1" si="4"/>
        <v>22328.370712418302</v>
      </c>
      <c r="H32">
        <f t="shared" ca="1" si="5"/>
        <v>21970.807601307191</v>
      </c>
      <c r="I32">
        <f t="shared" ca="1" si="6"/>
        <v>21613.244490196081</v>
      </c>
      <c r="J32">
        <f t="shared" ca="1" si="8"/>
        <v>16573</v>
      </c>
      <c r="K32" t="str">
        <f t="shared" ca="1" si="9"/>
        <v/>
      </c>
      <c r="L32">
        <f t="shared" ca="1" si="10"/>
        <v>1317.4721999999999</v>
      </c>
      <c r="M32">
        <f t="shared" ca="1" si="11"/>
        <v>1012.7370222222221</v>
      </c>
      <c r="N32">
        <f t="shared" ca="1" si="12"/>
        <v>708.00184444444437</v>
      </c>
      <c r="O32" s="2">
        <f t="shared" ca="1" si="7"/>
        <v>403.26666666666665</v>
      </c>
      <c r="P32">
        <f t="shared" ca="1" si="13"/>
        <v>98.53148888888893</v>
      </c>
      <c r="Q32">
        <f t="shared" ca="1" si="14"/>
        <v>0</v>
      </c>
      <c r="R32">
        <v>0</v>
      </c>
      <c r="S32">
        <f t="shared" si="15"/>
        <v>31</v>
      </c>
    </row>
    <row r="33" spans="3:19" ht="14" customHeight="1" x14ac:dyDescent="0.2">
      <c r="C33">
        <f t="shared" ca="1" si="0"/>
        <v>24158.320215686272</v>
      </c>
      <c r="D33">
        <f t="shared" ca="1" si="1"/>
        <v>23800.757104575161</v>
      </c>
      <c r="E33">
        <f t="shared" ca="1" si="2"/>
        <v>23443.19399346405</v>
      </c>
      <c r="F33">
        <f t="shared" si="3"/>
        <v>23085.63088235294</v>
      </c>
      <c r="G33">
        <f t="shared" ca="1" si="4"/>
        <v>22728.067771241829</v>
      </c>
      <c r="H33">
        <f t="shared" ca="1" si="5"/>
        <v>22370.504660130719</v>
      </c>
      <c r="I33">
        <f t="shared" ca="1" si="6"/>
        <v>22012.941549019608</v>
      </c>
      <c r="J33">
        <f t="shared" ca="1" si="8"/>
        <v>16573</v>
      </c>
      <c r="K33" t="str">
        <f t="shared" ca="1" si="9"/>
        <v/>
      </c>
      <c r="L33">
        <f t="shared" ca="1" si="10"/>
        <v>1317.4721999999999</v>
      </c>
      <c r="M33">
        <f t="shared" ca="1" si="11"/>
        <v>1012.7370222222221</v>
      </c>
      <c r="N33">
        <f t="shared" ca="1" si="12"/>
        <v>708.00184444444437</v>
      </c>
      <c r="O33" s="2">
        <f t="shared" ca="1" si="7"/>
        <v>403.26666666666665</v>
      </c>
      <c r="P33">
        <f t="shared" ca="1" si="13"/>
        <v>98.53148888888893</v>
      </c>
      <c r="Q33">
        <f t="shared" ca="1" si="14"/>
        <v>0</v>
      </c>
      <c r="R33">
        <v>0</v>
      </c>
      <c r="S33">
        <f t="shared" si="15"/>
        <v>32</v>
      </c>
    </row>
    <row r="34" spans="3:19" ht="14" customHeight="1" x14ac:dyDescent="0.2">
      <c r="C34">
        <f t="shared" ca="1" si="0"/>
        <v>24558.017274509803</v>
      </c>
      <c r="D34">
        <f t="shared" ca="1" si="1"/>
        <v>24200.454163398692</v>
      </c>
      <c r="E34">
        <f t="shared" ca="1" si="2"/>
        <v>23842.891052287581</v>
      </c>
      <c r="F34">
        <f t="shared" si="3"/>
        <v>23485.327941176471</v>
      </c>
      <c r="G34">
        <f t="shared" ca="1" si="4"/>
        <v>23127.76483006536</v>
      </c>
      <c r="H34">
        <f t="shared" ca="1" si="5"/>
        <v>22770.201718954249</v>
      </c>
      <c r="I34">
        <f t="shared" ca="1" si="6"/>
        <v>22412.638607843139</v>
      </c>
      <c r="J34">
        <f t="shared" ca="1" si="8"/>
        <v>16573</v>
      </c>
      <c r="K34" t="str">
        <f t="shared" ca="1" si="9"/>
        <v/>
      </c>
      <c r="L34">
        <f t="shared" ca="1" si="10"/>
        <v>1317.4721999999999</v>
      </c>
      <c r="M34">
        <f t="shared" ca="1" si="11"/>
        <v>1012.7370222222221</v>
      </c>
      <c r="N34">
        <f t="shared" ca="1" si="12"/>
        <v>708.00184444444437</v>
      </c>
      <c r="O34" s="2">
        <f t="shared" ca="1" si="7"/>
        <v>403.26666666666665</v>
      </c>
      <c r="P34">
        <f t="shared" ca="1" si="13"/>
        <v>98.53148888888893</v>
      </c>
      <c r="Q34">
        <f t="shared" ca="1" si="14"/>
        <v>0</v>
      </c>
      <c r="R34">
        <v>0</v>
      </c>
      <c r="S34">
        <f t="shared" si="15"/>
        <v>33</v>
      </c>
    </row>
    <row r="35" spans="3:19" ht="14" customHeight="1" x14ac:dyDescent="0.2">
      <c r="C35">
        <f t="shared" ca="1" si="0"/>
        <v>24957.714333333333</v>
      </c>
      <c r="D35">
        <f t="shared" ca="1" si="1"/>
        <v>24600.151222222223</v>
      </c>
      <c r="E35">
        <f t="shared" ca="1" si="2"/>
        <v>24242.588111111112</v>
      </c>
      <c r="F35">
        <f t="shared" si="3"/>
        <v>23885.025000000001</v>
      </c>
      <c r="G35">
        <f t="shared" ca="1" si="4"/>
        <v>23527.461888888891</v>
      </c>
      <c r="H35">
        <f t="shared" ca="1" si="5"/>
        <v>23169.89877777778</v>
      </c>
      <c r="I35">
        <f t="shared" ca="1" si="6"/>
        <v>22812.33566666667</v>
      </c>
      <c r="J35">
        <f t="shared" ca="1" si="8"/>
        <v>16573</v>
      </c>
      <c r="K35" t="str">
        <f t="shared" ca="1" si="9"/>
        <v/>
      </c>
      <c r="L35">
        <f t="shared" ca="1" si="10"/>
        <v>1317.4721999999999</v>
      </c>
      <c r="M35">
        <f t="shared" ca="1" si="11"/>
        <v>1012.7370222222221</v>
      </c>
      <c r="N35">
        <f t="shared" ca="1" si="12"/>
        <v>708.00184444444437</v>
      </c>
      <c r="O35" s="2">
        <f t="shared" ca="1" si="7"/>
        <v>403.26666666666665</v>
      </c>
      <c r="P35">
        <f t="shared" ca="1" si="13"/>
        <v>98.53148888888893</v>
      </c>
      <c r="Q35">
        <f t="shared" ca="1" si="14"/>
        <v>0</v>
      </c>
      <c r="R35">
        <v>0</v>
      </c>
      <c r="S35">
        <f t="shared" si="15"/>
        <v>34</v>
      </c>
    </row>
    <row r="36" spans="3:19" ht="14" customHeight="1" x14ac:dyDescent="0.2">
      <c r="C36">
        <f t="shared" ca="1" si="0"/>
        <v>25357.411392156861</v>
      </c>
      <c r="D36">
        <f t="shared" ca="1" si="1"/>
        <v>24999.84828104575</v>
      </c>
      <c r="E36">
        <f t="shared" ca="1" si="2"/>
        <v>24642.285169934639</v>
      </c>
      <c r="F36">
        <f t="shared" si="3"/>
        <v>24284.722058823529</v>
      </c>
      <c r="G36">
        <f t="shared" ca="1" si="4"/>
        <v>23927.158947712418</v>
      </c>
      <c r="H36">
        <f t="shared" ca="1" si="5"/>
        <v>23569.595836601307</v>
      </c>
      <c r="I36">
        <f t="shared" ca="1" si="6"/>
        <v>23212.032725490197</v>
      </c>
      <c r="J36">
        <f t="shared" ca="1" si="8"/>
        <v>16573</v>
      </c>
      <c r="K36" t="str">
        <f t="shared" ca="1" si="9"/>
        <v/>
      </c>
      <c r="L36">
        <f t="shared" ca="1" si="10"/>
        <v>1317.4721999999999</v>
      </c>
      <c r="M36">
        <f t="shared" ca="1" si="11"/>
        <v>1012.7370222222221</v>
      </c>
      <c r="N36">
        <f t="shared" ca="1" si="12"/>
        <v>708.00184444444437</v>
      </c>
      <c r="O36" s="2">
        <f t="shared" ca="1" si="7"/>
        <v>403.26666666666665</v>
      </c>
      <c r="P36">
        <f t="shared" ca="1" si="13"/>
        <v>98.53148888888893</v>
      </c>
      <c r="Q36">
        <f t="shared" ca="1" si="14"/>
        <v>0</v>
      </c>
      <c r="R36">
        <v>0</v>
      </c>
      <c r="S36">
        <f t="shared" si="15"/>
        <v>35</v>
      </c>
    </row>
    <row r="37" spans="3:19" ht="14" customHeight="1" x14ac:dyDescent="0.2">
      <c r="C37">
        <f t="shared" ca="1" si="0"/>
        <v>25757.108450980391</v>
      </c>
      <c r="D37">
        <f t="shared" ca="1" si="1"/>
        <v>25399.545339869281</v>
      </c>
      <c r="E37">
        <f t="shared" ca="1" si="2"/>
        <v>25041.98222875817</v>
      </c>
      <c r="F37">
        <f t="shared" si="3"/>
        <v>24684.419117647059</v>
      </c>
      <c r="G37">
        <f t="shared" ca="1" si="4"/>
        <v>24326.856006535949</v>
      </c>
      <c r="H37">
        <f t="shared" ca="1" si="5"/>
        <v>23969.292895424838</v>
      </c>
      <c r="I37">
        <f t="shared" ca="1" si="6"/>
        <v>23611.729784313728</v>
      </c>
      <c r="J37">
        <f t="shared" ca="1" si="8"/>
        <v>16573</v>
      </c>
      <c r="K37" t="str">
        <f t="shared" ca="1" si="9"/>
        <v/>
      </c>
      <c r="L37">
        <f t="shared" ca="1" si="10"/>
        <v>1317.4721999999999</v>
      </c>
      <c r="M37">
        <f t="shared" ca="1" si="11"/>
        <v>1012.7370222222221</v>
      </c>
      <c r="N37">
        <f t="shared" ca="1" si="12"/>
        <v>708.00184444444437</v>
      </c>
      <c r="O37" s="2">
        <f t="shared" ca="1" si="7"/>
        <v>403.26666666666665</v>
      </c>
      <c r="P37">
        <f t="shared" ca="1" si="13"/>
        <v>98.53148888888893</v>
      </c>
      <c r="Q37">
        <f t="shared" ca="1" si="14"/>
        <v>0</v>
      </c>
      <c r="R37">
        <v>0</v>
      </c>
      <c r="S37">
        <f t="shared" si="15"/>
        <v>36</v>
      </c>
    </row>
    <row r="38" spans="3:19" ht="14" customHeight="1" x14ac:dyDescent="0.2"/>
    <row r="39" spans="3:19" ht="14" customHeight="1" x14ac:dyDescent="0.2"/>
    <row r="40" spans="3:19" ht="14" customHeight="1" x14ac:dyDescent="0.2"/>
    <row r="41" spans="3:19" ht="14" customHeight="1" x14ac:dyDescent="0.2"/>
    <row r="42" spans="3:19" ht="14" customHeight="1" x14ac:dyDescent="0.2"/>
    <row r="43" spans="3:19" ht="14" customHeight="1" x14ac:dyDescent="0.2"/>
    <row r="44" spans="3:19" ht="14" customHeight="1" x14ac:dyDescent="0.2"/>
    <row r="45" spans="3:19" ht="14" customHeight="1" x14ac:dyDescent="0.2"/>
    <row r="46" spans="3:19" ht="14" customHeight="1" x14ac:dyDescent="0.2"/>
    <row r="47" spans="3:19" ht="14" customHeight="1" x14ac:dyDescent="0.2"/>
    <row r="48" spans="3:19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1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6318-6A67-874B-8EBB-D3B2B1494CA3}">
  <sheetPr>
    <tabColor rgb="FF66FF66"/>
    <pageSetUpPr fitToPage="1"/>
  </sheetPr>
  <dimension ref="A1:Z52"/>
  <sheetViews>
    <sheetView zoomScale="174" zoomScaleNormal="174" workbookViewId="0">
      <selection activeCell="V25" sqref="V25"/>
    </sheetView>
  </sheetViews>
  <sheetFormatPr baseColWidth="10" defaultRowHeight="15" x14ac:dyDescent="0.2"/>
  <cols>
    <col min="1" max="1" width="5.1640625" bestFit="1" customWidth="1"/>
    <col min="2" max="21" width="7" customWidth="1"/>
  </cols>
  <sheetData>
    <row r="1" spans="1:26" ht="14" customHeight="1" x14ac:dyDescent="0.2">
      <c r="A1">
        <v>2009</v>
      </c>
      <c r="B1" s="2"/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t="s">
        <v>13</v>
      </c>
      <c r="K1" s="2" t="s">
        <v>14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t="s">
        <v>15</v>
      </c>
      <c r="U1" t="s">
        <v>23</v>
      </c>
      <c r="V1">
        <f>INDEX(LINEST($B$2:$B$16,,,TRUE),1,1)</f>
        <v>-8.2428571428571455</v>
      </c>
      <c r="W1" t="s">
        <v>24</v>
      </c>
      <c r="X1">
        <f>INDEX(LINEST($B$2:$B$16,,,TRUE),1,2)</f>
        <v>469.20952380952383</v>
      </c>
      <c r="Y1" t="s">
        <v>25</v>
      </c>
      <c r="Z1">
        <f>INDEX(LINEST($B$2:$B$16,,,TRUE),3,1)</f>
        <v>3.283582099365933E-2</v>
      </c>
    </row>
    <row r="2" spans="1:26" ht="14" customHeight="1" x14ac:dyDescent="0.2">
      <c r="A2">
        <v>2010</v>
      </c>
      <c r="B2" s="2">
        <v>234</v>
      </c>
      <c r="C2" s="2">
        <f t="shared" ref="C2:C36" ca="1" si="0">F2+2.66*O2</f>
        <v>1067.8266666666668</v>
      </c>
      <c r="D2" s="2">
        <f t="shared" ref="D2:D36" ca="1" si="1">F2+(2/3)*2.66*O2</f>
        <v>865.54</v>
      </c>
      <c r="E2" s="2">
        <f t="shared" ref="E2:E36" ca="1" si="2">F2+(1/3)*2.66*O2</f>
        <v>663.25333333333333</v>
      </c>
      <c r="F2" s="2">
        <f t="shared" ref="F2:F36" si="3">INDEX(LINEST($B$2:$B$16,,,TRUE),1,1)* S2 +INDEX(LINEST($B$2:$B$16,,,TRUE),1,2)</f>
        <v>460.9666666666667</v>
      </c>
      <c r="G2" s="2">
        <f t="shared" ref="G2:G36" ca="1" si="4">F2-(1/3)*2.66*O2</f>
        <v>258.68000000000006</v>
      </c>
      <c r="H2" s="2">
        <f t="shared" ref="H2:H36" ca="1" si="5">F2-(2/3)*2.66*O2</f>
        <v>56.393333333333374</v>
      </c>
      <c r="I2" s="2">
        <f t="shared" ref="I2:I36" ca="1" si="6">F2-2.66*O2</f>
        <v>-145.89333333333332</v>
      </c>
      <c r="J2">
        <f>B2</f>
        <v>234</v>
      </c>
      <c r="K2" s="2"/>
      <c r="L2" s="2"/>
      <c r="M2" s="2"/>
      <c r="N2" s="2"/>
      <c r="O2" s="2">
        <f t="shared" ref="O2:O36" ca="1" si="7">AVERAGE($K$3:$K$16)</f>
        <v>228.14285714285714</v>
      </c>
      <c r="P2" s="2"/>
      <c r="Q2" s="2"/>
      <c r="R2" s="2"/>
      <c r="S2">
        <v>1</v>
      </c>
    </row>
    <row r="3" spans="1:26" ht="14" customHeight="1" x14ac:dyDescent="0.2">
      <c r="A3">
        <v>2011</v>
      </c>
      <c r="B3" s="2">
        <v>875</v>
      </c>
      <c r="C3" s="2">
        <f t="shared" ca="1" si="0"/>
        <v>1059.5838095238096</v>
      </c>
      <c r="D3" s="2">
        <f t="shared" ca="1" si="1"/>
        <v>857.29714285714294</v>
      </c>
      <c r="E3" s="2">
        <f t="shared" ca="1" si="2"/>
        <v>655.0104761904762</v>
      </c>
      <c r="F3" s="2">
        <f t="shared" si="3"/>
        <v>452.72380952380956</v>
      </c>
      <c r="G3" s="2">
        <f t="shared" ca="1" si="4"/>
        <v>250.4371428571429</v>
      </c>
      <c r="H3" s="2">
        <f t="shared" ca="1" si="5"/>
        <v>48.15047619047624</v>
      </c>
      <c r="I3" s="2">
        <f t="shared" ca="1" si="6"/>
        <v>-154.13619047619045</v>
      </c>
      <c r="J3">
        <f t="shared" ref="J3:J36" ca="1" si="8">IF(ISBLANK(B3),OFFSET(J3,-1,0,1,1),B3)</f>
        <v>875</v>
      </c>
      <c r="K3" s="2">
        <f t="shared" ref="K3:K36" ca="1" si="9">IF(OR(OFFSET(K3,-1,-9,1,1)="",OFFSET(K3,0,-9,1,1)=""),"",IF(ISERROR(ABS(B3-OFFSET(K3,-1,-1,1,1))),"",ABS(B3-OFFSET(K3,-1,-1,1,1))))</f>
        <v>641</v>
      </c>
      <c r="L3" s="2">
        <f t="shared" ref="L3:L36" ca="1" si="10">3.267*O3</f>
        <v>745.34271428571424</v>
      </c>
      <c r="M3" s="2">
        <f t="shared" ref="M3:M36" ca="1" si="11">(2/3)*(L3-O3)+O3</f>
        <v>572.94276190476182</v>
      </c>
      <c r="N3" s="2">
        <f t="shared" ref="N3:N36" ca="1" si="12">(1/3)*(L3-O3)+O3</f>
        <v>400.54280952380952</v>
      </c>
      <c r="O3" s="2">
        <f t="shared" ca="1" si="7"/>
        <v>228.14285714285714</v>
      </c>
      <c r="P3" s="2">
        <f t="shared" ref="P3:P36" ca="1" si="13">(MAX(O3-(1/3)*(L3-O3),0))</f>
        <v>55.742904761904782</v>
      </c>
      <c r="Q3" s="2">
        <f t="shared" ref="Q3:Q36" ca="1" si="14">MAX(O3-(2/3)*(L3-O3),0)</f>
        <v>0</v>
      </c>
      <c r="R3" s="2">
        <v>0</v>
      </c>
      <c r="S3">
        <f t="shared" ref="S3:S36" si="15">S2+1</f>
        <v>2</v>
      </c>
    </row>
    <row r="4" spans="1:26" ht="14" customHeight="1" x14ac:dyDescent="0.2">
      <c r="A4">
        <v>2012</v>
      </c>
      <c r="B4" s="2">
        <v>399</v>
      </c>
      <c r="C4" s="2">
        <f t="shared" ca="1" si="0"/>
        <v>1051.3409523809523</v>
      </c>
      <c r="D4" s="2">
        <f t="shared" ca="1" si="1"/>
        <v>849.0542857142857</v>
      </c>
      <c r="E4" s="2">
        <f t="shared" ca="1" si="2"/>
        <v>646.76761904761906</v>
      </c>
      <c r="F4" s="2">
        <f t="shared" si="3"/>
        <v>444.48095238095237</v>
      </c>
      <c r="G4" s="2">
        <f t="shared" ca="1" si="4"/>
        <v>242.19428571428571</v>
      </c>
      <c r="H4" s="2">
        <f t="shared" ca="1" si="5"/>
        <v>39.90761904761905</v>
      </c>
      <c r="I4" s="2">
        <f t="shared" ca="1" si="6"/>
        <v>-162.37904761904764</v>
      </c>
      <c r="J4">
        <f t="shared" ca="1" si="8"/>
        <v>399</v>
      </c>
      <c r="K4" s="2">
        <f t="shared" ca="1" si="9"/>
        <v>476</v>
      </c>
      <c r="L4" s="2">
        <f t="shared" ca="1" si="10"/>
        <v>745.34271428571424</v>
      </c>
      <c r="M4" s="2">
        <f t="shared" ca="1" si="11"/>
        <v>572.94276190476182</v>
      </c>
      <c r="N4" s="2">
        <f t="shared" ca="1" si="12"/>
        <v>400.54280952380952</v>
      </c>
      <c r="O4" s="2">
        <f t="shared" ca="1" si="7"/>
        <v>228.14285714285714</v>
      </c>
      <c r="P4" s="2">
        <f t="shared" ca="1" si="13"/>
        <v>55.742904761904782</v>
      </c>
      <c r="Q4" s="2">
        <f t="shared" ca="1" si="14"/>
        <v>0</v>
      </c>
      <c r="R4" s="2">
        <v>0</v>
      </c>
      <c r="S4">
        <f t="shared" si="15"/>
        <v>3</v>
      </c>
    </row>
    <row r="5" spans="1:26" ht="14" customHeight="1" x14ac:dyDescent="0.2">
      <c r="A5">
        <v>2013</v>
      </c>
      <c r="B5" s="2">
        <v>423</v>
      </c>
      <c r="C5" s="2">
        <f t="shared" ca="1" si="0"/>
        <v>1043.0980952380953</v>
      </c>
      <c r="D5" s="2">
        <f t="shared" ca="1" si="1"/>
        <v>840.81142857142856</v>
      </c>
      <c r="E5" s="2">
        <f t="shared" ca="1" si="2"/>
        <v>638.52476190476193</v>
      </c>
      <c r="F5" s="2">
        <f t="shared" si="3"/>
        <v>436.23809523809524</v>
      </c>
      <c r="G5" s="2">
        <f t="shared" ca="1" si="4"/>
        <v>233.95142857142858</v>
      </c>
      <c r="H5" s="2">
        <f t="shared" ca="1" si="5"/>
        <v>31.664761904761917</v>
      </c>
      <c r="I5" s="2">
        <f t="shared" ca="1" si="6"/>
        <v>-170.62190476190477</v>
      </c>
      <c r="J5">
        <f t="shared" ca="1" si="8"/>
        <v>423</v>
      </c>
      <c r="K5" s="2">
        <f t="shared" ca="1" si="9"/>
        <v>24</v>
      </c>
      <c r="L5" s="2">
        <f t="shared" ca="1" si="10"/>
        <v>745.34271428571424</v>
      </c>
      <c r="M5" s="2">
        <f t="shared" ca="1" si="11"/>
        <v>572.94276190476182</v>
      </c>
      <c r="N5" s="2">
        <f t="shared" ca="1" si="12"/>
        <v>400.54280952380952</v>
      </c>
      <c r="O5" s="2">
        <f t="shared" ca="1" si="7"/>
        <v>228.14285714285714</v>
      </c>
      <c r="P5" s="2">
        <f t="shared" ca="1" si="13"/>
        <v>55.742904761904782</v>
      </c>
      <c r="Q5" s="2">
        <f t="shared" ca="1" si="14"/>
        <v>0</v>
      </c>
      <c r="R5" s="2">
        <v>0</v>
      </c>
      <c r="S5">
        <f t="shared" si="15"/>
        <v>4</v>
      </c>
    </row>
    <row r="6" spans="1:26" ht="14" customHeight="1" x14ac:dyDescent="0.2">
      <c r="A6">
        <v>2014</v>
      </c>
      <c r="B6" s="2">
        <v>484</v>
      </c>
      <c r="C6" s="2">
        <f t="shared" ca="1" si="0"/>
        <v>1034.8552380952381</v>
      </c>
      <c r="D6" s="2">
        <f t="shared" ca="1" si="1"/>
        <v>832.56857142857143</v>
      </c>
      <c r="E6" s="2">
        <f t="shared" ca="1" si="2"/>
        <v>630.2819047619048</v>
      </c>
      <c r="F6" s="2">
        <f t="shared" si="3"/>
        <v>427.99523809523811</v>
      </c>
      <c r="G6" s="2">
        <f t="shared" ca="1" si="4"/>
        <v>225.70857142857145</v>
      </c>
      <c r="H6" s="2">
        <f t="shared" ca="1" si="5"/>
        <v>23.421904761904784</v>
      </c>
      <c r="I6" s="2">
        <f t="shared" ca="1" si="6"/>
        <v>-178.86476190476191</v>
      </c>
      <c r="J6">
        <f t="shared" ca="1" si="8"/>
        <v>484</v>
      </c>
      <c r="K6" s="2">
        <f t="shared" ca="1" si="9"/>
        <v>61</v>
      </c>
      <c r="L6" s="2">
        <f t="shared" ca="1" si="10"/>
        <v>745.34271428571424</v>
      </c>
      <c r="M6" s="2">
        <f t="shared" ca="1" si="11"/>
        <v>572.94276190476182</v>
      </c>
      <c r="N6" s="2">
        <f t="shared" ca="1" si="12"/>
        <v>400.54280952380952</v>
      </c>
      <c r="O6" s="2">
        <f t="shared" ca="1" si="7"/>
        <v>228.14285714285714</v>
      </c>
      <c r="P6" s="2">
        <f t="shared" ca="1" si="13"/>
        <v>55.742904761904782</v>
      </c>
      <c r="Q6" s="2">
        <f t="shared" ca="1" si="14"/>
        <v>0</v>
      </c>
      <c r="R6" s="2">
        <v>0</v>
      </c>
      <c r="S6">
        <f t="shared" si="15"/>
        <v>5</v>
      </c>
    </row>
    <row r="7" spans="1:26" ht="14" customHeight="1" x14ac:dyDescent="0.2">
      <c r="A7">
        <v>2015</v>
      </c>
      <c r="B7" s="2">
        <v>160</v>
      </c>
      <c r="C7" s="2">
        <f t="shared" ca="1" si="0"/>
        <v>1026.612380952381</v>
      </c>
      <c r="D7" s="2">
        <f t="shared" ca="1" si="1"/>
        <v>824.3257142857143</v>
      </c>
      <c r="E7" s="2">
        <f t="shared" ca="1" si="2"/>
        <v>622.03904761904766</v>
      </c>
      <c r="F7" s="2">
        <f t="shared" si="3"/>
        <v>419.75238095238097</v>
      </c>
      <c r="G7" s="2">
        <f t="shared" ca="1" si="4"/>
        <v>217.46571428571431</v>
      </c>
      <c r="H7" s="2">
        <f t="shared" ca="1" si="5"/>
        <v>15.179047619047651</v>
      </c>
      <c r="I7" s="2">
        <f t="shared" ca="1" si="6"/>
        <v>-187.10761904761904</v>
      </c>
      <c r="J7">
        <f t="shared" ca="1" si="8"/>
        <v>160</v>
      </c>
      <c r="K7" s="2">
        <f t="shared" ca="1" si="9"/>
        <v>324</v>
      </c>
      <c r="L7" s="2">
        <f t="shared" ca="1" si="10"/>
        <v>745.34271428571424</v>
      </c>
      <c r="M7" s="2">
        <f t="shared" ca="1" si="11"/>
        <v>572.94276190476182</v>
      </c>
      <c r="N7" s="2">
        <f t="shared" ca="1" si="12"/>
        <v>400.54280952380952</v>
      </c>
      <c r="O7" s="2">
        <f t="shared" ca="1" si="7"/>
        <v>228.14285714285714</v>
      </c>
      <c r="P7" s="2">
        <f t="shared" ca="1" si="13"/>
        <v>55.742904761904782</v>
      </c>
      <c r="Q7" s="2">
        <f t="shared" ca="1" si="14"/>
        <v>0</v>
      </c>
      <c r="R7" s="2">
        <v>0</v>
      </c>
      <c r="S7">
        <f t="shared" si="15"/>
        <v>6</v>
      </c>
    </row>
    <row r="8" spans="1:26" ht="14" customHeight="1" x14ac:dyDescent="0.2">
      <c r="A8">
        <v>2016</v>
      </c>
      <c r="B8" s="2">
        <v>366</v>
      </c>
      <c r="C8" s="2">
        <f t="shared" ca="1" si="0"/>
        <v>1018.3695238095238</v>
      </c>
      <c r="D8" s="2">
        <f t="shared" ca="1" si="1"/>
        <v>816.08285714285716</v>
      </c>
      <c r="E8" s="2">
        <f t="shared" ca="1" si="2"/>
        <v>613.79619047619042</v>
      </c>
      <c r="F8" s="2">
        <f t="shared" si="3"/>
        <v>411.50952380952378</v>
      </c>
      <c r="G8" s="2">
        <f t="shared" ca="1" si="4"/>
        <v>209.22285714285712</v>
      </c>
      <c r="H8" s="2">
        <f t="shared" ca="1" si="5"/>
        <v>6.9361904761904611</v>
      </c>
      <c r="I8" s="2">
        <f t="shared" ca="1" si="6"/>
        <v>-195.35047619047623</v>
      </c>
      <c r="J8">
        <f t="shared" ca="1" si="8"/>
        <v>366</v>
      </c>
      <c r="K8" s="2">
        <f t="shared" ca="1" si="9"/>
        <v>206</v>
      </c>
      <c r="L8" s="2">
        <f t="shared" ca="1" si="10"/>
        <v>745.34271428571424</v>
      </c>
      <c r="M8" s="2">
        <f t="shared" ca="1" si="11"/>
        <v>572.94276190476182</v>
      </c>
      <c r="N8" s="2">
        <f t="shared" ca="1" si="12"/>
        <v>400.54280952380952</v>
      </c>
      <c r="O8" s="2">
        <f t="shared" ca="1" si="7"/>
        <v>228.14285714285714</v>
      </c>
      <c r="P8" s="2">
        <f t="shared" ca="1" si="13"/>
        <v>55.742904761904782</v>
      </c>
      <c r="Q8" s="2">
        <f t="shared" ca="1" si="14"/>
        <v>0</v>
      </c>
      <c r="R8" s="2">
        <v>0</v>
      </c>
      <c r="S8">
        <f t="shared" si="15"/>
        <v>7</v>
      </c>
    </row>
    <row r="9" spans="1:26" ht="14" customHeight="1" x14ac:dyDescent="0.2">
      <c r="A9">
        <v>2017</v>
      </c>
      <c r="B9" s="2">
        <v>326</v>
      </c>
      <c r="C9" s="2">
        <f t="shared" ca="1" si="0"/>
        <v>1010.1266666666667</v>
      </c>
      <c r="D9" s="2">
        <f t="shared" ca="1" si="1"/>
        <v>807.83999999999992</v>
      </c>
      <c r="E9" s="2">
        <f t="shared" ca="1" si="2"/>
        <v>605.55333333333328</v>
      </c>
      <c r="F9" s="2">
        <f t="shared" si="3"/>
        <v>403.26666666666665</v>
      </c>
      <c r="G9" s="2">
        <f t="shared" ca="1" si="4"/>
        <v>200.98</v>
      </c>
      <c r="H9" s="2">
        <f t="shared" ca="1" si="5"/>
        <v>-1.306666666666672</v>
      </c>
      <c r="I9" s="2">
        <f t="shared" ca="1" si="6"/>
        <v>-203.59333333333336</v>
      </c>
      <c r="J9">
        <f t="shared" ca="1" si="8"/>
        <v>326</v>
      </c>
      <c r="K9" s="2">
        <f t="shared" ca="1" si="9"/>
        <v>40</v>
      </c>
      <c r="L9" s="2">
        <f t="shared" ca="1" si="10"/>
        <v>745.34271428571424</v>
      </c>
      <c r="M9" s="2">
        <f t="shared" ca="1" si="11"/>
        <v>572.94276190476182</v>
      </c>
      <c r="N9" s="2">
        <f t="shared" ca="1" si="12"/>
        <v>400.54280952380952</v>
      </c>
      <c r="O9" s="2">
        <f t="shared" ca="1" si="7"/>
        <v>228.14285714285714</v>
      </c>
      <c r="P9" s="2">
        <f t="shared" ca="1" si="13"/>
        <v>55.742904761904782</v>
      </c>
      <c r="Q9" s="2">
        <f t="shared" ca="1" si="14"/>
        <v>0</v>
      </c>
      <c r="R9" s="2">
        <v>0</v>
      </c>
      <c r="S9">
        <f t="shared" si="15"/>
        <v>8</v>
      </c>
    </row>
    <row r="10" spans="1:26" ht="14" customHeight="1" x14ac:dyDescent="0.2">
      <c r="A10">
        <v>2018</v>
      </c>
      <c r="B10" s="2">
        <v>363</v>
      </c>
      <c r="C10" s="2">
        <f t="shared" ca="1" si="0"/>
        <v>1001.8838095238095</v>
      </c>
      <c r="D10" s="2">
        <f t="shared" ca="1" si="1"/>
        <v>799.5971428571429</v>
      </c>
      <c r="E10" s="2">
        <f t="shared" ca="1" si="2"/>
        <v>597.31047619047615</v>
      </c>
      <c r="F10" s="2">
        <f t="shared" si="3"/>
        <v>395.02380952380952</v>
      </c>
      <c r="G10" s="2">
        <f t="shared" ca="1" si="4"/>
        <v>192.73714285714286</v>
      </c>
      <c r="H10" s="2">
        <f t="shared" ca="1" si="5"/>
        <v>-9.5495238095238051</v>
      </c>
      <c r="I10" s="2">
        <f t="shared" ca="1" si="6"/>
        <v>-211.8361904761905</v>
      </c>
      <c r="J10">
        <f t="shared" ca="1" si="8"/>
        <v>363</v>
      </c>
      <c r="K10" s="2">
        <f t="shared" ca="1" si="9"/>
        <v>37</v>
      </c>
      <c r="L10" s="2">
        <f t="shared" ca="1" si="10"/>
        <v>745.34271428571424</v>
      </c>
      <c r="M10" s="2">
        <f t="shared" ca="1" si="11"/>
        <v>572.94276190476182</v>
      </c>
      <c r="N10" s="2">
        <f t="shared" ca="1" si="12"/>
        <v>400.54280952380952</v>
      </c>
      <c r="O10" s="2">
        <f t="shared" ca="1" si="7"/>
        <v>228.14285714285714</v>
      </c>
      <c r="P10" s="2">
        <f t="shared" ca="1" si="13"/>
        <v>55.742904761904782</v>
      </c>
      <c r="Q10" s="2">
        <f t="shared" ca="1" si="14"/>
        <v>0</v>
      </c>
      <c r="R10" s="2">
        <v>0</v>
      </c>
      <c r="S10">
        <f t="shared" si="15"/>
        <v>9</v>
      </c>
    </row>
    <row r="11" spans="1:26" ht="14" customHeight="1" x14ac:dyDescent="0.2">
      <c r="A11">
        <v>2019</v>
      </c>
      <c r="B11" s="2">
        <v>572</v>
      </c>
      <c r="C11" s="2">
        <f t="shared" ca="1" si="0"/>
        <v>993.6409523809524</v>
      </c>
      <c r="D11" s="2">
        <f t="shared" ca="1" si="1"/>
        <v>791.35428571428565</v>
      </c>
      <c r="E11" s="2">
        <f t="shared" ca="1" si="2"/>
        <v>589.06761904761902</v>
      </c>
      <c r="F11" s="2">
        <f t="shared" si="3"/>
        <v>386.78095238095239</v>
      </c>
      <c r="G11" s="2">
        <f t="shared" ca="1" si="4"/>
        <v>184.49428571428572</v>
      </c>
      <c r="H11" s="2">
        <f t="shared" ca="1" si="5"/>
        <v>-17.792380952380938</v>
      </c>
      <c r="I11" s="2">
        <f t="shared" ca="1" si="6"/>
        <v>-220.07904761904763</v>
      </c>
      <c r="J11">
        <f t="shared" ca="1" si="8"/>
        <v>572</v>
      </c>
      <c r="K11" s="2">
        <f t="shared" ca="1" si="9"/>
        <v>209</v>
      </c>
      <c r="L11" s="2">
        <f t="shared" ca="1" si="10"/>
        <v>745.34271428571424</v>
      </c>
      <c r="M11" s="2">
        <f t="shared" ca="1" si="11"/>
        <v>572.94276190476182</v>
      </c>
      <c r="N11" s="2">
        <f t="shared" ca="1" si="12"/>
        <v>400.54280952380952</v>
      </c>
      <c r="O11" s="2">
        <f t="shared" ca="1" si="7"/>
        <v>228.14285714285714</v>
      </c>
      <c r="P11" s="2">
        <f t="shared" ca="1" si="13"/>
        <v>55.742904761904782</v>
      </c>
      <c r="Q11" s="2">
        <f t="shared" ca="1" si="14"/>
        <v>0</v>
      </c>
      <c r="R11" s="2">
        <v>0</v>
      </c>
      <c r="S11">
        <f t="shared" si="15"/>
        <v>10</v>
      </c>
    </row>
    <row r="12" spans="1:26" ht="14" customHeight="1" x14ac:dyDescent="0.2">
      <c r="A12">
        <v>2020</v>
      </c>
      <c r="B12" s="2">
        <v>709</v>
      </c>
      <c r="C12" s="2">
        <f t="shared" ca="1" si="0"/>
        <v>985.39809523809527</v>
      </c>
      <c r="D12" s="2">
        <f t="shared" ca="1" si="1"/>
        <v>783.11142857142863</v>
      </c>
      <c r="E12" s="2">
        <f t="shared" ca="1" si="2"/>
        <v>580.82476190476189</v>
      </c>
      <c r="F12" s="2">
        <f t="shared" si="3"/>
        <v>378.53809523809525</v>
      </c>
      <c r="G12" s="2">
        <f t="shared" ca="1" si="4"/>
        <v>176.25142857142859</v>
      </c>
      <c r="H12" s="2">
        <f t="shared" ca="1" si="5"/>
        <v>-26.035238095238071</v>
      </c>
      <c r="I12" s="2">
        <f t="shared" ca="1" si="6"/>
        <v>-228.32190476190476</v>
      </c>
      <c r="J12">
        <f t="shared" ca="1" si="8"/>
        <v>709</v>
      </c>
      <c r="K12" s="2">
        <f t="shared" ca="1" si="9"/>
        <v>137</v>
      </c>
      <c r="L12" s="2">
        <f t="shared" ca="1" si="10"/>
        <v>745.34271428571424</v>
      </c>
      <c r="M12" s="2">
        <f t="shared" ca="1" si="11"/>
        <v>572.94276190476182</v>
      </c>
      <c r="N12" s="2">
        <f t="shared" ca="1" si="12"/>
        <v>400.54280952380952</v>
      </c>
      <c r="O12" s="2">
        <f t="shared" ca="1" si="7"/>
        <v>228.14285714285714</v>
      </c>
      <c r="P12" s="2">
        <f t="shared" ca="1" si="13"/>
        <v>55.742904761904782</v>
      </c>
      <c r="Q12" s="2">
        <f t="shared" ca="1" si="14"/>
        <v>0</v>
      </c>
      <c r="R12" s="2">
        <v>0</v>
      </c>
      <c r="S12">
        <f t="shared" si="15"/>
        <v>11</v>
      </c>
    </row>
    <row r="13" spans="1:26" ht="14" customHeight="1" x14ac:dyDescent="0.2">
      <c r="A13">
        <v>2021</v>
      </c>
      <c r="B13" s="2">
        <v>51</v>
      </c>
      <c r="C13" s="2">
        <f t="shared" ca="1" si="0"/>
        <v>977.15523809523813</v>
      </c>
      <c r="D13" s="2">
        <f t="shared" ca="1" si="1"/>
        <v>774.86857142857139</v>
      </c>
      <c r="E13" s="2">
        <f t="shared" ca="1" si="2"/>
        <v>572.58190476190475</v>
      </c>
      <c r="F13" s="2">
        <f t="shared" si="3"/>
        <v>370.29523809523812</v>
      </c>
      <c r="G13" s="2">
        <f t="shared" ca="1" si="4"/>
        <v>168.00857142857146</v>
      </c>
      <c r="H13" s="2">
        <f t="shared" ca="1" si="5"/>
        <v>-34.278095238095204</v>
      </c>
      <c r="I13" s="2">
        <f t="shared" ca="1" si="6"/>
        <v>-236.56476190476189</v>
      </c>
      <c r="J13">
        <f t="shared" ca="1" si="8"/>
        <v>51</v>
      </c>
      <c r="K13" s="2">
        <f t="shared" ca="1" si="9"/>
        <v>658</v>
      </c>
      <c r="L13" s="2">
        <f t="shared" ca="1" si="10"/>
        <v>745.34271428571424</v>
      </c>
      <c r="M13" s="2">
        <f t="shared" ca="1" si="11"/>
        <v>572.94276190476182</v>
      </c>
      <c r="N13" s="2">
        <f t="shared" ca="1" si="12"/>
        <v>400.54280952380952</v>
      </c>
      <c r="O13" s="2">
        <f t="shared" ca="1" si="7"/>
        <v>228.14285714285714</v>
      </c>
      <c r="P13" s="2">
        <f t="shared" ca="1" si="13"/>
        <v>55.742904761904782</v>
      </c>
      <c r="Q13" s="2">
        <f t="shared" ca="1" si="14"/>
        <v>0</v>
      </c>
      <c r="R13" s="2">
        <v>0</v>
      </c>
      <c r="S13">
        <f t="shared" si="15"/>
        <v>12</v>
      </c>
    </row>
    <row r="14" spans="1:26" ht="14" customHeight="1" x14ac:dyDescent="0.2">
      <c r="A14">
        <v>2022</v>
      </c>
      <c r="B14" s="2">
        <v>353</v>
      </c>
      <c r="C14" s="2">
        <f t="shared" ca="1" si="0"/>
        <v>968.912380952381</v>
      </c>
      <c r="D14" s="2">
        <f t="shared" ca="1" si="1"/>
        <v>766.62571428571425</v>
      </c>
      <c r="E14" s="2">
        <f t="shared" ca="1" si="2"/>
        <v>564.33904761904762</v>
      </c>
      <c r="F14" s="2">
        <f t="shared" si="3"/>
        <v>362.05238095238093</v>
      </c>
      <c r="G14" s="2">
        <f t="shared" ca="1" si="4"/>
        <v>159.76571428571427</v>
      </c>
      <c r="H14" s="2">
        <f t="shared" ca="1" si="5"/>
        <v>-42.520952380952394</v>
      </c>
      <c r="I14" s="2">
        <f t="shared" ca="1" si="6"/>
        <v>-244.80761904761908</v>
      </c>
      <c r="J14">
        <f t="shared" ca="1" si="8"/>
        <v>353</v>
      </c>
      <c r="K14" s="2">
        <f t="shared" ca="1" si="9"/>
        <v>302</v>
      </c>
      <c r="L14" s="2">
        <f t="shared" ca="1" si="10"/>
        <v>745.34271428571424</v>
      </c>
      <c r="M14" s="2">
        <f t="shared" ca="1" si="11"/>
        <v>572.94276190476182</v>
      </c>
      <c r="N14" s="2">
        <f t="shared" ca="1" si="12"/>
        <v>400.54280952380952</v>
      </c>
      <c r="O14" s="2">
        <f t="shared" ca="1" si="7"/>
        <v>228.14285714285714</v>
      </c>
      <c r="P14" s="2">
        <f t="shared" ca="1" si="13"/>
        <v>55.742904761904782</v>
      </c>
      <c r="Q14" s="2">
        <f t="shared" ca="1" si="14"/>
        <v>0</v>
      </c>
      <c r="R14" s="2">
        <v>0</v>
      </c>
      <c r="S14">
        <f t="shared" si="15"/>
        <v>13</v>
      </c>
    </row>
    <row r="15" spans="1:26" ht="14" customHeight="1" x14ac:dyDescent="0.2">
      <c r="A15">
        <v>2023</v>
      </c>
      <c r="B15" s="2">
        <v>336</v>
      </c>
      <c r="C15" s="2">
        <f t="shared" ca="1" si="0"/>
        <v>960.66952380952375</v>
      </c>
      <c r="D15" s="2">
        <f t="shared" ca="1" si="1"/>
        <v>758.38285714285712</v>
      </c>
      <c r="E15" s="2">
        <f t="shared" ca="1" si="2"/>
        <v>556.09619047619049</v>
      </c>
      <c r="F15" s="2">
        <f t="shared" si="3"/>
        <v>353.8095238095238</v>
      </c>
      <c r="G15" s="2">
        <f t="shared" ca="1" si="4"/>
        <v>151.52285714285713</v>
      </c>
      <c r="H15" s="2">
        <f t="shared" ca="1" si="5"/>
        <v>-50.763809523809527</v>
      </c>
      <c r="I15" s="2">
        <f t="shared" ca="1" si="6"/>
        <v>-253.05047619047622</v>
      </c>
      <c r="J15">
        <f t="shared" ca="1" si="8"/>
        <v>336</v>
      </c>
      <c r="K15" s="2">
        <f t="shared" ca="1" si="9"/>
        <v>17</v>
      </c>
      <c r="L15" s="2">
        <f t="shared" ca="1" si="10"/>
        <v>745.34271428571424</v>
      </c>
      <c r="M15" s="2">
        <f t="shared" ca="1" si="11"/>
        <v>572.94276190476182</v>
      </c>
      <c r="N15" s="2">
        <f t="shared" ca="1" si="12"/>
        <v>400.54280952380952</v>
      </c>
      <c r="O15" s="2">
        <f t="shared" ca="1" si="7"/>
        <v>228.14285714285714</v>
      </c>
      <c r="P15" s="2">
        <f t="shared" ca="1" si="13"/>
        <v>55.742904761904782</v>
      </c>
      <c r="Q15" s="2">
        <f t="shared" ca="1" si="14"/>
        <v>0</v>
      </c>
      <c r="R15" s="2">
        <v>0</v>
      </c>
      <c r="S15">
        <f t="shared" si="15"/>
        <v>14</v>
      </c>
    </row>
    <row r="16" spans="1:26" ht="14" customHeight="1" x14ac:dyDescent="0.2">
      <c r="A16">
        <v>2024</v>
      </c>
      <c r="B16" s="2">
        <v>398</v>
      </c>
      <c r="C16" s="2">
        <f t="shared" ca="1" si="0"/>
        <v>952.42666666666673</v>
      </c>
      <c r="D16" s="2">
        <f t="shared" ca="1" si="1"/>
        <v>750.14</v>
      </c>
      <c r="E16" s="2">
        <f t="shared" ca="1" si="2"/>
        <v>547.85333333333335</v>
      </c>
      <c r="F16" s="2">
        <f t="shared" si="3"/>
        <v>345.56666666666666</v>
      </c>
      <c r="G16" s="2">
        <f t="shared" ca="1" si="4"/>
        <v>143.28</v>
      </c>
      <c r="H16" s="2">
        <f t="shared" ca="1" si="5"/>
        <v>-59.006666666666661</v>
      </c>
      <c r="I16" s="2">
        <f t="shared" ca="1" si="6"/>
        <v>-261.29333333333335</v>
      </c>
      <c r="J16">
        <f t="shared" ca="1" si="8"/>
        <v>398</v>
      </c>
      <c r="K16" s="2">
        <f t="shared" ca="1" si="9"/>
        <v>62</v>
      </c>
      <c r="L16" s="2">
        <f t="shared" ca="1" si="10"/>
        <v>745.34271428571424</v>
      </c>
      <c r="M16" s="2">
        <f t="shared" ca="1" si="11"/>
        <v>572.94276190476182</v>
      </c>
      <c r="N16" s="2">
        <f t="shared" ca="1" si="12"/>
        <v>400.54280952380952</v>
      </c>
      <c r="O16" s="2">
        <f t="shared" ca="1" si="7"/>
        <v>228.14285714285714</v>
      </c>
      <c r="P16" s="2">
        <f t="shared" ca="1" si="13"/>
        <v>55.742904761904782</v>
      </c>
      <c r="Q16" s="2">
        <f t="shared" ca="1" si="14"/>
        <v>0</v>
      </c>
      <c r="R16" s="2">
        <v>0</v>
      </c>
      <c r="S16">
        <f t="shared" si="15"/>
        <v>15</v>
      </c>
    </row>
    <row r="17" spans="3:19" ht="14" customHeight="1" x14ac:dyDescent="0.2">
      <c r="C17">
        <f t="shared" ca="1" si="0"/>
        <v>944.18380952380949</v>
      </c>
      <c r="D17">
        <f t="shared" ca="1" si="1"/>
        <v>741.89714285714285</v>
      </c>
      <c r="E17">
        <f t="shared" ca="1" si="2"/>
        <v>539.61047619047611</v>
      </c>
      <c r="F17">
        <f t="shared" si="3"/>
        <v>337.32380952380947</v>
      </c>
      <c r="G17">
        <f t="shared" ca="1" si="4"/>
        <v>135.03714285714281</v>
      </c>
      <c r="H17">
        <f t="shared" ca="1" si="5"/>
        <v>-67.249523809523851</v>
      </c>
      <c r="I17">
        <f t="shared" ca="1" si="6"/>
        <v>-269.53619047619054</v>
      </c>
      <c r="J17">
        <f t="shared" ca="1" si="8"/>
        <v>398</v>
      </c>
      <c r="L17">
        <f t="shared" ca="1" si="10"/>
        <v>745.34271428571424</v>
      </c>
      <c r="M17">
        <f t="shared" ca="1" si="11"/>
        <v>572.94276190476182</v>
      </c>
      <c r="N17">
        <f t="shared" ca="1" si="12"/>
        <v>400.54280952380952</v>
      </c>
      <c r="O17" s="2">
        <f t="shared" ca="1" si="7"/>
        <v>228.14285714285714</v>
      </c>
      <c r="P17">
        <f t="shared" ca="1" si="13"/>
        <v>55.742904761904782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2">
      <c r="C18">
        <f t="shared" ca="1" si="0"/>
        <v>935.94095238095235</v>
      </c>
      <c r="D18">
        <f t="shared" ca="1" si="1"/>
        <v>733.65428571428561</v>
      </c>
      <c r="E18">
        <f t="shared" ca="1" si="2"/>
        <v>531.36761904761897</v>
      </c>
      <c r="F18">
        <f t="shared" si="3"/>
        <v>329.08095238095234</v>
      </c>
      <c r="G18">
        <f t="shared" ca="1" si="4"/>
        <v>126.79428571428568</v>
      </c>
      <c r="H18">
        <f t="shared" ca="1" si="5"/>
        <v>-75.492380952380984</v>
      </c>
      <c r="I18">
        <f t="shared" ca="1" si="6"/>
        <v>-277.77904761904767</v>
      </c>
      <c r="J18">
        <f t="shared" ca="1" si="8"/>
        <v>398</v>
      </c>
      <c r="K18" t="str">
        <f t="shared" ca="1" si="9"/>
        <v/>
      </c>
      <c r="L18">
        <f t="shared" ca="1" si="10"/>
        <v>745.34271428571424</v>
      </c>
      <c r="M18">
        <f t="shared" ca="1" si="11"/>
        <v>572.94276190476182</v>
      </c>
      <c r="N18">
        <f t="shared" ca="1" si="12"/>
        <v>400.54280952380952</v>
      </c>
      <c r="O18" s="2">
        <f t="shared" ca="1" si="7"/>
        <v>228.14285714285714</v>
      </c>
      <c r="P18">
        <f t="shared" ca="1" si="13"/>
        <v>55.742904761904782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2">
      <c r="C19">
        <f t="shared" ca="1" si="0"/>
        <v>927.69809523809522</v>
      </c>
      <c r="D19">
        <f t="shared" ca="1" si="1"/>
        <v>725.41142857142859</v>
      </c>
      <c r="E19">
        <f t="shared" ca="1" si="2"/>
        <v>523.12476190476184</v>
      </c>
      <c r="F19">
        <f t="shared" si="3"/>
        <v>320.83809523809521</v>
      </c>
      <c r="G19">
        <f t="shared" ca="1" si="4"/>
        <v>118.55142857142854</v>
      </c>
      <c r="H19">
        <f t="shared" ca="1" si="5"/>
        <v>-83.735238095238117</v>
      </c>
      <c r="I19">
        <f t="shared" ca="1" si="6"/>
        <v>-286.02190476190481</v>
      </c>
      <c r="J19">
        <f t="shared" ca="1" si="8"/>
        <v>398</v>
      </c>
      <c r="K19" t="str">
        <f t="shared" ca="1" si="9"/>
        <v/>
      </c>
      <c r="L19">
        <f t="shared" ca="1" si="10"/>
        <v>745.34271428571424</v>
      </c>
      <c r="M19">
        <f t="shared" ca="1" si="11"/>
        <v>572.94276190476182</v>
      </c>
      <c r="N19">
        <f t="shared" ca="1" si="12"/>
        <v>400.54280952380952</v>
      </c>
      <c r="O19" s="2">
        <f t="shared" ca="1" si="7"/>
        <v>228.14285714285714</v>
      </c>
      <c r="P19">
        <f t="shared" ca="1" si="13"/>
        <v>55.742904761904782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2">
      <c r="C20">
        <f t="shared" ca="1" si="0"/>
        <v>919.45523809523809</v>
      </c>
      <c r="D20">
        <f t="shared" ca="1" si="1"/>
        <v>717.16857142857134</v>
      </c>
      <c r="E20">
        <f t="shared" ca="1" si="2"/>
        <v>514.88190476190471</v>
      </c>
      <c r="F20">
        <f t="shared" si="3"/>
        <v>312.59523809523807</v>
      </c>
      <c r="G20">
        <f t="shared" ca="1" si="4"/>
        <v>110.30857142857141</v>
      </c>
      <c r="H20">
        <f t="shared" ca="1" si="5"/>
        <v>-91.97809523809525</v>
      </c>
      <c r="I20">
        <f t="shared" ca="1" si="6"/>
        <v>-294.26476190476194</v>
      </c>
      <c r="J20">
        <f t="shared" ca="1" si="8"/>
        <v>398</v>
      </c>
      <c r="K20" t="str">
        <f t="shared" ca="1" si="9"/>
        <v/>
      </c>
      <c r="L20">
        <f t="shared" ca="1" si="10"/>
        <v>745.34271428571424</v>
      </c>
      <c r="M20">
        <f t="shared" ca="1" si="11"/>
        <v>572.94276190476182</v>
      </c>
      <c r="N20">
        <f t="shared" ca="1" si="12"/>
        <v>400.54280952380952</v>
      </c>
      <c r="O20" s="2">
        <f t="shared" ca="1" si="7"/>
        <v>228.14285714285714</v>
      </c>
      <c r="P20">
        <f t="shared" ca="1" si="13"/>
        <v>55.742904761904782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2">
      <c r="C21">
        <f t="shared" ca="1" si="0"/>
        <v>911.21238095238095</v>
      </c>
      <c r="D21">
        <f t="shared" ca="1" si="1"/>
        <v>708.92571428571432</v>
      </c>
      <c r="E21">
        <f t="shared" ca="1" si="2"/>
        <v>506.63904761904757</v>
      </c>
      <c r="F21">
        <f t="shared" si="3"/>
        <v>304.35238095238094</v>
      </c>
      <c r="G21">
        <f t="shared" ca="1" si="4"/>
        <v>102.06571428571428</v>
      </c>
      <c r="H21">
        <f t="shared" ca="1" si="5"/>
        <v>-100.22095238095238</v>
      </c>
      <c r="I21">
        <f t="shared" ca="1" si="6"/>
        <v>-302.50761904761907</v>
      </c>
      <c r="J21">
        <f t="shared" ca="1" si="8"/>
        <v>398</v>
      </c>
      <c r="K21" t="str">
        <f t="shared" ca="1" si="9"/>
        <v/>
      </c>
      <c r="L21">
        <f t="shared" ca="1" si="10"/>
        <v>745.34271428571424</v>
      </c>
      <c r="M21">
        <f t="shared" ca="1" si="11"/>
        <v>572.94276190476182</v>
      </c>
      <c r="N21">
        <f t="shared" ca="1" si="12"/>
        <v>400.54280952380952</v>
      </c>
      <c r="O21" s="2">
        <f t="shared" ca="1" si="7"/>
        <v>228.14285714285714</v>
      </c>
      <c r="P21">
        <f t="shared" ca="1" si="13"/>
        <v>55.742904761904782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2">
      <c r="C22">
        <f t="shared" ca="1" si="0"/>
        <v>902.96952380952382</v>
      </c>
      <c r="D22">
        <f t="shared" ca="1" si="1"/>
        <v>700.68285714285707</v>
      </c>
      <c r="E22">
        <f t="shared" ca="1" si="2"/>
        <v>498.39619047619044</v>
      </c>
      <c r="F22">
        <f t="shared" si="3"/>
        <v>296.10952380952381</v>
      </c>
      <c r="G22">
        <f t="shared" ca="1" si="4"/>
        <v>93.822857142857146</v>
      </c>
      <c r="H22">
        <f t="shared" ca="1" si="5"/>
        <v>-108.46380952380952</v>
      </c>
      <c r="I22">
        <f t="shared" ca="1" si="6"/>
        <v>-310.75047619047621</v>
      </c>
      <c r="J22">
        <f t="shared" ca="1" si="8"/>
        <v>398</v>
      </c>
      <c r="K22" t="str">
        <f t="shared" ca="1" si="9"/>
        <v/>
      </c>
      <c r="L22">
        <f t="shared" ca="1" si="10"/>
        <v>745.34271428571424</v>
      </c>
      <c r="M22">
        <f t="shared" ca="1" si="11"/>
        <v>572.94276190476182</v>
      </c>
      <c r="N22">
        <f t="shared" ca="1" si="12"/>
        <v>400.54280952380952</v>
      </c>
      <c r="O22" s="2">
        <f t="shared" ca="1" si="7"/>
        <v>228.14285714285714</v>
      </c>
      <c r="P22">
        <f t="shared" ca="1" si="13"/>
        <v>55.742904761904782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2">
      <c r="C23">
        <f t="shared" ca="1" si="0"/>
        <v>894.72666666666669</v>
      </c>
      <c r="D23">
        <f t="shared" ca="1" si="1"/>
        <v>692.43999999999994</v>
      </c>
      <c r="E23">
        <f t="shared" ca="1" si="2"/>
        <v>490.15333333333331</v>
      </c>
      <c r="F23">
        <f t="shared" si="3"/>
        <v>287.86666666666662</v>
      </c>
      <c r="G23">
        <f t="shared" ca="1" si="4"/>
        <v>85.579999999999956</v>
      </c>
      <c r="H23">
        <f t="shared" ca="1" si="5"/>
        <v>-116.70666666666671</v>
      </c>
      <c r="I23">
        <f t="shared" ca="1" si="6"/>
        <v>-318.9933333333334</v>
      </c>
      <c r="J23">
        <f t="shared" ca="1" si="8"/>
        <v>398</v>
      </c>
      <c r="K23" t="str">
        <f t="shared" ca="1" si="9"/>
        <v/>
      </c>
      <c r="L23">
        <f t="shared" ca="1" si="10"/>
        <v>745.34271428571424</v>
      </c>
      <c r="M23">
        <f t="shared" ca="1" si="11"/>
        <v>572.94276190476182</v>
      </c>
      <c r="N23">
        <f t="shared" ca="1" si="12"/>
        <v>400.54280952380952</v>
      </c>
      <c r="O23" s="2">
        <f t="shared" ca="1" si="7"/>
        <v>228.14285714285714</v>
      </c>
      <c r="P23">
        <f t="shared" ca="1" si="13"/>
        <v>55.742904761904782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2">
      <c r="C24">
        <f t="shared" ca="1" si="0"/>
        <v>886.48380952380944</v>
      </c>
      <c r="D24">
        <f t="shared" ca="1" si="1"/>
        <v>684.19714285714281</v>
      </c>
      <c r="E24">
        <f t="shared" ca="1" si="2"/>
        <v>481.91047619047617</v>
      </c>
      <c r="F24">
        <f t="shared" si="3"/>
        <v>279.62380952380948</v>
      </c>
      <c r="G24">
        <f t="shared" ca="1" si="4"/>
        <v>77.337142857142823</v>
      </c>
      <c r="H24">
        <f t="shared" ca="1" si="5"/>
        <v>-124.94952380952384</v>
      </c>
      <c r="I24">
        <f t="shared" ca="1" si="6"/>
        <v>-327.23619047619053</v>
      </c>
      <c r="J24">
        <f t="shared" ca="1" si="8"/>
        <v>398</v>
      </c>
      <c r="K24" t="str">
        <f t="shared" ca="1" si="9"/>
        <v/>
      </c>
      <c r="L24">
        <f t="shared" ca="1" si="10"/>
        <v>745.34271428571424</v>
      </c>
      <c r="M24">
        <f t="shared" ca="1" si="11"/>
        <v>572.94276190476182</v>
      </c>
      <c r="N24">
        <f t="shared" ca="1" si="12"/>
        <v>400.54280952380952</v>
      </c>
      <c r="O24" s="2">
        <f t="shared" ca="1" si="7"/>
        <v>228.14285714285714</v>
      </c>
      <c r="P24">
        <f t="shared" ca="1" si="13"/>
        <v>55.742904761904782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2">
      <c r="C25">
        <f t="shared" ca="1" si="0"/>
        <v>878.24095238095242</v>
      </c>
      <c r="D25">
        <f t="shared" ca="1" si="1"/>
        <v>675.95428571428567</v>
      </c>
      <c r="E25">
        <f t="shared" ca="1" si="2"/>
        <v>473.66761904761904</v>
      </c>
      <c r="F25">
        <f t="shared" si="3"/>
        <v>271.38095238095235</v>
      </c>
      <c r="G25">
        <f t="shared" ca="1" si="4"/>
        <v>69.094285714285689</v>
      </c>
      <c r="H25">
        <f t="shared" ca="1" si="5"/>
        <v>-133.19238095238097</v>
      </c>
      <c r="I25">
        <f t="shared" ca="1" si="6"/>
        <v>-335.47904761904766</v>
      </c>
      <c r="J25">
        <f t="shared" ca="1" si="8"/>
        <v>398</v>
      </c>
      <c r="K25" t="str">
        <f t="shared" ca="1" si="9"/>
        <v/>
      </c>
      <c r="L25">
        <f t="shared" ca="1" si="10"/>
        <v>745.34271428571424</v>
      </c>
      <c r="M25">
        <f t="shared" ca="1" si="11"/>
        <v>572.94276190476182</v>
      </c>
      <c r="N25">
        <f t="shared" ca="1" si="12"/>
        <v>400.54280952380952</v>
      </c>
      <c r="O25" s="2">
        <f t="shared" ca="1" si="7"/>
        <v>228.14285714285714</v>
      </c>
      <c r="P25">
        <f t="shared" ca="1" si="13"/>
        <v>55.742904761904782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2">
      <c r="C26">
        <f t="shared" ca="1" si="0"/>
        <v>869.99809523809517</v>
      </c>
      <c r="D26">
        <f t="shared" ca="1" si="1"/>
        <v>667.71142857142854</v>
      </c>
      <c r="E26">
        <f t="shared" ca="1" si="2"/>
        <v>465.42476190476179</v>
      </c>
      <c r="F26">
        <f t="shared" si="3"/>
        <v>263.13809523809516</v>
      </c>
      <c r="G26">
        <f t="shared" ca="1" si="4"/>
        <v>60.851428571428499</v>
      </c>
      <c r="H26">
        <f t="shared" ca="1" si="5"/>
        <v>-141.43523809523816</v>
      </c>
      <c r="I26">
        <f t="shared" ca="1" si="6"/>
        <v>-343.72190476190485</v>
      </c>
      <c r="J26">
        <f t="shared" ca="1" si="8"/>
        <v>398</v>
      </c>
      <c r="K26" t="str">
        <f t="shared" ca="1" si="9"/>
        <v/>
      </c>
      <c r="L26">
        <f t="shared" ca="1" si="10"/>
        <v>745.34271428571424</v>
      </c>
      <c r="M26">
        <f t="shared" ca="1" si="11"/>
        <v>572.94276190476182</v>
      </c>
      <c r="N26">
        <f t="shared" ca="1" si="12"/>
        <v>400.54280952380952</v>
      </c>
      <c r="O26" s="2">
        <f t="shared" ca="1" si="7"/>
        <v>228.14285714285714</v>
      </c>
      <c r="P26">
        <f t="shared" ca="1" si="13"/>
        <v>55.742904761904782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2">
      <c r="C27">
        <f t="shared" ca="1" si="0"/>
        <v>861.75523809523804</v>
      </c>
      <c r="D27">
        <f t="shared" ca="1" si="1"/>
        <v>659.46857142857141</v>
      </c>
      <c r="E27">
        <f t="shared" ca="1" si="2"/>
        <v>457.18190476190472</v>
      </c>
      <c r="F27">
        <f t="shared" si="3"/>
        <v>254.89523809523806</v>
      </c>
      <c r="G27">
        <f t="shared" ca="1" si="4"/>
        <v>52.608571428571395</v>
      </c>
      <c r="H27">
        <f t="shared" ca="1" si="5"/>
        <v>-149.67809523809527</v>
      </c>
      <c r="I27">
        <f t="shared" ca="1" si="6"/>
        <v>-351.96476190476199</v>
      </c>
      <c r="J27">
        <f t="shared" ca="1" si="8"/>
        <v>398</v>
      </c>
      <c r="K27" t="str">
        <f t="shared" ca="1" si="9"/>
        <v/>
      </c>
      <c r="L27">
        <f t="shared" ca="1" si="10"/>
        <v>745.34271428571424</v>
      </c>
      <c r="M27">
        <f t="shared" ca="1" si="11"/>
        <v>572.94276190476182</v>
      </c>
      <c r="N27">
        <f t="shared" ca="1" si="12"/>
        <v>400.54280952380952</v>
      </c>
      <c r="O27" s="2">
        <f t="shared" ca="1" si="7"/>
        <v>228.14285714285714</v>
      </c>
      <c r="P27">
        <f t="shared" ca="1" si="13"/>
        <v>55.742904761904782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2">
      <c r="C28">
        <f t="shared" ca="1" si="0"/>
        <v>853.51238095238091</v>
      </c>
      <c r="D28">
        <f t="shared" ca="1" si="1"/>
        <v>651.22571428571428</v>
      </c>
      <c r="E28">
        <f t="shared" ca="1" si="2"/>
        <v>448.93904761904753</v>
      </c>
      <c r="F28">
        <f t="shared" si="3"/>
        <v>246.65238095238089</v>
      </c>
      <c r="G28">
        <f t="shared" ca="1" si="4"/>
        <v>44.365714285714233</v>
      </c>
      <c r="H28">
        <f t="shared" ca="1" si="5"/>
        <v>-157.92095238095243</v>
      </c>
      <c r="I28">
        <f t="shared" ca="1" si="6"/>
        <v>-360.20761904761912</v>
      </c>
      <c r="J28">
        <f t="shared" ca="1" si="8"/>
        <v>398</v>
      </c>
      <c r="K28" t="str">
        <f t="shared" ca="1" si="9"/>
        <v/>
      </c>
      <c r="L28">
        <f t="shared" ca="1" si="10"/>
        <v>745.34271428571424</v>
      </c>
      <c r="M28">
        <f t="shared" ca="1" si="11"/>
        <v>572.94276190476182</v>
      </c>
      <c r="N28">
        <f t="shared" ca="1" si="12"/>
        <v>400.54280952380952</v>
      </c>
      <c r="O28" s="2">
        <f t="shared" ca="1" si="7"/>
        <v>228.14285714285714</v>
      </c>
      <c r="P28">
        <f t="shared" ca="1" si="13"/>
        <v>55.742904761904782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2">
      <c r="C29">
        <f t="shared" ca="1" si="0"/>
        <v>845.26952380952378</v>
      </c>
      <c r="D29">
        <f t="shared" ca="1" si="1"/>
        <v>642.98285714285703</v>
      </c>
      <c r="E29">
        <f t="shared" ca="1" si="2"/>
        <v>440.6961904761904</v>
      </c>
      <c r="F29">
        <f t="shared" si="3"/>
        <v>238.40952380952376</v>
      </c>
      <c r="G29">
        <f t="shared" ca="1" si="4"/>
        <v>36.1228571428571</v>
      </c>
      <c r="H29">
        <f t="shared" ca="1" si="5"/>
        <v>-166.16380952380956</v>
      </c>
      <c r="I29">
        <f t="shared" ca="1" si="6"/>
        <v>-368.45047619047625</v>
      </c>
      <c r="J29">
        <f t="shared" ca="1" si="8"/>
        <v>398</v>
      </c>
      <c r="K29" t="str">
        <f t="shared" ca="1" si="9"/>
        <v/>
      </c>
      <c r="L29">
        <f t="shared" ca="1" si="10"/>
        <v>745.34271428571424</v>
      </c>
      <c r="M29">
        <f t="shared" ca="1" si="11"/>
        <v>572.94276190476182</v>
      </c>
      <c r="N29">
        <f t="shared" ca="1" si="12"/>
        <v>400.54280952380952</v>
      </c>
      <c r="O29" s="2">
        <f t="shared" ca="1" si="7"/>
        <v>228.14285714285714</v>
      </c>
      <c r="P29">
        <f t="shared" ca="1" si="13"/>
        <v>55.742904761904782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2">
      <c r="C30">
        <f t="shared" ca="1" si="0"/>
        <v>837.02666666666664</v>
      </c>
      <c r="D30">
        <f t="shared" ca="1" si="1"/>
        <v>634.7399999999999</v>
      </c>
      <c r="E30">
        <f t="shared" ca="1" si="2"/>
        <v>432.45333333333326</v>
      </c>
      <c r="F30">
        <f t="shared" si="3"/>
        <v>230.1666666666666</v>
      </c>
      <c r="G30">
        <f t="shared" ca="1" si="4"/>
        <v>27.879999999999939</v>
      </c>
      <c r="H30">
        <f t="shared" ca="1" si="5"/>
        <v>-174.40666666666672</v>
      </c>
      <c r="I30">
        <f t="shared" ca="1" si="6"/>
        <v>-376.69333333333338</v>
      </c>
      <c r="J30">
        <f t="shared" ca="1" si="8"/>
        <v>398</v>
      </c>
      <c r="K30" t="str">
        <f t="shared" ca="1" si="9"/>
        <v/>
      </c>
      <c r="L30">
        <f t="shared" ca="1" si="10"/>
        <v>745.34271428571424</v>
      </c>
      <c r="M30">
        <f t="shared" ca="1" si="11"/>
        <v>572.94276190476182</v>
      </c>
      <c r="N30">
        <f t="shared" ca="1" si="12"/>
        <v>400.54280952380952</v>
      </c>
      <c r="O30" s="2">
        <f t="shared" ca="1" si="7"/>
        <v>228.14285714285714</v>
      </c>
      <c r="P30">
        <f t="shared" ca="1" si="13"/>
        <v>55.742904761904782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2">
      <c r="C31">
        <f t="shared" ca="1" si="0"/>
        <v>828.78380952380951</v>
      </c>
      <c r="D31">
        <f t="shared" ca="1" si="1"/>
        <v>626.49714285714276</v>
      </c>
      <c r="E31">
        <f t="shared" ca="1" si="2"/>
        <v>424.21047619047613</v>
      </c>
      <c r="F31">
        <f t="shared" si="3"/>
        <v>221.92380952380947</v>
      </c>
      <c r="G31">
        <f t="shared" ca="1" si="4"/>
        <v>19.637142857142805</v>
      </c>
      <c r="H31">
        <f t="shared" ca="1" si="5"/>
        <v>-182.64952380952386</v>
      </c>
      <c r="I31">
        <f t="shared" ca="1" si="6"/>
        <v>-384.93619047619052</v>
      </c>
      <c r="J31">
        <f t="shared" ca="1" si="8"/>
        <v>398</v>
      </c>
      <c r="K31" t="str">
        <f t="shared" ca="1" si="9"/>
        <v/>
      </c>
      <c r="L31">
        <f t="shared" ca="1" si="10"/>
        <v>745.34271428571424</v>
      </c>
      <c r="M31">
        <f t="shared" ca="1" si="11"/>
        <v>572.94276190476182</v>
      </c>
      <c r="N31">
        <f t="shared" ca="1" si="12"/>
        <v>400.54280952380952</v>
      </c>
      <c r="O31" s="2">
        <f t="shared" ca="1" si="7"/>
        <v>228.14285714285714</v>
      </c>
      <c r="P31">
        <f t="shared" ca="1" si="13"/>
        <v>55.742904761904782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2">
      <c r="C32">
        <f t="shared" ca="1" si="0"/>
        <v>820.54095238095238</v>
      </c>
      <c r="D32">
        <f t="shared" ca="1" si="1"/>
        <v>618.25428571428563</v>
      </c>
      <c r="E32">
        <f t="shared" ca="1" si="2"/>
        <v>415.967619047619</v>
      </c>
      <c r="F32">
        <f t="shared" si="3"/>
        <v>213.68095238095231</v>
      </c>
      <c r="G32">
        <f t="shared" ca="1" si="4"/>
        <v>11.394285714285644</v>
      </c>
      <c r="H32">
        <f t="shared" ca="1" si="5"/>
        <v>-190.89238095238102</v>
      </c>
      <c r="I32">
        <f t="shared" ca="1" si="6"/>
        <v>-393.17904761904771</v>
      </c>
      <c r="J32">
        <f t="shared" ca="1" si="8"/>
        <v>398</v>
      </c>
      <c r="K32" t="str">
        <f t="shared" ca="1" si="9"/>
        <v/>
      </c>
      <c r="L32">
        <f t="shared" ca="1" si="10"/>
        <v>745.34271428571424</v>
      </c>
      <c r="M32">
        <f t="shared" ca="1" si="11"/>
        <v>572.94276190476182</v>
      </c>
      <c r="N32">
        <f t="shared" ca="1" si="12"/>
        <v>400.54280952380952</v>
      </c>
      <c r="O32" s="2">
        <f t="shared" ca="1" si="7"/>
        <v>228.14285714285714</v>
      </c>
      <c r="P32">
        <f t="shared" ca="1" si="13"/>
        <v>55.742904761904782</v>
      </c>
      <c r="Q32">
        <f t="shared" ca="1" si="14"/>
        <v>0</v>
      </c>
      <c r="R32">
        <v>0</v>
      </c>
      <c r="S32">
        <f t="shared" si="15"/>
        <v>31</v>
      </c>
    </row>
    <row r="33" spans="3:19" ht="14" customHeight="1" x14ac:dyDescent="0.2">
      <c r="C33">
        <f t="shared" ca="1" si="0"/>
        <v>812.29809523809513</v>
      </c>
      <c r="D33">
        <f t="shared" ca="1" si="1"/>
        <v>610.0114285714285</v>
      </c>
      <c r="E33">
        <f t="shared" ca="1" si="2"/>
        <v>407.72476190476186</v>
      </c>
      <c r="F33">
        <f t="shared" si="3"/>
        <v>205.43809523809517</v>
      </c>
      <c r="G33">
        <f t="shared" ca="1" si="4"/>
        <v>3.1514285714285108</v>
      </c>
      <c r="H33">
        <f t="shared" ca="1" si="5"/>
        <v>-199.13523809523815</v>
      </c>
      <c r="I33">
        <f t="shared" ca="1" si="6"/>
        <v>-401.42190476190484</v>
      </c>
      <c r="J33">
        <f t="shared" ca="1" si="8"/>
        <v>398</v>
      </c>
      <c r="K33" t="str">
        <f t="shared" ca="1" si="9"/>
        <v/>
      </c>
      <c r="L33">
        <f t="shared" ca="1" si="10"/>
        <v>745.34271428571424</v>
      </c>
      <c r="M33">
        <f t="shared" ca="1" si="11"/>
        <v>572.94276190476182</v>
      </c>
      <c r="N33">
        <f t="shared" ca="1" si="12"/>
        <v>400.54280952380952</v>
      </c>
      <c r="O33" s="2">
        <f t="shared" ca="1" si="7"/>
        <v>228.14285714285714</v>
      </c>
      <c r="P33">
        <f t="shared" ca="1" si="13"/>
        <v>55.742904761904782</v>
      </c>
      <c r="Q33">
        <f t="shared" ca="1" si="14"/>
        <v>0</v>
      </c>
      <c r="R33">
        <v>0</v>
      </c>
      <c r="S33">
        <f t="shared" si="15"/>
        <v>32</v>
      </c>
    </row>
    <row r="34" spans="3:19" ht="14" customHeight="1" x14ac:dyDescent="0.2">
      <c r="C34">
        <f t="shared" ca="1" si="0"/>
        <v>804.05523809523811</v>
      </c>
      <c r="D34">
        <f t="shared" ca="1" si="1"/>
        <v>601.76857142857136</v>
      </c>
      <c r="E34">
        <f t="shared" ca="1" si="2"/>
        <v>399.48190476190473</v>
      </c>
      <c r="F34">
        <f t="shared" si="3"/>
        <v>197.19523809523804</v>
      </c>
      <c r="G34">
        <f t="shared" ca="1" si="4"/>
        <v>-5.0914285714286223</v>
      </c>
      <c r="H34">
        <f t="shared" ca="1" si="5"/>
        <v>-207.37809523809528</v>
      </c>
      <c r="I34">
        <f t="shared" ca="1" si="6"/>
        <v>-409.66476190476197</v>
      </c>
      <c r="J34">
        <f t="shared" ca="1" si="8"/>
        <v>398</v>
      </c>
      <c r="K34" t="str">
        <f t="shared" ca="1" si="9"/>
        <v/>
      </c>
      <c r="L34">
        <f t="shared" ca="1" si="10"/>
        <v>745.34271428571424</v>
      </c>
      <c r="M34">
        <f t="shared" ca="1" si="11"/>
        <v>572.94276190476182</v>
      </c>
      <c r="N34">
        <f t="shared" ca="1" si="12"/>
        <v>400.54280952380952</v>
      </c>
      <c r="O34" s="2">
        <f t="shared" ca="1" si="7"/>
        <v>228.14285714285714</v>
      </c>
      <c r="P34">
        <f t="shared" ca="1" si="13"/>
        <v>55.742904761904782</v>
      </c>
      <c r="Q34">
        <f t="shared" ca="1" si="14"/>
        <v>0</v>
      </c>
      <c r="R34">
        <v>0</v>
      </c>
      <c r="S34">
        <f t="shared" si="15"/>
        <v>33</v>
      </c>
    </row>
    <row r="35" spans="3:19" ht="14" customHeight="1" x14ac:dyDescent="0.2">
      <c r="C35">
        <f t="shared" ca="1" si="0"/>
        <v>795.81238095238086</v>
      </c>
      <c r="D35">
        <f t="shared" ca="1" si="1"/>
        <v>593.52571428571423</v>
      </c>
      <c r="E35">
        <f t="shared" ca="1" si="2"/>
        <v>391.2390476190476</v>
      </c>
      <c r="F35">
        <f t="shared" si="3"/>
        <v>188.95238095238091</v>
      </c>
      <c r="G35">
        <f t="shared" ca="1" si="4"/>
        <v>-13.334285714285755</v>
      </c>
      <c r="H35">
        <f t="shared" ca="1" si="5"/>
        <v>-215.62095238095242</v>
      </c>
      <c r="I35">
        <f t="shared" ca="1" si="6"/>
        <v>-417.90761904761911</v>
      </c>
      <c r="J35">
        <f t="shared" ca="1" si="8"/>
        <v>398</v>
      </c>
      <c r="K35" t="str">
        <f t="shared" ca="1" si="9"/>
        <v/>
      </c>
      <c r="L35">
        <f t="shared" ca="1" si="10"/>
        <v>745.34271428571424</v>
      </c>
      <c r="M35">
        <f t="shared" ca="1" si="11"/>
        <v>572.94276190476182</v>
      </c>
      <c r="N35">
        <f t="shared" ca="1" si="12"/>
        <v>400.54280952380952</v>
      </c>
      <c r="O35" s="2">
        <f t="shared" ca="1" si="7"/>
        <v>228.14285714285714</v>
      </c>
      <c r="P35">
        <f t="shared" ca="1" si="13"/>
        <v>55.742904761904782</v>
      </c>
      <c r="Q35">
        <f t="shared" ca="1" si="14"/>
        <v>0</v>
      </c>
      <c r="R35">
        <v>0</v>
      </c>
      <c r="S35">
        <f t="shared" si="15"/>
        <v>34</v>
      </c>
    </row>
    <row r="36" spans="3:19" ht="14" customHeight="1" x14ac:dyDescent="0.2">
      <c r="C36">
        <f t="shared" ca="1" si="0"/>
        <v>787.56952380952373</v>
      </c>
      <c r="D36">
        <f t="shared" ca="1" si="1"/>
        <v>585.28285714285698</v>
      </c>
      <c r="E36">
        <f t="shared" ca="1" si="2"/>
        <v>382.99619047619035</v>
      </c>
      <c r="F36">
        <f t="shared" si="3"/>
        <v>180.70952380952372</v>
      </c>
      <c r="G36">
        <f t="shared" ca="1" si="4"/>
        <v>-21.577142857142945</v>
      </c>
      <c r="H36">
        <f t="shared" ca="1" si="5"/>
        <v>-223.86380952380961</v>
      </c>
      <c r="I36">
        <f t="shared" ca="1" si="6"/>
        <v>-426.1504761904763</v>
      </c>
      <c r="J36">
        <f t="shared" ca="1" si="8"/>
        <v>398</v>
      </c>
      <c r="K36" t="str">
        <f t="shared" ca="1" si="9"/>
        <v/>
      </c>
      <c r="L36">
        <f t="shared" ca="1" si="10"/>
        <v>745.34271428571424</v>
      </c>
      <c r="M36">
        <f t="shared" ca="1" si="11"/>
        <v>572.94276190476182</v>
      </c>
      <c r="N36">
        <f t="shared" ca="1" si="12"/>
        <v>400.54280952380952</v>
      </c>
      <c r="O36" s="2">
        <f t="shared" ca="1" si="7"/>
        <v>228.14285714285714</v>
      </c>
      <c r="P36">
        <f t="shared" ca="1" si="13"/>
        <v>55.742904761904782</v>
      </c>
      <c r="Q36">
        <f t="shared" ca="1" si="14"/>
        <v>0</v>
      </c>
      <c r="R36">
        <v>0</v>
      </c>
      <c r="S36">
        <f t="shared" si="15"/>
        <v>35</v>
      </c>
    </row>
    <row r="37" spans="3:19" ht="14" customHeight="1" x14ac:dyDescent="0.2"/>
    <row r="38" spans="3:19" ht="14" customHeight="1" x14ac:dyDescent="0.2"/>
    <row r="39" spans="3:19" ht="14" customHeight="1" x14ac:dyDescent="0.2"/>
    <row r="40" spans="3:19" ht="14" customHeight="1" x14ac:dyDescent="0.2"/>
    <row r="41" spans="3:19" ht="14" customHeight="1" x14ac:dyDescent="0.2"/>
    <row r="42" spans="3:19" ht="14" customHeight="1" x14ac:dyDescent="0.2"/>
    <row r="43" spans="3:19" ht="14" customHeight="1" x14ac:dyDescent="0.2"/>
    <row r="44" spans="3:19" ht="14" customHeight="1" x14ac:dyDescent="0.2"/>
    <row r="45" spans="3:19" ht="14" customHeight="1" x14ac:dyDescent="0.2"/>
    <row r="46" spans="3:19" ht="14" customHeight="1" x14ac:dyDescent="0.2"/>
    <row r="47" spans="3:19" ht="14" customHeight="1" x14ac:dyDescent="0.2"/>
    <row r="48" spans="3:19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1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6976-34F8-0E44-87E0-0C74340877D4}">
  <sheetPr>
    <tabColor rgb="FF66FF66"/>
    <pageSetUpPr fitToPage="1"/>
  </sheetPr>
  <dimension ref="A1:Z52"/>
  <sheetViews>
    <sheetView zoomScale="174" zoomScaleNormal="174" workbookViewId="0">
      <selection activeCell="C1" sqref="C1:T36"/>
    </sheetView>
  </sheetViews>
  <sheetFormatPr baseColWidth="10" defaultRowHeight="15" x14ac:dyDescent="0.2"/>
  <cols>
    <col min="1" max="1" width="5.1640625" bestFit="1" customWidth="1"/>
    <col min="2" max="21" width="7" customWidth="1"/>
  </cols>
  <sheetData>
    <row r="1" spans="1:26" ht="14" customHeight="1" x14ac:dyDescent="0.2">
      <c r="A1">
        <v>2009</v>
      </c>
      <c r="B1" s="3"/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t="s">
        <v>13</v>
      </c>
      <c r="K1" s="3" t="s">
        <v>14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t="s">
        <v>15</v>
      </c>
      <c r="U1" t="s">
        <v>23</v>
      </c>
      <c r="V1">
        <f>INDEX(LINEST($B$2:$B$16,,,TRUE),1,1)</f>
        <v>-0.15954557155533253</v>
      </c>
      <c r="W1" t="s">
        <v>24</v>
      </c>
      <c r="X1">
        <f>INDEX(LINEST($B$2:$B$16,,,TRUE),1,2)</f>
        <v>4.364371783298628</v>
      </c>
      <c r="Y1" t="s">
        <v>25</v>
      </c>
      <c r="Z1">
        <f>INDEX(LINEST($B$2:$B$16,,,TRUE),3,1)</f>
        <v>0.15915115290793866</v>
      </c>
    </row>
    <row r="2" spans="1:26" ht="14" customHeight="1" x14ac:dyDescent="0.2">
      <c r="A2">
        <v>2010</v>
      </c>
      <c r="B2" s="3">
        <v>2.2234891676168762</v>
      </c>
      <c r="C2" s="3">
        <f t="shared" ref="C2:C36" ca="1" si="0">F2+2.66*O2</f>
        <v>8.9498459368941816</v>
      </c>
      <c r="D2" s="3">
        <f t="shared" ref="D2:D36" ca="1" si="1">F2+(2/3)*2.66*O2</f>
        <v>7.3681726951772193</v>
      </c>
      <c r="E2" s="3">
        <f t="shared" ref="E2:E36" ca="1" si="2">F2+(1/3)*2.66*O2</f>
        <v>5.786499453460257</v>
      </c>
      <c r="F2" s="3">
        <f t="shared" ref="F2:F36" si="3">INDEX(LINEST($B$2:$B$16,,,TRUE),1,1)* S2 +INDEX(LINEST($B$2:$B$16,,,TRUE),1,2)</f>
        <v>4.2048262117432955</v>
      </c>
      <c r="G2" s="3">
        <f t="shared" ref="G2:G36" ca="1" si="4">F2-(1/3)*2.66*O2</f>
        <v>2.6231529700263336</v>
      </c>
      <c r="H2" s="3">
        <f t="shared" ref="H2:H36" ca="1" si="5">F2-(2/3)*2.66*O2</f>
        <v>1.0414797283093717</v>
      </c>
      <c r="I2" s="3">
        <f t="shared" ref="I2:I36" ca="1" si="6">F2-2.66*O2</f>
        <v>-0.54019351340759059</v>
      </c>
      <c r="J2">
        <f>B2</f>
        <v>2.2234891676168762</v>
      </c>
      <c r="K2" s="3"/>
      <c r="L2" s="3"/>
      <c r="M2" s="3"/>
      <c r="N2" s="3"/>
      <c r="O2" s="3">
        <f t="shared" ref="O2:O36" ca="1" si="7">AVERAGE($K$3:$K$16)</f>
        <v>1.7838420019364232</v>
      </c>
      <c r="P2" s="3"/>
      <c r="Q2" s="3"/>
      <c r="R2" s="3"/>
      <c r="S2">
        <v>1</v>
      </c>
    </row>
    <row r="3" spans="1:26" ht="14" customHeight="1" x14ac:dyDescent="0.2">
      <c r="A3">
        <v>2011</v>
      </c>
      <c r="B3" s="3">
        <v>8.1334820598624269</v>
      </c>
      <c r="C3" s="4">
        <f t="shared" ca="1" si="0"/>
        <v>8.7903003653388492</v>
      </c>
      <c r="D3" s="4">
        <f t="shared" ca="1" si="1"/>
        <v>7.2086271236218868</v>
      </c>
      <c r="E3" s="4">
        <f t="shared" ca="1" si="2"/>
        <v>5.6269538819049245</v>
      </c>
      <c r="F3" s="4">
        <f t="shared" si="3"/>
        <v>4.0452806401879631</v>
      </c>
      <c r="G3" s="4">
        <f t="shared" ca="1" si="4"/>
        <v>2.4636073984710012</v>
      </c>
      <c r="H3" s="4">
        <f t="shared" ca="1" si="5"/>
        <v>0.8819341567540393</v>
      </c>
      <c r="I3" s="4">
        <f t="shared" ca="1" si="6"/>
        <v>-0.69973908496292303</v>
      </c>
      <c r="J3" s="5">
        <f t="shared" ref="J3:J36" ca="1" si="8">IF(ISBLANK(B3),OFFSET(J3,-1,0,1,1),B3)</f>
        <v>8.1334820598624269</v>
      </c>
      <c r="K3" s="4">
        <f t="shared" ref="K3:K36" ca="1" si="9">IF(OR(OFFSET(K3,-1,-9,1,1)="",OFFSET(K3,0,-9,1,1)=""),"",IF(ISERROR(ABS(B3-OFFSET(K3,-1,-1,1,1))),"",ABS(B3-OFFSET(K3,-1,-1,1,1))))</f>
        <v>5.9099928922455511</v>
      </c>
      <c r="L3" s="3">
        <f t="shared" ref="L3:L36" ca="1" si="10">3.267*O3</f>
        <v>5.8278118203262945</v>
      </c>
      <c r="M3" s="3">
        <f t="shared" ref="M3:M36" ca="1" si="11">(2/3)*(L3-O3)+O3</f>
        <v>4.4798218808630041</v>
      </c>
      <c r="N3" s="3">
        <f t="shared" ref="N3:N36" ca="1" si="12">(1/3)*(L3-O3)+O3</f>
        <v>3.1318319413997138</v>
      </c>
      <c r="O3" s="3">
        <f t="shared" ca="1" si="7"/>
        <v>1.7838420019364232</v>
      </c>
      <c r="P3" s="3">
        <f t="shared" ref="P3:P36" ca="1" si="13">(MAX(O3-(1/3)*(L3-O3),0))</f>
        <v>0.4358520624731328</v>
      </c>
      <c r="Q3" s="3">
        <f t="shared" ref="Q3:Q36" ca="1" si="14">MAX(O3-(2/3)*(L3-O3),0)</f>
        <v>0</v>
      </c>
      <c r="R3" s="3">
        <v>0</v>
      </c>
      <c r="S3">
        <f t="shared" ref="S3:S36" si="15">S2+1</f>
        <v>2</v>
      </c>
    </row>
    <row r="4" spans="1:26" ht="14" customHeight="1" x14ac:dyDescent="0.2">
      <c r="A4">
        <v>2012</v>
      </c>
      <c r="B4" s="3">
        <v>3.429897704805295</v>
      </c>
      <c r="C4" s="4">
        <f t="shared" ca="1" si="0"/>
        <v>8.6307547937835167</v>
      </c>
      <c r="D4" s="4">
        <f t="shared" ca="1" si="1"/>
        <v>7.0490815520665544</v>
      </c>
      <c r="E4" s="4">
        <f t="shared" ca="1" si="2"/>
        <v>5.4674083103495921</v>
      </c>
      <c r="F4" s="4">
        <f t="shared" si="3"/>
        <v>3.8857350686326306</v>
      </c>
      <c r="G4" s="4">
        <f t="shared" ca="1" si="4"/>
        <v>2.3040618269156687</v>
      </c>
      <c r="H4" s="4">
        <f t="shared" ca="1" si="5"/>
        <v>0.72238858519870686</v>
      </c>
      <c r="I4" s="4">
        <f t="shared" ca="1" si="6"/>
        <v>-0.85928465651825547</v>
      </c>
      <c r="J4" s="5">
        <f t="shared" ca="1" si="8"/>
        <v>3.429897704805295</v>
      </c>
      <c r="K4" s="4">
        <f t="shared" ca="1" si="9"/>
        <v>4.7035843550571315</v>
      </c>
      <c r="L4" s="3">
        <f t="shared" ca="1" si="10"/>
        <v>5.8278118203262945</v>
      </c>
      <c r="M4" s="3">
        <f t="shared" ca="1" si="11"/>
        <v>4.4798218808630041</v>
      </c>
      <c r="N4" s="3">
        <f t="shared" ca="1" si="12"/>
        <v>3.1318319413997138</v>
      </c>
      <c r="O4" s="3">
        <f t="shared" ca="1" si="7"/>
        <v>1.7838420019364232</v>
      </c>
      <c r="P4" s="3">
        <f t="shared" ca="1" si="13"/>
        <v>0.4358520624731328</v>
      </c>
      <c r="Q4" s="3">
        <f t="shared" ca="1" si="14"/>
        <v>0</v>
      </c>
      <c r="R4" s="3">
        <v>0</v>
      </c>
      <c r="S4">
        <f t="shared" si="15"/>
        <v>3</v>
      </c>
    </row>
    <row r="5" spans="1:26" ht="14" customHeight="1" x14ac:dyDescent="0.2">
      <c r="A5">
        <v>2013</v>
      </c>
      <c r="B5" s="3">
        <v>3.515625</v>
      </c>
      <c r="C5" s="3">
        <f t="shared" ca="1" si="0"/>
        <v>8.4712092222281843</v>
      </c>
      <c r="D5" s="3">
        <f t="shared" ca="1" si="1"/>
        <v>6.8895359805112211</v>
      </c>
      <c r="E5" s="3">
        <f t="shared" ca="1" si="2"/>
        <v>5.3078627387942596</v>
      </c>
      <c r="F5" s="3">
        <f t="shared" si="3"/>
        <v>3.7261894970772977</v>
      </c>
      <c r="G5" s="3">
        <f t="shared" ca="1" si="4"/>
        <v>2.1445162553603359</v>
      </c>
      <c r="H5" s="3">
        <f t="shared" ca="1" si="5"/>
        <v>0.56284301364337397</v>
      </c>
      <c r="I5" s="3">
        <f t="shared" ca="1" si="6"/>
        <v>-1.0188302280735884</v>
      </c>
      <c r="J5">
        <f t="shared" ca="1" si="8"/>
        <v>3.515625</v>
      </c>
      <c r="K5" s="3">
        <f t="shared" ca="1" si="9"/>
        <v>8.5727295194705011E-2</v>
      </c>
      <c r="L5" s="3">
        <f t="shared" ca="1" si="10"/>
        <v>5.8278118203262945</v>
      </c>
      <c r="M5" s="3">
        <f t="shared" ca="1" si="11"/>
        <v>4.4798218808630041</v>
      </c>
      <c r="N5" s="3">
        <f t="shared" ca="1" si="12"/>
        <v>3.1318319413997138</v>
      </c>
      <c r="O5" s="3">
        <f t="shared" ca="1" si="7"/>
        <v>1.7838420019364232</v>
      </c>
      <c r="P5" s="3">
        <f t="shared" ca="1" si="13"/>
        <v>0.4358520624731328</v>
      </c>
      <c r="Q5" s="3">
        <f t="shared" ca="1" si="14"/>
        <v>0</v>
      </c>
      <c r="R5" s="3">
        <v>0</v>
      </c>
      <c r="S5">
        <f t="shared" si="15"/>
        <v>4</v>
      </c>
    </row>
    <row r="6" spans="1:26" ht="14" customHeight="1" x14ac:dyDescent="0.2">
      <c r="A6">
        <v>2014</v>
      </c>
      <c r="B6" s="3">
        <v>3.8859895624247289</v>
      </c>
      <c r="C6" s="3">
        <f t="shared" ca="1" si="0"/>
        <v>8.3116636506728518</v>
      </c>
      <c r="D6" s="3">
        <f t="shared" ca="1" si="1"/>
        <v>6.7299904089558886</v>
      </c>
      <c r="E6" s="3">
        <f t="shared" ca="1" si="2"/>
        <v>5.1483171672389272</v>
      </c>
      <c r="F6" s="3">
        <f t="shared" si="3"/>
        <v>3.5666439255219653</v>
      </c>
      <c r="G6" s="3">
        <f t="shared" ca="1" si="4"/>
        <v>1.9849706838050034</v>
      </c>
      <c r="H6" s="3">
        <f t="shared" ca="1" si="5"/>
        <v>0.40329744208804152</v>
      </c>
      <c r="I6" s="3">
        <f t="shared" ca="1" si="6"/>
        <v>-1.1783757996289208</v>
      </c>
      <c r="J6">
        <f t="shared" ca="1" si="8"/>
        <v>3.8859895624247289</v>
      </c>
      <c r="K6" s="3">
        <f t="shared" ca="1" si="9"/>
        <v>0.37036456242472893</v>
      </c>
      <c r="L6" s="3">
        <f t="shared" ca="1" si="10"/>
        <v>5.8278118203262945</v>
      </c>
      <c r="M6" s="3">
        <f t="shared" ca="1" si="11"/>
        <v>4.4798218808630041</v>
      </c>
      <c r="N6" s="3">
        <f t="shared" ca="1" si="12"/>
        <v>3.1318319413997138</v>
      </c>
      <c r="O6" s="3">
        <f t="shared" ca="1" si="7"/>
        <v>1.7838420019364232</v>
      </c>
      <c r="P6" s="3">
        <f t="shared" ca="1" si="13"/>
        <v>0.4358520624731328</v>
      </c>
      <c r="Q6" s="3">
        <f t="shared" ca="1" si="14"/>
        <v>0</v>
      </c>
      <c r="R6" s="3">
        <v>0</v>
      </c>
      <c r="S6">
        <f t="shared" si="15"/>
        <v>5</v>
      </c>
    </row>
    <row r="7" spans="1:26" ht="14" customHeight="1" x14ac:dyDescent="0.2">
      <c r="A7">
        <v>2015</v>
      </c>
      <c r="B7" s="3">
        <v>1.236571605224515</v>
      </c>
      <c r="C7" s="3">
        <f t="shared" ca="1" si="0"/>
        <v>8.1521180791175194</v>
      </c>
      <c r="D7" s="3">
        <f t="shared" ca="1" si="1"/>
        <v>6.5704448374005562</v>
      </c>
      <c r="E7" s="3">
        <f t="shared" ca="1" si="2"/>
        <v>4.9887715956835947</v>
      </c>
      <c r="F7" s="3">
        <f t="shared" si="3"/>
        <v>3.4070983539666329</v>
      </c>
      <c r="G7" s="3">
        <f t="shared" ca="1" si="4"/>
        <v>1.825425112249671</v>
      </c>
      <c r="H7" s="3">
        <f t="shared" ca="1" si="5"/>
        <v>0.24375187053270908</v>
      </c>
      <c r="I7" s="3">
        <f t="shared" ca="1" si="6"/>
        <v>-1.3379213711842532</v>
      </c>
      <c r="J7">
        <f t="shared" ca="1" si="8"/>
        <v>1.236571605224515</v>
      </c>
      <c r="K7" s="3">
        <f t="shared" ca="1" si="9"/>
        <v>2.6494179572002139</v>
      </c>
      <c r="L7" s="3">
        <f t="shared" ca="1" si="10"/>
        <v>5.8278118203262945</v>
      </c>
      <c r="M7" s="3">
        <f t="shared" ca="1" si="11"/>
        <v>4.4798218808630041</v>
      </c>
      <c r="N7" s="3">
        <f t="shared" ca="1" si="12"/>
        <v>3.1318319413997138</v>
      </c>
      <c r="O7" s="3">
        <f t="shared" ca="1" si="7"/>
        <v>1.7838420019364232</v>
      </c>
      <c r="P7" s="3">
        <f t="shared" ca="1" si="13"/>
        <v>0.4358520624731328</v>
      </c>
      <c r="Q7" s="3">
        <f t="shared" ca="1" si="14"/>
        <v>0</v>
      </c>
      <c r="R7" s="3">
        <v>0</v>
      </c>
      <c r="S7">
        <f t="shared" si="15"/>
        <v>6</v>
      </c>
    </row>
    <row r="8" spans="1:26" ht="14" customHeight="1" x14ac:dyDescent="0.2">
      <c r="A8">
        <v>2016</v>
      </c>
      <c r="B8" s="3">
        <v>2.79410642033743</v>
      </c>
      <c r="C8" s="3">
        <f t="shared" ca="1" si="0"/>
        <v>7.9925725075621861</v>
      </c>
      <c r="D8" s="3">
        <f t="shared" ca="1" si="1"/>
        <v>6.4108992658452237</v>
      </c>
      <c r="E8" s="3">
        <f t="shared" ca="1" si="2"/>
        <v>4.8292260241282623</v>
      </c>
      <c r="F8" s="3">
        <f t="shared" si="3"/>
        <v>3.2475527824113</v>
      </c>
      <c r="G8" s="3">
        <f t="shared" ca="1" si="4"/>
        <v>1.6658795406943381</v>
      </c>
      <c r="H8" s="3">
        <f t="shared" ca="1" si="5"/>
        <v>8.4206298977376193E-2</v>
      </c>
      <c r="I8" s="3">
        <f t="shared" ca="1" si="6"/>
        <v>-1.4974669427395861</v>
      </c>
      <c r="J8">
        <f t="shared" ca="1" si="8"/>
        <v>2.79410642033743</v>
      </c>
      <c r="K8" s="3">
        <f t="shared" ca="1" si="9"/>
        <v>1.5575348151129149</v>
      </c>
      <c r="L8" s="3">
        <f t="shared" ca="1" si="10"/>
        <v>5.8278118203262945</v>
      </c>
      <c r="M8" s="3">
        <f t="shared" ca="1" si="11"/>
        <v>4.4798218808630041</v>
      </c>
      <c r="N8" s="3">
        <f t="shared" ca="1" si="12"/>
        <v>3.1318319413997138</v>
      </c>
      <c r="O8" s="3">
        <f t="shared" ca="1" si="7"/>
        <v>1.7838420019364232</v>
      </c>
      <c r="P8" s="3">
        <f t="shared" ca="1" si="13"/>
        <v>0.4358520624731328</v>
      </c>
      <c r="Q8" s="3">
        <f t="shared" ca="1" si="14"/>
        <v>0</v>
      </c>
      <c r="R8" s="3">
        <v>0</v>
      </c>
      <c r="S8">
        <f t="shared" si="15"/>
        <v>7</v>
      </c>
    </row>
    <row r="9" spans="1:26" ht="14" customHeight="1" x14ac:dyDescent="0.2">
      <c r="A9">
        <v>2017</v>
      </c>
      <c r="B9" s="3">
        <v>2.4210917192721868</v>
      </c>
      <c r="C9" s="3">
        <f t="shared" ca="1" si="0"/>
        <v>7.8330269360068536</v>
      </c>
      <c r="D9" s="3">
        <f t="shared" ca="1" si="1"/>
        <v>6.2513536942898913</v>
      </c>
      <c r="E9" s="3">
        <f t="shared" ca="1" si="2"/>
        <v>4.6696804525729299</v>
      </c>
      <c r="F9" s="3">
        <f t="shared" si="3"/>
        <v>3.0880072108559675</v>
      </c>
      <c r="G9" s="3">
        <f t="shared" ca="1" si="4"/>
        <v>1.5063339691390056</v>
      </c>
      <c r="H9" s="3">
        <f t="shared" ca="1" si="5"/>
        <v>-7.5339272577956251E-2</v>
      </c>
      <c r="I9" s="3">
        <f t="shared" ca="1" si="6"/>
        <v>-1.6570125142949186</v>
      </c>
      <c r="J9">
        <f t="shared" ca="1" si="8"/>
        <v>2.4210917192721868</v>
      </c>
      <c r="K9" s="3">
        <f t="shared" ca="1" si="9"/>
        <v>0.37301470106524315</v>
      </c>
      <c r="L9" s="3">
        <f t="shared" ca="1" si="10"/>
        <v>5.8278118203262945</v>
      </c>
      <c r="M9" s="3">
        <f t="shared" ca="1" si="11"/>
        <v>4.4798218808630041</v>
      </c>
      <c r="N9" s="3">
        <f t="shared" ca="1" si="12"/>
        <v>3.1318319413997138</v>
      </c>
      <c r="O9" s="3">
        <f t="shared" ca="1" si="7"/>
        <v>1.7838420019364232</v>
      </c>
      <c r="P9" s="3">
        <f t="shared" ca="1" si="13"/>
        <v>0.4358520624731328</v>
      </c>
      <c r="Q9" s="3">
        <f t="shared" ca="1" si="14"/>
        <v>0</v>
      </c>
      <c r="R9" s="3">
        <v>0</v>
      </c>
      <c r="S9">
        <f t="shared" si="15"/>
        <v>8</v>
      </c>
    </row>
    <row r="10" spans="1:26" ht="14" customHeight="1" x14ac:dyDescent="0.2">
      <c r="A10">
        <v>2018</v>
      </c>
      <c r="B10" s="3">
        <v>2.632151403088971</v>
      </c>
      <c r="C10" s="3">
        <f t="shared" ca="1" si="0"/>
        <v>7.6734813644515212</v>
      </c>
      <c r="D10" s="3">
        <f t="shared" ca="1" si="1"/>
        <v>6.0918081227345589</v>
      </c>
      <c r="E10" s="3">
        <f t="shared" ca="1" si="2"/>
        <v>4.5101348810175974</v>
      </c>
      <c r="F10" s="3">
        <f t="shared" si="3"/>
        <v>2.9284616393006351</v>
      </c>
      <c r="G10" s="3">
        <f t="shared" ca="1" si="4"/>
        <v>1.3467883975836732</v>
      </c>
      <c r="H10" s="3">
        <f t="shared" ca="1" si="5"/>
        <v>-0.23488484413328869</v>
      </c>
      <c r="I10" s="3">
        <f t="shared" ca="1" si="6"/>
        <v>-1.816558085850251</v>
      </c>
      <c r="J10">
        <f t="shared" ca="1" si="8"/>
        <v>2.632151403088971</v>
      </c>
      <c r="K10" s="3">
        <f t="shared" ca="1" si="9"/>
        <v>0.21105968381678419</v>
      </c>
      <c r="L10" s="3">
        <f t="shared" ca="1" si="10"/>
        <v>5.8278118203262945</v>
      </c>
      <c r="M10" s="3">
        <f t="shared" ca="1" si="11"/>
        <v>4.4798218808630041</v>
      </c>
      <c r="N10" s="3">
        <f t="shared" ca="1" si="12"/>
        <v>3.1318319413997138</v>
      </c>
      <c r="O10" s="3">
        <f t="shared" ca="1" si="7"/>
        <v>1.7838420019364232</v>
      </c>
      <c r="P10" s="3">
        <f t="shared" ca="1" si="13"/>
        <v>0.4358520624731328</v>
      </c>
      <c r="Q10" s="3">
        <f t="shared" ca="1" si="14"/>
        <v>0</v>
      </c>
      <c r="R10" s="3">
        <v>0</v>
      </c>
      <c r="S10">
        <f t="shared" si="15"/>
        <v>9</v>
      </c>
    </row>
    <row r="11" spans="1:26" ht="14" customHeight="1" x14ac:dyDescent="0.2">
      <c r="A11">
        <v>2019</v>
      </c>
      <c r="B11" s="3">
        <v>4.041260421082379</v>
      </c>
      <c r="C11" s="3">
        <f t="shared" ca="1" si="0"/>
        <v>7.5139357928961887</v>
      </c>
      <c r="D11" s="3">
        <f t="shared" ca="1" si="1"/>
        <v>5.9322625511792264</v>
      </c>
      <c r="E11" s="3">
        <f t="shared" ca="1" si="2"/>
        <v>4.350589309462265</v>
      </c>
      <c r="F11" s="3">
        <f t="shared" si="3"/>
        <v>2.7689160677453026</v>
      </c>
      <c r="G11" s="3">
        <f t="shared" ca="1" si="4"/>
        <v>1.1872428260283407</v>
      </c>
      <c r="H11" s="3">
        <f t="shared" ca="1" si="5"/>
        <v>-0.39443041568862114</v>
      </c>
      <c r="I11" s="3">
        <f t="shared" ca="1" si="6"/>
        <v>-1.9761036574055835</v>
      </c>
      <c r="J11">
        <f t="shared" ca="1" si="8"/>
        <v>4.041260421082379</v>
      </c>
      <c r="K11" s="3">
        <f t="shared" ca="1" si="9"/>
        <v>1.409109017993408</v>
      </c>
      <c r="L11" s="3">
        <f t="shared" ca="1" si="10"/>
        <v>5.8278118203262945</v>
      </c>
      <c r="M11" s="3">
        <f t="shared" ca="1" si="11"/>
        <v>4.4798218808630041</v>
      </c>
      <c r="N11" s="3">
        <f t="shared" ca="1" si="12"/>
        <v>3.1318319413997138</v>
      </c>
      <c r="O11" s="3">
        <f t="shared" ca="1" si="7"/>
        <v>1.7838420019364232</v>
      </c>
      <c r="P11" s="3">
        <f t="shared" ca="1" si="13"/>
        <v>0.4358520624731328</v>
      </c>
      <c r="Q11" s="3">
        <f t="shared" ca="1" si="14"/>
        <v>0</v>
      </c>
      <c r="R11" s="3">
        <v>0</v>
      </c>
      <c r="S11">
        <f t="shared" si="15"/>
        <v>10</v>
      </c>
    </row>
    <row r="12" spans="1:26" ht="14" customHeight="1" x14ac:dyDescent="0.2">
      <c r="A12">
        <v>2020</v>
      </c>
      <c r="B12" s="3">
        <v>4.8146136085834579</v>
      </c>
      <c r="C12" s="3">
        <f t="shared" ca="1" si="0"/>
        <v>7.3543902213408563</v>
      </c>
      <c r="D12" s="3">
        <f t="shared" ca="1" si="1"/>
        <v>5.772716979623894</v>
      </c>
      <c r="E12" s="3">
        <f t="shared" ca="1" si="2"/>
        <v>4.1910437379069325</v>
      </c>
      <c r="F12" s="3">
        <f t="shared" si="3"/>
        <v>2.6093704961899702</v>
      </c>
      <c r="G12" s="3">
        <f t="shared" ca="1" si="4"/>
        <v>1.0276972544730083</v>
      </c>
      <c r="H12" s="3">
        <f t="shared" ca="1" si="5"/>
        <v>-0.55397598724395358</v>
      </c>
      <c r="I12" s="3">
        <f t="shared" ca="1" si="6"/>
        <v>-2.1356492289609159</v>
      </c>
      <c r="J12">
        <f t="shared" ca="1" si="8"/>
        <v>4.8146136085834579</v>
      </c>
      <c r="K12" s="3">
        <f t="shared" ca="1" si="9"/>
        <v>0.77335318750107884</v>
      </c>
      <c r="L12" s="3">
        <f t="shared" ca="1" si="10"/>
        <v>5.8278118203262945</v>
      </c>
      <c r="M12" s="3">
        <f t="shared" ca="1" si="11"/>
        <v>4.4798218808630041</v>
      </c>
      <c r="N12" s="3">
        <f t="shared" ca="1" si="12"/>
        <v>3.1318319413997138</v>
      </c>
      <c r="O12" s="3">
        <f t="shared" ca="1" si="7"/>
        <v>1.7838420019364232</v>
      </c>
      <c r="P12" s="3">
        <f t="shared" ca="1" si="13"/>
        <v>0.4358520624731328</v>
      </c>
      <c r="Q12" s="3">
        <f t="shared" ca="1" si="14"/>
        <v>0</v>
      </c>
      <c r="R12" s="3">
        <v>0</v>
      </c>
      <c r="S12">
        <f t="shared" si="15"/>
        <v>11</v>
      </c>
    </row>
    <row r="13" spans="1:26" ht="14" customHeight="1" x14ac:dyDescent="0.2">
      <c r="A13">
        <v>2021</v>
      </c>
      <c r="B13" s="3">
        <v>0.3304178814382896</v>
      </c>
      <c r="C13" s="3">
        <f t="shared" ca="1" si="0"/>
        <v>7.1948446497855238</v>
      </c>
      <c r="D13" s="3">
        <f t="shared" ca="1" si="1"/>
        <v>5.6131714080685615</v>
      </c>
      <c r="E13" s="3">
        <f t="shared" ca="1" si="2"/>
        <v>4.0314981663516001</v>
      </c>
      <c r="F13" s="3">
        <f t="shared" si="3"/>
        <v>2.4498249246346377</v>
      </c>
      <c r="G13" s="3">
        <f t="shared" ca="1" si="4"/>
        <v>0.86815168291767586</v>
      </c>
      <c r="H13" s="3">
        <f t="shared" ca="1" si="5"/>
        <v>-0.71352155879928603</v>
      </c>
      <c r="I13" s="3">
        <f t="shared" ca="1" si="6"/>
        <v>-2.2951948005162484</v>
      </c>
      <c r="J13">
        <f t="shared" ca="1" si="8"/>
        <v>0.3304178814382896</v>
      </c>
      <c r="K13" s="3">
        <f t="shared" ca="1" si="9"/>
        <v>4.4841957271451687</v>
      </c>
      <c r="L13" s="3">
        <f t="shared" ca="1" si="10"/>
        <v>5.8278118203262945</v>
      </c>
      <c r="M13" s="3">
        <f t="shared" ca="1" si="11"/>
        <v>4.4798218808630041</v>
      </c>
      <c r="N13" s="3">
        <f t="shared" ca="1" si="12"/>
        <v>3.1318319413997138</v>
      </c>
      <c r="O13" s="3">
        <f t="shared" ca="1" si="7"/>
        <v>1.7838420019364232</v>
      </c>
      <c r="P13" s="3">
        <f t="shared" ca="1" si="13"/>
        <v>0.4358520624731328</v>
      </c>
      <c r="Q13" s="3">
        <f t="shared" ca="1" si="14"/>
        <v>0</v>
      </c>
      <c r="R13" s="3">
        <v>0</v>
      </c>
      <c r="S13">
        <f t="shared" si="15"/>
        <v>12</v>
      </c>
    </row>
    <row r="14" spans="1:26" ht="14" customHeight="1" x14ac:dyDescent="0.2">
      <c r="A14">
        <v>2022</v>
      </c>
      <c r="B14" s="3">
        <v>2.2794782384088852</v>
      </c>
      <c r="C14" s="3">
        <f t="shared" ca="1" si="0"/>
        <v>7.0352990782301914</v>
      </c>
      <c r="D14" s="3">
        <f t="shared" ca="1" si="1"/>
        <v>5.4536258365132291</v>
      </c>
      <c r="E14" s="3">
        <f t="shared" ca="1" si="2"/>
        <v>3.8719525947962672</v>
      </c>
      <c r="F14" s="3">
        <f t="shared" si="3"/>
        <v>2.2902793530793053</v>
      </c>
      <c r="G14" s="3">
        <f t="shared" ca="1" si="4"/>
        <v>0.70860611136234342</v>
      </c>
      <c r="H14" s="3">
        <f t="shared" ca="1" si="5"/>
        <v>-0.87306713035461847</v>
      </c>
      <c r="I14" s="3">
        <f t="shared" ca="1" si="6"/>
        <v>-2.4547403720715808</v>
      </c>
      <c r="J14">
        <f t="shared" ca="1" si="8"/>
        <v>2.2794782384088852</v>
      </c>
      <c r="K14" s="3">
        <f t="shared" ca="1" si="9"/>
        <v>1.9490603569705955</v>
      </c>
      <c r="L14" s="3">
        <f t="shared" ca="1" si="10"/>
        <v>5.8278118203262945</v>
      </c>
      <c r="M14" s="3">
        <f t="shared" ca="1" si="11"/>
        <v>4.4798218808630041</v>
      </c>
      <c r="N14" s="3">
        <f t="shared" ca="1" si="12"/>
        <v>3.1318319413997138</v>
      </c>
      <c r="O14" s="3">
        <f t="shared" ca="1" si="7"/>
        <v>1.7838420019364232</v>
      </c>
      <c r="P14" s="3">
        <f t="shared" ca="1" si="13"/>
        <v>0.4358520624731328</v>
      </c>
      <c r="Q14" s="3">
        <f t="shared" ca="1" si="14"/>
        <v>0</v>
      </c>
      <c r="R14" s="3">
        <v>0</v>
      </c>
      <c r="S14">
        <f t="shared" si="15"/>
        <v>13</v>
      </c>
    </row>
    <row r="15" spans="1:26" ht="14" customHeight="1" x14ac:dyDescent="0.2">
      <c r="A15">
        <v>2023</v>
      </c>
      <c r="B15" s="3">
        <v>2.1213460445735208</v>
      </c>
      <c r="C15" s="3">
        <f t="shared" ca="1" si="0"/>
        <v>6.8757535066748581</v>
      </c>
      <c r="D15" s="3">
        <f t="shared" ca="1" si="1"/>
        <v>5.2940802649578966</v>
      </c>
      <c r="E15" s="3">
        <f t="shared" ca="1" si="2"/>
        <v>3.7124070232409343</v>
      </c>
      <c r="F15" s="3">
        <f t="shared" si="3"/>
        <v>2.1307337815239724</v>
      </c>
      <c r="G15" s="3">
        <f t="shared" ca="1" si="4"/>
        <v>0.54906053980701053</v>
      </c>
      <c r="H15" s="3">
        <f t="shared" ca="1" si="5"/>
        <v>-1.0326127019099514</v>
      </c>
      <c r="I15" s="3">
        <f t="shared" ca="1" si="6"/>
        <v>-2.6142859436269137</v>
      </c>
      <c r="J15">
        <f t="shared" ca="1" si="8"/>
        <v>2.1213460445735208</v>
      </c>
      <c r="K15" s="3">
        <f t="shared" ca="1" si="9"/>
        <v>0.15813219383536437</v>
      </c>
      <c r="L15" s="3">
        <f t="shared" ca="1" si="10"/>
        <v>5.8278118203262945</v>
      </c>
      <c r="M15" s="3">
        <f t="shared" ca="1" si="11"/>
        <v>4.4798218808630041</v>
      </c>
      <c r="N15" s="3">
        <f t="shared" ca="1" si="12"/>
        <v>3.1318319413997138</v>
      </c>
      <c r="O15" s="3">
        <f t="shared" ca="1" si="7"/>
        <v>1.7838420019364232</v>
      </c>
      <c r="P15" s="3">
        <f t="shared" ca="1" si="13"/>
        <v>0.4358520624731328</v>
      </c>
      <c r="Q15" s="3">
        <f t="shared" ca="1" si="14"/>
        <v>0</v>
      </c>
      <c r="R15" s="3">
        <v>0</v>
      </c>
      <c r="S15">
        <f t="shared" si="15"/>
        <v>14</v>
      </c>
    </row>
    <row r="16" spans="1:26" ht="14" customHeight="1" x14ac:dyDescent="0.2">
      <c r="A16">
        <v>2024</v>
      </c>
      <c r="B16" s="3">
        <v>2.4605873261205571</v>
      </c>
      <c r="C16" s="3">
        <f t="shared" ca="1" si="0"/>
        <v>6.7162079351195256</v>
      </c>
      <c r="D16" s="3">
        <f t="shared" ca="1" si="1"/>
        <v>5.1345346934025642</v>
      </c>
      <c r="E16" s="3">
        <f t="shared" ca="1" si="2"/>
        <v>3.5528614516856019</v>
      </c>
      <c r="F16" s="3">
        <f t="shared" si="3"/>
        <v>1.97118820996864</v>
      </c>
      <c r="G16" s="3">
        <f t="shared" ca="1" si="4"/>
        <v>0.38951496825167808</v>
      </c>
      <c r="H16" s="3">
        <f t="shared" ca="1" si="5"/>
        <v>-1.1921582734652838</v>
      </c>
      <c r="I16" s="3">
        <f t="shared" ca="1" si="6"/>
        <v>-2.7738315151822461</v>
      </c>
      <c r="J16">
        <f t="shared" ca="1" si="8"/>
        <v>2.4605873261205571</v>
      </c>
      <c r="K16" s="3">
        <f t="shared" ca="1" si="9"/>
        <v>0.33924128154703626</v>
      </c>
      <c r="L16" s="3">
        <f t="shared" ca="1" si="10"/>
        <v>5.8278118203262945</v>
      </c>
      <c r="M16" s="3">
        <f t="shared" ca="1" si="11"/>
        <v>4.4798218808630041</v>
      </c>
      <c r="N16" s="3">
        <f t="shared" ca="1" si="12"/>
        <v>3.1318319413997138</v>
      </c>
      <c r="O16" s="3">
        <f t="shared" ca="1" si="7"/>
        <v>1.7838420019364232</v>
      </c>
      <c r="P16" s="3">
        <f t="shared" ca="1" si="13"/>
        <v>0.4358520624731328</v>
      </c>
      <c r="Q16" s="3">
        <f t="shared" ca="1" si="14"/>
        <v>0</v>
      </c>
      <c r="R16" s="3">
        <v>0</v>
      </c>
      <c r="S16">
        <f t="shared" si="15"/>
        <v>15</v>
      </c>
    </row>
    <row r="17" spans="3:19" ht="14" customHeight="1" x14ac:dyDescent="0.2">
      <c r="C17">
        <f t="shared" ca="1" si="0"/>
        <v>6.5566623635641932</v>
      </c>
      <c r="D17">
        <f t="shared" ca="1" si="1"/>
        <v>4.9749891218472317</v>
      </c>
      <c r="E17">
        <f t="shared" ca="1" si="2"/>
        <v>3.3933158801302694</v>
      </c>
      <c r="F17">
        <f t="shared" si="3"/>
        <v>1.8116426384133075</v>
      </c>
      <c r="G17">
        <f t="shared" ca="1" si="4"/>
        <v>0.22996939669634564</v>
      </c>
      <c r="H17">
        <f t="shared" ca="1" si="5"/>
        <v>-1.3517038450206162</v>
      </c>
      <c r="I17">
        <f t="shared" ca="1" si="6"/>
        <v>-2.9333770867375786</v>
      </c>
      <c r="J17">
        <f t="shared" ca="1" si="8"/>
        <v>2.4605873261205571</v>
      </c>
      <c r="L17">
        <f t="shared" ca="1" si="10"/>
        <v>5.8278118203262945</v>
      </c>
      <c r="M17">
        <f t="shared" ca="1" si="11"/>
        <v>4.4798218808630041</v>
      </c>
      <c r="N17">
        <f t="shared" ca="1" si="12"/>
        <v>3.1318319413997138</v>
      </c>
      <c r="O17" s="3">
        <f t="shared" ca="1" si="7"/>
        <v>1.7838420019364232</v>
      </c>
      <c r="P17">
        <f t="shared" ca="1" si="13"/>
        <v>0.4358520624731328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2">
      <c r="C18">
        <f t="shared" ca="1" si="0"/>
        <v>6.3971167920088607</v>
      </c>
      <c r="D18">
        <f t="shared" ca="1" si="1"/>
        <v>4.8154435502918993</v>
      </c>
      <c r="E18">
        <f t="shared" ca="1" si="2"/>
        <v>3.233770308574937</v>
      </c>
      <c r="F18">
        <f t="shared" si="3"/>
        <v>1.6520970668579751</v>
      </c>
      <c r="G18">
        <f t="shared" ca="1" si="4"/>
        <v>7.0423825141013197E-2</v>
      </c>
      <c r="H18">
        <f t="shared" ca="1" si="5"/>
        <v>-1.5112494165759487</v>
      </c>
      <c r="I18">
        <f t="shared" ca="1" si="6"/>
        <v>-3.092922658292911</v>
      </c>
      <c r="J18">
        <f t="shared" ca="1" si="8"/>
        <v>2.4605873261205571</v>
      </c>
      <c r="K18" t="str">
        <f t="shared" ca="1" si="9"/>
        <v/>
      </c>
      <c r="L18">
        <f t="shared" ca="1" si="10"/>
        <v>5.8278118203262945</v>
      </c>
      <c r="M18">
        <f t="shared" ca="1" si="11"/>
        <v>4.4798218808630041</v>
      </c>
      <c r="N18">
        <f t="shared" ca="1" si="12"/>
        <v>3.1318319413997138</v>
      </c>
      <c r="O18" s="3">
        <f t="shared" ca="1" si="7"/>
        <v>1.7838420019364232</v>
      </c>
      <c r="P18">
        <f t="shared" ca="1" si="13"/>
        <v>0.4358520624731328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2">
      <c r="C19">
        <f t="shared" ca="1" si="0"/>
        <v>6.2375712204535283</v>
      </c>
      <c r="D19">
        <f t="shared" ca="1" si="1"/>
        <v>4.6558979787365669</v>
      </c>
      <c r="E19">
        <f t="shared" ca="1" si="2"/>
        <v>3.0742247370196045</v>
      </c>
      <c r="F19">
        <f t="shared" si="3"/>
        <v>1.4925514953026426</v>
      </c>
      <c r="G19">
        <f t="shared" ca="1" si="4"/>
        <v>-8.9121746414319247E-2</v>
      </c>
      <c r="H19">
        <f t="shared" ca="1" si="5"/>
        <v>-1.6707949881312811</v>
      </c>
      <c r="I19">
        <f t="shared" ca="1" si="6"/>
        <v>-3.2524682298482435</v>
      </c>
      <c r="J19">
        <f t="shared" ca="1" si="8"/>
        <v>2.4605873261205571</v>
      </c>
      <c r="K19" t="str">
        <f t="shared" ca="1" si="9"/>
        <v/>
      </c>
      <c r="L19">
        <f t="shared" ca="1" si="10"/>
        <v>5.8278118203262945</v>
      </c>
      <c r="M19">
        <f t="shared" ca="1" si="11"/>
        <v>4.4798218808630041</v>
      </c>
      <c r="N19">
        <f t="shared" ca="1" si="12"/>
        <v>3.1318319413997138</v>
      </c>
      <c r="O19" s="3">
        <f t="shared" ca="1" si="7"/>
        <v>1.7838420019364232</v>
      </c>
      <c r="P19">
        <f t="shared" ca="1" si="13"/>
        <v>0.4358520624731328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2">
      <c r="C20">
        <f t="shared" ca="1" si="0"/>
        <v>6.0780256488981959</v>
      </c>
      <c r="D20">
        <f t="shared" ca="1" si="1"/>
        <v>4.4963524071812335</v>
      </c>
      <c r="E20">
        <f t="shared" ca="1" si="2"/>
        <v>2.9146791654642716</v>
      </c>
      <c r="F20">
        <f t="shared" si="3"/>
        <v>1.3330059237473098</v>
      </c>
      <c r="G20">
        <f t="shared" ca="1" si="4"/>
        <v>-0.24866731796965214</v>
      </c>
      <c r="H20">
        <f t="shared" ca="1" si="5"/>
        <v>-1.830340559686614</v>
      </c>
      <c r="I20">
        <f t="shared" ca="1" si="6"/>
        <v>-3.4120138014035764</v>
      </c>
      <c r="J20">
        <f t="shared" ca="1" si="8"/>
        <v>2.4605873261205571</v>
      </c>
      <c r="K20" t="str">
        <f t="shared" ca="1" si="9"/>
        <v/>
      </c>
      <c r="L20">
        <f t="shared" ca="1" si="10"/>
        <v>5.8278118203262945</v>
      </c>
      <c r="M20">
        <f t="shared" ca="1" si="11"/>
        <v>4.4798218808630041</v>
      </c>
      <c r="N20">
        <f t="shared" ca="1" si="12"/>
        <v>3.1318319413997138</v>
      </c>
      <c r="O20" s="3">
        <f t="shared" ca="1" si="7"/>
        <v>1.7838420019364232</v>
      </c>
      <c r="P20">
        <f t="shared" ca="1" si="13"/>
        <v>0.4358520624731328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2">
      <c r="C21">
        <f t="shared" ca="1" si="0"/>
        <v>5.9184800773428634</v>
      </c>
      <c r="D21">
        <f t="shared" ca="1" si="1"/>
        <v>4.3368068356259011</v>
      </c>
      <c r="E21">
        <f t="shared" ca="1" si="2"/>
        <v>2.7551335939089392</v>
      </c>
      <c r="F21">
        <f t="shared" si="3"/>
        <v>1.1734603521919773</v>
      </c>
      <c r="G21">
        <f t="shared" ca="1" si="4"/>
        <v>-0.40821288952498458</v>
      </c>
      <c r="H21">
        <f t="shared" ca="1" si="5"/>
        <v>-1.9898861312419465</v>
      </c>
      <c r="I21">
        <f t="shared" ca="1" si="6"/>
        <v>-3.5715593729589088</v>
      </c>
      <c r="J21">
        <f t="shared" ca="1" si="8"/>
        <v>2.4605873261205571</v>
      </c>
      <c r="K21" t="str">
        <f t="shared" ca="1" si="9"/>
        <v/>
      </c>
      <c r="L21">
        <f t="shared" ca="1" si="10"/>
        <v>5.8278118203262945</v>
      </c>
      <c r="M21">
        <f t="shared" ca="1" si="11"/>
        <v>4.4798218808630041</v>
      </c>
      <c r="N21">
        <f t="shared" ca="1" si="12"/>
        <v>3.1318319413997138</v>
      </c>
      <c r="O21" s="3">
        <f t="shared" ca="1" si="7"/>
        <v>1.7838420019364232</v>
      </c>
      <c r="P21">
        <f t="shared" ca="1" si="13"/>
        <v>0.4358520624731328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2">
      <c r="C22">
        <f t="shared" ca="1" si="0"/>
        <v>5.758934505787531</v>
      </c>
      <c r="D22">
        <f t="shared" ca="1" si="1"/>
        <v>4.1772612640705686</v>
      </c>
      <c r="E22">
        <f t="shared" ca="1" si="2"/>
        <v>2.5955880223536067</v>
      </c>
      <c r="F22">
        <f t="shared" si="3"/>
        <v>1.0139147806366449</v>
      </c>
      <c r="G22">
        <f t="shared" ca="1" si="4"/>
        <v>-0.56775846108031702</v>
      </c>
      <c r="H22">
        <f t="shared" ca="1" si="5"/>
        <v>-2.1494317027972789</v>
      </c>
      <c r="I22">
        <f t="shared" ca="1" si="6"/>
        <v>-3.7311049445142412</v>
      </c>
      <c r="J22">
        <f t="shared" ca="1" si="8"/>
        <v>2.4605873261205571</v>
      </c>
      <c r="K22" t="str">
        <f t="shared" ca="1" si="9"/>
        <v/>
      </c>
      <c r="L22">
        <f t="shared" ca="1" si="10"/>
        <v>5.8278118203262945</v>
      </c>
      <c r="M22">
        <f t="shared" ca="1" si="11"/>
        <v>4.4798218808630041</v>
      </c>
      <c r="N22">
        <f t="shared" ca="1" si="12"/>
        <v>3.1318319413997138</v>
      </c>
      <c r="O22" s="3">
        <f t="shared" ca="1" si="7"/>
        <v>1.7838420019364232</v>
      </c>
      <c r="P22">
        <f t="shared" ca="1" si="13"/>
        <v>0.4358520624731328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2">
      <c r="C23">
        <f t="shared" ca="1" si="0"/>
        <v>5.5993889342321985</v>
      </c>
      <c r="D23">
        <f t="shared" ca="1" si="1"/>
        <v>4.0177156925152362</v>
      </c>
      <c r="E23">
        <f t="shared" ca="1" si="2"/>
        <v>2.4360424507982743</v>
      </c>
      <c r="F23">
        <f t="shared" si="3"/>
        <v>0.85436920908131242</v>
      </c>
      <c r="G23">
        <f t="shared" ca="1" si="4"/>
        <v>-0.72730403263564947</v>
      </c>
      <c r="H23">
        <f t="shared" ca="1" si="5"/>
        <v>-2.3089772743526114</v>
      </c>
      <c r="I23">
        <f t="shared" ca="1" si="6"/>
        <v>-3.8906505160695737</v>
      </c>
      <c r="J23">
        <f t="shared" ca="1" si="8"/>
        <v>2.4605873261205571</v>
      </c>
      <c r="K23" t="str">
        <f t="shared" ca="1" si="9"/>
        <v/>
      </c>
      <c r="L23">
        <f t="shared" ca="1" si="10"/>
        <v>5.8278118203262945</v>
      </c>
      <c r="M23">
        <f t="shared" ca="1" si="11"/>
        <v>4.4798218808630041</v>
      </c>
      <c r="N23">
        <f t="shared" ca="1" si="12"/>
        <v>3.1318319413997138</v>
      </c>
      <c r="O23" s="3">
        <f t="shared" ca="1" si="7"/>
        <v>1.7838420019364232</v>
      </c>
      <c r="P23">
        <f t="shared" ca="1" si="13"/>
        <v>0.4358520624731328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2">
      <c r="C24">
        <f t="shared" ca="1" si="0"/>
        <v>5.4398433626768661</v>
      </c>
      <c r="D24">
        <f t="shared" ca="1" si="1"/>
        <v>3.8581701209599037</v>
      </c>
      <c r="E24">
        <f t="shared" ca="1" si="2"/>
        <v>2.2764968792429419</v>
      </c>
      <c r="F24">
        <f t="shared" si="3"/>
        <v>0.69482363752597998</v>
      </c>
      <c r="G24">
        <f t="shared" ca="1" si="4"/>
        <v>-0.88684960419098191</v>
      </c>
      <c r="H24">
        <f t="shared" ca="1" si="5"/>
        <v>-2.4685228459079438</v>
      </c>
      <c r="I24">
        <f t="shared" ca="1" si="6"/>
        <v>-4.0501960876249061</v>
      </c>
      <c r="J24">
        <f t="shared" ca="1" si="8"/>
        <v>2.4605873261205571</v>
      </c>
      <c r="K24" t="str">
        <f t="shared" ca="1" si="9"/>
        <v/>
      </c>
      <c r="L24">
        <f t="shared" ca="1" si="10"/>
        <v>5.8278118203262945</v>
      </c>
      <c r="M24">
        <f t="shared" ca="1" si="11"/>
        <v>4.4798218808630041</v>
      </c>
      <c r="N24">
        <f t="shared" ca="1" si="12"/>
        <v>3.1318319413997138</v>
      </c>
      <c r="O24" s="3">
        <f t="shared" ca="1" si="7"/>
        <v>1.7838420019364232</v>
      </c>
      <c r="P24">
        <f t="shared" ca="1" si="13"/>
        <v>0.4358520624731328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2">
      <c r="C25">
        <f t="shared" ca="1" si="0"/>
        <v>5.2802977911215336</v>
      </c>
      <c r="D25">
        <f t="shared" ca="1" si="1"/>
        <v>3.6986245494045713</v>
      </c>
      <c r="E25">
        <f t="shared" ca="1" si="2"/>
        <v>2.1169513076876094</v>
      </c>
      <c r="F25">
        <f t="shared" si="3"/>
        <v>0.53527806597064753</v>
      </c>
      <c r="G25">
        <f t="shared" ca="1" si="4"/>
        <v>-1.0463951757463144</v>
      </c>
      <c r="H25">
        <f t="shared" ca="1" si="5"/>
        <v>-2.6280684174632762</v>
      </c>
      <c r="I25">
        <f t="shared" ca="1" si="6"/>
        <v>-4.2097416591802386</v>
      </c>
      <c r="J25">
        <f t="shared" ca="1" si="8"/>
        <v>2.4605873261205571</v>
      </c>
      <c r="K25" t="str">
        <f t="shared" ca="1" si="9"/>
        <v/>
      </c>
      <c r="L25">
        <f t="shared" ca="1" si="10"/>
        <v>5.8278118203262945</v>
      </c>
      <c r="M25">
        <f t="shared" ca="1" si="11"/>
        <v>4.4798218808630041</v>
      </c>
      <c r="N25">
        <f t="shared" ca="1" si="12"/>
        <v>3.1318319413997138</v>
      </c>
      <c r="O25" s="3">
        <f t="shared" ca="1" si="7"/>
        <v>1.7838420019364232</v>
      </c>
      <c r="P25">
        <f t="shared" ca="1" si="13"/>
        <v>0.4358520624731328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2">
      <c r="C26">
        <f t="shared" ca="1" si="0"/>
        <v>5.1207522195662012</v>
      </c>
      <c r="D26">
        <f t="shared" ca="1" si="1"/>
        <v>3.5390789778492384</v>
      </c>
      <c r="E26">
        <f t="shared" ca="1" si="2"/>
        <v>1.9574057361322765</v>
      </c>
      <c r="F26">
        <f t="shared" si="3"/>
        <v>0.37573249441531464</v>
      </c>
      <c r="G26">
        <f t="shared" ca="1" si="4"/>
        <v>-1.2059407473016472</v>
      </c>
      <c r="H26">
        <f t="shared" ca="1" si="5"/>
        <v>-2.7876139890186091</v>
      </c>
      <c r="I26">
        <f t="shared" ca="1" si="6"/>
        <v>-4.369287230735571</v>
      </c>
      <c r="J26">
        <f t="shared" ca="1" si="8"/>
        <v>2.4605873261205571</v>
      </c>
      <c r="K26" t="str">
        <f t="shared" ca="1" si="9"/>
        <v/>
      </c>
      <c r="L26">
        <f t="shared" ca="1" si="10"/>
        <v>5.8278118203262945</v>
      </c>
      <c r="M26">
        <f t="shared" ca="1" si="11"/>
        <v>4.4798218808630041</v>
      </c>
      <c r="N26">
        <f t="shared" ca="1" si="12"/>
        <v>3.1318319413997138</v>
      </c>
      <c r="O26" s="3">
        <f t="shared" ca="1" si="7"/>
        <v>1.7838420019364232</v>
      </c>
      <c r="P26">
        <f t="shared" ca="1" si="13"/>
        <v>0.4358520624731328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2">
      <c r="C27">
        <f t="shared" ca="1" si="0"/>
        <v>4.9612066480108687</v>
      </c>
      <c r="D27">
        <f t="shared" ca="1" si="1"/>
        <v>3.3795334062939064</v>
      </c>
      <c r="E27">
        <f t="shared" ca="1" si="2"/>
        <v>1.7978601645769445</v>
      </c>
      <c r="F27">
        <f t="shared" si="3"/>
        <v>0.21618692285998264</v>
      </c>
      <c r="G27">
        <f t="shared" ca="1" si="4"/>
        <v>-1.3654863188569792</v>
      </c>
      <c r="H27">
        <f t="shared" ca="1" si="5"/>
        <v>-2.9471595605739411</v>
      </c>
      <c r="I27">
        <f t="shared" ca="1" si="6"/>
        <v>-4.5288328022909035</v>
      </c>
      <c r="J27">
        <f t="shared" ca="1" si="8"/>
        <v>2.4605873261205571</v>
      </c>
      <c r="K27" t="str">
        <f t="shared" ca="1" si="9"/>
        <v/>
      </c>
      <c r="L27">
        <f t="shared" ca="1" si="10"/>
        <v>5.8278118203262945</v>
      </c>
      <c r="M27">
        <f t="shared" ca="1" si="11"/>
        <v>4.4798218808630041</v>
      </c>
      <c r="N27">
        <f t="shared" ca="1" si="12"/>
        <v>3.1318319413997138</v>
      </c>
      <c r="O27" s="3">
        <f t="shared" ca="1" si="7"/>
        <v>1.7838420019364232</v>
      </c>
      <c r="P27">
        <f t="shared" ca="1" si="13"/>
        <v>0.4358520624731328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2">
      <c r="C28">
        <f t="shared" ca="1" si="0"/>
        <v>4.8016610764555354</v>
      </c>
      <c r="D28">
        <f t="shared" ca="1" si="1"/>
        <v>3.2199878347385731</v>
      </c>
      <c r="E28">
        <f t="shared" ca="1" si="2"/>
        <v>1.6383145930216112</v>
      </c>
      <c r="F28">
        <f t="shared" si="3"/>
        <v>5.6641351304649312E-2</v>
      </c>
      <c r="G28">
        <f t="shared" ca="1" si="4"/>
        <v>-1.5250318904123126</v>
      </c>
      <c r="H28">
        <f t="shared" ca="1" si="5"/>
        <v>-3.1067051321292745</v>
      </c>
      <c r="I28">
        <f t="shared" ca="1" si="6"/>
        <v>-4.6883783738462368</v>
      </c>
      <c r="J28">
        <f t="shared" ca="1" si="8"/>
        <v>2.4605873261205571</v>
      </c>
      <c r="K28" t="str">
        <f t="shared" ca="1" si="9"/>
        <v/>
      </c>
      <c r="L28">
        <f t="shared" ca="1" si="10"/>
        <v>5.8278118203262945</v>
      </c>
      <c r="M28">
        <f t="shared" ca="1" si="11"/>
        <v>4.4798218808630041</v>
      </c>
      <c r="N28">
        <f t="shared" ca="1" si="12"/>
        <v>3.1318319413997138</v>
      </c>
      <c r="O28" s="3">
        <f t="shared" ca="1" si="7"/>
        <v>1.7838420019364232</v>
      </c>
      <c r="P28">
        <f t="shared" ca="1" si="13"/>
        <v>0.4358520624731328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2">
      <c r="C29">
        <f t="shared" ca="1" si="0"/>
        <v>4.642115504900203</v>
      </c>
      <c r="D29">
        <f t="shared" ca="1" si="1"/>
        <v>3.0604422631832406</v>
      </c>
      <c r="E29">
        <f t="shared" ca="1" si="2"/>
        <v>1.4787690214662788</v>
      </c>
      <c r="F29">
        <f t="shared" si="3"/>
        <v>-0.10290422025068313</v>
      </c>
      <c r="G29">
        <f t="shared" ca="1" si="4"/>
        <v>-1.684577461967645</v>
      </c>
      <c r="H29">
        <f t="shared" ca="1" si="5"/>
        <v>-3.2662507036846069</v>
      </c>
      <c r="I29">
        <f t="shared" ca="1" si="6"/>
        <v>-4.8479239454015692</v>
      </c>
      <c r="J29">
        <f t="shared" ca="1" si="8"/>
        <v>2.4605873261205571</v>
      </c>
      <c r="K29" t="str">
        <f t="shared" ca="1" si="9"/>
        <v/>
      </c>
      <c r="L29">
        <f t="shared" ca="1" si="10"/>
        <v>5.8278118203262945</v>
      </c>
      <c r="M29">
        <f t="shared" ca="1" si="11"/>
        <v>4.4798218808630041</v>
      </c>
      <c r="N29">
        <f t="shared" ca="1" si="12"/>
        <v>3.1318319413997138</v>
      </c>
      <c r="O29" s="3">
        <f t="shared" ca="1" si="7"/>
        <v>1.7838420019364232</v>
      </c>
      <c r="P29">
        <f t="shared" ca="1" si="13"/>
        <v>0.4358520624731328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2">
      <c r="C30">
        <f t="shared" ca="1" si="0"/>
        <v>4.4825699333448705</v>
      </c>
      <c r="D30">
        <f t="shared" ca="1" si="1"/>
        <v>2.9008966916279082</v>
      </c>
      <c r="E30">
        <f t="shared" ca="1" si="2"/>
        <v>1.3192234499109463</v>
      </c>
      <c r="F30">
        <f t="shared" si="3"/>
        <v>-0.26244979180601558</v>
      </c>
      <c r="G30">
        <f t="shared" ca="1" si="4"/>
        <v>-1.8441230335229775</v>
      </c>
      <c r="H30">
        <f t="shared" ca="1" si="5"/>
        <v>-3.4257962752399393</v>
      </c>
      <c r="I30">
        <f t="shared" ca="1" si="6"/>
        <v>-5.0074695169569017</v>
      </c>
      <c r="J30">
        <f t="shared" ca="1" si="8"/>
        <v>2.4605873261205571</v>
      </c>
      <c r="K30" t="str">
        <f t="shared" ca="1" si="9"/>
        <v/>
      </c>
      <c r="L30">
        <f t="shared" ca="1" si="10"/>
        <v>5.8278118203262945</v>
      </c>
      <c r="M30">
        <f t="shared" ca="1" si="11"/>
        <v>4.4798218808630041</v>
      </c>
      <c r="N30">
        <f t="shared" ca="1" si="12"/>
        <v>3.1318319413997138</v>
      </c>
      <c r="O30" s="3">
        <f t="shared" ca="1" si="7"/>
        <v>1.7838420019364232</v>
      </c>
      <c r="P30">
        <f t="shared" ca="1" si="13"/>
        <v>0.4358520624731328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2">
      <c r="C31">
        <f t="shared" ca="1" si="0"/>
        <v>4.3230243617895381</v>
      </c>
      <c r="D31">
        <f t="shared" ca="1" si="1"/>
        <v>2.7413511200725758</v>
      </c>
      <c r="E31">
        <f t="shared" ca="1" si="2"/>
        <v>1.1596778783556139</v>
      </c>
      <c r="F31">
        <f t="shared" si="3"/>
        <v>-0.42199536336134802</v>
      </c>
      <c r="G31">
        <f t="shared" ca="1" si="4"/>
        <v>-2.0036686050783099</v>
      </c>
      <c r="H31">
        <f t="shared" ca="1" si="5"/>
        <v>-3.5853418467952718</v>
      </c>
      <c r="I31">
        <f t="shared" ca="1" si="6"/>
        <v>-5.1670150885122341</v>
      </c>
      <c r="J31">
        <f t="shared" ca="1" si="8"/>
        <v>2.4605873261205571</v>
      </c>
      <c r="K31" t="str">
        <f t="shared" ca="1" si="9"/>
        <v/>
      </c>
      <c r="L31">
        <f t="shared" ca="1" si="10"/>
        <v>5.8278118203262945</v>
      </c>
      <c r="M31">
        <f t="shared" ca="1" si="11"/>
        <v>4.4798218808630041</v>
      </c>
      <c r="N31">
        <f t="shared" ca="1" si="12"/>
        <v>3.1318319413997138</v>
      </c>
      <c r="O31" s="3">
        <f t="shared" ca="1" si="7"/>
        <v>1.7838420019364232</v>
      </c>
      <c r="P31">
        <f t="shared" ca="1" si="13"/>
        <v>0.4358520624731328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2">
      <c r="C32">
        <f t="shared" ca="1" si="0"/>
        <v>4.1634787902342056</v>
      </c>
      <c r="D32">
        <f t="shared" ca="1" si="1"/>
        <v>2.5818055485172433</v>
      </c>
      <c r="E32">
        <f t="shared" ca="1" si="2"/>
        <v>1.0001323068002814</v>
      </c>
      <c r="F32">
        <f t="shared" si="3"/>
        <v>-0.58154093491668046</v>
      </c>
      <c r="G32">
        <f t="shared" ca="1" si="4"/>
        <v>-2.1632141766336423</v>
      </c>
      <c r="H32">
        <f t="shared" ca="1" si="5"/>
        <v>-3.7448874183506042</v>
      </c>
      <c r="I32">
        <f t="shared" ca="1" si="6"/>
        <v>-5.3265606600675666</v>
      </c>
      <c r="J32">
        <f t="shared" ca="1" si="8"/>
        <v>2.4605873261205571</v>
      </c>
      <c r="K32" t="str">
        <f t="shared" ca="1" si="9"/>
        <v/>
      </c>
      <c r="L32">
        <f t="shared" ca="1" si="10"/>
        <v>5.8278118203262945</v>
      </c>
      <c r="M32">
        <f t="shared" ca="1" si="11"/>
        <v>4.4798218808630041</v>
      </c>
      <c r="N32">
        <f t="shared" ca="1" si="12"/>
        <v>3.1318319413997138</v>
      </c>
      <c r="O32" s="3">
        <f t="shared" ca="1" si="7"/>
        <v>1.7838420019364232</v>
      </c>
      <c r="P32">
        <f t="shared" ca="1" si="13"/>
        <v>0.4358520624731328</v>
      </c>
      <c r="Q32">
        <f t="shared" ca="1" si="14"/>
        <v>0</v>
      </c>
      <c r="R32">
        <v>0</v>
      </c>
      <c r="S32">
        <f t="shared" si="15"/>
        <v>31</v>
      </c>
    </row>
    <row r="33" spans="3:19" ht="14" customHeight="1" x14ac:dyDescent="0.2">
      <c r="C33">
        <f t="shared" ca="1" si="0"/>
        <v>4.0039332186788732</v>
      </c>
      <c r="D33">
        <f t="shared" ca="1" si="1"/>
        <v>2.4222599769619109</v>
      </c>
      <c r="E33">
        <f t="shared" ca="1" si="2"/>
        <v>0.84058673524494898</v>
      </c>
      <c r="F33">
        <f t="shared" si="3"/>
        <v>-0.74108650647201291</v>
      </c>
      <c r="G33">
        <f t="shared" ca="1" si="4"/>
        <v>-2.3227597481889748</v>
      </c>
      <c r="H33">
        <f t="shared" ca="1" si="5"/>
        <v>-3.9044329899059367</v>
      </c>
      <c r="I33">
        <f t="shared" ca="1" si="6"/>
        <v>-5.486106231622899</v>
      </c>
      <c r="J33">
        <f t="shared" ca="1" si="8"/>
        <v>2.4605873261205571</v>
      </c>
      <c r="K33" t="str">
        <f t="shared" ca="1" si="9"/>
        <v/>
      </c>
      <c r="L33">
        <f t="shared" ca="1" si="10"/>
        <v>5.8278118203262945</v>
      </c>
      <c r="M33">
        <f t="shared" ca="1" si="11"/>
        <v>4.4798218808630041</v>
      </c>
      <c r="N33">
        <f t="shared" ca="1" si="12"/>
        <v>3.1318319413997138</v>
      </c>
      <c r="O33" s="3">
        <f t="shared" ca="1" si="7"/>
        <v>1.7838420019364232</v>
      </c>
      <c r="P33">
        <f t="shared" ca="1" si="13"/>
        <v>0.4358520624731328</v>
      </c>
      <c r="Q33">
        <f t="shared" ca="1" si="14"/>
        <v>0</v>
      </c>
      <c r="R33">
        <v>0</v>
      </c>
      <c r="S33">
        <f t="shared" si="15"/>
        <v>32</v>
      </c>
    </row>
    <row r="34" spans="3:19" ht="14" customHeight="1" x14ac:dyDescent="0.2">
      <c r="C34">
        <f t="shared" ca="1" si="0"/>
        <v>3.8443876471235408</v>
      </c>
      <c r="D34">
        <f t="shared" ca="1" si="1"/>
        <v>2.2627144054065784</v>
      </c>
      <c r="E34">
        <f t="shared" ca="1" si="2"/>
        <v>0.68104116368961654</v>
      </c>
      <c r="F34">
        <f t="shared" si="3"/>
        <v>-0.90063207802734535</v>
      </c>
      <c r="G34">
        <f t="shared" ca="1" si="4"/>
        <v>-2.4823053197443072</v>
      </c>
      <c r="H34">
        <f t="shared" ca="1" si="5"/>
        <v>-4.0639785614612691</v>
      </c>
      <c r="I34">
        <f t="shared" ca="1" si="6"/>
        <v>-5.6456518031782315</v>
      </c>
      <c r="J34">
        <f t="shared" ca="1" si="8"/>
        <v>2.4605873261205571</v>
      </c>
      <c r="K34" t="str">
        <f t="shared" ca="1" si="9"/>
        <v/>
      </c>
      <c r="L34">
        <f t="shared" ca="1" si="10"/>
        <v>5.8278118203262945</v>
      </c>
      <c r="M34">
        <f t="shared" ca="1" si="11"/>
        <v>4.4798218808630041</v>
      </c>
      <c r="N34">
        <f t="shared" ca="1" si="12"/>
        <v>3.1318319413997138</v>
      </c>
      <c r="O34" s="3">
        <f t="shared" ca="1" si="7"/>
        <v>1.7838420019364232</v>
      </c>
      <c r="P34">
        <f t="shared" ca="1" si="13"/>
        <v>0.4358520624731328</v>
      </c>
      <c r="Q34">
        <f t="shared" ca="1" si="14"/>
        <v>0</v>
      </c>
      <c r="R34">
        <v>0</v>
      </c>
      <c r="S34">
        <f t="shared" si="15"/>
        <v>33</v>
      </c>
    </row>
    <row r="35" spans="3:19" ht="14" customHeight="1" x14ac:dyDescent="0.2">
      <c r="C35">
        <f t="shared" ca="1" si="0"/>
        <v>3.6848420755682083</v>
      </c>
      <c r="D35">
        <f t="shared" ca="1" si="1"/>
        <v>2.103168833851246</v>
      </c>
      <c r="E35">
        <f t="shared" ca="1" si="2"/>
        <v>0.52149559213428409</v>
      </c>
      <c r="F35">
        <f t="shared" si="3"/>
        <v>-1.0601776495826778</v>
      </c>
      <c r="G35">
        <f t="shared" ca="1" si="4"/>
        <v>-2.6418508912996397</v>
      </c>
      <c r="H35">
        <f t="shared" ca="1" si="5"/>
        <v>-4.2235241330166016</v>
      </c>
      <c r="I35">
        <f t="shared" ca="1" si="6"/>
        <v>-5.8051973747335639</v>
      </c>
      <c r="J35">
        <f t="shared" ca="1" si="8"/>
        <v>2.4605873261205571</v>
      </c>
      <c r="K35" t="str">
        <f t="shared" ca="1" si="9"/>
        <v/>
      </c>
      <c r="L35">
        <f t="shared" ca="1" si="10"/>
        <v>5.8278118203262945</v>
      </c>
      <c r="M35">
        <f t="shared" ca="1" si="11"/>
        <v>4.4798218808630041</v>
      </c>
      <c r="N35">
        <f t="shared" ca="1" si="12"/>
        <v>3.1318319413997138</v>
      </c>
      <c r="O35" s="3">
        <f t="shared" ca="1" si="7"/>
        <v>1.7838420019364232</v>
      </c>
      <c r="P35">
        <f t="shared" ca="1" si="13"/>
        <v>0.4358520624731328</v>
      </c>
      <c r="Q35">
        <f t="shared" ca="1" si="14"/>
        <v>0</v>
      </c>
      <c r="R35">
        <v>0</v>
      </c>
      <c r="S35">
        <f t="shared" si="15"/>
        <v>34</v>
      </c>
    </row>
    <row r="36" spans="3:19" ht="14" customHeight="1" x14ac:dyDescent="0.2">
      <c r="C36">
        <f t="shared" ca="1" si="0"/>
        <v>3.5252965040128759</v>
      </c>
      <c r="D36">
        <f t="shared" ca="1" si="1"/>
        <v>1.9436232622959135</v>
      </c>
      <c r="E36">
        <f t="shared" ca="1" si="2"/>
        <v>0.36195002057895165</v>
      </c>
      <c r="F36">
        <f t="shared" si="3"/>
        <v>-1.2197232211380102</v>
      </c>
      <c r="G36">
        <f t="shared" ca="1" si="4"/>
        <v>-2.8013964628549721</v>
      </c>
      <c r="H36">
        <f t="shared" ca="1" si="5"/>
        <v>-4.383069704571934</v>
      </c>
      <c r="I36">
        <f t="shared" ca="1" si="6"/>
        <v>-5.9647429462888963</v>
      </c>
      <c r="J36">
        <f t="shared" ca="1" si="8"/>
        <v>2.4605873261205571</v>
      </c>
      <c r="K36" t="str">
        <f t="shared" ca="1" si="9"/>
        <v/>
      </c>
      <c r="L36">
        <f t="shared" ca="1" si="10"/>
        <v>5.8278118203262945</v>
      </c>
      <c r="M36">
        <f t="shared" ca="1" si="11"/>
        <v>4.4798218808630041</v>
      </c>
      <c r="N36">
        <f t="shared" ca="1" si="12"/>
        <v>3.1318319413997138</v>
      </c>
      <c r="O36" s="3">
        <f t="shared" ca="1" si="7"/>
        <v>1.7838420019364232</v>
      </c>
      <c r="P36">
        <f t="shared" ca="1" si="13"/>
        <v>0.4358520624731328</v>
      </c>
      <c r="Q36">
        <f t="shared" ca="1" si="14"/>
        <v>0</v>
      </c>
      <c r="R36">
        <v>0</v>
      </c>
      <c r="S36">
        <f t="shared" si="15"/>
        <v>35</v>
      </c>
    </row>
    <row r="37" spans="3:19" ht="14" customHeight="1" x14ac:dyDescent="0.2"/>
    <row r="38" spans="3:19" ht="14" customHeight="1" x14ac:dyDescent="0.2"/>
    <row r="39" spans="3:19" ht="14" customHeight="1" x14ac:dyDescent="0.2"/>
    <row r="40" spans="3:19" ht="14" customHeight="1" x14ac:dyDescent="0.2"/>
    <row r="41" spans="3:19" ht="14" customHeight="1" x14ac:dyDescent="0.2"/>
    <row r="42" spans="3:19" ht="14" customHeight="1" x14ac:dyDescent="0.2"/>
    <row r="43" spans="3:19" ht="14" customHeight="1" x14ac:dyDescent="0.2"/>
    <row r="44" spans="3:19" ht="14" customHeight="1" x14ac:dyDescent="0.2"/>
    <row r="45" spans="3:19" ht="14" customHeight="1" x14ac:dyDescent="0.2"/>
    <row r="46" spans="3:19" ht="14" customHeight="1" x14ac:dyDescent="0.2"/>
    <row r="47" spans="3:19" ht="14" customHeight="1" x14ac:dyDescent="0.2"/>
    <row r="48" spans="3:19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1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Q47" sqref="Q47"/>
    </sheetView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2009</v>
      </c>
      <c r="E2">
        <v>10524</v>
      </c>
      <c r="F2">
        <v>425</v>
      </c>
    </row>
    <row r="3" spans="1:8" x14ac:dyDescent="0.2">
      <c r="A3" t="s">
        <v>8</v>
      </c>
      <c r="B3" t="s">
        <v>9</v>
      </c>
      <c r="C3" t="s">
        <v>10</v>
      </c>
      <c r="D3">
        <v>2010</v>
      </c>
      <c r="E3">
        <v>10758</v>
      </c>
      <c r="F3">
        <v>305</v>
      </c>
      <c r="G3">
        <v>234</v>
      </c>
      <c r="H3">
        <v>2.2234891676168762</v>
      </c>
    </row>
    <row r="4" spans="1:8" x14ac:dyDescent="0.2">
      <c r="A4" t="s">
        <v>8</v>
      </c>
      <c r="B4" t="s">
        <v>9</v>
      </c>
      <c r="C4" t="s">
        <v>10</v>
      </c>
      <c r="D4">
        <v>2011</v>
      </c>
      <c r="E4">
        <v>11633</v>
      </c>
      <c r="F4">
        <v>383</v>
      </c>
      <c r="G4">
        <v>875</v>
      </c>
      <c r="H4">
        <v>8.1334820598624269</v>
      </c>
    </row>
    <row r="5" spans="1:8" x14ac:dyDescent="0.2">
      <c r="A5" t="s">
        <v>8</v>
      </c>
      <c r="B5" t="s">
        <v>9</v>
      </c>
      <c r="C5" t="s">
        <v>10</v>
      </c>
      <c r="D5">
        <v>2012</v>
      </c>
      <c r="E5">
        <v>12032</v>
      </c>
      <c r="F5">
        <v>414</v>
      </c>
      <c r="G5">
        <v>399</v>
      </c>
      <c r="H5">
        <v>3.429897704805295</v>
      </c>
    </row>
    <row r="6" spans="1:8" x14ac:dyDescent="0.2">
      <c r="A6" t="s">
        <v>8</v>
      </c>
      <c r="B6" t="s">
        <v>9</v>
      </c>
      <c r="C6" t="s">
        <v>10</v>
      </c>
      <c r="D6">
        <v>2013</v>
      </c>
      <c r="E6">
        <v>12455</v>
      </c>
      <c r="F6">
        <v>373</v>
      </c>
      <c r="G6">
        <v>423</v>
      </c>
      <c r="H6">
        <v>3.515625</v>
      </c>
    </row>
    <row r="7" spans="1:8" x14ac:dyDescent="0.2">
      <c r="A7" t="s">
        <v>8</v>
      </c>
      <c r="B7" t="s">
        <v>9</v>
      </c>
      <c r="C7" t="s">
        <v>10</v>
      </c>
      <c r="D7">
        <v>2014</v>
      </c>
      <c r="E7">
        <v>12939</v>
      </c>
      <c r="F7">
        <v>328</v>
      </c>
      <c r="G7">
        <v>484</v>
      </c>
      <c r="H7">
        <v>3.8859895624247289</v>
      </c>
    </row>
    <row r="8" spans="1:8" x14ac:dyDescent="0.2">
      <c r="A8" t="s">
        <v>8</v>
      </c>
      <c r="B8" t="s">
        <v>9</v>
      </c>
      <c r="C8" t="s">
        <v>10</v>
      </c>
      <c r="D8">
        <v>2015</v>
      </c>
      <c r="E8">
        <v>13099</v>
      </c>
      <c r="F8">
        <v>371</v>
      </c>
      <c r="G8">
        <v>160</v>
      </c>
      <c r="H8">
        <v>1.236571605224515</v>
      </c>
    </row>
    <row r="9" spans="1:8" x14ac:dyDescent="0.2">
      <c r="A9" t="s">
        <v>8</v>
      </c>
      <c r="B9" t="s">
        <v>9</v>
      </c>
      <c r="C9" t="s">
        <v>10</v>
      </c>
      <c r="D9">
        <v>2016</v>
      </c>
      <c r="E9">
        <v>13465</v>
      </c>
      <c r="F9">
        <v>375</v>
      </c>
      <c r="G9">
        <v>366</v>
      </c>
      <c r="H9">
        <v>2.79410642033743</v>
      </c>
    </row>
    <row r="10" spans="1:8" x14ac:dyDescent="0.2">
      <c r="A10" t="s">
        <v>8</v>
      </c>
      <c r="B10" t="s">
        <v>9</v>
      </c>
      <c r="C10" t="s">
        <v>10</v>
      </c>
      <c r="D10">
        <v>2017</v>
      </c>
      <c r="E10">
        <v>13791</v>
      </c>
      <c r="F10">
        <v>424</v>
      </c>
      <c r="G10">
        <v>326</v>
      </c>
      <c r="H10">
        <v>2.4210917192721868</v>
      </c>
    </row>
    <row r="11" spans="1:8" x14ac:dyDescent="0.2">
      <c r="A11" t="s">
        <v>8</v>
      </c>
      <c r="B11" t="s">
        <v>9</v>
      </c>
      <c r="C11" t="s">
        <v>10</v>
      </c>
      <c r="D11">
        <v>2018</v>
      </c>
      <c r="E11">
        <v>14154</v>
      </c>
      <c r="F11">
        <v>321</v>
      </c>
      <c r="G11">
        <v>363</v>
      </c>
      <c r="H11">
        <v>2.632151403088971</v>
      </c>
    </row>
    <row r="12" spans="1:8" x14ac:dyDescent="0.2">
      <c r="A12" t="s">
        <v>8</v>
      </c>
      <c r="B12" t="s">
        <v>9</v>
      </c>
      <c r="C12" t="s">
        <v>10</v>
      </c>
      <c r="D12">
        <v>2019</v>
      </c>
      <c r="E12">
        <v>14726</v>
      </c>
      <c r="F12">
        <v>476</v>
      </c>
      <c r="G12">
        <v>572</v>
      </c>
      <c r="H12">
        <v>4.041260421082379</v>
      </c>
    </row>
    <row r="13" spans="1:8" x14ac:dyDescent="0.2">
      <c r="A13" t="s">
        <v>8</v>
      </c>
      <c r="B13" t="s">
        <v>9</v>
      </c>
      <c r="C13" t="s">
        <v>10</v>
      </c>
      <c r="D13">
        <v>2020</v>
      </c>
      <c r="E13">
        <v>15435</v>
      </c>
      <c r="F13">
        <v>592</v>
      </c>
      <c r="G13">
        <v>709</v>
      </c>
      <c r="H13">
        <v>4.8146136085834579</v>
      </c>
    </row>
    <row r="14" spans="1:8" x14ac:dyDescent="0.2">
      <c r="A14" t="s">
        <v>8</v>
      </c>
      <c r="B14" t="s">
        <v>9</v>
      </c>
      <c r="C14" t="s">
        <v>10</v>
      </c>
      <c r="D14">
        <v>2021</v>
      </c>
      <c r="E14">
        <v>15486</v>
      </c>
      <c r="F14">
        <v>550</v>
      </c>
      <c r="G14">
        <v>51</v>
      </c>
      <c r="H14">
        <v>0.3304178814382896</v>
      </c>
    </row>
    <row r="15" spans="1:8" x14ac:dyDescent="0.2">
      <c r="A15" t="s">
        <v>8</v>
      </c>
      <c r="B15" t="s">
        <v>9</v>
      </c>
      <c r="C15" t="s">
        <v>10</v>
      </c>
      <c r="D15">
        <v>2022</v>
      </c>
      <c r="E15">
        <v>15839</v>
      </c>
      <c r="F15">
        <v>625</v>
      </c>
      <c r="G15">
        <v>353</v>
      </c>
      <c r="H15">
        <v>2.2794782384088852</v>
      </c>
    </row>
    <row r="16" spans="1:8" x14ac:dyDescent="0.2">
      <c r="A16" t="s">
        <v>8</v>
      </c>
      <c r="B16" t="s">
        <v>9</v>
      </c>
      <c r="C16" t="s">
        <v>10</v>
      </c>
      <c r="D16">
        <v>2023</v>
      </c>
      <c r="E16">
        <v>16175</v>
      </c>
      <c r="F16">
        <v>614</v>
      </c>
      <c r="G16">
        <v>336</v>
      </c>
      <c r="H16">
        <v>2.1213460445735208</v>
      </c>
    </row>
    <row r="17" spans="1:8" x14ac:dyDescent="0.2">
      <c r="A17" t="s">
        <v>8</v>
      </c>
      <c r="B17" t="s">
        <v>9</v>
      </c>
      <c r="C17" t="s">
        <v>10</v>
      </c>
      <c r="D17">
        <v>2024</v>
      </c>
      <c r="E17">
        <v>16573</v>
      </c>
      <c r="F17">
        <v>659</v>
      </c>
      <c r="G17">
        <v>398</v>
      </c>
      <c r="H17">
        <v>2.4605873261205571</v>
      </c>
    </row>
    <row r="23" spans="1:8" x14ac:dyDescent="0.2">
      <c r="A2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TOTAL Housing Units 2009-2024</vt:lpstr>
      <vt:lpstr>Housing Units Added Annualy</vt:lpstr>
      <vt:lpstr>Annual Growth Rate-Housing Unit</vt:lpstr>
      <vt:lpstr>Housing UnitsData RAW-2009-2024</vt:lpstr>
      <vt:lpstr>'Annual Growth Rate-Housing Unit'!Print_Area</vt:lpstr>
      <vt:lpstr>'Housing Units Added Annualy'!Print_Area</vt:lpstr>
      <vt:lpstr>'TOTAL Housing Units 2009-2024'!Print_Area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Housing Data RAW-2003-2024 D</dc:title>
  <dc:creator>QI Macros</dc:creator>
  <dc:description>
_x000d_QI Macros 2025.01
_x000d_qimacros.com</dc:description>
  <cp:lastModifiedBy>D S</cp:lastModifiedBy>
  <dcterms:created xsi:type="dcterms:W3CDTF">2026-02-06T01:03:26Z</dcterms:created>
  <dcterms:modified xsi:type="dcterms:W3CDTF">2026-02-24T08:47:45Z</dcterms:modified>
</cp:coreProperties>
</file>
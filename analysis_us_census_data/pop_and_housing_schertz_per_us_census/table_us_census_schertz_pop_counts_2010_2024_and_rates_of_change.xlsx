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nalysis_us_census_data/pop_and_housing_schertz_per_us_census/"/>
    </mc:Choice>
  </mc:AlternateContent>
  <xr:revisionPtr revIDLastSave="0" documentId="13_ncr:1_{5BBB5354-F04B-7B42-BC24-E92DCEFB783F}" xr6:coauthVersionLast="47" xr6:coauthVersionMax="47" xr10:uidLastSave="{00000000-0000-0000-0000-000000000000}"/>
  <bookViews>
    <workbookView xWindow="0" yWindow="500" windowWidth="40960" windowHeight="22540" activeTab="2" xr2:uid="{00000000-000D-0000-FFFF-FFFF00000000}"/>
  </bookViews>
  <sheets>
    <sheet name="Pop RAW 2010-2024 pop XmR " sheetId="5" r:id="rId1"/>
    <sheet name="Pop RAW 2010-2024 pct_c XmR " sheetId="8" r:id="rId2"/>
    <sheet name="Pop RAW 2010-2024" sheetId="1" r:id="rId3"/>
  </sheets>
  <definedNames>
    <definedName name="_xlnm.Print_Area" localSheetId="1">'Pop RAW 2010-2024 pct_c XmR '!$C$1:$R$36</definedName>
    <definedName name="_xlnm.Print_Area" localSheetId="0">'Pop RAW 2010-2024 pop XmR '!$C$1:$T$36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8" l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K3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J3" i="8"/>
  <c r="K4" i="8" s="1"/>
  <c r="J4" i="8"/>
  <c r="K5" i="8" s="1"/>
  <c r="J5" i="8"/>
  <c r="K6" i="8" s="1"/>
  <c r="J6" i="8"/>
  <c r="K7" i="8" s="1"/>
  <c r="J7" i="8"/>
  <c r="K8" i="8" s="1"/>
  <c r="J8" i="8"/>
  <c r="K9" i="8" s="1"/>
  <c r="J9" i="8"/>
  <c r="K10" i="8" s="1"/>
  <c r="J10" i="8"/>
  <c r="K11" i="8" s="1"/>
  <c r="J11" i="8"/>
  <c r="K12" i="8" s="1"/>
  <c r="J12" i="8"/>
  <c r="K13" i="8" s="1"/>
  <c r="J13" i="8"/>
  <c r="K14" i="8" s="1"/>
  <c r="J14" i="8"/>
  <c r="K15" i="8" s="1"/>
  <c r="J15" i="8"/>
  <c r="K16" i="8" s="1"/>
  <c r="J16" i="8"/>
  <c r="J17" i="8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2" i="8"/>
  <c r="Z1" i="5"/>
  <c r="X1" i="5"/>
  <c r="V1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K3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J3" i="5"/>
  <c r="K4" i="5" s="1"/>
  <c r="J4" i="5"/>
  <c r="K5" i="5" s="1"/>
  <c r="J5" i="5"/>
  <c r="K6" i="5" s="1"/>
  <c r="J6" i="5"/>
  <c r="K7" i="5" s="1"/>
  <c r="J7" i="5"/>
  <c r="K8" i="5" s="1"/>
  <c r="J8" i="5"/>
  <c r="K9" i="5" s="1"/>
  <c r="J9" i="5"/>
  <c r="K10" i="5" s="1"/>
  <c r="J10" i="5"/>
  <c r="K11" i="5" s="1"/>
  <c r="J11" i="5"/>
  <c r="K12" i="5" s="1"/>
  <c r="J12" i="5"/>
  <c r="K13" i="5" s="1"/>
  <c r="J13" i="5"/>
  <c r="K14" i="5" s="1"/>
  <c r="J14" i="5"/>
  <c r="K15" i="5" s="1"/>
  <c r="J15" i="5"/>
  <c r="K16" i="5" s="1"/>
  <c r="J16" i="5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2" i="5"/>
  <c r="O2" i="8" l="1"/>
  <c r="O3" i="8"/>
  <c r="O4" i="8"/>
  <c r="O5" i="8"/>
  <c r="O6" i="8"/>
  <c r="O7" i="8"/>
  <c r="O8" i="8"/>
  <c r="O9" i="8"/>
  <c r="O10" i="8"/>
  <c r="O11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7" i="8"/>
  <c r="O28" i="8"/>
  <c r="O30" i="8"/>
  <c r="O32" i="8"/>
  <c r="O34" i="8"/>
  <c r="O36" i="8"/>
  <c r="O12" i="8"/>
  <c r="O26" i="8"/>
  <c r="O29" i="8"/>
  <c r="O31" i="8"/>
  <c r="O33" i="8"/>
  <c r="O35" i="8"/>
  <c r="O2" i="5"/>
  <c r="O3" i="5"/>
  <c r="O4" i="5"/>
  <c r="O5" i="5"/>
  <c r="O6" i="5"/>
  <c r="O7" i="5"/>
  <c r="O8" i="5"/>
  <c r="O9" i="5"/>
  <c r="O10" i="5"/>
  <c r="O11" i="5"/>
  <c r="O12" i="5"/>
  <c r="O13" i="5"/>
  <c r="O15" i="5"/>
  <c r="O16" i="5"/>
  <c r="O17" i="5"/>
  <c r="O19" i="5"/>
  <c r="O20" i="5"/>
  <c r="O21" i="5"/>
  <c r="O22" i="5"/>
  <c r="O23" i="5"/>
  <c r="O24" i="5"/>
  <c r="O25" i="5"/>
  <c r="O26" i="5"/>
  <c r="O27" i="5"/>
  <c r="O28" i="5"/>
  <c r="O30" i="5"/>
  <c r="O32" i="5"/>
  <c r="O34" i="5"/>
  <c r="O14" i="5"/>
  <c r="O29" i="5"/>
  <c r="O31" i="5"/>
  <c r="O33" i="5"/>
  <c r="O36" i="5"/>
  <c r="O18" i="5"/>
  <c r="O35" i="5"/>
  <c r="H2" i="8" l="1"/>
  <c r="I2" i="8"/>
  <c r="H3" i="8"/>
  <c r="I3" i="8"/>
  <c r="H4" i="8"/>
  <c r="I4" i="8"/>
  <c r="H5" i="8"/>
  <c r="I5" i="8"/>
  <c r="H6" i="8"/>
  <c r="I6" i="8"/>
  <c r="H7" i="8"/>
  <c r="I7" i="8"/>
  <c r="H8" i="8"/>
  <c r="I8" i="8"/>
  <c r="H9" i="8"/>
  <c r="I9" i="8"/>
  <c r="H10" i="8"/>
  <c r="I10" i="8"/>
  <c r="H11" i="8"/>
  <c r="I11" i="8"/>
  <c r="H13" i="8"/>
  <c r="I13" i="8"/>
  <c r="H14" i="8"/>
  <c r="I14" i="8"/>
  <c r="H15" i="8"/>
  <c r="I15" i="8"/>
  <c r="H16" i="8"/>
  <c r="I16" i="8"/>
  <c r="H17" i="8"/>
  <c r="I17" i="8"/>
  <c r="H18" i="8"/>
  <c r="I18" i="8"/>
  <c r="H19" i="8"/>
  <c r="I19" i="8"/>
  <c r="H20" i="8"/>
  <c r="I20" i="8"/>
  <c r="H21" i="8"/>
  <c r="I21" i="8"/>
  <c r="H22" i="8"/>
  <c r="I22" i="8"/>
  <c r="H23" i="8"/>
  <c r="I23" i="8"/>
  <c r="H24" i="8"/>
  <c r="I24" i="8"/>
  <c r="H25" i="8"/>
  <c r="I25" i="8"/>
  <c r="H27" i="8"/>
  <c r="I27" i="8"/>
  <c r="H28" i="8"/>
  <c r="I28" i="8"/>
  <c r="H30" i="8"/>
  <c r="I30" i="8"/>
  <c r="H32" i="8"/>
  <c r="I32" i="8"/>
  <c r="H34" i="8"/>
  <c r="I34" i="8"/>
  <c r="H36" i="8"/>
  <c r="I36" i="8"/>
  <c r="H12" i="8"/>
  <c r="I12" i="8"/>
  <c r="H26" i="8"/>
  <c r="I26" i="8"/>
  <c r="H29" i="8"/>
  <c r="I29" i="8"/>
  <c r="H31" i="8"/>
  <c r="I31" i="8"/>
  <c r="H33" i="8"/>
  <c r="I33" i="8"/>
  <c r="H35" i="8"/>
  <c r="I35" i="8"/>
  <c r="E2" i="8"/>
  <c r="G2" i="8"/>
  <c r="E3" i="8"/>
  <c r="G3" i="8"/>
  <c r="E4" i="8"/>
  <c r="G4" i="8"/>
  <c r="E5" i="8"/>
  <c r="G5" i="8"/>
  <c r="E6" i="8"/>
  <c r="G6" i="8"/>
  <c r="E7" i="8"/>
  <c r="G7" i="8"/>
  <c r="E8" i="8"/>
  <c r="G8" i="8"/>
  <c r="E9" i="8"/>
  <c r="G9" i="8"/>
  <c r="E10" i="8"/>
  <c r="G10" i="8"/>
  <c r="E11" i="8"/>
  <c r="G11" i="8"/>
  <c r="E13" i="8"/>
  <c r="G13" i="8"/>
  <c r="E14" i="8"/>
  <c r="G14" i="8"/>
  <c r="E15" i="8"/>
  <c r="G15" i="8"/>
  <c r="E16" i="8"/>
  <c r="G16" i="8"/>
  <c r="E17" i="8"/>
  <c r="G17" i="8"/>
  <c r="E18" i="8"/>
  <c r="G18" i="8"/>
  <c r="E19" i="8"/>
  <c r="G19" i="8"/>
  <c r="E20" i="8"/>
  <c r="G20" i="8"/>
  <c r="E21" i="8"/>
  <c r="G21" i="8"/>
  <c r="E22" i="8"/>
  <c r="G22" i="8"/>
  <c r="E23" i="8"/>
  <c r="G23" i="8"/>
  <c r="E24" i="8"/>
  <c r="G24" i="8"/>
  <c r="E25" i="8"/>
  <c r="G25" i="8"/>
  <c r="E27" i="8"/>
  <c r="G27" i="8"/>
  <c r="E28" i="8"/>
  <c r="G28" i="8"/>
  <c r="E30" i="8"/>
  <c r="G30" i="8"/>
  <c r="E32" i="8"/>
  <c r="G32" i="8"/>
  <c r="E34" i="8"/>
  <c r="G34" i="8"/>
  <c r="E36" i="8"/>
  <c r="G36" i="8"/>
  <c r="E12" i="8"/>
  <c r="G12" i="8"/>
  <c r="E26" i="8"/>
  <c r="G26" i="8"/>
  <c r="E29" i="8"/>
  <c r="G29" i="8"/>
  <c r="E31" i="8"/>
  <c r="G31" i="8"/>
  <c r="E33" i="8"/>
  <c r="G33" i="8"/>
  <c r="E35" i="8"/>
  <c r="G35" i="8"/>
  <c r="C2" i="8"/>
  <c r="D2" i="8"/>
  <c r="C3" i="8"/>
  <c r="D3" i="8"/>
  <c r="C4" i="8"/>
  <c r="D4" i="8"/>
  <c r="C5" i="8"/>
  <c r="D5" i="8"/>
  <c r="C6" i="8"/>
  <c r="D6" i="8"/>
  <c r="C7" i="8"/>
  <c r="D7" i="8"/>
  <c r="C8" i="8"/>
  <c r="D8" i="8"/>
  <c r="C9" i="8"/>
  <c r="D9" i="8"/>
  <c r="C10" i="8"/>
  <c r="D10" i="8"/>
  <c r="C11" i="8"/>
  <c r="D11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7" i="8"/>
  <c r="D27" i="8"/>
  <c r="C28" i="8"/>
  <c r="D28" i="8"/>
  <c r="C30" i="8"/>
  <c r="D30" i="8"/>
  <c r="C32" i="8"/>
  <c r="D32" i="8"/>
  <c r="C34" i="8"/>
  <c r="D34" i="8"/>
  <c r="C36" i="8"/>
  <c r="D36" i="8"/>
  <c r="C12" i="8"/>
  <c r="D12" i="8"/>
  <c r="C26" i="8"/>
  <c r="D26" i="8"/>
  <c r="C29" i="8"/>
  <c r="D29" i="8"/>
  <c r="C31" i="8"/>
  <c r="D31" i="8"/>
  <c r="C33" i="8"/>
  <c r="D33" i="8"/>
  <c r="C35" i="8"/>
  <c r="D35" i="8"/>
  <c r="L3" i="8"/>
  <c r="P3" i="8" s="1"/>
  <c r="L4" i="8"/>
  <c r="L5" i="8"/>
  <c r="P5" i="8"/>
  <c r="L6" i="8"/>
  <c r="P6" i="8"/>
  <c r="L7" i="8"/>
  <c r="P7" i="8"/>
  <c r="L8" i="8"/>
  <c r="P8" i="8"/>
  <c r="L9" i="8"/>
  <c r="P9" i="8"/>
  <c r="L10" i="8"/>
  <c r="P10" i="8" s="1"/>
  <c r="L11" i="8"/>
  <c r="P11" i="8"/>
  <c r="L13" i="8"/>
  <c r="P13" i="8" s="1"/>
  <c r="L14" i="8"/>
  <c r="P14" i="8" s="1"/>
  <c r="L15" i="8"/>
  <c r="P15" i="8" s="1"/>
  <c r="L16" i="8"/>
  <c r="P16" i="8"/>
  <c r="L17" i="8"/>
  <c r="P17" i="8"/>
  <c r="L18" i="8"/>
  <c r="P18" i="8"/>
  <c r="L19" i="8"/>
  <c r="P19" i="8"/>
  <c r="L20" i="8"/>
  <c r="P20" i="8" s="1"/>
  <c r="L21" i="8"/>
  <c r="P21" i="8" s="1"/>
  <c r="L22" i="8"/>
  <c r="P22" i="8"/>
  <c r="L23" i="8"/>
  <c r="P23" i="8" s="1"/>
  <c r="L24" i="8"/>
  <c r="P24" i="8" s="1"/>
  <c r="L25" i="8"/>
  <c r="P25" i="8"/>
  <c r="L27" i="8"/>
  <c r="P27" i="8" s="1"/>
  <c r="L28" i="8"/>
  <c r="P28" i="8" s="1"/>
  <c r="L30" i="8"/>
  <c r="P30" i="8"/>
  <c r="L32" i="8"/>
  <c r="P32" i="8" s="1"/>
  <c r="L34" i="8"/>
  <c r="P34" i="8" s="1"/>
  <c r="L36" i="8"/>
  <c r="P36" i="8"/>
  <c r="L12" i="8"/>
  <c r="P12" i="8" s="1"/>
  <c r="L26" i="8"/>
  <c r="P26" i="8"/>
  <c r="L29" i="8"/>
  <c r="P29" i="8" s="1"/>
  <c r="L31" i="8"/>
  <c r="P31" i="8" s="1"/>
  <c r="L33" i="8"/>
  <c r="P33" i="8"/>
  <c r="L35" i="8"/>
  <c r="P35" i="8" s="1"/>
  <c r="H2" i="5"/>
  <c r="I2" i="5"/>
  <c r="H3" i="5"/>
  <c r="I3" i="5"/>
  <c r="H4" i="5"/>
  <c r="I4" i="5"/>
  <c r="H5" i="5"/>
  <c r="I5" i="5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5" i="5"/>
  <c r="I15" i="5"/>
  <c r="H16" i="5"/>
  <c r="I16" i="5"/>
  <c r="H17" i="5"/>
  <c r="I17" i="5"/>
  <c r="H19" i="5"/>
  <c r="I19" i="5"/>
  <c r="H20" i="5"/>
  <c r="I20" i="5"/>
  <c r="H21" i="5"/>
  <c r="I21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H30" i="5"/>
  <c r="I30" i="5"/>
  <c r="H32" i="5"/>
  <c r="I32" i="5"/>
  <c r="H34" i="5"/>
  <c r="I34" i="5"/>
  <c r="H14" i="5"/>
  <c r="I14" i="5"/>
  <c r="H29" i="5"/>
  <c r="I29" i="5"/>
  <c r="H31" i="5"/>
  <c r="I31" i="5"/>
  <c r="H33" i="5"/>
  <c r="I33" i="5"/>
  <c r="H36" i="5"/>
  <c r="I36" i="5"/>
  <c r="H18" i="5"/>
  <c r="I18" i="5"/>
  <c r="H35" i="5"/>
  <c r="I35" i="5"/>
  <c r="E2" i="5"/>
  <c r="G2" i="5"/>
  <c r="E3" i="5"/>
  <c r="G3" i="5"/>
  <c r="E4" i="5"/>
  <c r="G4" i="5"/>
  <c r="E5" i="5"/>
  <c r="G5" i="5"/>
  <c r="E6" i="5"/>
  <c r="G6" i="5"/>
  <c r="E7" i="5"/>
  <c r="G7" i="5"/>
  <c r="E8" i="5"/>
  <c r="G8" i="5"/>
  <c r="E9" i="5"/>
  <c r="G9" i="5"/>
  <c r="E10" i="5"/>
  <c r="G10" i="5"/>
  <c r="E11" i="5"/>
  <c r="G11" i="5"/>
  <c r="E12" i="5"/>
  <c r="G12" i="5"/>
  <c r="E13" i="5"/>
  <c r="G13" i="5"/>
  <c r="E15" i="5"/>
  <c r="G15" i="5"/>
  <c r="E16" i="5"/>
  <c r="G16" i="5"/>
  <c r="E17" i="5"/>
  <c r="G17" i="5"/>
  <c r="E19" i="5"/>
  <c r="G19" i="5"/>
  <c r="E20" i="5"/>
  <c r="G20" i="5"/>
  <c r="E21" i="5"/>
  <c r="G21" i="5"/>
  <c r="E22" i="5"/>
  <c r="G22" i="5"/>
  <c r="E23" i="5"/>
  <c r="G23" i="5"/>
  <c r="E24" i="5"/>
  <c r="G24" i="5"/>
  <c r="E25" i="5"/>
  <c r="G25" i="5"/>
  <c r="E26" i="5"/>
  <c r="G26" i="5"/>
  <c r="E27" i="5"/>
  <c r="G27" i="5"/>
  <c r="E28" i="5"/>
  <c r="G28" i="5"/>
  <c r="E30" i="5"/>
  <c r="G30" i="5"/>
  <c r="E32" i="5"/>
  <c r="G32" i="5"/>
  <c r="E34" i="5"/>
  <c r="G34" i="5"/>
  <c r="E14" i="5"/>
  <c r="G14" i="5"/>
  <c r="E29" i="5"/>
  <c r="G29" i="5"/>
  <c r="E31" i="5"/>
  <c r="G31" i="5"/>
  <c r="E33" i="5"/>
  <c r="G33" i="5"/>
  <c r="E36" i="5"/>
  <c r="G36" i="5"/>
  <c r="E18" i="5"/>
  <c r="G18" i="5"/>
  <c r="E35" i="5"/>
  <c r="G35" i="5"/>
  <c r="C2" i="5"/>
  <c r="D2" i="5"/>
  <c r="C3" i="5"/>
  <c r="D3" i="5"/>
  <c r="C4" i="5"/>
  <c r="D4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5" i="5"/>
  <c r="D15" i="5"/>
  <c r="C16" i="5"/>
  <c r="D16" i="5"/>
  <c r="C17" i="5"/>
  <c r="D17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30" i="5"/>
  <c r="D30" i="5"/>
  <c r="C32" i="5"/>
  <c r="D32" i="5"/>
  <c r="C34" i="5"/>
  <c r="D34" i="5"/>
  <c r="C14" i="5"/>
  <c r="D14" i="5"/>
  <c r="C29" i="5"/>
  <c r="D29" i="5"/>
  <c r="C31" i="5"/>
  <c r="D31" i="5"/>
  <c r="C33" i="5"/>
  <c r="D33" i="5"/>
  <c r="C36" i="5"/>
  <c r="D36" i="5"/>
  <c r="C18" i="5"/>
  <c r="D18" i="5"/>
  <c r="C35" i="5"/>
  <c r="D35" i="5"/>
  <c r="L3" i="5"/>
  <c r="P3" i="5" s="1"/>
  <c r="L4" i="5"/>
  <c r="P4" i="5" s="1"/>
  <c r="L5" i="5"/>
  <c r="P5" i="5" s="1"/>
  <c r="L6" i="5"/>
  <c r="P6" i="5" s="1"/>
  <c r="L7" i="5"/>
  <c r="P7" i="5" s="1"/>
  <c r="L8" i="5"/>
  <c r="P8" i="5" s="1"/>
  <c r="L9" i="5"/>
  <c r="P9" i="5" s="1"/>
  <c r="L10" i="5"/>
  <c r="P10" i="5" s="1"/>
  <c r="L11" i="5"/>
  <c r="P11" i="5" s="1"/>
  <c r="L12" i="5"/>
  <c r="P12" i="5"/>
  <c r="L13" i="5"/>
  <c r="P13" i="5" s="1"/>
  <c r="L15" i="5"/>
  <c r="P15" i="5"/>
  <c r="L16" i="5"/>
  <c r="L17" i="5"/>
  <c r="P17" i="5" s="1"/>
  <c r="L19" i="5"/>
  <c r="L20" i="5"/>
  <c r="L21" i="5"/>
  <c r="P21" i="5"/>
  <c r="L22" i="5"/>
  <c r="P22" i="5"/>
  <c r="L23" i="5"/>
  <c r="L24" i="5"/>
  <c r="P24" i="5" s="1"/>
  <c r="L25" i="5"/>
  <c r="L26" i="5"/>
  <c r="P26" i="5"/>
  <c r="L27" i="5"/>
  <c r="L28" i="5"/>
  <c r="P28" i="5"/>
  <c r="L30" i="5"/>
  <c r="P30" i="5"/>
  <c r="L32" i="5"/>
  <c r="L34" i="5"/>
  <c r="L14" i="5"/>
  <c r="P14" i="5" s="1"/>
  <c r="L29" i="5"/>
  <c r="P29" i="5" s="1"/>
  <c r="L31" i="5"/>
  <c r="P31" i="5" s="1"/>
  <c r="L33" i="5"/>
  <c r="P33" i="5" s="1"/>
  <c r="L36" i="5"/>
  <c r="P36" i="5" s="1"/>
  <c r="L18" i="5"/>
  <c r="P18" i="5"/>
  <c r="L35" i="5"/>
  <c r="P35" i="5" s="1"/>
  <c r="M16" i="5"/>
  <c r="N16" i="5"/>
  <c r="M17" i="5"/>
  <c r="M20" i="5"/>
  <c r="N20" i="5"/>
  <c r="Q20" i="5" l="1"/>
  <c r="P20" i="5"/>
  <c r="Q3" i="8"/>
  <c r="M3" i="8"/>
  <c r="N3" i="8"/>
  <c r="Q4" i="8"/>
  <c r="M4" i="8"/>
  <c r="N4" i="8"/>
  <c r="P4" i="8"/>
  <c r="Q5" i="8"/>
  <c r="N5" i="8"/>
  <c r="M5" i="8"/>
  <c r="M6" i="8"/>
  <c r="N6" i="8"/>
  <c r="Q6" i="8"/>
  <c r="M7" i="8"/>
  <c r="N7" i="8"/>
  <c r="Q7" i="8"/>
  <c r="M8" i="8"/>
  <c r="Q8" i="8"/>
  <c r="N8" i="8"/>
  <c r="M9" i="8"/>
  <c r="N9" i="8"/>
  <c r="Q9" i="8"/>
  <c r="M10" i="8"/>
  <c r="N10" i="8"/>
  <c r="Q10" i="8"/>
  <c r="Q11" i="8"/>
  <c r="N11" i="8"/>
  <c r="M11" i="8"/>
  <c r="Q13" i="8"/>
  <c r="N13" i="8"/>
  <c r="M13" i="8"/>
  <c r="Q14" i="8"/>
  <c r="N14" i="8"/>
  <c r="M14" i="8"/>
  <c r="M15" i="8"/>
  <c r="N15" i="8"/>
  <c r="Q15" i="8"/>
  <c r="M16" i="8"/>
  <c r="N16" i="8"/>
  <c r="Q16" i="8"/>
  <c r="M17" i="8"/>
  <c r="N17" i="8"/>
  <c r="Q17" i="8"/>
  <c r="M18" i="8"/>
  <c r="N18" i="8"/>
  <c r="Q18" i="8"/>
  <c r="Q19" i="8"/>
  <c r="N19" i="8"/>
  <c r="M19" i="8"/>
  <c r="N20" i="8"/>
  <c r="M20" i="8"/>
  <c r="Q20" i="8"/>
  <c r="N21" i="8"/>
  <c r="M21" i="8"/>
  <c r="Q21" i="8"/>
  <c r="N22" i="8"/>
  <c r="M22" i="8"/>
  <c r="Q22" i="8"/>
  <c r="N23" i="8"/>
  <c r="M23" i="8"/>
  <c r="Q23" i="8"/>
  <c r="M24" i="8"/>
  <c r="N24" i="8"/>
  <c r="Q24" i="8"/>
  <c r="M25" i="8"/>
  <c r="N25" i="8"/>
  <c r="Q25" i="8"/>
  <c r="M27" i="8"/>
  <c r="Q27" i="8"/>
  <c r="N27" i="8"/>
  <c r="M28" i="8"/>
  <c r="N28" i="8"/>
  <c r="Q28" i="8"/>
  <c r="M30" i="8"/>
  <c r="N30" i="8"/>
  <c r="Q30" i="8"/>
  <c r="N32" i="8"/>
  <c r="M32" i="8"/>
  <c r="Q32" i="8"/>
  <c r="N34" i="8"/>
  <c r="M34" i="8"/>
  <c r="Q34" i="8"/>
  <c r="N36" i="8"/>
  <c r="M36" i="8"/>
  <c r="Q36" i="8"/>
  <c r="N12" i="8"/>
  <c r="M12" i="8"/>
  <c r="Q12" i="8"/>
  <c r="N26" i="8"/>
  <c r="Q26" i="8"/>
  <c r="M26" i="8"/>
  <c r="Q29" i="8"/>
  <c r="M29" i="8"/>
  <c r="N29" i="8"/>
  <c r="Q31" i="8"/>
  <c r="N31" i="8"/>
  <c r="M31" i="8"/>
  <c r="Q33" i="8"/>
  <c r="N33" i="8"/>
  <c r="M33" i="8"/>
  <c r="Q35" i="8"/>
  <c r="N35" i="8"/>
  <c r="M35" i="8"/>
  <c r="M27" i="5"/>
  <c r="P27" i="5"/>
  <c r="Q15" i="5"/>
  <c r="M15" i="5"/>
  <c r="N15" i="5"/>
  <c r="Q16" i="5"/>
  <c r="P16" i="5"/>
  <c r="Q21" i="5"/>
  <c r="M21" i="5"/>
  <c r="N21" i="5"/>
  <c r="Q22" i="5"/>
  <c r="M22" i="5"/>
  <c r="N22" i="5"/>
  <c r="M23" i="5"/>
  <c r="N23" i="5"/>
  <c r="Q24" i="5"/>
  <c r="M24" i="5"/>
  <c r="N24" i="5"/>
  <c r="M25" i="5"/>
  <c r="N25" i="5"/>
  <c r="Q26" i="5"/>
  <c r="M26" i="5"/>
  <c r="N26" i="5"/>
  <c r="Q25" i="5"/>
  <c r="P25" i="5"/>
  <c r="Q17" i="5"/>
  <c r="N17" i="5"/>
  <c r="Q19" i="5"/>
  <c r="P19" i="5"/>
  <c r="M19" i="5"/>
  <c r="N19" i="5"/>
  <c r="Q23" i="5"/>
  <c r="P23" i="5"/>
  <c r="Q27" i="5"/>
  <c r="N27" i="5"/>
  <c r="Q28" i="5"/>
  <c r="M28" i="5"/>
  <c r="N28" i="5"/>
  <c r="Q30" i="5"/>
  <c r="M30" i="5"/>
  <c r="N30" i="5"/>
  <c r="Q32" i="5"/>
  <c r="P32" i="5"/>
  <c r="M32" i="5"/>
  <c r="N32" i="5"/>
  <c r="Q34" i="5"/>
  <c r="P34" i="5"/>
  <c r="M34" i="5"/>
  <c r="N34" i="5"/>
  <c r="Q14" i="5"/>
  <c r="N14" i="5"/>
  <c r="M14" i="5"/>
  <c r="Q29" i="5"/>
  <c r="M29" i="5"/>
  <c r="N29" i="5"/>
  <c r="Q31" i="5"/>
  <c r="M31" i="5"/>
  <c r="N31" i="5"/>
  <c r="Q33" i="5"/>
  <c r="M33" i="5"/>
  <c r="N33" i="5"/>
  <c r="Q36" i="5"/>
  <c r="M36" i="5"/>
  <c r="N36" i="5"/>
  <c r="Q18" i="5"/>
  <c r="M18" i="5"/>
  <c r="N18" i="5"/>
  <c r="Q35" i="5"/>
  <c r="M35" i="5"/>
  <c r="N35" i="5"/>
  <c r="M3" i="5"/>
  <c r="N3" i="5"/>
  <c r="Q3" i="5"/>
  <c r="M4" i="5"/>
  <c r="N4" i="5"/>
  <c r="Q4" i="5"/>
  <c r="M5" i="5"/>
  <c r="N5" i="5"/>
  <c r="Q5" i="5"/>
  <c r="M6" i="5"/>
  <c r="N6" i="5"/>
  <c r="Q6" i="5"/>
  <c r="M7" i="5"/>
  <c r="N7" i="5"/>
  <c r="Q7" i="5"/>
  <c r="Q8" i="5"/>
  <c r="M8" i="5"/>
  <c r="N8" i="5"/>
  <c r="Q9" i="5"/>
  <c r="M9" i="5"/>
  <c r="N9" i="5"/>
  <c r="Q10" i="5"/>
  <c r="N10" i="5"/>
  <c r="M10" i="5"/>
  <c r="M11" i="5"/>
  <c r="N11" i="5"/>
  <c r="Q11" i="5"/>
  <c r="M12" i="5"/>
  <c r="N12" i="5"/>
  <c r="Q12" i="5"/>
  <c r="M13" i="5"/>
  <c r="N13" i="5"/>
  <c r="Q13" i="5"/>
</calcChain>
</file>

<file path=xl/sharedStrings.xml><?xml version="1.0" encoding="utf-8"?>
<sst xmlns="http://schemas.openxmlformats.org/spreadsheetml/2006/main" count="123" uniqueCount="38">
  <si>
    <t>NAME</t>
  </si>
  <si>
    <t>year</t>
  </si>
  <si>
    <t>variable</t>
  </si>
  <si>
    <t>value</t>
  </si>
  <si>
    <t>pop</t>
  </si>
  <si>
    <t>pop_lag</t>
  </si>
  <si>
    <t>change</t>
  </si>
  <si>
    <t>pct_change</t>
  </si>
  <si>
    <t>Schertz city, Texas</t>
  </si>
  <si>
    <t>2010</t>
  </si>
  <si>
    <t>POP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</si>
  <si>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</si>
  <si>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</si>
  <si>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</si>
  <si>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</si>
  <si>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</si>
  <si>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</si>
  <si>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</si>
  <si>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</si>
  <si>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</si>
  <si>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</si>
  <si>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</si>
  <si>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</si>
  <si>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</si>
  <si>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</si>
  <si>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LastCell</t>
  </si>
  <si>
    <t>Range</t>
  </si>
  <si>
    <t>UCL</t>
  </si>
  <si>
    <t xml:space="preserve"> +2 Sigma</t>
  </si>
  <si>
    <t xml:space="preserve"> +1 Sigma</t>
  </si>
  <si>
    <t>Average</t>
  </si>
  <si>
    <t xml:space="preserve"> -1 Sigma</t>
  </si>
  <si>
    <t xml:space="preserve"> -2 Sigma</t>
  </si>
  <si>
    <t>LCL</t>
  </si>
  <si>
    <t>t^2</t>
  </si>
  <si>
    <t>Slope</t>
  </si>
  <si>
    <t>bValue</t>
  </si>
  <si>
    <t>Rxy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</si>
</sst>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0" fillId="2" borderId="0" xfId="0" applyFill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Pop RAW 2010-2024 pop - 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 RAW 2010-2024 pop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strRef>
              <c:f>'Pop RAW 2010-2024 pop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pop XmR '!$K$2:$K$16</c:f>
              <c:numCache>
                <c:formatCode>0.0</c:formatCode>
                <c:ptCount val="15"/>
                <c:pt idx="1">
                  <c:v>1167</c:v>
                </c:pt>
                <c:pt idx="2">
                  <c:v>1525</c:v>
                </c:pt>
                <c:pt idx="3">
                  <c:v>872</c:v>
                </c:pt>
                <c:pt idx="4">
                  <c:v>974</c:v>
                </c:pt>
                <c:pt idx="5">
                  <c:v>971</c:v>
                </c:pt>
                <c:pt idx="6">
                  <c:v>1437</c:v>
                </c:pt>
                <c:pt idx="7">
                  <c:v>1007</c:v>
                </c:pt>
                <c:pt idx="8">
                  <c:v>933</c:v>
                </c:pt>
                <c:pt idx="9">
                  <c:v>1007</c:v>
                </c:pt>
                <c:pt idx="10">
                  <c:v>110</c:v>
                </c:pt>
                <c:pt idx="11">
                  <c:v>527</c:v>
                </c:pt>
                <c:pt idx="12">
                  <c:v>408</c:v>
                </c:pt>
                <c:pt idx="13">
                  <c:v>308</c:v>
                </c:pt>
                <c:pt idx="14">
                  <c:v>1033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F-3A43-894C-4FE668F79ACB}"/>
            </c:ext>
          </c:extLst>
        </c:ser>
        <c:ser>
          <c:idx val="1"/>
          <c:order val="1"/>
          <c:tx>
            <c:strRef>
              <c:f>'Pop RAW 2010-2024 pop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6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DAF-3A43-894C-4FE668F79ACB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61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AF-3A43-894C-4FE668F79AC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'Pop RAW 2010-2024 pop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pop XmR '!$L$2:$L$16</c:f>
              <c:numCache>
                <c:formatCode>0.0</c:formatCode>
                <c:ptCount val="15"/>
                <c:pt idx="1">
                  <c:v>2865.3923571428568</c:v>
                </c:pt>
                <c:pt idx="2">
                  <c:v>2865.3923571428568</c:v>
                </c:pt>
                <c:pt idx="3">
                  <c:v>2865.3923571428568</c:v>
                </c:pt>
                <c:pt idx="4">
                  <c:v>2865.3923571428568</c:v>
                </c:pt>
                <c:pt idx="5">
                  <c:v>2865.3923571428568</c:v>
                </c:pt>
                <c:pt idx="6">
                  <c:v>2865.3923571428568</c:v>
                </c:pt>
                <c:pt idx="7">
                  <c:v>2865.3923571428568</c:v>
                </c:pt>
                <c:pt idx="8">
                  <c:v>2865.3923571428568</c:v>
                </c:pt>
                <c:pt idx="9">
                  <c:v>2865.3923571428568</c:v>
                </c:pt>
                <c:pt idx="10">
                  <c:v>2865.3923571428568</c:v>
                </c:pt>
                <c:pt idx="11">
                  <c:v>2865.3923571428568</c:v>
                </c:pt>
                <c:pt idx="12">
                  <c:v>2865.3923571428568</c:v>
                </c:pt>
                <c:pt idx="13">
                  <c:v>2865.3923571428568</c:v>
                </c:pt>
                <c:pt idx="14">
                  <c:v>2865.3923571428568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AF-3A43-894C-4FE668F79ACB}"/>
            </c:ext>
          </c:extLst>
        </c:ser>
        <c:ser>
          <c:idx val="2"/>
          <c:order val="2"/>
          <c:tx>
            <c:strRef>
              <c:f>'Pop RAW 2010-2024 pop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'Pop RAW 2010-2024 pop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pop XmR '!$M$2:$M$16</c:f>
              <c:numCache>
                <c:formatCode>0.0</c:formatCode>
                <c:ptCount val="15"/>
                <c:pt idx="1">
                  <c:v>2202.6187142857138</c:v>
                </c:pt>
                <c:pt idx="2">
                  <c:v>2202.6187142857138</c:v>
                </c:pt>
                <c:pt idx="3">
                  <c:v>2202.6187142857138</c:v>
                </c:pt>
                <c:pt idx="4">
                  <c:v>2202.6187142857138</c:v>
                </c:pt>
                <c:pt idx="5">
                  <c:v>2202.6187142857138</c:v>
                </c:pt>
                <c:pt idx="6">
                  <c:v>2202.6187142857138</c:v>
                </c:pt>
                <c:pt idx="7">
                  <c:v>2202.6187142857138</c:v>
                </c:pt>
                <c:pt idx="8">
                  <c:v>2202.6187142857138</c:v>
                </c:pt>
                <c:pt idx="9">
                  <c:v>2202.6187142857138</c:v>
                </c:pt>
                <c:pt idx="10">
                  <c:v>2202.6187142857138</c:v>
                </c:pt>
                <c:pt idx="11">
                  <c:v>2202.6187142857138</c:v>
                </c:pt>
                <c:pt idx="12">
                  <c:v>2202.6187142857138</c:v>
                </c:pt>
                <c:pt idx="13">
                  <c:v>2202.6187142857138</c:v>
                </c:pt>
                <c:pt idx="14">
                  <c:v>2202.6187142857138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AF-3A43-894C-4FE668F79ACB}"/>
            </c:ext>
          </c:extLst>
        </c:ser>
        <c:ser>
          <c:idx val="3"/>
          <c:order val="3"/>
          <c:tx>
            <c:strRef>
              <c:f>'Pop RAW 2010-2024 pop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'Pop RAW 2010-2024 pop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pop XmR '!$N$2:$N$16</c:f>
              <c:numCache>
                <c:formatCode>0.0</c:formatCode>
                <c:ptCount val="15"/>
                <c:pt idx="1">
                  <c:v>1539.8450714285714</c:v>
                </c:pt>
                <c:pt idx="2">
                  <c:v>1539.8450714285714</c:v>
                </c:pt>
                <c:pt idx="3">
                  <c:v>1539.8450714285714</c:v>
                </c:pt>
                <c:pt idx="4">
                  <c:v>1539.8450714285714</c:v>
                </c:pt>
                <c:pt idx="5">
                  <c:v>1539.8450714285714</c:v>
                </c:pt>
                <c:pt idx="6">
                  <c:v>1539.8450714285714</c:v>
                </c:pt>
                <c:pt idx="7">
                  <c:v>1539.8450714285714</c:v>
                </c:pt>
                <c:pt idx="8">
                  <c:v>1539.8450714285714</c:v>
                </c:pt>
                <c:pt idx="9">
                  <c:v>1539.8450714285714</c:v>
                </c:pt>
                <c:pt idx="10">
                  <c:v>1539.8450714285714</c:v>
                </c:pt>
                <c:pt idx="11">
                  <c:v>1539.8450714285714</c:v>
                </c:pt>
                <c:pt idx="12">
                  <c:v>1539.8450714285714</c:v>
                </c:pt>
                <c:pt idx="13">
                  <c:v>1539.8450714285714</c:v>
                </c:pt>
                <c:pt idx="14">
                  <c:v>1539.8450714285714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AF-3A43-894C-4FE668F79ACB}"/>
            </c:ext>
          </c:extLst>
        </c:ser>
        <c:ser>
          <c:idx val="4"/>
          <c:order val="4"/>
          <c:tx>
            <c:strRef>
              <c:f>'Pop RAW 2010-2024 pop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DDAF-3A43-894C-4FE668F79ACB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DDAF-3A43-894C-4FE668F79ACB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DDAF-3A43-894C-4FE668F79ACB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DDAF-3A43-894C-4FE668F79ACB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DDAF-3A43-894C-4FE668F79ACB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DDAF-3A43-894C-4FE668F79ACB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DDAF-3A43-894C-4FE668F79ACB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DDAF-3A43-894C-4FE668F79ACB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DDAF-3A43-894C-4FE668F79ACB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DDAF-3A43-894C-4FE668F79ACB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DDAF-3A43-894C-4FE668F79ACB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DDAF-3A43-894C-4FE668F79ACB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DDAF-3A43-894C-4FE668F79ACB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DDAF-3A43-894C-4FE668F79ACB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DDAF-3A43-894C-4FE668F79ACB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DAF-3A43-894C-4FE668F79ACB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DDAF-3A43-894C-4FE668F79AC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'Pop RAW 2010-2024 pop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pop XmR '!$O$2:$O$16</c:f>
              <c:numCache>
                <c:formatCode>0.0</c:formatCode>
                <c:ptCount val="15"/>
                <c:pt idx="0">
                  <c:v>877.07142857142856</c:v>
                </c:pt>
                <c:pt idx="1">
                  <c:v>877.07142857142856</c:v>
                </c:pt>
                <c:pt idx="2">
                  <c:v>877.07142857142856</c:v>
                </c:pt>
                <c:pt idx="3">
                  <c:v>877.07142857142856</c:v>
                </c:pt>
                <c:pt idx="4">
                  <c:v>877.07142857142856</c:v>
                </c:pt>
                <c:pt idx="5">
                  <c:v>877.07142857142856</c:v>
                </c:pt>
                <c:pt idx="6">
                  <c:v>877.07142857142856</c:v>
                </c:pt>
                <c:pt idx="7">
                  <c:v>877.07142857142856</c:v>
                </c:pt>
                <c:pt idx="8">
                  <c:v>877.07142857142856</c:v>
                </c:pt>
                <c:pt idx="9">
                  <c:v>877.07142857142856</c:v>
                </c:pt>
                <c:pt idx="10">
                  <c:v>877.07142857142856</c:v>
                </c:pt>
                <c:pt idx="11">
                  <c:v>877.07142857142856</c:v>
                </c:pt>
                <c:pt idx="12">
                  <c:v>877.07142857142856</c:v>
                </c:pt>
                <c:pt idx="13">
                  <c:v>877.07142857142856</c:v>
                </c:pt>
                <c:pt idx="14">
                  <c:v>877.07142857142856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DAF-3A43-894C-4FE668F79ACB}"/>
            </c:ext>
          </c:extLst>
        </c:ser>
        <c:ser>
          <c:idx val="5"/>
          <c:order val="5"/>
          <c:tx>
            <c:strRef>
              <c:f>'Pop RAW 2010-2024 pop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'Pop RAW 2010-2024 pop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pop XmR '!$P$2:$P$16</c:f>
              <c:numCache>
                <c:formatCode>0.0</c:formatCode>
                <c:ptCount val="15"/>
                <c:pt idx="1">
                  <c:v>214.29778571428585</c:v>
                </c:pt>
                <c:pt idx="2">
                  <c:v>214.29778571428585</c:v>
                </c:pt>
                <c:pt idx="3">
                  <c:v>214.29778571428585</c:v>
                </c:pt>
                <c:pt idx="4">
                  <c:v>214.29778571428585</c:v>
                </c:pt>
                <c:pt idx="5">
                  <c:v>214.29778571428585</c:v>
                </c:pt>
                <c:pt idx="6">
                  <c:v>214.29778571428585</c:v>
                </c:pt>
                <c:pt idx="7">
                  <c:v>214.29778571428585</c:v>
                </c:pt>
                <c:pt idx="8">
                  <c:v>214.29778571428585</c:v>
                </c:pt>
                <c:pt idx="9">
                  <c:v>214.29778571428585</c:v>
                </c:pt>
                <c:pt idx="10">
                  <c:v>214.29778571428585</c:v>
                </c:pt>
                <c:pt idx="11">
                  <c:v>214.29778571428585</c:v>
                </c:pt>
                <c:pt idx="12">
                  <c:v>214.29778571428585</c:v>
                </c:pt>
                <c:pt idx="13">
                  <c:v>214.29778571428585</c:v>
                </c:pt>
                <c:pt idx="14">
                  <c:v>214.29778571428585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DAF-3A43-894C-4FE668F79ACB}"/>
            </c:ext>
          </c:extLst>
        </c:ser>
        <c:ser>
          <c:idx val="6"/>
          <c:order val="6"/>
          <c:tx>
            <c:strRef>
              <c:f>'Pop RAW 2010-2024 pop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'Pop RAW 2010-2024 pop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pop XmR '!$Q$2:$Q$16</c:f>
              <c:numCache>
                <c:formatCode>0.0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DAF-3A43-894C-4FE668F79ACB}"/>
            </c:ext>
          </c:extLst>
        </c:ser>
        <c:ser>
          <c:idx val="7"/>
          <c:order val="7"/>
          <c:tx>
            <c:strRef>
              <c:f>'Pop RAW 2010-2024 pop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strRef>
              <c:f>'Pop RAW 2010-2024 pop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pop XmR '!$R$2:$R$16</c:f>
              <c:numCache>
                <c:formatCode>0.0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DAF-3A43-894C-4FE668F79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352"/>
        <c:axId val="666111584"/>
      </c:lineChart>
      <c:catAx>
        <c:axId val="124312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6111584"/>
        <c:crosses val="autoZero"/>
        <c:auto val="0"/>
        <c:lblAlgn val="ctr"/>
        <c:lblOffset val="100"/>
        <c:noMultiLvlLbl val="0"/>
      </c:catAx>
      <c:valAx>
        <c:axId val="6661115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24312352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Schertz Population Counts 2010-2024 - Trended X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 RAW 2010-2024 pop XmR '!$B$1</c:f>
              <c:strCache>
                <c:ptCount val="1"/>
                <c:pt idx="0">
                  <c:v>pop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strRef>
              <c:f>'Pop RAW 2010-2024 pop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pop XmR '!$B$2:$B$16</c:f>
              <c:numCache>
                <c:formatCode>0.0</c:formatCode>
                <c:ptCount val="15"/>
                <c:pt idx="0">
                  <c:v>32149</c:v>
                </c:pt>
                <c:pt idx="1">
                  <c:v>33316</c:v>
                </c:pt>
                <c:pt idx="2">
                  <c:v>34841</c:v>
                </c:pt>
                <c:pt idx="3">
                  <c:v>35713</c:v>
                </c:pt>
                <c:pt idx="4">
                  <c:v>36687</c:v>
                </c:pt>
                <c:pt idx="5">
                  <c:v>37658</c:v>
                </c:pt>
                <c:pt idx="6">
                  <c:v>39095</c:v>
                </c:pt>
                <c:pt idx="7">
                  <c:v>40102</c:v>
                </c:pt>
                <c:pt idx="8">
                  <c:v>41035</c:v>
                </c:pt>
                <c:pt idx="9">
                  <c:v>42042</c:v>
                </c:pt>
                <c:pt idx="10">
                  <c:v>42152</c:v>
                </c:pt>
                <c:pt idx="11">
                  <c:v>42679</c:v>
                </c:pt>
                <c:pt idx="12">
                  <c:v>43087</c:v>
                </c:pt>
                <c:pt idx="13">
                  <c:v>43395</c:v>
                </c:pt>
                <c:pt idx="14">
                  <c:v>44428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4-C542-B900-373C92B7EFCD}"/>
            </c:ext>
          </c:extLst>
        </c:ser>
        <c:ser>
          <c:idx val="1"/>
          <c:order val="1"/>
          <c:tx>
            <c:strRef>
              <c:f>'Pop RAW 2010-2024 pop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1C4-C542-B900-373C92B7EFCD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C4-C542-B900-373C92B7EFC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'Pop RAW 2010-2024 pop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pop XmR '!$C$2:$C$16</c:f>
              <c:numCache>
                <c:formatCode>0.0</c:formatCode>
                <c:ptCount val="15"/>
                <c:pt idx="0">
                  <c:v>35492.676666666674</c:v>
                </c:pt>
                <c:pt idx="1">
                  <c:v>36359.190952380959</c:v>
                </c:pt>
                <c:pt idx="2">
                  <c:v>37225.705238095245</c:v>
                </c:pt>
                <c:pt idx="3">
                  <c:v>38092.21952380953</c:v>
                </c:pt>
                <c:pt idx="4">
                  <c:v>38958.733809523816</c:v>
                </c:pt>
                <c:pt idx="5">
                  <c:v>39825.248095238101</c:v>
                </c:pt>
                <c:pt idx="6">
                  <c:v>40691.762380952387</c:v>
                </c:pt>
                <c:pt idx="7">
                  <c:v>41558.276666666672</c:v>
                </c:pt>
                <c:pt idx="8">
                  <c:v>42424.790952380958</c:v>
                </c:pt>
                <c:pt idx="9">
                  <c:v>43291.305238095243</c:v>
                </c:pt>
                <c:pt idx="10">
                  <c:v>44157.819523809529</c:v>
                </c:pt>
                <c:pt idx="11">
                  <c:v>45024.333809523814</c:v>
                </c:pt>
                <c:pt idx="12">
                  <c:v>45890.8480952381</c:v>
                </c:pt>
                <c:pt idx="13">
                  <c:v>46757.362380952385</c:v>
                </c:pt>
                <c:pt idx="14">
                  <c:v>47623.876666666671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C4-C542-B900-373C92B7EFCD}"/>
            </c:ext>
          </c:extLst>
        </c:ser>
        <c:ser>
          <c:idx val="2"/>
          <c:order val="2"/>
          <c:tx>
            <c:strRef>
              <c:f>'Pop RAW 2010-2024 pop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'Pop RAW 2010-2024 pop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pop XmR '!$D$2:$D$16</c:f>
              <c:numCache>
                <c:formatCode>0.0</c:formatCode>
                <c:ptCount val="15"/>
                <c:pt idx="0">
                  <c:v>34715.006666666668</c:v>
                </c:pt>
                <c:pt idx="1">
                  <c:v>35581.520952380961</c:v>
                </c:pt>
                <c:pt idx="2">
                  <c:v>36448.035238095239</c:v>
                </c:pt>
                <c:pt idx="3">
                  <c:v>37314.549523809532</c:v>
                </c:pt>
                <c:pt idx="4">
                  <c:v>38181.06380952381</c:v>
                </c:pt>
                <c:pt idx="5">
                  <c:v>39047.578095238103</c:v>
                </c:pt>
                <c:pt idx="6">
                  <c:v>39914.092380952381</c:v>
                </c:pt>
                <c:pt idx="7">
                  <c:v>40780.606666666674</c:v>
                </c:pt>
                <c:pt idx="8">
                  <c:v>41647.120952380952</c:v>
                </c:pt>
                <c:pt idx="9">
                  <c:v>42513.635238095245</c:v>
                </c:pt>
                <c:pt idx="10">
                  <c:v>43380.149523809523</c:v>
                </c:pt>
                <c:pt idx="11">
                  <c:v>44246.663809523816</c:v>
                </c:pt>
                <c:pt idx="12">
                  <c:v>45113.178095238094</c:v>
                </c:pt>
                <c:pt idx="13">
                  <c:v>45979.692380952387</c:v>
                </c:pt>
                <c:pt idx="14">
                  <c:v>46846.206666666665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C4-C542-B900-373C92B7EFCD}"/>
            </c:ext>
          </c:extLst>
        </c:ser>
        <c:ser>
          <c:idx val="3"/>
          <c:order val="3"/>
          <c:tx>
            <c:strRef>
              <c:f>'Pop RAW 2010-2024 pop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'Pop RAW 2010-2024 pop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pop XmR '!$E$2:$E$16</c:f>
              <c:numCache>
                <c:formatCode>0.0</c:formatCode>
                <c:ptCount val="15"/>
                <c:pt idx="0">
                  <c:v>33937.33666666667</c:v>
                </c:pt>
                <c:pt idx="1">
                  <c:v>34803.850952380955</c:v>
                </c:pt>
                <c:pt idx="2">
                  <c:v>35670.365238095241</c:v>
                </c:pt>
                <c:pt idx="3">
                  <c:v>36536.879523809526</c:v>
                </c:pt>
                <c:pt idx="4">
                  <c:v>37403.393809523812</c:v>
                </c:pt>
                <c:pt idx="5">
                  <c:v>38269.908095238097</c:v>
                </c:pt>
                <c:pt idx="6">
                  <c:v>39136.422380952383</c:v>
                </c:pt>
                <c:pt idx="7">
                  <c:v>40002.936666666668</c:v>
                </c:pt>
                <c:pt idx="8">
                  <c:v>40869.450952380954</c:v>
                </c:pt>
                <c:pt idx="9">
                  <c:v>41735.965238095239</c:v>
                </c:pt>
                <c:pt idx="10">
                  <c:v>42602.479523809525</c:v>
                </c:pt>
                <c:pt idx="11">
                  <c:v>43468.99380952381</c:v>
                </c:pt>
                <c:pt idx="12">
                  <c:v>44335.508095238096</c:v>
                </c:pt>
                <c:pt idx="13">
                  <c:v>45202.022380952381</c:v>
                </c:pt>
                <c:pt idx="14">
                  <c:v>46068.536666666667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C4-C542-B900-373C92B7EFCD}"/>
            </c:ext>
          </c:extLst>
        </c:ser>
        <c:ser>
          <c:idx val="4"/>
          <c:order val="4"/>
          <c:tx>
            <c:strRef>
              <c:f>'Pop RAW 2010-2024 pop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71C4-C542-B900-373C92B7EFCD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71C4-C542-B900-373C92B7EFCD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71C4-C542-B900-373C92B7EFCD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71C4-C542-B900-373C92B7EFCD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71C4-C542-B900-373C92B7EFCD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71C4-C542-B900-373C92B7EFCD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71C4-C542-B900-373C92B7EFCD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71C4-C542-B900-373C92B7EFCD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71C4-C542-B900-373C92B7EFCD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71C4-C542-B900-373C92B7EFCD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71C4-C542-B900-373C92B7EFCD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71C4-C542-B900-373C92B7EFCD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71C4-C542-B900-373C92B7EFCD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71C4-C542-B900-373C92B7EFCD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71C4-C542-B900-373C92B7EFCD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1C4-C542-B900-373C92B7EFCD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1C4-C542-B900-373C92B7EFC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'Pop RAW 2010-2024 pop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pop XmR '!$F$2:$F$16</c:f>
              <c:numCache>
                <c:formatCode>0.0</c:formatCode>
                <c:ptCount val="15"/>
                <c:pt idx="0">
                  <c:v>33159.666666666672</c:v>
                </c:pt>
                <c:pt idx="1">
                  <c:v>34026.180952380957</c:v>
                </c:pt>
                <c:pt idx="2">
                  <c:v>34892.695238095243</c:v>
                </c:pt>
                <c:pt idx="3">
                  <c:v>35759.209523809528</c:v>
                </c:pt>
                <c:pt idx="4">
                  <c:v>36625.723809523814</c:v>
                </c:pt>
                <c:pt idx="5">
                  <c:v>37492.238095238099</c:v>
                </c:pt>
                <c:pt idx="6">
                  <c:v>38358.752380952385</c:v>
                </c:pt>
                <c:pt idx="7">
                  <c:v>39225.26666666667</c:v>
                </c:pt>
                <c:pt idx="8">
                  <c:v>40091.780952380956</c:v>
                </c:pt>
                <c:pt idx="9">
                  <c:v>40958.295238095241</c:v>
                </c:pt>
                <c:pt idx="10">
                  <c:v>41824.809523809527</c:v>
                </c:pt>
                <c:pt idx="11">
                  <c:v>42691.323809523812</c:v>
                </c:pt>
                <c:pt idx="12">
                  <c:v>43557.838095238098</c:v>
                </c:pt>
                <c:pt idx="13">
                  <c:v>44424.352380952383</c:v>
                </c:pt>
                <c:pt idx="14">
                  <c:v>45290.866666666669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1C4-C542-B900-373C92B7EFCD}"/>
            </c:ext>
          </c:extLst>
        </c:ser>
        <c:ser>
          <c:idx val="5"/>
          <c:order val="5"/>
          <c:tx>
            <c:strRef>
              <c:f>'Pop RAW 2010-2024 pop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'Pop RAW 2010-2024 pop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pop XmR '!$G$2:$G$16</c:f>
              <c:numCache>
                <c:formatCode>0.0</c:formatCode>
                <c:ptCount val="15"/>
                <c:pt idx="0">
                  <c:v>32381.996666666673</c:v>
                </c:pt>
                <c:pt idx="1">
                  <c:v>33248.510952380959</c:v>
                </c:pt>
                <c:pt idx="2">
                  <c:v>34115.025238095244</c:v>
                </c:pt>
                <c:pt idx="3">
                  <c:v>34981.53952380953</c:v>
                </c:pt>
                <c:pt idx="4">
                  <c:v>35848.053809523815</c:v>
                </c:pt>
                <c:pt idx="5">
                  <c:v>36714.568095238101</c:v>
                </c:pt>
                <c:pt idx="6">
                  <c:v>37581.082380952386</c:v>
                </c:pt>
                <c:pt idx="7">
                  <c:v>38447.596666666672</c:v>
                </c:pt>
                <c:pt idx="8">
                  <c:v>39314.110952380957</c:v>
                </c:pt>
                <c:pt idx="9">
                  <c:v>40180.625238095243</c:v>
                </c:pt>
                <c:pt idx="10">
                  <c:v>41047.139523809528</c:v>
                </c:pt>
                <c:pt idx="11">
                  <c:v>41913.653809523814</c:v>
                </c:pt>
                <c:pt idx="12">
                  <c:v>42780.168095238099</c:v>
                </c:pt>
                <c:pt idx="13">
                  <c:v>43646.682380952385</c:v>
                </c:pt>
                <c:pt idx="14">
                  <c:v>44513.19666666667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71C4-C542-B900-373C92B7EFCD}"/>
            </c:ext>
          </c:extLst>
        </c:ser>
        <c:ser>
          <c:idx val="6"/>
          <c:order val="6"/>
          <c:tx>
            <c:strRef>
              <c:f>'Pop RAW 2010-2024 pop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'Pop RAW 2010-2024 pop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pop XmR '!$H$2:$H$16</c:f>
              <c:numCache>
                <c:formatCode>0.0</c:formatCode>
                <c:ptCount val="15"/>
                <c:pt idx="0">
                  <c:v>31604.326666666671</c:v>
                </c:pt>
                <c:pt idx="1">
                  <c:v>32470.840952380957</c:v>
                </c:pt>
                <c:pt idx="2">
                  <c:v>33337.355238095246</c:v>
                </c:pt>
                <c:pt idx="3">
                  <c:v>34203.869523809524</c:v>
                </c:pt>
                <c:pt idx="4">
                  <c:v>35070.383809523817</c:v>
                </c:pt>
                <c:pt idx="5">
                  <c:v>35936.898095238095</c:v>
                </c:pt>
                <c:pt idx="6">
                  <c:v>36803.412380952388</c:v>
                </c:pt>
                <c:pt idx="7">
                  <c:v>37669.926666666666</c:v>
                </c:pt>
                <c:pt idx="8">
                  <c:v>38536.440952380959</c:v>
                </c:pt>
                <c:pt idx="9">
                  <c:v>39402.955238095237</c:v>
                </c:pt>
                <c:pt idx="10">
                  <c:v>40269.46952380953</c:v>
                </c:pt>
                <c:pt idx="11">
                  <c:v>41135.983809523808</c:v>
                </c:pt>
                <c:pt idx="12">
                  <c:v>42002.498095238101</c:v>
                </c:pt>
                <c:pt idx="13">
                  <c:v>42869.012380952379</c:v>
                </c:pt>
                <c:pt idx="14">
                  <c:v>43735.526666666672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1C4-C542-B900-373C92B7EFCD}"/>
            </c:ext>
          </c:extLst>
        </c:ser>
        <c:ser>
          <c:idx val="7"/>
          <c:order val="7"/>
          <c:tx>
            <c:strRef>
              <c:f>'Pop RAW 2010-2024 pop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71C4-C542-B900-373C92B7EFCD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1C4-C542-B900-373C92B7EFC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'Pop RAW 2010-2024 pop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pop XmR '!$I$2:$I$16</c:f>
              <c:numCache>
                <c:formatCode>0.0</c:formatCode>
                <c:ptCount val="15"/>
                <c:pt idx="0">
                  <c:v>30826.656666666669</c:v>
                </c:pt>
                <c:pt idx="1">
                  <c:v>31693.170952380955</c:v>
                </c:pt>
                <c:pt idx="2">
                  <c:v>32559.68523809524</c:v>
                </c:pt>
                <c:pt idx="3">
                  <c:v>33426.199523809526</c:v>
                </c:pt>
                <c:pt idx="4">
                  <c:v>34292.713809523812</c:v>
                </c:pt>
                <c:pt idx="5">
                  <c:v>35159.228095238097</c:v>
                </c:pt>
                <c:pt idx="6">
                  <c:v>36025.742380952383</c:v>
                </c:pt>
                <c:pt idx="7">
                  <c:v>36892.256666666668</c:v>
                </c:pt>
                <c:pt idx="8">
                  <c:v>37758.770952380954</c:v>
                </c:pt>
                <c:pt idx="9">
                  <c:v>38625.285238095239</c:v>
                </c:pt>
                <c:pt idx="10">
                  <c:v>39491.799523809525</c:v>
                </c:pt>
                <c:pt idx="11">
                  <c:v>40358.31380952381</c:v>
                </c:pt>
                <c:pt idx="12">
                  <c:v>41224.828095238096</c:v>
                </c:pt>
                <c:pt idx="13">
                  <c:v>42091.342380952381</c:v>
                </c:pt>
                <c:pt idx="14">
                  <c:v>42957.856666666667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71C4-C542-B900-373C92B7E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12336"/>
        <c:axId val="664532080"/>
      </c:lineChart>
      <c:catAx>
        <c:axId val="107812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4532080"/>
        <c:crosses val="autoZero"/>
        <c:auto val="0"/>
        <c:lblAlgn val="ctr"/>
        <c:lblOffset val="100"/>
        <c:noMultiLvlLbl val="0"/>
      </c:catAx>
      <c:valAx>
        <c:axId val="664532080"/>
        <c:scaling>
          <c:orientation val="minMax"/>
          <c:min val="30048.95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Average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07812336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Schertz Rate of Population Growth 2010-2024 </a:t>
            </a:r>
            <a:r>
              <a:rPr lang="en-US" sz="2000" b="1" i="0">
                <a:solidFill>
                  <a:srgbClr val="000000"/>
                </a:solidFill>
                <a:latin typeface=" +mn-lt"/>
              </a:rPr>
              <a:t>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 RAW 2010-2024 pct_c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1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8306-7348-BB50-6010D46042D4}"/>
              </c:ext>
            </c:extLst>
          </c:dPt>
          <c:cat>
            <c:strRef>
              <c:f>'Pop RAW 2010-2024 pct_c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pct_c XmR '!$K$2:$K$16</c:f>
              <c:numCache>
                <c:formatCode>0.0000</c:formatCode>
                <c:ptCount val="15"/>
                <c:pt idx="1">
                  <c:v>3.6299729385050861</c:v>
                </c:pt>
                <c:pt idx="2">
                  <c:v>0.94740729921853051</c:v>
                </c:pt>
                <c:pt idx="3">
                  <c:v>2.0745818105831786</c:v>
                </c:pt>
                <c:pt idx="4">
                  <c:v>0.22449975559413993</c:v>
                </c:pt>
                <c:pt idx="5">
                  <c:v>8.0584087823573736E-2</c:v>
                </c:pt>
                <c:pt idx="6">
                  <c:v>1.1692081526857878</c:v>
                </c:pt>
                <c:pt idx="7">
                  <c:v>1.2401452940221658</c:v>
                </c:pt>
                <c:pt idx="8">
                  <c:v>0.24920970007106025</c:v>
                </c:pt>
                <c:pt idx="9">
                  <c:v>0.12743542713491296</c:v>
                </c:pt>
                <c:pt idx="10">
                  <c:v>2.1923595618525029</c:v>
                </c:pt>
                <c:pt idx="11">
                  <c:v>0.98859411788132301</c:v>
                </c:pt>
                <c:pt idx="12">
                  <c:v>0.29426357280450921</c:v>
                </c:pt>
                <c:pt idx="13">
                  <c:v>0.24114088367386965</c:v>
                </c:pt>
                <c:pt idx="14">
                  <c:v>1.6656257979882891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6-7348-BB50-6010D46042D4}"/>
            </c:ext>
          </c:extLst>
        </c:ser>
        <c:ser>
          <c:idx val="1"/>
          <c:order val="1"/>
          <c:tx>
            <c:strRef>
              <c:f>'Pop RAW 2010-2024 pct_c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0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306-7348-BB50-6010D46042D4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05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06-7348-BB50-6010D46042D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'Pop RAW 2010-2024 pct_c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pct_c XmR '!$L$2:$L$16</c:f>
              <c:numCache>
                <c:formatCode>0.0000</c:formatCode>
                <c:ptCount val="15"/>
                <c:pt idx="1">
                  <c:v>3.5295334130195553</c:v>
                </c:pt>
                <c:pt idx="2">
                  <c:v>3.5295334130195553</c:v>
                </c:pt>
                <c:pt idx="3">
                  <c:v>3.5295334130195553</c:v>
                </c:pt>
                <c:pt idx="4">
                  <c:v>3.5295334130195553</c:v>
                </c:pt>
                <c:pt idx="5">
                  <c:v>3.5295334130195553</c:v>
                </c:pt>
                <c:pt idx="6">
                  <c:v>3.5295334130195553</c:v>
                </c:pt>
                <c:pt idx="7">
                  <c:v>3.5295334130195553</c:v>
                </c:pt>
                <c:pt idx="8">
                  <c:v>3.5295334130195553</c:v>
                </c:pt>
                <c:pt idx="9">
                  <c:v>3.5295334130195553</c:v>
                </c:pt>
                <c:pt idx="10">
                  <c:v>3.5295334130195553</c:v>
                </c:pt>
                <c:pt idx="11">
                  <c:v>3.5295334130195553</c:v>
                </c:pt>
                <c:pt idx="12">
                  <c:v>3.5295334130195553</c:v>
                </c:pt>
                <c:pt idx="13">
                  <c:v>3.5295334130195553</c:v>
                </c:pt>
                <c:pt idx="14">
                  <c:v>3.5295334130195553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06-7348-BB50-6010D46042D4}"/>
            </c:ext>
          </c:extLst>
        </c:ser>
        <c:ser>
          <c:idx val="2"/>
          <c:order val="2"/>
          <c:tx>
            <c:strRef>
              <c:f>'Pop RAW 2010-2024 pct_c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'Pop RAW 2010-2024 pct_c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pct_c XmR '!$M$2:$M$16</c:f>
              <c:numCache>
                <c:formatCode>0.0000</c:formatCode>
                <c:ptCount val="15"/>
                <c:pt idx="1">
                  <c:v>2.7131419991520591</c:v>
                </c:pt>
                <c:pt idx="2">
                  <c:v>2.7131419991520591</c:v>
                </c:pt>
                <c:pt idx="3">
                  <c:v>2.7131419991520591</c:v>
                </c:pt>
                <c:pt idx="4">
                  <c:v>2.7131419991520591</c:v>
                </c:pt>
                <c:pt idx="5">
                  <c:v>2.7131419991520591</c:v>
                </c:pt>
                <c:pt idx="6">
                  <c:v>2.7131419991520591</c:v>
                </c:pt>
                <c:pt idx="7">
                  <c:v>2.7131419991520591</c:v>
                </c:pt>
                <c:pt idx="8">
                  <c:v>2.7131419991520591</c:v>
                </c:pt>
                <c:pt idx="9">
                  <c:v>2.7131419991520591</c:v>
                </c:pt>
                <c:pt idx="10">
                  <c:v>2.7131419991520591</c:v>
                </c:pt>
                <c:pt idx="11">
                  <c:v>2.7131419991520591</c:v>
                </c:pt>
                <c:pt idx="12">
                  <c:v>2.7131419991520591</c:v>
                </c:pt>
                <c:pt idx="13">
                  <c:v>2.7131419991520591</c:v>
                </c:pt>
                <c:pt idx="14">
                  <c:v>2.7131419991520591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06-7348-BB50-6010D46042D4}"/>
            </c:ext>
          </c:extLst>
        </c:ser>
        <c:ser>
          <c:idx val="3"/>
          <c:order val="3"/>
          <c:tx>
            <c:strRef>
              <c:f>'Pop RAW 2010-2024 pct_c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'Pop RAW 2010-2024 pct_c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pct_c XmR '!$N$2:$N$16</c:f>
              <c:numCache>
                <c:formatCode>0.0000</c:formatCode>
                <c:ptCount val="15"/>
                <c:pt idx="1">
                  <c:v>1.8967505852845625</c:v>
                </c:pt>
                <c:pt idx="2">
                  <c:v>1.8967505852845625</c:v>
                </c:pt>
                <c:pt idx="3">
                  <c:v>1.8967505852845625</c:v>
                </c:pt>
                <c:pt idx="4">
                  <c:v>1.8967505852845625</c:v>
                </c:pt>
                <c:pt idx="5">
                  <c:v>1.8967505852845625</c:v>
                </c:pt>
                <c:pt idx="6">
                  <c:v>1.8967505852845625</c:v>
                </c:pt>
                <c:pt idx="7">
                  <c:v>1.8967505852845625</c:v>
                </c:pt>
                <c:pt idx="8">
                  <c:v>1.8967505852845625</c:v>
                </c:pt>
                <c:pt idx="9">
                  <c:v>1.8967505852845625</c:v>
                </c:pt>
                <c:pt idx="10">
                  <c:v>1.8967505852845625</c:v>
                </c:pt>
                <c:pt idx="11">
                  <c:v>1.8967505852845625</c:v>
                </c:pt>
                <c:pt idx="12">
                  <c:v>1.8967505852845625</c:v>
                </c:pt>
                <c:pt idx="13">
                  <c:v>1.8967505852845625</c:v>
                </c:pt>
                <c:pt idx="14">
                  <c:v>1.8967505852845625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06-7348-BB50-6010D46042D4}"/>
            </c:ext>
          </c:extLst>
        </c:ser>
        <c:ser>
          <c:idx val="4"/>
          <c:order val="4"/>
          <c:tx>
            <c:strRef>
              <c:f>'Pop RAW 2010-2024 pct_c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06-7348-BB50-6010D46042D4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06-7348-BB50-6010D46042D4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8306-7348-BB50-6010D46042D4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8306-7348-BB50-6010D46042D4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8306-7348-BB50-6010D46042D4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8306-7348-BB50-6010D46042D4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8306-7348-BB50-6010D46042D4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8306-7348-BB50-6010D46042D4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8306-7348-BB50-6010D46042D4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8306-7348-BB50-6010D46042D4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8306-7348-BB50-6010D46042D4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8306-7348-BB50-6010D46042D4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8306-7348-BB50-6010D46042D4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8306-7348-BB50-6010D46042D4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8306-7348-BB50-6010D46042D4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8306-7348-BB50-6010D46042D4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96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306-7348-BB50-6010D46042D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'Pop RAW 2010-2024 pct_c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pct_c XmR '!$O$2:$O$16</c:f>
              <c:numCache>
                <c:formatCode>0.0000</c:formatCode>
                <c:ptCount val="15"/>
                <c:pt idx="0">
                  <c:v>1.0803591714170662</c:v>
                </c:pt>
                <c:pt idx="1">
                  <c:v>1.0803591714170662</c:v>
                </c:pt>
                <c:pt idx="2">
                  <c:v>1.0803591714170662</c:v>
                </c:pt>
                <c:pt idx="3">
                  <c:v>1.0803591714170662</c:v>
                </c:pt>
                <c:pt idx="4">
                  <c:v>1.0803591714170662</c:v>
                </c:pt>
                <c:pt idx="5">
                  <c:v>1.0803591714170662</c:v>
                </c:pt>
                <c:pt idx="6">
                  <c:v>1.0803591714170662</c:v>
                </c:pt>
                <c:pt idx="7">
                  <c:v>1.0803591714170662</c:v>
                </c:pt>
                <c:pt idx="8">
                  <c:v>1.0803591714170662</c:v>
                </c:pt>
                <c:pt idx="9">
                  <c:v>1.0803591714170662</c:v>
                </c:pt>
                <c:pt idx="10">
                  <c:v>1.0803591714170662</c:v>
                </c:pt>
                <c:pt idx="11">
                  <c:v>1.0803591714170662</c:v>
                </c:pt>
                <c:pt idx="12">
                  <c:v>1.0803591714170662</c:v>
                </c:pt>
                <c:pt idx="13">
                  <c:v>1.0803591714170662</c:v>
                </c:pt>
                <c:pt idx="14">
                  <c:v>1.0803591714170662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306-7348-BB50-6010D46042D4}"/>
            </c:ext>
          </c:extLst>
        </c:ser>
        <c:ser>
          <c:idx val="5"/>
          <c:order val="5"/>
          <c:tx>
            <c:strRef>
              <c:f>'Pop RAW 2010-2024 pct_c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'Pop RAW 2010-2024 pct_c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pct_c XmR '!$P$2:$P$16</c:f>
              <c:numCache>
                <c:formatCode>0.0000</c:formatCode>
                <c:ptCount val="15"/>
                <c:pt idx="1">
                  <c:v>0.2639677575495698</c:v>
                </c:pt>
                <c:pt idx="2">
                  <c:v>0.2639677575495698</c:v>
                </c:pt>
                <c:pt idx="3">
                  <c:v>0.2639677575495698</c:v>
                </c:pt>
                <c:pt idx="4">
                  <c:v>0.2639677575495698</c:v>
                </c:pt>
                <c:pt idx="5">
                  <c:v>0.2639677575495698</c:v>
                </c:pt>
                <c:pt idx="6">
                  <c:v>0.2639677575495698</c:v>
                </c:pt>
                <c:pt idx="7">
                  <c:v>0.2639677575495698</c:v>
                </c:pt>
                <c:pt idx="8">
                  <c:v>0.2639677575495698</c:v>
                </c:pt>
                <c:pt idx="9">
                  <c:v>0.2639677575495698</c:v>
                </c:pt>
                <c:pt idx="10">
                  <c:v>0.2639677575495698</c:v>
                </c:pt>
                <c:pt idx="11">
                  <c:v>0.2639677575495698</c:v>
                </c:pt>
                <c:pt idx="12">
                  <c:v>0.2639677575495698</c:v>
                </c:pt>
                <c:pt idx="13">
                  <c:v>0.2639677575495698</c:v>
                </c:pt>
                <c:pt idx="14">
                  <c:v>0.2639677575495698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8306-7348-BB50-6010D46042D4}"/>
            </c:ext>
          </c:extLst>
        </c:ser>
        <c:ser>
          <c:idx val="6"/>
          <c:order val="6"/>
          <c:tx>
            <c:strRef>
              <c:f>'Pop RAW 2010-2024 pct_c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'Pop RAW 2010-2024 pct_c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pct_c XmR '!$Q$2:$Q$16</c:f>
              <c:numCache>
                <c:formatCode>0.0000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306-7348-BB50-6010D46042D4}"/>
            </c:ext>
          </c:extLst>
        </c:ser>
        <c:ser>
          <c:idx val="7"/>
          <c:order val="7"/>
          <c:tx>
            <c:strRef>
              <c:f>'Pop RAW 2010-2024 pct_c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strRef>
              <c:f>'Pop RAW 2010-2024 pct_c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pct_c XmR '!$R$2:$R$16</c:f>
              <c:numCache>
                <c:formatCode>0.0000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8306-7348-BB50-6010D4604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796480"/>
        <c:axId val="850961520"/>
      </c:lineChart>
      <c:catAx>
        <c:axId val="84979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50961520"/>
        <c:crosses val="autoZero"/>
        <c:auto val="0"/>
        <c:lblAlgn val="ctr"/>
        <c:lblOffset val="100"/>
        <c:noMultiLvlLbl val="0"/>
      </c:catAx>
      <c:valAx>
        <c:axId val="8509615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84979648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Schertz RATES of Population Growth 2010-2024 - X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 RAW 2010-2024 pct_c XmR '!$B$1</c:f>
              <c:strCache>
                <c:ptCount val="1"/>
                <c:pt idx="0">
                  <c:v>pct_change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1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1C2D-924E-AB73-B45A8873C5BD}"/>
              </c:ext>
            </c:extLst>
          </c:dPt>
          <c:dPt>
            <c:idx val="2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B-1C2D-924E-AB73-B45A8873C5BD}"/>
              </c:ext>
            </c:extLst>
          </c:dPt>
          <c:dPt>
            <c:idx val="3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C-1C2D-924E-AB73-B45A8873C5BD}"/>
              </c:ext>
            </c:extLst>
          </c:dPt>
          <c:dPt>
            <c:idx val="4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D-1C2D-924E-AB73-B45A8873C5BD}"/>
              </c:ext>
            </c:extLst>
          </c:dPt>
          <c:dPt>
            <c:idx val="5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E-1C2D-924E-AB73-B45A8873C5BD}"/>
              </c:ext>
            </c:extLst>
          </c:dPt>
          <c:dPt>
            <c:idx val="6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F-1C2D-924E-AB73-B45A8873C5BD}"/>
              </c:ext>
            </c:extLst>
          </c:dPt>
          <c:dPt>
            <c:idx val="7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0-1C2D-924E-AB73-B45A8873C5BD}"/>
              </c:ext>
            </c:extLst>
          </c:dPt>
          <c:dPt>
            <c:idx val="8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1-1C2D-924E-AB73-B45A8873C5BD}"/>
              </c:ext>
            </c:extLst>
          </c:dPt>
          <c:dPt>
            <c:idx val="9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2-1C2D-924E-AB73-B45A8873C5BD}"/>
              </c:ext>
            </c:extLst>
          </c:dPt>
          <c:cat>
            <c:strRef>
              <c:f>'Pop RAW 2010-2024 pct_c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pct_c XmR '!$B$2:$B$16</c:f>
              <c:numCache>
                <c:formatCode>0.0000</c:formatCode>
                <c:ptCount val="15"/>
                <c:pt idx="0">
                  <c:v>0</c:v>
                </c:pt>
                <c:pt idx="1">
                  <c:v>3.6299729385050861</c:v>
                </c:pt>
                <c:pt idx="2">
                  <c:v>4.5773802377236166</c:v>
                </c:pt>
                <c:pt idx="3">
                  <c:v>2.502798427140438</c:v>
                </c:pt>
                <c:pt idx="4">
                  <c:v>2.7272981827345779</c:v>
                </c:pt>
                <c:pt idx="5">
                  <c:v>2.6467140949110042</c:v>
                </c:pt>
                <c:pt idx="6">
                  <c:v>3.815922247596792</c:v>
                </c:pt>
                <c:pt idx="7">
                  <c:v>2.5757769535746262</c:v>
                </c:pt>
                <c:pt idx="8">
                  <c:v>2.326567253503566</c:v>
                </c:pt>
                <c:pt idx="9">
                  <c:v>2.4540026806384789</c:v>
                </c:pt>
                <c:pt idx="10">
                  <c:v>0.2616431187859759</c:v>
                </c:pt>
                <c:pt idx="11">
                  <c:v>1.2502372366672989</c:v>
                </c:pt>
                <c:pt idx="12">
                  <c:v>0.9559736638627897</c:v>
                </c:pt>
                <c:pt idx="13">
                  <c:v>0.71483278018892005</c:v>
                </c:pt>
                <c:pt idx="14">
                  <c:v>2.3804585781772092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2D-924E-AB73-B45A8873C5BD}"/>
            </c:ext>
          </c:extLst>
        </c:ser>
        <c:ser>
          <c:idx val="1"/>
          <c:order val="1"/>
          <c:tx>
            <c:strRef>
              <c:f>'Pop RAW 2010-2024 pct_c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C2D-924E-AB73-B45A8873C5BD}"/>
                </c:ext>
              </c:extLst>
            </c:dLbl>
            <c:dLbl>
              <c:idx val="13"/>
              <c:layout>
                <c:manualLayout>
                  <c:x val="-1.4638026388327584E-2"/>
                  <c:y val="-2.0175437342319823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2D-924E-AB73-B45A8873C5B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'Pop RAW 2010-2024 pct_c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pct_c XmR '!$C$2:$C$16</c:f>
              <c:numCache>
                <c:formatCode>0.0000</c:formatCode>
                <c:ptCount val="15"/>
                <c:pt idx="0">
                  <c:v>5.0617272889034215</c:v>
                </c:pt>
                <c:pt idx="1">
                  <c:v>5.0617272889034215</c:v>
                </c:pt>
                <c:pt idx="2">
                  <c:v>5.0617272889034215</c:v>
                </c:pt>
                <c:pt idx="3">
                  <c:v>5.0617272889034215</c:v>
                </c:pt>
                <c:pt idx="4">
                  <c:v>5.0617272889034215</c:v>
                </c:pt>
                <c:pt idx="5">
                  <c:v>5.0617272889034215</c:v>
                </c:pt>
                <c:pt idx="6">
                  <c:v>5.0617272889034215</c:v>
                </c:pt>
                <c:pt idx="7">
                  <c:v>5.0617272889034215</c:v>
                </c:pt>
                <c:pt idx="8">
                  <c:v>5.0617272889034215</c:v>
                </c:pt>
                <c:pt idx="9">
                  <c:v>5.0617272889034215</c:v>
                </c:pt>
                <c:pt idx="10">
                  <c:v>5.0617272889034215</c:v>
                </c:pt>
                <c:pt idx="11">
                  <c:v>5.0617272889034215</c:v>
                </c:pt>
                <c:pt idx="12">
                  <c:v>5.0617272889034215</c:v>
                </c:pt>
                <c:pt idx="13">
                  <c:v>5.0617272889034215</c:v>
                </c:pt>
                <c:pt idx="14">
                  <c:v>5.0617272889034215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2D-924E-AB73-B45A8873C5BD}"/>
            </c:ext>
          </c:extLst>
        </c:ser>
        <c:ser>
          <c:idx val="2"/>
          <c:order val="2"/>
          <c:tx>
            <c:strRef>
              <c:f>'Pop RAW 2010-2024 pct_c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'Pop RAW 2010-2024 pct_c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pct_c XmR '!$D$2:$D$16</c:f>
              <c:numCache>
                <c:formatCode>0.0000</c:formatCode>
                <c:ptCount val="15"/>
                <c:pt idx="0">
                  <c:v>4.1038088235802892</c:v>
                </c:pt>
                <c:pt idx="1">
                  <c:v>4.1038088235802892</c:v>
                </c:pt>
                <c:pt idx="2">
                  <c:v>4.1038088235802892</c:v>
                </c:pt>
                <c:pt idx="3">
                  <c:v>4.1038088235802892</c:v>
                </c:pt>
                <c:pt idx="4">
                  <c:v>4.1038088235802892</c:v>
                </c:pt>
                <c:pt idx="5">
                  <c:v>4.1038088235802892</c:v>
                </c:pt>
                <c:pt idx="6">
                  <c:v>4.1038088235802892</c:v>
                </c:pt>
                <c:pt idx="7">
                  <c:v>4.1038088235802892</c:v>
                </c:pt>
                <c:pt idx="8">
                  <c:v>4.1038088235802892</c:v>
                </c:pt>
                <c:pt idx="9">
                  <c:v>4.1038088235802892</c:v>
                </c:pt>
                <c:pt idx="10">
                  <c:v>4.1038088235802892</c:v>
                </c:pt>
                <c:pt idx="11">
                  <c:v>4.1038088235802892</c:v>
                </c:pt>
                <c:pt idx="12">
                  <c:v>4.1038088235802892</c:v>
                </c:pt>
                <c:pt idx="13">
                  <c:v>4.1038088235802892</c:v>
                </c:pt>
                <c:pt idx="14">
                  <c:v>4.1038088235802892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2D-924E-AB73-B45A8873C5BD}"/>
            </c:ext>
          </c:extLst>
        </c:ser>
        <c:ser>
          <c:idx val="3"/>
          <c:order val="3"/>
          <c:tx>
            <c:strRef>
              <c:f>'Pop RAW 2010-2024 pct_c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'Pop RAW 2010-2024 pct_c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pct_c XmR '!$E$2:$E$16</c:f>
              <c:numCache>
                <c:formatCode>0.0000</c:formatCode>
                <c:ptCount val="15"/>
                <c:pt idx="0">
                  <c:v>3.1458903582571569</c:v>
                </c:pt>
                <c:pt idx="1">
                  <c:v>3.1458903582571569</c:v>
                </c:pt>
                <c:pt idx="2">
                  <c:v>3.1458903582571569</c:v>
                </c:pt>
                <c:pt idx="3">
                  <c:v>3.1458903582571569</c:v>
                </c:pt>
                <c:pt idx="4">
                  <c:v>3.1458903582571569</c:v>
                </c:pt>
                <c:pt idx="5">
                  <c:v>3.1458903582571569</c:v>
                </c:pt>
                <c:pt idx="6">
                  <c:v>3.1458903582571569</c:v>
                </c:pt>
                <c:pt idx="7">
                  <c:v>3.1458903582571569</c:v>
                </c:pt>
                <c:pt idx="8">
                  <c:v>3.1458903582571569</c:v>
                </c:pt>
                <c:pt idx="9">
                  <c:v>3.1458903582571569</c:v>
                </c:pt>
                <c:pt idx="10">
                  <c:v>3.1458903582571569</c:v>
                </c:pt>
                <c:pt idx="11">
                  <c:v>3.1458903582571569</c:v>
                </c:pt>
                <c:pt idx="12">
                  <c:v>3.1458903582571569</c:v>
                </c:pt>
                <c:pt idx="13">
                  <c:v>3.1458903582571569</c:v>
                </c:pt>
                <c:pt idx="14">
                  <c:v>3.1458903582571569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2D-924E-AB73-B45A8873C5BD}"/>
            </c:ext>
          </c:extLst>
        </c:ser>
        <c:ser>
          <c:idx val="4"/>
          <c:order val="4"/>
          <c:tx>
            <c:strRef>
              <c:f>'Pop RAW 2010-2024 pct_c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1C2D-924E-AB73-B45A8873C5BD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1C2D-924E-AB73-B45A8873C5BD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1C2D-924E-AB73-B45A8873C5BD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1C2D-924E-AB73-B45A8873C5BD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1C2D-924E-AB73-B45A8873C5BD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1C2D-924E-AB73-B45A8873C5BD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1C2D-924E-AB73-B45A8873C5BD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1C2D-924E-AB73-B45A8873C5BD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1C2D-924E-AB73-B45A8873C5BD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1C2D-924E-AB73-B45A8873C5BD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1C2D-924E-AB73-B45A8873C5BD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1C2D-924E-AB73-B45A8873C5BD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1C2D-924E-AB73-B45A8873C5BD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1C2D-924E-AB73-B45A8873C5BD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1C2D-924E-AB73-B45A8873C5BD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1C2D-924E-AB73-B45A8873C5BD}"/>
                </c:ext>
              </c:extLst>
            </c:dLbl>
            <c:dLbl>
              <c:idx val="13"/>
              <c:layout>
                <c:manualLayout>
                  <c:x val="-1.4638026388327584E-2"/>
                  <c:y val="-2.0175437342319823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C2D-924E-AB73-B45A8873C5B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'Pop RAW 2010-2024 pct_c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pct_c XmR '!$F$2:$F$16</c:f>
              <c:numCache>
                <c:formatCode>0.0000</c:formatCode>
                <c:ptCount val="15"/>
                <c:pt idx="0">
                  <c:v>2.1879718929340251</c:v>
                </c:pt>
                <c:pt idx="1">
                  <c:v>2.1879718929340251</c:v>
                </c:pt>
                <c:pt idx="2">
                  <c:v>2.1879718929340251</c:v>
                </c:pt>
                <c:pt idx="3">
                  <c:v>2.1879718929340251</c:v>
                </c:pt>
                <c:pt idx="4">
                  <c:v>2.1879718929340251</c:v>
                </c:pt>
                <c:pt idx="5">
                  <c:v>2.1879718929340251</c:v>
                </c:pt>
                <c:pt idx="6">
                  <c:v>2.1879718929340251</c:v>
                </c:pt>
                <c:pt idx="7">
                  <c:v>2.1879718929340251</c:v>
                </c:pt>
                <c:pt idx="8">
                  <c:v>2.1879718929340251</c:v>
                </c:pt>
                <c:pt idx="9">
                  <c:v>2.1879718929340251</c:v>
                </c:pt>
                <c:pt idx="10">
                  <c:v>2.1879718929340251</c:v>
                </c:pt>
                <c:pt idx="11">
                  <c:v>2.1879718929340251</c:v>
                </c:pt>
                <c:pt idx="12">
                  <c:v>2.1879718929340251</c:v>
                </c:pt>
                <c:pt idx="13">
                  <c:v>2.1879718929340251</c:v>
                </c:pt>
                <c:pt idx="14">
                  <c:v>2.1879718929340251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C2D-924E-AB73-B45A8873C5BD}"/>
            </c:ext>
          </c:extLst>
        </c:ser>
        <c:ser>
          <c:idx val="5"/>
          <c:order val="5"/>
          <c:tx>
            <c:strRef>
              <c:f>'Pop RAW 2010-2024 pct_c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'Pop RAW 2010-2024 pct_c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pct_c XmR '!$G$2:$G$16</c:f>
              <c:numCache>
                <c:formatCode>0.0000</c:formatCode>
                <c:ptCount val="15"/>
                <c:pt idx="0">
                  <c:v>1.230053427610893</c:v>
                </c:pt>
                <c:pt idx="1">
                  <c:v>1.230053427610893</c:v>
                </c:pt>
                <c:pt idx="2">
                  <c:v>1.230053427610893</c:v>
                </c:pt>
                <c:pt idx="3">
                  <c:v>1.230053427610893</c:v>
                </c:pt>
                <c:pt idx="4">
                  <c:v>1.230053427610893</c:v>
                </c:pt>
                <c:pt idx="5">
                  <c:v>1.230053427610893</c:v>
                </c:pt>
                <c:pt idx="6">
                  <c:v>1.230053427610893</c:v>
                </c:pt>
                <c:pt idx="7">
                  <c:v>1.230053427610893</c:v>
                </c:pt>
                <c:pt idx="8">
                  <c:v>1.230053427610893</c:v>
                </c:pt>
                <c:pt idx="9">
                  <c:v>1.230053427610893</c:v>
                </c:pt>
                <c:pt idx="10">
                  <c:v>1.230053427610893</c:v>
                </c:pt>
                <c:pt idx="11">
                  <c:v>1.230053427610893</c:v>
                </c:pt>
                <c:pt idx="12">
                  <c:v>1.230053427610893</c:v>
                </c:pt>
                <c:pt idx="13">
                  <c:v>1.230053427610893</c:v>
                </c:pt>
                <c:pt idx="14">
                  <c:v>1.230053427610893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1C2D-924E-AB73-B45A8873C5BD}"/>
            </c:ext>
          </c:extLst>
        </c:ser>
        <c:ser>
          <c:idx val="6"/>
          <c:order val="6"/>
          <c:tx>
            <c:strRef>
              <c:f>'Pop RAW 2010-2024 pct_c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strRef>
              <c:f>'Pop RAW 2010-2024 pct_c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pct_c XmR '!$H$2:$H$16</c:f>
              <c:numCache>
                <c:formatCode>0.0000</c:formatCode>
                <c:ptCount val="15"/>
                <c:pt idx="0">
                  <c:v>0.27213496228776091</c:v>
                </c:pt>
                <c:pt idx="1">
                  <c:v>0.27213496228776091</c:v>
                </c:pt>
                <c:pt idx="2">
                  <c:v>0.27213496228776091</c:v>
                </c:pt>
                <c:pt idx="3">
                  <c:v>0.27213496228776091</c:v>
                </c:pt>
                <c:pt idx="4">
                  <c:v>0.27213496228776091</c:v>
                </c:pt>
                <c:pt idx="5">
                  <c:v>0.27213496228776091</c:v>
                </c:pt>
                <c:pt idx="6">
                  <c:v>0.27213496228776091</c:v>
                </c:pt>
                <c:pt idx="7">
                  <c:v>0.27213496228776091</c:v>
                </c:pt>
                <c:pt idx="8">
                  <c:v>0.27213496228776091</c:v>
                </c:pt>
                <c:pt idx="9">
                  <c:v>0.27213496228776091</c:v>
                </c:pt>
                <c:pt idx="10">
                  <c:v>0.27213496228776091</c:v>
                </c:pt>
                <c:pt idx="11">
                  <c:v>0.27213496228776091</c:v>
                </c:pt>
                <c:pt idx="12">
                  <c:v>0.27213496228776091</c:v>
                </c:pt>
                <c:pt idx="13">
                  <c:v>0.27213496228776091</c:v>
                </c:pt>
                <c:pt idx="14">
                  <c:v>0.27213496228776091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C2D-924E-AB73-B45A8873C5BD}"/>
            </c:ext>
          </c:extLst>
        </c:ser>
        <c:ser>
          <c:idx val="7"/>
          <c:order val="7"/>
          <c:tx>
            <c:strRef>
              <c:f>'Pop RAW 2010-2024 pct_c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1C2D-924E-AB73-B45A8873C5BD}"/>
                </c:ext>
              </c:extLst>
            </c:dLbl>
            <c:dLbl>
              <c:idx val="13"/>
              <c:layout>
                <c:manualLayout>
                  <c:x val="-1.4638026388327584E-2"/>
                  <c:y val="-2.0175437342319823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1C2D-924E-AB73-B45A8873C5B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'Pop RAW 2010-2024 pct_c XmR '!$A$2:$A$16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'Pop RAW 2010-2024 pct_c XmR '!$I$2:$I$16</c:f>
              <c:numCache>
                <c:formatCode>0.0000</c:formatCode>
                <c:ptCount val="15"/>
                <c:pt idx="0">
                  <c:v>-0.68578350303537094</c:v>
                </c:pt>
                <c:pt idx="1">
                  <c:v>-0.68578350303537094</c:v>
                </c:pt>
                <c:pt idx="2">
                  <c:v>-0.68578350303537094</c:v>
                </c:pt>
                <c:pt idx="3">
                  <c:v>-0.68578350303537094</c:v>
                </c:pt>
                <c:pt idx="4">
                  <c:v>-0.68578350303537094</c:v>
                </c:pt>
                <c:pt idx="5">
                  <c:v>-0.68578350303537094</c:v>
                </c:pt>
                <c:pt idx="6">
                  <c:v>-0.68578350303537094</c:v>
                </c:pt>
                <c:pt idx="7">
                  <c:v>-0.68578350303537094</c:v>
                </c:pt>
                <c:pt idx="8">
                  <c:v>-0.68578350303537094</c:v>
                </c:pt>
                <c:pt idx="9">
                  <c:v>-0.68578350303537094</c:v>
                </c:pt>
                <c:pt idx="10">
                  <c:v>-0.68578350303537094</c:v>
                </c:pt>
                <c:pt idx="11">
                  <c:v>-0.68578350303537094</c:v>
                </c:pt>
                <c:pt idx="12">
                  <c:v>-0.68578350303537094</c:v>
                </c:pt>
                <c:pt idx="13">
                  <c:v>-0.68578350303537094</c:v>
                </c:pt>
                <c:pt idx="14">
                  <c:v>-0.68578350303537094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1C2D-924E-AB73-B45A8873C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686976"/>
        <c:axId val="851185904"/>
      </c:lineChart>
      <c:catAx>
        <c:axId val="663686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51185904"/>
        <c:crossesAt val="-1"/>
        <c:auto val="0"/>
        <c:lblAlgn val="ctr"/>
        <c:lblOffset val="100"/>
        <c:noMultiLvlLbl val="0"/>
      </c:catAx>
      <c:valAx>
        <c:axId val="851185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Pop RAW 2010-2024 pct_change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663686976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75F7634-8FA4-1B86-5C2D-BB3DA5FBC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7C62B94-E090-9E83-A762-E27C9EBFF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0.10076</cdr:x>
      <cdr:y>0.2</cdr:y>
    </cdr:from>
    <cdr:ext cx="1360757" cy="264560"/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80E5DE9-1161-C867-E332-656FE3119494}"/>
            </a:ext>
          </a:extLst>
        </cdr:cNvPr>
        <cdr:cNvSpPr txBox="1"/>
      </cdr:nvSpPr>
      <cdr:spPr>
        <a:xfrm xmlns:a="http://schemas.openxmlformats.org/drawingml/2006/main">
          <a:off x="966368" y="700690"/>
          <a:ext cx="1360757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Useful Fit R^2 &gt; 0.80</a:t>
          </a:r>
        </a:p>
      </cdr:txBody>
    </cdr:sp>
  </cdr:absSizeAnchor>
  <cdr:absSizeAnchor xmlns:cdr="http://schemas.openxmlformats.org/drawingml/2006/chartDrawing">
    <cdr:from>
      <cdr:x>0.23623</cdr:x>
      <cdr:y>0.20046</cdr:y>
    </cdr:from>
    <cdr:ext cx="841834" cy="264560"/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B52B944-728D-4CEA-8788-192F08FB7561}"/>
            </a:ext>
          </a:extLst>
        </cdr:cNvPr>
        <cdr:cNvSpPr txBox="1"/>
      </cdr:nvSpPr>
      <cdr:spPr>
        <a:xfrm xmlns:a="http://schemas.openxmlformats.org/drawingml/2006/main">
          <a:off x="2265564" y="702312"/>
          <a:ext cx="841834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Ryx = 0.967</a:t>
          </a:r>
        </a:p>
      </cdr:txBody>
    </cdr:sp>
  </cdr:absSizeAnchor>
  <cdr:absSizeAnchor xmlns:cdr="http://schemas.openxmlformats.org/drawingml/2006/chartDrawing">
    <cdr:from>
      <cdr:x>0.54825</cdr:x>
      <cdr:y>0.20301</cdr:y>
    </cdr:from>
    <cdr:ext cx="1099147" cy="264560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E61174A-A969-6A9E-DC46-D589787A6188}"/>
            </a:ext>
          </a:extLst>
        </cdr:cNvPr>
        <cdr:cNvSpPr txBox="1"/>
      </cdr:nvSpPr>
      <cdr:spPr>
        <a:xfrm xmlns:a="http://schemas.openxmlformats.org/drawingml/2006/main">
          <a:off x="5258092" y="711232"/>
          <a:ext cx="1099147" cy="264560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/>
        </a:solidFill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866.514</a:t>
          </a:r>
        </a:p>
      </cdr:txBody>
    </cdr:sp>
  </cdr:absSizeAnchor>
  <cdr:absSizeAnchor xmlns:cdr="http://schemas.openxmlformats.org/drawingml/2006/chartDrawing">
    <cdr:from>
      <cdr:x>0.31537</cdr:x>
      <cdr:y>0.19931</cdr:y>
    </cdr:from>
    <cdr:ext cx="1127103" cy="264560"/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3B2C3FD-A8EA-B608-3446-A722D7252BD6}"/>
            </a:ext>
          </a:extLst>
        </cdr:cNvPr>
        <cdr:cNvSpPr txBox="1"/>
      </cdr:nvSpPr>
      <cdr:spPr>
        <a:xfrm xmlns:a="http://schemas.openxmlformats.org/drawingml/2006/main">
          <a:off x="3024644" y="698257"/>
          <a:ext cx="1127103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Sigma = 777.670</a:t>
          </a:r>
        </a:p>
      </cdr:txBody>
    </cdr:sp>
  </cdr:absSizeAnchor>
  <cdr:absSizeAnchor xmlns:cdr="http://schemas.openxmlformats.org/drawingml/2006/chartDrawing">
    <cdr:from>
      <cdr:x>0.42116</cdr:x>
      <cdr:y>0.20185</cdr:y>
    </cdr:from>
    <cdr:ext cx="1260794" cy="264560"/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9B5F056-20B2-8CE7-A47C-CCBFD4CE33BE}"/>
            </a:ext>
          </a:extLst>
        </cdr:cNvPr>
        <cdr:cNvSpPr txBox="1"/>
      </cdr:nvSpPr>
      <cdr:spPr>
        <a:xfrm xmlns:a="http://schemas.openxmlformats.org/drawingml/2006/main">
          <a:off x="4039184" y="707178"/>
          <a:ext cx="1260794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Probability = 0.514</a:t>
          </a:r>
        </a:p>
      </cdr:txBody>
    </cdr:sp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17</xdr:col>
      <xdr:colOff>562011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F0FE2AE2-C737-AA8B-5550-C5E0B05C4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17</xdr:col>
      <xdr:colOff>562011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503FDA5-62C7-852C-FBAC-B6CC03805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B90F-85B2-8843-9D43-CB1E271B601B}">
  <sheetPr>
    <tabColor rgb="FF66FF66"/>
    <pageSetUpPr fitToPage="1"/>
  </sheetPr>
  <dimension ref="A1:Z52"/>
  <sheetViews>
    <sheetView zoomScale="174" zoomScaleNormal="174" workbookViewId="0">
      <selection activeCell="C1" sqref="C1:T36"/>
    </sheetView>
  </sheetViews>
  <sheetFormatPr baseColWidth="10" defaultRowHeight="15" x14ac:dyDescent="0.2"/>
  <cols>
    <col min="1" max="1" width="5.1640625" bestFit="1" customWidth="1"/>
    <col min="2" max="21" width="7" customWidth="1"/>
  </cols>
  <sheetData>
    <row r="1" spans="1:26" ht="14" customHeight="1" x14ac:dyDescent="0.2">
      <c r="A1" s="1" t="s">
        <v>1</v>
      </c>
      <c r="B1" s="2" t="s">
        <v>4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t="s">
        <v>34</v>
      </c>
      <c r="U1" t="s">
        <v>35</v>
      </c>
      <c r="V1">
        <f>INDEX(LINEST($B$2:$B$16,,,TRUE),1,1)</f>
        <v>866.51428571428562</v>
      </c>
      <c r="W1" t="s">
        <v>36</v>
      </c>
      <c r="X1">
        <f>INDEX(LINEST($B$2:$B$16,,,TRUE),1,2)</f>
        <v>32293.152380952386</v>
      </c>
      <c r="Y1" t="s">
        <v>37</v>
      </c>
      <c r="Z1">
        <f>INDEX(LINEST($B$2:$B$16,,,TRUE),3,1)</f>
        <v>0.96746699727898833</v>
      </c>
    </row>
    <row r="2" spans="1:26" ht="14" customHeight="1" x14ac:dyDescent="0.2">
      <c r="A2" t="s">
        <v>9</v>
      </c>
      <c r="B2" s="3">
        <v>32149</v>
      </c>
      <c r="C2" s="3">
        <f t="shared" ref="C2:C36" ca="1" si="0">F2+2.66*O2</f>
        <v>35492.676666666674</v>
      </c>
      <c r="D2" s="3">
        <f t="shared" ref="D2:D36" ca="1" si="1">F2+(2/3)*2.66*O2</f>
        <v>34715.006666666668</v>
      </c>
      <c r="E2" s="3">
        <f t="shared" ref="E2:E36" ca="1" si="2">F2+(1/3)*2.66*O2</f>
        <v>33937.33666666667</v>
      </c>
      <c r="F2" s="3">
        <f t="shared" ref="F2:F36" si="3">INDEX(LINEST($B$2:$B$16,,,TRUE),1,1)* S2 +INDEX(LINEST($B$2:$B$16,,,TRUE),1,2)</f>
        <v>33159.666666666672</v>
      </c>
      <c r="G2" s="3">
        <f t="shared" ref="G2:G36" ca="1" si="4">F2-(1/3)*2.66*O2</f>
        <v>32381.996666666673</v>
      </c>
      <c r="H2" s="3">
        <f t="shared" ref="H2:H36" ca="1" si="5">F2-(2/3)*2.66*O2</f>
        <v>31604.326666666671</v>
      </c>
      <c r="I2" s="3">
        <f t="shared" ref="I2:I36" ca="1" si="6">F2-2.66*O2</f>
        <v>30826.656666666669</v>
      </c>
      <c r="J2">
        <f>B2</f>
        <v>32149</v>
      </c>
      <c r="K2" s="3"/>
      <c r="L2" s="3"/>
      <c r="M2" s="3"/>
      <c r="N2" s="3"/>
      <c r="O2" s="3">
        <f t="shared" ref="O2:O36" ca="1" si="7">AVERAGE($K$3:$K$16)</f>
        <v>877.07142857142856</v>
      </c>
      <c r="P2" s="3"/>
      <c r="Q2" s="3"/>
      <c r="R2" s="3"/>
      <c r="S2">
        <v>1</v>
      </c>
    </row>
    <row r="3" spans="1:26" ht="14" customHeight="1" x14ac:dyDescent="0.2">
      <c r="A3" t="s">
        <v>11</v>
      </c>
      <c r="B3" s="3">
        <v>33316</v>
      </c>
      <c r="C3" s="3">
        <f t="shared" ca="1" si="0"/>
        <v>36359.190952380959</v>
      </c>
      <c r="D3" s="3">
        <f t="shared" ca="1" si="1"/>
        <v>35581.520952380961</v>
      </c>
      <c r="E3" s="3">
        <f t="shared" ca="1" si="2"/>
        <v>34803.850952380955</v>
      </c>
      <c r="F3" s="3">
        <f t="shared" si="3"/>
        <v>34026.180952380957</v>
      </c>
      <c r="G3" s="3">
        <f t="shared" ca="1" si="4"/>
        <v>33248.510952380959</v>
      </c>
      <c r="H3" s="3">
        <f t="shared" ca="1" si="5"/>
        <v>32470.840952380957</v>
      </c>
      <c r="I3" s="3">
        <f t="shared" ca="1" si="6"/>
        <v>31693.170952380955</v>
      </c>
      <c r="J3">
        <f t="shared" ref="J3:J36" ca="1" si="8">IF(ISBLANK(B3),OFFSET(J3,-1,0,1,1),B3)</f>
        <v>33316</v>
      </c>
      <c r="K3" s="3">
        <f t="shared" ref="K3:K36" ca="1" si="9">IF(OR(OFFSET(K3,-1,-9,1,1)="",OFFSET(K3,0,-9,1,1)=""),"",IF(ISERROR(ABS(B3-OFFSET(K3,-1,-1,1,1))),"",ABS(B3-OFFSET(K3,-1,-1,1,1))))</f>
        <v>1167</v>
      </c>
      <c r="L3" s="3">
        <f t="shared" ref="L3:L36" ca="1" si="10">3.267*O3</f>
        <v>2865.3923571428568</v>
      </c>
      <c r="M3" s="3">
        <f t="shared" ref="M3:M36" ca="1" si="11">(2/3)*(L3-O3)+O3</f>
        <v>2202.6187142857138</v>
      </c>
      <c r="N3" s="3">
        <f t="shared" ref="N3:N36" ca="1" si="12">(1/3)*(L3-O3)+O3</f>
        <v>1539.8450714285714</v>
      </c>
      <c r="O3" s="3">
        <f t="shared" ca="1" si="7"/>
        <v>877.07142857142856</v>
      </c>
      <c r="P3" s="3">
        <f t="shared" ref="P3:P36" ca="1" si="13">(MAX(O3-(1/3)*(L3-O3),0))</f>
        <v>214.29778571428585</v>
      </c>
      <c r="Q3" s="3">
        <f t="shared" ref="Q3:Q36" ca="1" si="14">MAX(O3-(2/3)*(L3-O3),0)</f>
        <v>0</v>
      </c>
      <c r="R3" s="3">
        <v>0</v>
      </c>
      <c r="S3">
        <f t="shared" ref="S3:S36" si="15">S2+1</f>
        <v>2</v>
      </c>
    </row>
    <row r="4" spans="1:26" ht="14" customHeight="1" x14ac:dyDescent="0.2">
      <c r="A4" t="s">
        <v>12</v>
      </c>
      <c r="B4" s="3">
        <v>34841</v>
      </c>
      <c r="C4" s="3">
        <f t="shared" ca="1" si="0"/>
        <v>37225.705238095245</v>
      </c>
      <c r="D4" s="3">
        <f t="shared" ca="1" si="1"/>
        <v>36448.035238095239</v>
      </c>
      <c r="E4" s="3">
        <f t="shared" ca="1" si="2"/>
        <v>35670.365238095241</v>
      </c>
      <c r="F4" s="3">
        <f t="shared" si="3"/>
        <v>34892.695238095243</v>
      </c>
      <c r="G4" s="3">
        <f t="shared" ca="1" si="4"/>
        <v>34115.025238095244</v>
      </c>
      <c r="H4" s="3">
        <f t="shared" ca="1" si="5"/>
        <v>33337.355238095246</v>
      </c>
      <c r="I4" s="3">
        <f t="shared" ca="1" si="6"/>
        <v>32559.68523809524</v>
      </c>
      <c r="J4">
        <f t="shared" ca="1" si="8"/>
        <v>34841</v>
      </c>
      <c r="K4" s="3">
        <f t="shared" ca="1" si="9"/>
        <v>1525</v>
      </c>
      <c r="L4" s="3">
        <f t="shared" ca="1" si="10"/>
        <v>2865.3923571428568</v>
      </c>
      <c r="M4" s="3">
        <f t="shared" ca="1" si="11"/>
        <v>2202.6187142857138</v>
      </c>
      <c r="N4" s="3">
        <f t="shared" ca="1" si="12"/>
        <v>1539.8450714285714</v>
      </c>
      <c r="O4" s="3">
        <f t="shared" ca="1" si="7"/>
        <v>877.07142857142856</v>
      </c>
      <c r="P4" s="3">
        <f t="shared" ca="1" si="13"/>
        <v>214.29778571428585</v>
      </c>
      <c r="Q4" s="3">
        <f t="shared" ca="1" si="14"/>
        <v>0</v>
      </c>
      <c r="R4" s="3">
        <v>0</v>
      </c>
      <c r="S4">
        <f t="shared" si="15"/>
        <v>3</v>
      </c>
    </row>
    <row r="5" spans="1:26" ht="14" customHeight="1" x14ac:dyDescent="0.2">
      <c r="A5" t="s">
        <v>13</v>
      </c>
      <c r="B5" s="3">
        <v>35713</v>
      </c>
      <c r="C5" s="3">
        <f t="shared" ca="1" si="0"/>
        <v>38092.21952380953</v>
      </c>
      <c r="D5" s="3">
        <f t="shared" ca="1" si="1"/>
        <v>37314.549523809532</v>
      </c>
      <c r="E5" s="3">
        <f t="shared" ca="1" si="2"/>
        <v>36536.879523809526</v>
      </c>
      <c r="F5" s="3">
        <f t="shared" si="3"/>
        <v>35759.209523809528</v>
      </c>
      <c r="G5" s="3">
        <f t="shared" ca="1" si="4"/>
        <v>34981.53952380953</v>
      </c>
      <c r="H5" s="3">
        <f t="shared" ca="1" si="5"/>
        <v>34203.869523809524</v>
      </c>
      <c r="I5" s="3">
        <f t="shared" ca="1" si="6"/>
        <v>33426.199523809526</v>
      </c>
      <c r="J5">
        <f t="shared" ca="1" si="8"/>
        <v>35713</v>
      </c>
      <c r="K5" s="3">
        <f t="shared" ca="1" si="9"/>
        <v>872</v>
      </c>
      <c r="L5" s="3">
        <f t="shared" ca="1" si="10"/>
        <v>2865.3923571428568</v>
      </c>
      <c r="M5" s="3">
        <f t="shared" ca="1" si="11"/>
        <v>2202.6187142857138</v>
      </c>
      <c r="N5" s="3">
        <f t="shared" ca="1" si="12"/>
        <v>1539.8450714285714</v>
      </c>
      <c r="O5" s="3">
        <f t="shared" ca="1" si="7"/>
        <v>877.07142857142856</v>
      </c>
      <c r="P5" s="3">
        <f t="shared" ca="1" si="13"/>
        <v>214.29778571428585</v>
      </c>
      <c r="Q5" s="3">
        <f t="shared" ca="1" si="14"/>
        <v>0</v>
      </c>
      <c r="R5" s="3">
        <v>0</v>
      </c>
      <c r="S5">
        <f t="shared" si="15"/>
        <v>4</v>
      </c>
    </row>
    <row r="6" spans="1:26" ht="14" customHeight="1" x14ac:dyDescent="0.2">
      <c r="A6" t="s">
        <v>14</v>
      </c>
      <c r="B6" s="3">
        <v>36687</v>
      </c>
      <c r="C6" s="3">
        <f t="shared" ca="1" si="0"/>
        <v>38958.733809523816</v>
      </c>
      <c r="D6" s="3">
        <f t="shared" ca="1" si="1"/>
        <v>38181.06380952381</v>
      </c>
      <c r="E6" s="3">
        <f t="shared" ca="1" si="2"/>
        <v>37403.393809523812</v>
      </c>
      <c r="F6" s="3">
        <f t="shared" si="3"/>
        <v>36625.723809523814</v>
      </c>
      <c r="G6" s="3">
        <f t="shared" ca="1" si="4"/>
        <v>35848.053809523815</v>
      </c>
      <c r="H6" s="3">
        <f t="shared" ca="1" si="5"/>
        <v>35070.383809523817</v>
      </c>
      <c r="I6" s="3">
        <f t="shared" ca="1" si="6"/>
        <v>34292.713809523812</v>
      </c>
      <c r="J6">
        <f t="shared" ca="1" si="8"/>
        <v>36687</v>
      </c>
      <c r="K6" s="3">
        <f t="shared" ca="1" si="9"/>
        <v>974</v>
      </c>
      <c r="L6" s="3">
        <f t="shared" ca="1" si="10"/>
        <v>2865.3923571428568</v>
      </c>
      <c r="M6" s="3">
        <f t="shared" ca="1" si="11"/>
        <v>2202.6187142857138</v>
      </c>
      <c r="N6" s="3">
        <f t="shared" ca="1" si="12"/>
        <v>1539.8450714285714</v>
      </c>
      <c r="O6" s="3">
        <f t="shared" ca="1" si="7"/>
        <v>877.07142857142856</v>
      </c>
      <c r="P6" s="3">
        <f t="shared" ca="1" si="13"/>
        <v>214.29778571428585</v>
      </c>
      <c r="Q6" s="3">
        <f t="shared" ca="1" si="14"/>
        <v>0</v>
      </c>
      <c r="R6" s="3">
        <v>0</v>
      </c>
      <c r="S6">
        <f t="shared" si="15"/>
        <v>5</v>
      </c>
    </row>
    <row r="7" spans="1:26" ht="14" customHeight="1" x14ac:dyDescent="0.2">
      <c r="A7" t="s">
        <v>15</v>
      </c>
      <c r="B7" s="3">
        <v>37658</v>
      </c>
      <c r="C7" s="3">
        <f t="shared" ca="1" si="0"/>
        <v>39825.248095238101</v>
      </c>
      <c r="D7" s="3">
        <f t="shared" ca="1" si="1"/>
        <v>39047.578095238103</v>
      </c>
      <c r="E7" s="3">
        <f t="shared" ca="1" si="2"/>
        <v>38269.908095238097</v>
      </c>
      <c r="F7" s="3">
        <f t="shared" si="3"/>
        <v>37492.238095238099</v>
      </c>
      <c r="G7" s="3">
        <f t="shared" ca="1" si="4"/>
        <v>36714.568095238101</v>
      </c>
      <c r="H7" s="3">
        <f t="shared" ca="1" si="5"/>
        <v>35936.898095238095</v>
      </c>
      <c r="I7" s="3">
        <f t="shared" ca="1" si="6"/>
        <v>35159.228095238097</v>
      </c>
      <c r="J7">
        <f t="shared" ca="1" si="8"/>
        <v>37658</v>
      </c>
      <c r="K7" s="3">
        <f t="shared" ca="1" si="9"/>
        <v>971</v>
      </c>
      <c r="L7" s="3">
        <f t="shared" ca="1" si="10"/>
        <v>2865.3923571428568</v>
      </c>
      <c r="M7" s="3">
        <f t="shared" ca="1" si="11"/>
        <v>2202.6187142857138</v>
      </c>
      <c r="N7" s="3">
        <f t="shared" ca="1" si="12"/>
        <v>1539.8450714285714</v>
      </c>
      <c r="O7" s="3">
        <f t="shared" ca="1" si="7"/>
        <v>877.07142857142856</v>
      </c>
      <c r="P7" s="3">
        <f t="shared" ca="1" si="13"/>
        <v>214.29778571428585</v>
      </c>
      <c r="Q7" s="3">
        <f t="shared" ca="1" si="14"/>
        <v>0</v>
      </c>
      <c r="R7" s="3">
        <v>0</v>
      </c>
      <c r="S7">
        <f t="shared" si="15"/>
        <v>6</v>
      </c>
    </row>
    <row r="8" spans="1:26" ht="14" customHeight="1" x14ac:dyDescent="0.2">
      <c r="A8" t="s">
        <v>16</v>
      </c>
      <c r="B8" s="3">
        <v>39095</v>
      </c>
      <c r="C8" s="3">
        <f t="shared" ca="1" si="0"/>
        <v>40691.762380952387</v>
      </c>
      <c r="D8" s="3">
        <f t="shared" ca="1" si="1"/>
        <v>39914.092380952381</v>
      </c>
      <c r="E8" s="3">
        <f t="shared" ca="1" si="2"/>
        <v>39136.422380952383</v>
      </c>
      <c r="F8" s="3">
        <f t="shared" si="3"/>
        <v>38358.752380952385</v>
      </c>
      <c r="G8" s="3">
        <f t="shared" ca="1" si="4"/>
        <v>37581.082380952386</v>
      </c>
      <c r="H8" s="3">
        <f t="shared" ca="1" si="5"/>
        <v>36803.412380952388</v>
      </c>
      <c r="I8" s="3">
        <f t="shared" ca="1" si="6"/>
        <v>36025.742380952383</v>
      </c>
      <c r="J8">
        <f t="shared" ca="1" si="8"/>
        <v>39095</v>
      </c>
      <c r="K8" s="3">
        <f t="shared" ca="1" si="9"/>
        <v>1437</v>
      </c>
      <c r="L8" s="3">
        <f t="shared" ca="1" si="10"/>
        <v>2865.3923571428568</v>
      </c>
      <c r="M8" s="3">
        <f t="shared" ca="1" si="11"/>
        <v>2202.6187142857138</v>
      </c>
      <c r="N8" s="3">
        <f t="shared" ca="1" si="12"/>
        <v>1539.8450714285714</v>
      </c>
      <c r="O8" s="3">
        <f t="shared" ca="1" si="7"/>
        <v>877.07142857142856</v>
      </c>
      <c r="P8" s="3">
        <f t="shared" ca="1" si="13"/>
        <v>214.29778571428585</v>
      </c>
      <c r="Q8" s="3">
        <f t="shared" ca="1" si="14"/>
        <v>0</v>
      </c>
      <c r="R8" s="3">
        <v>0</v>
      </c>
      <c r="S8">
        <f t="shared" si="15"/>
        <v>7</v>
      </c>
    </row>
    <row r="9" spans="1:26" ht="14" customHeight="1" x14ac:dyDescent="0.2">
      <c r="A9" t="s">
        <v>17</v>
      </c>
      <c r="B9" s="3">
        <v>40102</v>
      </c>
      <c r="C9" s="3">
        <f t="shared" ca="1" si="0"/>
        <v>41558.276666666672</v>
      </c>
      <c r="D9" s="3">
        <f t="shared" ca="1" si="1"/>
        <v>40780.606666666674</v>
      </c>
      <c r="E9" s="3">
        <f t="shared" ca="1" si="2"/>
        <v>40002.936666666668</v>
      </c>
      <c r="F9" s="3">
        <f t="shared" si="3"/>
        <v>39225.26666666667</v>
      </c>
      <c r="G9" s="3">
        <f t="shared" ca="1" si="4"/>
        <v>38447.596666666672</v>
      </c>
      <c r="H9" s="3">
        <f t="shared" ca="1" si="5"/>
        <v>37669.926666666666</v>
      </c>
      <c r="I9" s="3">
        <f t="shared" ca="1" si="6"/>
        <v>36892.256666666668</v>
      </c>
      <c r="J9">
        <f t="shared" ca="1" si="8"/>
        <v>40102</v>
      </c>
      <c r="K9" s="3">
        <f t="shared" ca="1" si="9"/>
        <v>1007</v>
      </c>
      <c r="L9" s="3">
        <f t="shared" ca="1" si="10"/>
        <v>2865.3923571428568</v>
      </c>
      <c r="M9" s="3">
        <f t="shared" ca="1" si="11"/>
        <v>2202.6187142857138</v>
      </c>
      <c r="N9" s="3">
        <f t="shared" ca="1" si="12"/>
        <v>1539.8450714285714</v>
      </c>
      <c r="O9" s="3">
        <f t="shared" ca="1" si="7"/>
        <v>877.07142857142856</v>
      </c>
      <c r="P9" s="3">
        <f t="shared" ca="1" si="13"/>
        <v>214.29778571428585</v>
      </c>
      <c r="Q9" s="3">
        <f t="shared" ca="1" si="14"/>
        <v>0</v>
      </c>
      <c r="R9" s="3">
        <v>0</v>
      </c>
      <c r="S9">
        <f t="shared" si="15"/>
        <v>8</v>
      </c>
    </row>
    <row r="10" spans="1:26" ht="14" customHeight="1" x14ac:dyDescent="0.2">
      <c r="A10" t="s">
        <v>18</v>
      </c>
      <c r="B10" s="3">
        <v>41035</v>
      </c>
      <c r="C10" s="3">
        <f t="shared" ca="1" si="0"/>
        <v>42424.790952380958</v>
      </c>
      <c r="D10" s="3">
        <f t="shared" ca="1" si="1"/>
        <v>41647.120952380952</v>
      </c>
      <c r="E10" s="3">
        <f t="shared" ca="1" si="2"/>
        <v>40869.450952380954</v>
      </c>
      <c r="F10" s="3">
        <f t="shared" si="3"/>
        <v>40091.780952380956</v>
      </c>
      <c r="G10" s="3">
        <f t="shared" ca="1" si="4"/>
        <v>39314.110952380957</v>
      </c>
      <c r="H10" s="3">
        <f t="shared" ca="1" si="5"/>
        <v>38536.440952380959</v>
      </c>
      <c r="I10" s="3">
        <f t="shared" ca="1" si="6"/>
        <v>37758.770952380954</v>
      </c>
      <c r="J10">
        <f t="shared" ca="1" si="8"/>
        <v>41035</v>
      </c>
      <c r="K10" s="3">
        <f t="shared" ca="1" si="9"/>
        <v>933</v>
      </c>
      <c r="L10" s="3">
        <f t="shared" ca="1" si="10"/>
        <v>2865.3923571428568</v>
      </c>
      <c r="M10" s="3">
        <f t="shared" ca="1" si="11"/>
        <v>2202.6187142857138</v>
      </c>
      <c r="N10" s="3">
        <f t="shared" ca="1" si="12"/>
        <v>1539.8450714285714</v>
      </c>
      <c r="O10" s="3">
        <f t="shared" ca="1" si="7"/>
        <v>877.07142857142856</v>
      </c>
      <c r="P10" s="3">
        <f t="shared" ca="1" si="13"/>
        <v>214.29778571428585</v>
      </c>
      <c r="Q10" s="3">
        <f t="shared" ca="1" si="14"/>
        <v>0</v>
      </c>
      <c r="R10" s="3">
        <v>0</v>
      </c>
      <c r="S10">
        <f t="shared" si="15"/>
        <v>9</v>
      </c>
    </row>
    <row r="11" spans="1:26" ht="14" customHeight="1" x14ac:dyDescent="0.2">
      <c r="A11" t="s">
        <v>19</v>
      </c>
      <c r="B11" s="3">
        <v>42042</v>
      </c>
      <c r="C11" s="3">
        <f t="shared" ca="1" si="0"/>
        <v>43291.305238095243</v>
      </c>
      <c r="D11" s="3">
        <f t="shared" ca="1" si="1"/>
        <v>42513.635238095245</v>
      </c>
      <c r="E11" s="3">
        <f t="shared" ca="1" si="2"/>
        <v>41735.965238095239</v>
      </c>
      <c r="F11" s="3">
        <f t="shared" si="3"/>
        <v>40958.295238095241</v>
      </c>
      <c r="G11" s="3">
        <f t="shared" ca="1" si="4"/>
        <v>40180.625238095243</v>
      </c>
      <c r="H11" s="3">
        <f t="shared" ca="1" si="5"/>
        <v>39402.955238095237</v>
      </c>
      <c r="I11" s="3">
        <f t="shared" ca="1" si="6"/>
        <v>38625.285238095239</v>
      </c>
      <c r="J11">
        <f t="shared" ca="1" si="8"/>
        <v>42042</v>
      </c>
      <c r="K11" s="3">
        <f t="shared" ca="1" si="9"/>
        <v>1007</v>
      </c>
      <c r="L11" s="3">
        <f t="shared" ca="1" si="10"/>
        <v>2865.3923571428568</v>
      </c>
      <c r="M11" s="3">
        <f t="shared" ca="1" si="11"/>
        <v>2202.6187142857138</v>
      </c>
      <c r="N11" s="3">
        <f t="shared" ca="1" si="12"/>
        <v>1539.8450714285714</v>
      </c>
      <c r="O11" s="3">
        <f t="shared" ca="1" si="7"/>
        <v>877.07142857142856</v>
      </c>
      <c r="P11" s="3">
        <f t="shared" ca="1" si="13"/>
        <v>214.29778571428585</v>
      </c>
      <c r="Q11" s="3">
        <f t="shared" ca="1" si="14"/>
        <v>0</v>
      </c>
      <c r="R11" s="3">
        <v>0</v>
      </c>
      <c r="S11">
        <f t="shared" si="15"/>
        <v>10</v>
      </c>
    </row>
    <row r="12" spans="1:26" ht="14" customHeight="1" x14ac:dyDescent="0.2">
      <c r="A12" t="s">
        <v>20</v>
      </c>
      <c r="B12" s="3">
        <v>42152</v>
      </c>
      <c r="C12" s="3">
        <f t="shared" ca="1" si="0"/>
        <v>44157.819523809529</v>
      </c>
      <c r="D12" s="3">
        <f t="shared" ca="1" si="1"/>
        <v>43380.149523809523</v>
      </c>
      <c r="E12" s="3">
        <f t="shared" ca="1" si="2"/>
        <v>42602.479523809525</v>
      </c>
      <c r="F12" s="3">
        <f t="shared" si="3"/>
        <v>41824.809523809527</v>
      </c>
      <c r="G12" s="3">
        <f t="shared" ca="1" si="4"/>
        <v>41047.139523809528</v>
      </c>
      <c r="H12" s="3">
        <f t="shared" ca="1" si="5"/>
        <v>40269.46952380953</v>
      </c>
      <c r="I12" s="3">
        <f t="shared" ca="1" si="6"/>
        <v>39491.799523809525</v>
      </c>
      <c r="J12">
        <f t="shared" ca="1" si="8"/>
        <v>42152</v>
      </c>
      <c r="K12" s="3">
        <f t="shared" ca="1" si="9"/>
        <v>110</v>
      </c>
      <c r="L12" s="3">
        <f t="shared" ca="1" si="10"/>
        <v>2865.3923571428568</v>
      </c>
      <c r="M12" s="3">
        <f t="shared" ca="1" si="11"/>
        <v>2202.6187142857138</v>
      </c>
      <c r="N12" s="3">
        <f t="shared" ca="1" si="12"/>
        <v>1539.8450714285714</v>
      </c>
      <c r="O12" s="3">
        <f t="shared" ca="1" si="7"/>
        <v>877.07142857142856</v>
      </c>
      <c r="P12" s="3">
        <f t="shared" ca="1" si="13"/>
        <v>214.29778571428585</v>
      </c>
      <c r="Q12" s="3">
        <f t="shared" ca="1" si="14"/>
        <v>0</v>
      </c>
      <c r="R12" s="3">
        <v>0</v>
      </c>
      <c r="S12">
        <f t="shared" si="15"/>
        <v>11</v>
      </c>
    </row>
    <row r="13" spans="1:26" ht="14" customHeight="1" x14ac:dyDescent="0.2">
      <c r="A13" t="s">
        <v>21</v>
      </c>
      <c r="B13" s="3">
        <v>42679</v>
      </c>
      <c r="C13" s="3">
        <f t="shared" ca="1" si="0"/>
        <v>45024.333809523814</v>
      </c>
      <c r="D13" s="3">
        <f t="shared" ca="1" si="1"/>
        <v>44246.663809523816</v>
      </c>
      <c r="E13" s="3">
        <f t="shared" ca="1" si="2"/>
        <v>43468.99380952381</v>
      </c>
      <c r="F13" s="3">
        <f t="shared" si="3"/>
        <v>42691.323809523812</v>
      </c>
      <c r="G13" s="3">
        <f t="shared" ca="1" si="4"/>
        <v>41913.653809523814</v>
      </c>
      <c r="H13" s="3">
        <f t="shared" ca="1" si="5"/>
        <v>41135.983809523808</v>
      </c>
      <c r="I13" s="3">
        <f t="shared" ca="1" si="6"/>
        <v>40358.31380952381</v>
      </c>
      <c r="J13">
        <f t="shared" ca="1" si="8"/>
        <v>42679</v>
      </c>
      <c r="K13" s="3">
        <f t="shared" ca="1" si="9"/>
        <v>527</v>
      </c>
      <c r="L13" s="3">
        <f t="shared" ca="1" si="10"/>
        <v>2865.3923571428568</v>
      </c>
      <c r="M13" s="3">
        <f t="shared" ca="1" si="11"/>
        <v>2202.6187142857138</v>
      </c>
      <c r="N13" s="3">
        <f t="shared" ca="1" si="12"/>
        <v>1539.8450714285714</v>
      </c>
      <c r="O13" s="3">
        <f t="shared" ca="1" si="7"/>
        <v>877.07142857142856</v>
      </c>
      <c r="P13" s="3">
        <f t="shared" ca="1" si="13"/>
        <v>214.29778571428585</v>
      </c>
      <c r="Q13" s="3">
        <f t="shared" ca="1" si="14"/>
        <v>0</v>
      </c>
      <c r="R13" s="3">
        <v>0</v>
      </c>
      <c r="S13">
        <f t="shared" si="15"/>
        <v>12</v>
      </c>
    </row>
    <row r="14" spans="1:26" ht="14" customHeight="1" x14ac:dyDescent="0.2">
      <c r="A14" t="s">
        <v>22</v>
      </c>
      <c r="B14" s="3">
        <v>43087</v>
      </c>
      <c r="C14" s="3">
        <f t="shared" ca="1" si="0"/>
        <v>45890.8480952381</v>
      </c>
      <c r="D14" s="3">
        <f t="shared" ca="1" si="1"/>
        <v>45113.178095238094</v>
      </c>
      <c r="E14" s="3">
        <f t="shared" ca="1" si="2"/>
        <v>44335.508095238096</v>
      </c>
      <c r="F14" s="3">
        <f t="shared" si="3"/>
        <v>43557.838095238098</v>
      </c>
      <c r="G14" s="3">
        <f t="shared" ca="1" si="4"/>
        <v>42780.168095238099</v>
      </c>
      <c r="H14" s="3">
        <f t="shared" ca="1" si="5"/>
        <v>42002.498095238101</v>
      </c>
      <c r="I14" s="3">
        <f t="shared" ca="1" si="6"/>
        <v>41224.828095238096</v>
      </c>
      <c r="J14">
        <f t="shared" ca="1" si="8"/>
        <v>43087</v>
      </c>
      <c r="K14" s="3">
        <f t="shared" ca="1" si="9"/>
        <v>408</v>
      </c>
      <c r="L14" s="3">
        <f t="shared" ca="1" si="10"/>
        <v>2865.3923571428568</v>
      </c>
      <c r="M14" s="3">
        <f t="shared" ca="1" si="11"/>
        <v>2202.6187142857138</v>
      </c>
      <c r="N14" s="3">
        <f t="shared" ca="1" si="12"/>
        <v>1539.8450714285714</v>
      </c>
      <c r="O14" s="3">
        <f t="shared" ca="1" si="7"/>
        <v>877.07142857142856</v>
      </c>
      <c r="P14" s="3">
        <f t="shared" ca="1" si="13"/>
        <v>214.29778571428585</v>
      </c>
      <c r="Q14" s="3">
        <f t="shared" ca="1" si="14"/>
        <v>0</v>
      </c>
      <c r="R14" s="3">
        <v>0</v>
      </c>
      <c r="S14">
        <f t="shared" si="15"/>
        <v>13</v>
      </c>
    </row>
    <row r="15" spans="1:26" ht="14" customHeight="1" x14ac:dyDescent="0.2">
      <c r="A15" t="s">
        <v>23</v>
      </c>
      <c r="B15" s="3">
        <v>43395</v>
      </c>
      <c r="C15" s="3">
        <f t="shared" ca="1" si="0"/>
        <v>46757.362380952385</v>
      </c>
      <c r="D15" s="3">
        <f t="shared" ca="1" si="1"/>
        <v>45979.692380952387</v>
      </c>
      <c r="E15" s="3">
        <f t="shared" ca="1" si="2"/>
        <v>45202.022380952381</v>
      </c>
      <c r="F15" s="3">
        <f t="shared" si="3"/>
        <v>44424.352380952383</v>
      </c>
      <c r="G15" s="3">
        <f t="shared" ca="1" si="4"/>
        <v>43646.682380952385</v>
      </c>
      <c r="H15" s="3">
        <f t="shared" ca="1" si="5"/>
        <v>42869.012380952379</v>
      </c>
      <c r="I15" s="3">
        <f t="shared" ca="1" si="6"/>
        <v>42091.342380952381</v>
      </c>
      <c r="J15">
        <f t="shared" ca="1" si="8"/>
        <v>43395</v>
      </c>
      <c r="K15" s="3">
        <f t="shared" ca="1" si="9"/>
        <v>308</v>
      </c>
      <c r="L15" s="3">
        <f t="shared" ca="1" si="10"/>
        <v>2865.3923571428568</v>
      </c>
      <c r="M15" s="3">
        <f t="shared" ca="1" si="11"/>
        <v>2202.6187142857138</v>
      </c>
      <c r="N15" s="3">
        <f t="shared" ca="1" si="12"/>
        <v>1539.8450714285714</v>
      </c>
      <c r="O15" s="3">
        <f t="shared" ca="1" si="7"/>
        <v>877.07142857142856</v>
      </c>
      <c r="P15" s="3">
        <f t="shared" ca="1" si="13"/>
        <v>214.29778571428585</v>
      </c>
      <c r="Q15" s="3">
        <f t="shared" ca="1" si="14"/>
        <v>0</v>
      </c>
      <c r="R15" s="3">
        <v>0</v>
      </c>
      <c r="S15">
        <f t="shared" si="15"/>
        <v>14</v>
      </c>
    </row>
    <row r="16" spans="1:26" ht="14" customHeight="1" x14ac:dyDescent="0.2">
      <c r="A16" t="s">
        <v>24</v>
      </c>
      <c r="B16" s="3">
        <v>44428</v>
      </c>
      <c r="C16" s="3">
        <f t="shared" ca="1" si="0"/>
        <v>47623.876666666671</v>
      </c>
      <c r="D16" s="3">
        <f t="shared" ca="1" si="1"/>
        <v>46846.206666666665</v>
      </c>
      <c r="E16" s="3">
        <f t="shared" ca="1" si="2"/>
        <v>46068.536666666667</v>
      </c>
      <c r="F16" s="3">
        <f t="shared" si="3"/>
        <v>45290.866666666669</v>
      </c>
      <c r="G16" s="3">
        <f t="shared" ca="1" si="4"/>
        <v>44513.19666666667</v>
      </c>
      <c r="H16" s="3">
        <f t="shared" ca="1" si="5"/>
        <v>43735.526666666672</v>
      </c>
      <c r="I16" s="3">
        <f t="shared" ca="1" si="6"/>
        <v>42957.856666666667</v>
      </c>
      <c r="J16">
        <f t="shared" ca="1" si="8"/>
        <v>44428</v>
      </c>
      <c r="K16" s="3">
        <f t="shared" ca="1" si="9"/>
        <v>1033</v>
      </c>
      <c r="L16" s="3">
        <f t="shared" ca="1" si="10"/>
        <v>2865.3923571428568</v>
      </c>
      <c r="M16" s="3">
        <f t="shared" ca="1" si="11"/>
        <v>2202.6187142857138</v>
      </c>
      <c r="N16" s="3">
        <f t="shared" ca="1" si="12"/>
        <v>1539.8450714285714</v>
      </c>
      <c r="O16" s="3">
        <f t="shared" ca="1" si="7"/>
        <v>877.07142857142856</v>
      </c>
      <c r="P16" s="3">
        <f t="shared" ca="1" si="13"/>
        <v>214.29778571428585</v>
      </c>
      <c r="Q16" s="3">
        <f t="shared" ca="1" si="14"/>
        <v>0</v>
      </c>
      <c r="R16" s="3">
        <v>0</v>
      </c>
      <c r="S16">
        <f t="shared" si="15"/>
        <v>15</v>
      </c>
    </row>
    <row r="17" spans="3:19" ht="14" customHeight="1" x14ac:dyDescent="0.2">
      <c r="C17">
        <f t="shared" ca="1" si="0"/>
        <v>48490.390952380956</v>
      </c>
      <c r="D17">
        <f t="shared" ca="1" si="1"/>
        <v>47712.720952380958</v>
      </c>
      <c r="E17">
        <f t="shared" ca="1" si="2"/>
        <v>46935.050952380952</v>
      </c>
      <c r="F17">
        <f t="shared" si="3"/>
        <v>46157.380952380954</v>
      </c>
      <c r="G17">
        <f t="shared" ca="1" si="4"/>
        <v>45379.710952380956</v>
      </c>
      <c r="H17">
        <f t="shared" ca="1" si="5"/>
        <v>44602.04095238095</v>
      </c>
      <c r="I17">
        <f t="shared" ca="1" si="6"/>
        <v>43824.370952380952</v>
      </c>
      <c r="J17">
        <f t="shared" ca="1" si="8"/>
        <v>44428</v>
      </c>
      <c r="L17">
        <f t="shared" ca="1" si="10"/>
        <v>2865.3923571428568</v>
      </c>
      <c r="M17">
        <f t="shared" ca="1" si="11"/>
        <v>2202.6187142857138</v>
      </c>
      <c r="N17">
        <f t="shared" ca="1" si="12"/>
        <v>1539.8450714285714</v>
      </c>
      <c r="O17" s="3">
        <f t="shared" ca="1" si="7"/>
        <v>877.07142857142856</v>
      </c>
      <c r="P17">
        <f t="shared" ca="1" si="13"/>
        <v>214.29778571428585</v>
      </c>
      <c r="Q17">
        <f t="shared" ca="1" si="14"/>
        <v>0</v>
      </c>
      <c r="R17">
        <v>0</v>
      </c>
      <c r="S17">
        <f t="shared" si="15"/>
        <v>16</v>
      </c>
    </row>
    <row r="18" spans="3:19" ht="14" customHeight="1" x14ac:dyDescent="0.2">
      <c r="C18">
        <f t="shared" ca="1" si="0"/>
        <v>49356.905238095242</v>
      </c>
      <c r="D18">
        <f t="shared" ca="1" si="1"/>
        <v>48579.235238095236</v>
      </c>
      <c r="E18">
        <f t="shared" ca="1" si="2"/>
        <v>47801.565238095238</v>
      </c>
      <c r="F18">
        <f t="shared" si="3"/>
        <v>47023.89523809524</v>
      </c>
      <c r="G18">
        <f t="shared" ca="1" si="4"/>
        <v>46246.225238095241</v>
      </c>
      <c r="H18">
        <f t="shared" ca="1" si="5"/>
        <v>45468.555238095243</v>
      </c>
      <c r="I18">
        <f t="shared" ca="1" si="6"/>
        <v>44690.885238095238</v>
      </c>
      <c r="J18">
        <f t="shared" ca="1" si="8"/>
        <v>44428</v>
      </c>
      <c r="K18" t="str">
        <f t="shared" ca="1" si="9"/>
        <v/>
      </c>
      <c r="L18">
        <f t="shared" ca="1" si="10"/>
        <v>2865.3923571428568</v>
      </c>
      <c r="M18">
        <f t="shared" ca="1" si="11"/>
        <v>2202.6187142857138</v>
      </c>
      <c r="N18">
        <f t="shared" ca="1" si="12"/>
        <v>1539.8450714285714</v>
      </c>
      <c r="O18" s="3">
        <f t="shared" ca="1" si="7"/>
        <v>877.07142857142856</v>
      </c>
      <c r="P18">
        <f t="shared" ca="1" si="13"/>
        <v>214.29778571428585</v>
      </c>
      <c r="Q18">
        <f t="shared" ca="1" si="14"/>
        <v>0</v>
      </c>
      <c r="R18">
        <v>0</v>
      </c>
      <c r="S18">
        <f t="shared" si="15"/>
        <v>17</v>
      </c>
    </row>
    <row r="19" spans="3:19" ht="14" customHeight="1" x14ac:dyDescent="0.2">
      <c r="C19">
        <f t="shared" ca="1" si="0"/>
        <v>50223.419523809527</v>
      </c>
      <c r="D19">
        <f t="shared" ca="1" si="1"/>
        <v>49445.749523809529</v>
      </c>
      <c r="E19">
        <f t="shared" ca="1" si="2"/>
        <v>48668.079523809523</v>
      </c>
      <c r="F19">
        <f t="shared" si="3"/>
        <v>47890.409523809525</v>
      </c>
      <c r="G19">
        <f t="shared" ca="1" si="4"/>
        <v>47112.739523809527</v>
      </c>
      <c r="H19">
        <f t="shared" ca="1" si="5"/>
        <v>46335.069523809521</v>
      </c>
      <c r="I19">
        <f t="shared" ca="1" si="6"/>
        <v>45557.399523809523</v>
      </c>
      <c r="J19">
        <f t="shared" ca="1" si="8"/>
        <v>44428</v>
      </c>
      <c r="K19" t="str">
        <f t="shared" ca="1" si="9"/>
        <v/>
      </c>
      <c r="L19">
        <f t="shared" ca="1" si="10"/>
        <v>2865.3923571428568</v>
      </c>
      <c r="M19">
        <f t="shared" ca="1" si="11"/>
        <v>2202.6187142857138</v>
      </c>
      <c r="N19">
        <f t="shared" ca="1" si="12"/>
        <v>1539.8450714285714</v>
      </c>
      <c r="O19" s="3">
        <f t="shared" ca="1" si="7"/>
        <v>877.07142857142856</v>
      </c>
      <c r="P19">
        <f t="shared" ca="1" si="13"/>
        <v>214.29778571428585</v>
      </c>
      <c r="Q19">
        <f t="shared" ca="1" si="14"/>
        <v>0</v>
      </c>
      <c r="R19">
        <v>0</v>
      </c>
      <c r="S19">
        <f t="shared" si="15"/>
        <v>18</v>
      </c>
    </row>
    <row r="20" spans="3:19" ht="14" customHeight="1" x14ac:dyDescent="0.2">
      <c r="C20">
        <f t="shared" ca="1" si="0"/>
        <v>51089.933809523813</v>
      </c>
      <c r="D20">
        <f t="shared" ca="1" si="1"/>
        <v>50312.263809523807</v>
      </c>
      <c r="E20">
        <f t="shared" ca="1" si="2"/>
        <v>49534.593809523809</v>
      </c>
      <c r="F20">
        <f t="shared" si="3"/>
        <v>48756.923809523811</v>
      </c>
      <c r="G20">
        <f t="shared" ca="1" si="4"/>
        <v>47979.253809523812</v>
      </c>
      <c r="H20">
        <f t="shared" ca="1" si="5"/>
        <v>47201.583809523814</v>
      </c>
      <c r="I20">
        <f t="shared" ca="1" si="6"/>
        <v>46423.913809523809</v>
      </c>
      <c r="J20">
        <f t="shared" ca="1" si="8"/>
        <v>44428</v>
      </c>
      <c r="K20" t="str">
        <f t="shared" ca="1" si="9"/>
        <v/>
      </c>
      <c r="L20">
        <f t="shared" ca="1" si="10"/>
        <v>2865.3923571428568</v>
      </c>
      <c r="M20">
        <f t="shared" ca="1" si="11"/>
        <v>2202.6187142857138</v>
      </c>
      <c r="N20">
        <f t="shared" ca="1" si="12"/>
        <v>1539.8450714285714</v>
      </c>
      <c r="O20" s="3">
        <f t="shared" ca="1" si="7"/>
        <v>877.07142857142856</v>
      </c>
      <c r="P20">
        <f t="shared" ca="1" si="13"/>
        <v>214.29778571428585</v>
      </c>
      <c r="Q20">
        <f t="shared" ca="1" si="14"/>
        <v>0</v>
      </c>
      <c r="R20">
        <v>0</v>
      </c>
      <c r="S20">
        <f t="shared" si="15"/>
        <v>19</v>
      </c>
    </row>
    <row r="21" spans="3:19" ht="14" customHeight="1" x14ac:dyDescent="0.2">
      <c r="C21">
        <f t="shared" ca="1" si="0"/>
        <v>51956.448095238105</v>
      </c>
      <c r="D21">
        <f t="shared" ca="1" si="1"/>
        <v>51178.7780952381</v>
      </c>
      <c r="E21">
        <f t="shared" ca="1" si="2"/>
        <v>50401.108095238102</v>
      </c>
      <c r="F21">
        <f t="shared" si="3"/>
        <v>49623.438095238103</v>
      </c>
      <c r="G21">
        <f t="shared" ca="1" si="4"/>
        <v>48845.768095238105</v>
      </c>
      <c r="H21">
        <f t="shared" ca="1" si="5"/>
        <v>48068.098095238107</v>
      </c>
      <c r="I21">
        <f t="shared" ca="1" si="6"/>
        <v>47290.428095238101</v>
      </c>
      <c r="J21">
        <f t="shared" ca="1" si="8"/>
        <v>44428</v>
      </c>
      <c r="K21" t="str">
        <f t="shared" ca="1" si="9"/>
        <v/>
      </c>
      <c r="L21">
        <f t="shared" ca="1" si="10"/>
        <v>2865.3923571428568</v>
      </c>
      <c r="M21">
        <f t="shared" ca="1" si="11"/>
        <v>2202.6187142857138</v>
      </c>
      <c r="N21">
        <f t="shared" ca="1" si="12"/>
        <v>1539.8450714285714</v>
      </c>
      <c r="O21" s="3">
        <f t="shared" ca="1" si="7"/>
        <v>877.07142857142856</v>
      </c>
      <c r="P21">
        <f t="shared" ca="1" si="13"/>
        <v>214.29778571428585</v>
      </c>
      <c r="Q21">
        <f t="shared" ca="1" si="14"/>
        <v>0</v>
      </c>
      <c r="R21">
        <v>0</v>
      </c>
      <c r="S21">
        <f t="shared" si="15"/>
        <v>20</v>
      </c>
    </row>
    <row r="22" spans="3:19" ht="14" customHeight="1" x14ac:dyDescent="0.2">
      <c r="C22">
        <f t="shared" ca="1" si="0"/>
        <v>52822.962380952384</v>
      </c>
      <c r="D22">
        <f t="shared" ca="1" si="1"/>
        <v>52045.292380952378</v>
      </c>
      <c r="E22">
        <f t="shared" ca="1" si="2"/>
        <v>51267.62238095238</v>
      </c>
      <c r="F22">
        <f t="shared" si="3"/>
        <v>50489.952380952382</v>
      </c>
      <c r="G22">
        <f t="shared" ca="1" si="4"/>
        <v>49712.282380952383</v>
      </c>
      <c r="H22">
        <f t="shared" ca="1" si="5"/>
        <v>48934.612380952385</v>
      </c>
      <c r="I22">
        <f t="shared" ca="1" si="6"/>
        <v>48156.94238095238</v>
      </c>
      <c r="J22">
        <f t="shared" ca="1" si="8"/>
        <v>44428</v>
      </c>
      <c r="K22" t="str">
        <f t="shared" ca="1" si="9"/>
        <v/>
      </c>
      <c r="L22">
        <f t="shared" ca="1" si="10"/>
        <v>2865.3923571428568</v>
      </c>
      <c r="M22">
        <f t="shared" ca="1" si="11"/>
        <v>2202.6187142857138</v>
      </c>
      <c r="N22">
        <f t="shared" ca="1" si="12"/>
        <v>1539.8450714285714</v>
      </c>
      <c r="O22" s="3">
        <f t="shared" ca="1" si="7"/>
        <v>877.07142857142856</v>
      </c>
      <c r="P22">
        <f t="shared" ca="1" si="13"/>
        <v>214.29778571428585</v>
      </c>
      <c r="Q22">
        <f t="shared" ca="1" si="14"/>
        <v>0</v>
      </c>
      <c r="R22">
        <v>0</v>
      </c>
      <c r="S22">
        <f t="shared" si="15"/>
        <v>21</v>
      </c>
    </row>
    <row r="23" spans="3:19" ht="14" customHeight="1" x14ac:dyDescent="0.2">
      <c r="C23">
        <f t="shared" ca="1" si="0"/>
        <v>53689.476666666676</v>
      </c>
      <c r="D23">
        <f t="shared" ca="1" si="1"/>
        <v>52911.806666666671</v>
      </c>
      <c r="E23">
        <f t="shared" ca="1" si="2"/>
        <v>52134.136666666673</v>
      </c>
      <c r="F23">
        <f t="shared" si="3"/>
        <v>51356.466666666674</v>
      </c>
      <c r="G23">
        <f t="shared" ca="1" si="4"/>
        <v>50578.796666666676</v>
      </c>
      <c r="H23">
        <f t="shared" ca="1" si="5"/>
        <v>49801.126666666678</v>
      </c>
      <c r="I23">
        <f t="shared" ca="1" si="6"/>
        <v>49023.456666666672</v>
      </c>
      <c r="J23">
        <f t="shared" ca="1" si="8"/>
        <v>44428</v>
      </c>
      <c r="K23" t="str">
        <f t="shared" ca="1" si="9"/>
        <v/>
      </c>
      <c r="L23">
        <f t="shared" ca="1" si="10"/>
        <v>2865.3923571428568</v>
      </c>
      <c r="M23">
        <f t="shared" ca="1" si="11"/>
        <v>2202.6187142857138</v>
      </c>
      <c r="N23">
        <f t="shared" ca="1" si="12"/>
        <v>1539.8450714285714</v>
      </c>
      <c r="O23" s="3">
        <f t="shared" ca="1" si="7"/>
        <v>877.07142857142856</v>
      </c>
      <c r="P23">
        <f t="shared" ca="1" si="13"/>
        <v>214.29778571428585</v>
      </c>
      <c r="Q23">
        <f t="shared" ca="1" si="14"/>
        <v>0</v>
      </c>
      <c r="R23">
        <v>0</v>
      </c>
      <c r="S23">
        <f t="shared" si="15"/>
        <v>22</v>
      </c>
    </row>
    <row r="24" spans="3:19" ht="14" customHeight="1" x14ac:dyDescent="0.2">
      <c r="C24">
        <f t="shared" ca="1" si="0"/>
        <v>54555.990952380955</v>
      </c>
      <c r="D24">
        <f t="shared" ca="1" si="1"/>
        <v>53778.320952380949</v>
      </c>
      <c r="E24">
        <f t="shared" ca="1" si="2"/>
        <v>53000.650952380951</v>
      </c>
      <c r="F24">
        <f t="shared" si="3"/>
        <v>52222.980952380953</v>
      </c>
      <c r="G24">
        <f t="shared" ca="1" si="4"/>
        <v>51445.310952380954</v>
      </c>
      <c r="H24">
        <f t="shared" ca="1" si="5"/>
        <v>50667.640952380956</v>
      </c>
      <c r="I24">
        <f t="shared" ca="1" si="6"/>
        <v>49889.970952380951</v>
      </c>
      <c r="J24">
        <f t="shared" ca="1" si="8"/>
        <v>44428</v>
      </c>
      <c r="K24" t="str">
        <f t="shared" ca="1" si="9"/>
        <v/>
      </c>
      <c r="L24">
        <f t="shared" ca="1" si="10"/>
        <v>2865.3923571428568</v>
      </c>
      <c r="M24">
        <f t="shared" ca="1" si="11"/>
        <v>2202.6187142857138</v>
      </c>
      <c r="N24">
        <f t="shared" ca="1" si="12"/>
        <v>1539.8450714285714</v>
      </c>
      <c r="O24" s="3">
        <f t="shared" ca="1" si="7"/>
        <v>877.07142857142856</v>
      </c>
      <c r="P24">
        <f t="shared" ca="1" si="13"/>
        <v>214.29778571428585</v>
      </c>
      <c r="Q24">
        <f t="shared" ca="1" si="14"/>
        <v>0</v>
      </c>
      <c r="R24">
        <v>0</v>
      </c>
      <c r="S24">
        <f t="shared" si="15"/>
        <v>23</v>
      </c>
    </row>
    <row r="25" spans="3:19" ht="14" customHeight="1" x14ac:dyDescent="0.2">
      <c r="C25">
        <f t="shared" ca="1" si="0"/>
        <v>55422.505238095247</v>
      </c>
      <c r="D25">
        <f t="shared" ca="1" si="1"/>
        <v>54644.835238095242</v>
      </c>
      <c r="E25">
        <f t="shared" ca="1" si="2"/>
        <v>53867.165238095244</v>
      </c>
      <c r="F25">
        <f t="shared" si="3"/>
        <v>53089.495238095245</v>
      </c>
      <c r="G25">
        <f t="shared" ca="1" si="4"/>
        <v>52311.825238095247</v>
      </c>
      <c r="H25">
        <f t="shared" ca="1" si="5"/>
        <v>51534.155238095249</v>
      </c>
      <c r="I25">
        <f t="shared" ca="1" si="6"/>
        <v>50756.485238095243</v>
      </c>
      <c r="J25">
        <f t="shared" ca="1" si="8"/>
        <v>44428</v>
      </c>
      <c r="K25" t="str">
        <f t="shared" ca="1" si="9"/>
        <v/>
      </c>
      <c r="L25">
        <f t="shared" ca="1" si="10"/>
        <v>2865.3923571428568</v>
      </c>
      <c r="M25">
        <f t="shared" ca="1" si="11"/>
        <v>2202.6187142857138</v>
      </c>
      <c r="N25">
        <f t="shared" ca="1" si="12"/>
        <v>1539.8450714285714</v>
      </c>
      <c r="O25" s="3">
        <f t="shared" ca="1" si="7"/>
        <v>877.07142857142856</v>
      </c>
      <c r="P25">
        <f t="shared" ca="1" si="13"/>
        <v>214.29778571428585</v>
      </c>
      <c r="Q25">
        <f t="shared" ca="1" si="14"/>
        <v>0</v>
      </c>
      <c r="R25">
        <v>0</v>
      </c>
      <c r="S25">
        <f t="shared" si="15"/>
        <v>24</v>
      </c>
    </row>
    <row r="26" spans="3:19" ht="14" customHeight="1" x14ac:dyDescent="0.2">
      <c r="C26">
        <f t="shared" ca="1" si="0"/>
        <v>56289.019523809526</v>
      </c>
      <c r="D26">
        <f t="shared" ca="1" si="1"/>
        <v>55511.34952380952</v>
      </c>
      <c r="E26">
        <f t="shared" ca="1" si="2"/>
        <v>54733.679523809522</v>
      </c>
      <c r="F26">
        <f t="shared" si="3"/>
        <v>53956.009523809524</v>
      </c>
      <c r="G26">
        <f t="shared" ca="1" si="4"/>
        <v>53178.339523809525</v>
      </c>
      <c r="H26">
        <f t="shared" ca="1" si="5"/>
        <v>52400.669523809527</v>
      </c>
      <c r="I26">
        <f t="shared" ca="1" si="6"/>
        <v>51622.999523809522</v>
      </c>
      <c r="J26">
        <f t="shared" ca="1" si="8"/>
        <v>44428</v>
      </c>
      <c r="K26" t="str">
        <f t="shared" ca="1" si="9"/>
        <v/>
      </c>
      <c r="L26">
        <f t="shared" ca="1" si="10"/>
        <v>2865.3923571428568</v>
      </c>
      <c r="M26">
        <f t="shared" ca="1" si="11"/>
        <v>2202.6187142857138</v>
      </c>
      <c r="N26">
        <f t="shared" ca="1" si="12"/>
        <v>1539.8450714285714</v>
      </c>
      <c r="O26" s="3">
        <f t="shared" ca="1" si="7"/>
        <v>877.07142857142856</v>
      </c>
      <c r="P26">
        <f t="shared" ca="1" si="13"/>
        <v>214.29778571428585</v>
      </c>
      <c r="Q26">
        <f t="shared" ca="1" si="14"/>
        <v>0</v>
      </c>
      <c r="R26">
        <v>0</v>
      </c>
      <c r="S26">
        <f t="shared" si="15"/>
        <v>25</v>
      </c>
    </row>
    <row r="27" spans="3:19" ht="14" customHeight="1" x14ac:dyDescent="0.2">
      <c r="C27">
        <f t="shared" ca="1" si="0"/>
        <v>57155.533809523818</v>
      </c>
      <c r="D27">
        <f t="shared" ca="1" si="1"/>
        <v>56377.863809523813</v>
      </c>
      <c r="E27">
        <f t="shared" ca="1" si="2"/>
        <v>55600.193809523815</v>
      </c>
      <c r="F27">
        <f t="shared" si="3"/>
        <v>54822.523809523816</v>
      </c>
      <c r="G27">
        <f t="shared" ca="1" si="4"/>
        <v>54044.853809523818</v>
      </c>
      <c r="H27">
        <f t="shared" ca="1" si="5"/>
        <v>53267.18380952382</v>
      </c>
      <c r="I27">
        <f t="shared" ca="1" si="6"/>
        <v>52489.513809523814</v>
      </c>
      <c r="J27">
        <f t="shared" ca="1" si="8"/>
        <v>44428</v>
      </c>
      <c r="K27" t="str">
        <f t="shared" ca="1" si="9"/>
        <v/>
      </c>
      <c r="L27">
        <f t="shared" ca="1" si="10"/>
        <v>2865.3923571428568</v>
      </c>
      <c r="M27">
        <f t="shared" ca="1" si="11"/>
        <v>2202.6187142857138</v>
      </c>
      <c r="N27">
        <f t="shared" ca="1" si="12"/>
        <v>1539.8450714285714</v>
      </c>
      <c r="O27" s="3">
        <f t="shared" ca="1" si="7"/>
        <v>877.07142857142856</v>
      </c>
      <c r="P27">
        <f t="shared" ca="1" si="13"/>
        <v>214.29778571428585</v>
      </c>
      <c r="Q27">
        <f t="shared" ca="1" si="14"/>
        <v>0</v>
      </c>
      <c r="R27">
        <v>0</v>
      </c>
      <c r="S27">
        <f t="shared" si="15"/>
        <v>26</v>
      </c>
    </row>
    <row r="28" spans="3:19" ht="14" customHeight="1" x14ac:dyDescent="0.2">
      <c r="C28">
        <f t="shared" ca="1" si="0"/>
        <v>58022.048095238097</v>
      </c>
      <c r="D28">
        <f t="shared" ca="1" si="1"/>
        <v>57244.378095238091</v>
      </c>
      <c r="E28">
        <f t="shared" ca="1" si="2"/>
        <v>56466.708095238093</v>
      </c>
      <c r="F28">
        <f t="shared" si="3"/>
        <v>55689.038095238095</v>
      </c>
      <c r="G28">
        <f t="shared" ca="1" si="4"/>
        <v>54911.368095238096</v>
      </c>
      <c r="H28">
        <f t="shared" ca="1" si="5"/>
        <v>54133.698095238098</v>
      </c>
      <c r="I28">
        <f t="shared" ca="1" si="6"/>
        <v>53356.028095238093</v>
      </c>
      <c r="J28">
        <f t="shared" ca="1" si="8"/>
        <v>44428</v>
      </c>
      <c r="K28" t="str">
        <f t="shared" ca="1" si="9"/>
        <v/>
      </c>
      <c r="L28">
        <f t="shared" ca="1" si="10"/>
        <v>2865.3923571428568</v>
      </c>
      <c r="M28">
        <f t="shared" ca="1" si="11"/>
        <v>2202.6187142857138</v>
      </c>
      <c r="N28">
        <f t="shared" ca="1" si="12"/>
        <v>1539.8450714285714</v>
      </c>
      <c r="O28" s="3">
        <f t="shared" ca="1" si="7"/>
        <v>877.07142857142856</v>
      </c>
      <c r="P28">
        <f t="shared" ca="1" si="13"/>
        <v>214.29778571428585</v>
      </c>
      <c r="Q28">
        <f t="shared" ca="1" si="14"/>
        <v>0</v>
      </c>
      <c r="R28">
        <v>0</v>
      </c>
      <c r="S28">
        <f t="shared" si="15"/>
        <v>27</v>
      </c>
    </row>
    <row r="29" spans="3:19" ht="14" customHeight="1" x14ac:dyDescent="0.2">
      <c r="C29">
        <f t="shared" ca="1" si="0"/>
        <v>58888.56238095239</v>
      </c>
      <c r="D29">
        <f t="shared" ca="1" si="1"/>
        <v>58110.892380952384</v>
      </c>
      <c r="E29">
        <f t="shared" ca="1" si="2"/>
        <v>57333.222380952386</v>
      </c>
      <c r="F29">
        <f t="shared" si="3"/>
        <v>56555.552380952387</v>
      </c>
      <c r="G29">
        <f t="shared" ca="1" si="4"/>
        <v>55777.882380952389</v>
      </c>
      <c r="H29">
        <f t="shared" ca="1" si="5"/>
        <v>55000.212380952391</v>
      </c>
      <c r="I29">
        <f t="shared" ca="1" si="6"/>
        <v>54222.542380952385</v>
      </c>
      <c r="J29">
        <f t="shared" ca="1" si="8"/>
        <v>44428</v>
      </c>
      <c r="K29" t="str">
        <f t="shared" ca="1" si="9"/>
        <v/>
      </c>
      <c r="L29">
        <f t="shared" ca="1" si="10"/>
        <v>2865.3923571428568</v>
      </c>
      <c r="M29">
        <f t="shared" ca="1" si="11"/>
        <v>2202.6187142857138</v>
      </c>
      <c r="N29">
        <f t="shared" ca="1" si="12"/>
        <v>1539.8450714285714</v>
      </c>
      <c r="O29" s="3">
        <f t="shared" ca="1" si="7"/>
        <v>877.07142857142856</v>
      </c>
      <c r="P29">
        <f t="shared" ca="1" si="13"/>
        <v>214.29778571428585</v>
      </c>
      <c r="Q29">
        <f t="shared" ca="1" si="14"/>
        <v>0</v>
      </c>
      <c r="R29">
        <v>0</v>
      </c>
      <c r="S29">
        <f t="shared" si="15"/>
        <v>28</v>
      </c>
    </row>
    <row r="30" spans="3:19" ht="14" customHeight="1" x14ac:dyDescent="0.2">
      <c r="C30">
        <f t="shared" ca="1" si="0"/>
        <v>59755.076666666668</v>
      </c>
      <c r="D30">
        <f t="shared" ca="1" si="1"/>
        <v>58977.406666666662</v>
      </c>
      <c r="E30">
        <f t="shared" ca="1" si="2"/>
        <v>58199.736666666664</v>
      </c>
      <c r="F30">
        <f t="shared" si="3"/>
        <v>57422.066666666666</v>
      </c>
      <c r="G30">
        <f t="shared" ca="1" si="4"/>
        <v>56644.396666666667</v>
      </c>
      <c r="H30">
        <f t="shared" ca="1" si="5"/>
        <v>55866.726666666669</v>
      </c>
      <c r="I30">
        <f t="shared" ca="1" si="6"/>
        <v>55089.056666666664</v>
      </c>
      <c r="J30">
        <f t="shared" ca="1" si="8"/>
        <v>44428</v>
      </c>
      <c r="K30" t="str">
        <f t="shared" ca="1" si="9"/>
        <v/>
      </c>
      <c r="L30">
        <f t="shared" ca="1" si="10"/>
        <v>2865.3923571428568</v>
      </c>
      <c r="M30">
        <f t="shared" ca="1" si="11"/>
        <v>2202.6187142857138</v>
      </c>
      <c r="N30">
        <f t="shared" ca="1" si="12"/>
        <v>1539.8450714285714</v>
      </c>
      <c r="O30" s="3">
        <f t="shared" ca="1" si="7"/>
        <v>877.07142857142856</v>
      </c>
      <c r="P30">
        <f t="shared" ca="1" si="13"/>
        <v>214.29778571428585</v>
      </c>
      <c r="Q30">
        <f t="shared" ca="1" si="14"/>
        <v>0</v>
      </c>
      <c r="R30">
        <v>0</v>
      </c>
      <c r="S30">
        <f t="shared" si="15"/>
        <v>29</v>
      </c>
    </row>
    <row r="31" spans="3:19" ht="14" customHeight="1" x14ac:dyDescent="0.2">
      <c r="C31">
        <f t="shared" ca="1" si="0"/>
        <v>60621.590952380961</v>
      </c>
      <c r="D31">
        <f t="shared" ca="1" si="1"/>
        <v>59843.920952380955</v>
      </c>
      <c r="E31">
        <f t="shared" ca="1" si="2"/>
        <v>59066.250952380957</v>
      </c>
      <c r="F31">
        <f t="shared" si="3"/>
        <v>58288.580952380958</v>
      </c>
      <c r="G31">
        <f t="shared" ca="1" si="4"/>
        <v>57510.91095238096</v>
      </c>
      <c r="H31">
        <f t="shared" ca="1" si="5"/>
        <v>56733.240952380962</v>
      </c>
      <c r="I31">
        <f t="shared" ca="1" si="6"/>
        <v>55955.570952380956</v>
      </c>
      <c r="J31">
        <f t="shared" ca="1" si="8"/>
        <v>44428</v>
      </c>
      <c r="K31" t="str">
        <f t="shared" ca="1" si="9"/>
        <v/>
      </c>
      <c r="L31">
        <f t="shared" ca="1" si="10"/>
        <v>2865.3923571428568</v>
      </c>
      <c r="M31">
        <f t="shared" ca="1" si="11"/>
        <v>2202.6187142857138</v>
      </c>
      <c r="N31">
        <f t="shared" ca="1" si="12"/>
        <v>1539.8450714285714</v>
      </c>
      <c r="O31" s="3">
        <f t="shared" ca="1" si="7"/>
        <v>877.07142857142856</v>
      </c>
      <c r="P31">
        <f t="shared" ca="1" si="13"/>
        <v>214.29778571428585</v>
      </c>
      <c r="Q31">
        <f t="shared" ca="1" si="14"/>
        <v>0</v>
      </c>
      <c r="R31">
        <v>0</v>
      </c>
      <c r="S31">
        <f t="shared" si="15"/>
        <v>30</v>
      </c>
    </row>
    <row r="32" spans="3:19" ht="14" customHeight="1" x14ac:dyDescent="0.2">
      <c r="C32">
        <f t="shared" ca="1" si="0"/>
        <v>61488.105238095239</v>
      </c>
      <c r="D32">
        <f t="shared" ca="1" si="1"/>
        <v>60710.435238095233</v>
      </c>
      <c r="E32">
        <f t="shared" ca="1" si="2"/>
        <v>59932.765238095235</v>
      </c>
      <c r="F32">
        <f t="shared" si="3"/>
        <v>59155.095238095237</v>
      </c>
      <c r="G32">
        <f t="shared" ca="1" si="4"/>
        <v>58377.425238095238</v>
      </c>
      <c r="H32">
        <f t="shared" ca="1" si="5"/>
        <v>57599.75523809524</v>
      </c>
      <c r="I32">
        <f t="shared" ca="1" si="6"/>
        <v>56822.085238095235</v>
      </c>
      <c r="J32">
        <f t="shared" ca="1" si="8"/>
        <v>44428</v>
      </c>
      <c r="K32" t="str">
        <f t="shared" ca="1" si="9"/>
        <v/>
      </c>
      <c r="L32">
        <f t="shared" ca="1" si="10"/>
        <v>2865.3923571428568</v>
      </c>
      <c r="M32">
        <f t="shared" ca="1" si="11"/>
        <v>2202.6187142857138</v>
      </c>
      <c r="N32">
        <f t="shared" ca="1" si="12"/>
        <v>1539.8450714285714</v>
      </c>
      <c r="O32" s="3">
        <f t="shared" ca="1" si="7"/>
        <v>877.07142857142856</v>
      </c>
      <c r="P32">
        <f t="shared" ca="1" si="13"/>
        <v>214.29778571428585</v>
      </c>
      <c r="Q32">
        <f t="shared" ca="1" si="14"/>
        <v>0</v>
      </c>
      <c r="R32">
        <v>0</v>
      </c>
      <c r="S32">
        <f t="shared" si="15"/>
        <v>31</v>
      </c>
    </row>
    <row r="33" spans="3:19" ht="14" customHeight="1" x14ac:dyDescent="0.2">
      <c r="C33">
        <f t="shared" ca="1" si="0"/>
        <v>62354.619523809532</v>
      </c>
      <c r="D33">
        <f t="shared" ca="1" si="1"/>
        <v>61576.949523809526</v>
      </c>
      <c r="E33">
        <f t="shared" ca="1" si="2"/>
        <v>60799.279523809528</v>
      </c>
      <c r="F33">
        <f t="shared" si="3"/>
        <v>60021.609523809529</v>
      </c>
      <c r="G33">
        <f t="shared" ca="1" si="4"/>
        <v>59243.939523809531</v>
      </c>
      <c r="H33">
        <f t="shared" ca="1" si="5"/>
        <v>58466.269523809533</v>
      </c>
      <c r="I33">
        <f t="shared" ca="1" si="6"/>
        <v>57688.599523809527</v>
      </c>
      <c r="J33">
        <f t="shared" ca="1" si="8"/>
        <v>44428</v>
      </c>
      <c r="K33" t="str">
        <f t="shared" ca="1" si="9"/>
        <v/>
      </c>
      <c r="L33">
        <f t="shared" ca="1" si="10"/>
        <v>2865.3923571428568</v>
      </c>
      <c r="M33">
        <f t="shared" ca="1" si="11"/>
        <v>2202.6187142857138</v>
      </c>
      <c r="N33">
        <f t="shared" ca="1" si="12"/>
        <v>1539.8450714285714</v>
      </c>
      <c r="O33" s="3">
        <f t="shared" ca="1" si="7"/>
        <v>877.07142857142856</v>
      </c>
      <c r="P33">
        <f t="shared" ca="1" si="13"/>
        <v>214.29778571428585</v>
      </c>
      <c r="Q33">
        <f t="shared" ca="1" si="14"/>
        <v>0</v>
      </c>
      <c r="R33">
        <v>0</v>
      </c>
      <c r="S33">
        <f t="shared" si="15"/>
        <v>32</v>
      </c>
    </row>
    <row r="34" spans="3:19" ht="14" customHeight="1" x14ac:dyDescent="0.2">
      <c r="C34">
        <f t="shared" ca="1" si="0"/>
        <v>63221.13380952381</v>
      </c>
      <c r="D34">
        <f t="shared" ca="1" si="1"/>
        <v>62443.463809523804</v>
      </c>
      <c r="E34">
        <f t="shared" ca="1" si="2"/>
        <v>61665.793809523806</v>
      </c>
      <c r="F34">
        <f t="shared" si="3"/>
        <v>60888.123809523808</v>
      </c>
      <c r="G34">
        <f t="shared" ca="1" si="4"/>
        <v>60110.453809523809</v>
      </c>
      <c r="H34">
        <f t="shared" ca="1" si="5"/>
        <v>59332.783809523811</v>
      </c>
      <c r="I34">
        <f t="shared" ca="1" si="6"/>
        <v>58555.113809523806</v>
      </c>
      <c r="J34">
        <f t="shared" ca="1" si="8"/>
        <v>44428</v>
      </c>
      <c r="K34" t="str">
        <f t="shared" ca="1" si="9"/>
        <v/>
      </c>
      <c r="L34">
        <f t="shared" ca="1" si="10"/>
        <v>2865.3923571428568</v>
      </c>
      <c r="M34">
        <f t="shared" ca="1" si="11"/>
        <v>2202.6187142857138</v>
      </c>
      <c r="N34">
        <f t="shared" ca="1" si="12"/>
        <v>1539.8450714285714</v>
      </c>
      <c r="O34" s="3">
        <f t="shared" ca="1" si="7"/>
        <v>877.07142857142856</v>
      </c>
      <c r="P34">
        <f t="shared" ca="1" si="13"/>
        <v>214.29778571428585</v>
      </c>
      <c r="Q34">
        <f t="shared" ca="1" si="14"/>
        <v>0</v>
      </c>
      <c r="R34">
        <v>0</v>
      </c>
      <c r="S34">
        <f t="shared" si="15"/>
        <v>33</v>
      </c>
    </row>
    <row r="35" spans="3:19" ht="14" customHeight="1" x14ac:dyDescent="0.2">
      <c r="C35">
        <f t="shared" ca="1" si="0"/>
        <v>64087.648095238103</v>
      </c>
      <c r="D35">
        <f t="shared" ca="1" si="1"/>
        <v>63309.978095238097</v>
      </c>
      <c r="E35">
        <f t="shared" ca="1" si="2"/>
        <v>62532.308095238099</v>
      </c>
      <c r="F35">
        <f t="shared" si="3"/>
        <v>61754.638095238101</v>
      </c>
      <c r="G35">
        <f t="shared" ca="1" si="4"/>
        <v>60976.968095238102</v>
      </c>
      <c r="H35">
        <f t="shared" ca="1" si="5"/>
        <v>60199.298095238104</v>
      </c>
      <c r="I35">
        <f t="shared" ca="1" si="6"/>
        <v>59421.628095238098</v>
      </c>
      <c r="J35">
        <f t="shared" ca="1" si="8"/>
        <v>44428</v>
      </c>
      <c r="K35" t="str">
        <f t="shared" ca="1" si="9"/>
        <v/>
      </c>
      <c r="L35">
        <f t="shared" ca="1" si="10"/>
        <v>2865.3923571428568</v>
      </c>
      <c r="M35">
        <f t="shared" ca="1" si="11"/>
        <v>2202.6187142857138</v>
      </c>
      <c r="N35">
        <f t="shared" ca="1" si="12"/>
        <v>1539.8450714285714</v>
      </c>
      <c r="O35" s="3">
        <f t="shared" ca="1" si="7"/>
        <v>877.07142857142856</v>
      </c>
      <c r="P35">
        <f t="shared" ca="1" si="13"/>
        <v>214.29778571428585</v>
      </c>
      <c r="Q35">
        <f t="shared" ca="1" si="14"/>
        <v>0</v>
      </c>
      <c r="R35">
        <v>0</v>
      </c>
      <c r="S35">
        <f t="shared" si="15"/>
        <v>34</v>
      </c>
    </row>
    <row r="36" spans="3:19" ht="14" customHeight="1" x14ac:dyDescent="0.2">
      <c r="C36">
        <f t="shared" ca="1" si="0"/>
        <v>64954.162380952381</v>
      </c>
      <c r="D36">
        <f t="shared" ca="1" si="1"/>
        <v>64176.492380952375</v>
      </c>
      <c r="E36">
        <f t="shared" ca="1" si="2"/>
        <v>63398.822380952377</v>
      </c>
      <c r="F36">
        <f t="shared" si="3"/>
        <v>62621.152380952379</v>
      </c>
      <c r="G36">
        <f t="shared" ca="1" si="4"/>
        <v>61843.48238095238</v>
      </c>
      <c r="H36">
        <f t="shared" ca="1" si="5"/>
        <v>61065.812380952382</v>
      </c>
      <c r="I36">
        <f t="shared" ca="1" si="6"/>
        <v>60288.142380952377</v>
      </c>
      <c r="J36">
        <f t="shared" ca="1" si="8"/>
        <v>44428</v>
      </c>
      <c r="K36" t="str">
        <f t="shared" ca="1" si="9"/>
        <v/>
      </c>
      <c r="L36">
        <f t="shared" ca="1" si="10"/>
        <v>2865.3923571428568</v>
      </c>
      <c r="M36">
        <f t="shared" ca="1" si="11"/>
        <v>2202.6187142857138</v>
      </c>
      <c r="N36">
        <f t="shared" ca="1" si="12"/>
        <v>1539.8450714285714</v>
      </c>
      <c r="O36" s="3">
        <f t="shared" ca="1" si="7"/>
        <v>877.07142857142856</v>
      </c>
      <c r="P36">
        <f t="shared" ca="1" si="13"/>
        <v>214.29778571428585</v>
      </c>
      <c r="Q36">
        <f t="shared" ca="1" si="14"/>
        <v>0</v>
      </c>
      <c r="R36">
        <v>0</v>
      </c>
      <c r="S36">
        <f t="shared" si="15"/>
        <v>35</v>
      </c>
    </row>
    <row r="37" spans="3:19" ht="14" customHeight="1" x14ac:dyDescent="0.2"/>
    <row r="38" spans="3:19" ht="14" customHeight="1" x14ac:dyDescent="0.2"/>
    <row r="39" spans="3:19" ht="14" customHeight="1" x14ac:dyDescent="0.2"/>
    <row r="40" spans="3:19" ht="14" customHeight="1" x14ac:dyDescent="0.2"/>
    <row r="41" spans="3:19" ht="14" customHeight="1" x14ac:dyDescent="0.2"/>
    <row r="42" spans="3:19" ht="14" customHeight="1" x14ac:dyDescent="0.2"/>
    <row r="43" spans="3:19" ht="14" customHeight="1" x14ac:dyDescent="0.2"/>
    <row r="44" spans="3:19" ht="14" customHeight="1" x14ac:dyDescent="0.2"/>
    <row r="45" spans="3:19" ht="14" customHeight="1" x14ac:dyDescent="0.2"/>
    <row r="46" spans="3:19" ht="14" customHeight="1" x14ac:dyDescent="0.2"/>
    <row r="47" spans="3:19" ht="14" customHeight="1" x14ac:dyDescent="0.2"/>
    <row r="48" spans="3:19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1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A670-8328-4749-BFB6-99A4E0943320}">
  <sheetPr>
    <tabColor rgb="FF66FF66"/>
    <pageSetUpPr fitToPage="1"/>
  </sheetPr>
  <dimension ref="A1:R52"/>
  <sheetViews>
    <sheetView zoomScale="174" zoomScaleNormal="174" workbookViewId="0">
      <selection activeCell="V18" sqref="V18"/>
    </sheetView>
  </sheetViews>
  <sheetFormatPr baseColWidth="10" defaultRowHeight="15" x14ac:dyDescent="0.2"/>
  <cols>
    <col min="1" max="1" width="5.1640625" bestFit="1" customWidth="1"/>
    <col min="2" max="20" width="7.33203125" customWidth="1"/>
  </cols>
  <sheetData>
    <row r="1" spans="1:18" ht="14" customHeight="1" x14ac:dyDescent="0.2">
      <c r="A1" s="1" t="s">
        <v>1</v>
      </c>
      <c r="B1" s="5" t="s">
        <v>7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</row>
    <row r="2" spans="1:18" ht="14" customHeight="1" x14ac:dyDescent="0.2">
      <c r="A2" t="s">
        <v>9</v>
      </c>
      <c r="B2" s="6">
        <v>0</v>
      </c>
      <c r="C2" s="6">
        <f t="shared" ref="C2:C36" ca="1" si="0">F2+2.66*O2</f>
        <v>5.0617272889034215</v>
      </c>
      <c r="D2" s="6">
        <f t="shared" ref="D2:D36" ca="1" si="1">F2+(2/3)*2.66*O2</f>
        <v>4.1038088235802892</v>
      </c>
      <c r="E2" s="6">
        <f t="shared" ref="E2:E36" ca="1" si="2">F2+(1/3)*2.66*O2</f>
        <v>3.1458903582571569</v>
      </c>
      <c r="F2" s="6">
        <f t="shared" ref="F2:F36" si="3">AVERAGE($B$2:$B$16)</f>
        <v>2.1879718929340251</v>
      </c>
      <c r="G2" s="6">
        <f t="shared" ref="G2:G36" ca="1" si="4">F2-(1/3)*2.66*O2</f>
        <v>1.230053427610893</v>
      </c>
      <c r="H2" s="6">
        <f t="shared" ref="H2:H36" ca="1" si="5">F2-(2/3)*2.66*O2</f>
        <v>0.27213496228776091</v>
      </c>
      <c r="I2" s="6">
        <f t="shared" ref="I2:I36" ca="1" si="6">F2-2.66*O2</f>
        <v>-0.68578350303537094</v>
      </c>
      <c r="J2">
        <f>B2</f>
        <v>0</v>
      </c>
      <c r="K2" s="6"/>
      <c r="L2" s="6"/>
      <c r="M2" s="6"/>
      <c r="N2" s="6"/>
      <c r="O2" s="6">
        <f t="shared" ref="O2:O36" ca="1" si="7">AVERAGE($K$2:$K$16)</f>
        <v>1.0803591714170662</v>
      </c>
      <c r="P2" s="6"/>
      <c r="Q2" s="6"/>
      <c r="R2" s="6"/>
    </row>
    <row r="3" spans="1:18" ht="14" customHeight="1" x14ac:dyDescent="0.2">
      <c r="A3" s="4" t="s">
        <v>11</v>
      </c>
      <c r="B3" s="7">
        <v>3.6299729385050861</v>
      </c>
      <c r="C3" s="7">
        <f t="shared" ca="1" si="0"/>
        <v>5.0617272889034215</v>
      </c>
      <c r="D3" s="7">
        <f t="shared" ca="1" si="1"/>
        <v>4.1038088235802892</v>
      </c>
      <c r="E3" s="7">
        <f t="shared" ca="1" si="2"/>
        <v>3.1458903582571569</v>
      </c>
      <c r="F3" s="7">
        <f t="shared" si="3"/>
        <v>2.1879718929340251</v>
      </c>
      <c r="G3" s="7">
        <f t="shared" ca="1" si="4"/>
        <v>1.230053427610893</v>
      </c>
      <c r="H3" s="7">
        <f t="shared" ca="1" si="5"/>
        <v>0.27213496228776091</v>
      </c>
      <c r="I3" s="7">
        <f t="shared" ca="1" si="6"/>
        <v>-0.68578350303537094</v>
      </c>
      <c r="J3" s="4">
        <f t="shared" ref="J3:J36" ca="1" si="8">IF(ISBLANK(B3),OFFSET(J3,-1,0,1,1),B3)</f>
        <v>3.6299729385050861</v>
      </c>
      <c r="K3" s="7">
        <f t="shared" ref="K3:K36" ca="1" si="9">IF(OR(OFFSET(K3,-1,-9,1,1)="",OFFSET(K3,0,-9,1,1)=""),"",IF(ISERROR(ABS(B3-OFFSET(K3,-1,-1,1,1))),"",ABS(B3-OFFSET(K3,-1,-1,1,1))))</f>
        <v>3.6299729385050861</v>
      </c>
      <c r="L3" s="6">
        <f t="shared" ref="L3:L36" ca="1" si="10">3.267*O3</f>
        <v>3.5295334130195553</v>
      </c>
      <c r="M3" s="6">
        <f t="shared" ref="M3:M36" ca="1" si="11">(2/3)*(L3-O3)+O3</f>
        <v>2.7131419991520591</v>
      </c>
      <c r="N3" s="6">
        <f t="shared" ref="N3:N36" ca="1" si="12">(1/3)*(L3-O3)+O3</f>
        <v>1.8967505852845625</v>
      </c>
      <c r="O3" s="6">
        <f t="shared" ca="1" si="7"/>
        <v>1.0803591714170662</v>
      </c>
      <c r="P3" s="6">
        <f t="shared" ref="P3:P36" ca="1" si="13">(MAX(O3-(1/3)*(L3-O3),0))</f>
        <v>0.2639677575495698</v>
      </c>
      <c r="Q3" s="6">
        <f t="shared" ref="Q3:Q36" ca="1" si="14">MAX(O3-(2/3)*(L3-O3),0)</f>
        <v>0</v>
      </c>
      <c r="R3" s="6">
        <v>0</v>
      </c>
    </row>
    <row r="4" spans="1:18" ht="14" customHeight="1" x14ac:dyDescent="0.2">
      <c r="A4" s="4" t="s">
        <v>12</v>
      </c>
      <c r="B4" s="7">
        <v>4.5773802377236166</v>
      </c>
      <c r="C4" s="6">
        <f t="shared" ca="1" si="0"/>
        <v>5.0617272889034215</v>
      </c>
      <c r="D4" s="6">
        <f t="shared" ca="1" si="1"/>
        <v>4.1038088235802892</v>
      </c>
      <c r="E4" s="6">
        <f t="shared" ca="1" si="2"/>
        <v>3.1458903582571569</v>
      </c>
      <c r="F4" s="6">
        <f t="shared" si="3"/>
        <v>2.1879718929340251</v>
      </c>
      <c r="G4" s="6">
        <f t="shared" ca="1" si="4"/>
        <v>1.230053427610893</v>
      </c>
      <c r="H4" s="6">
        <f t="shared" ca="1" si="5"/>
        <v>0.27213496228776091</v>
      </c>
      <c r="I4" s="6">
        <f t="shared" ca="1" si="6"/>
        <v>-0.68578350303537094</v>
      </c>
      <c r="J4">
        <f t="shared" ca="1" si="8"/>
        <v>4.5773802377236166</v>
      </c>
      <c r="K4" s="6">
        <f t="shared" ca="1" si="9"/>
        <v>0.94740729921853051</v>
      </c>
      <c r="L4" s="6">
        <f t="shared" ca="1" si="10"/>
        <v>3.5295334130195553</v>
      </c>
      <c r="M4" s="6">
        <f t="shared" ca="1" si="11"/>
        <v>2.7131419991520591</v>
      </c>
      <c r="N4" s="6">
        <f t="shared" ca="1" si="12"/>
        <v>1.8967505852845625</v>
      </c>
      <c r="O4" s="6">
        <f t="shared" ca="1" si="7"/>
        <v>1.0803591714170662</v>
      </c>
      <c r="P4" s="6">
        <f t="shared" ca="1" si="13"/>
        <v>0.2639677575495698</v>
      </c>
      <c r="Q4" s="6">
        <f t="shared" ca="1" si="14"/>
        <v>0</v>
      </c>
      <c r="R4" s="6">
        <v>0</v>
      </c>
    </row>
    <row r="5" spans="1:18" ht="14" customHeight="1" x14ac:dyDescent="0.2">
      <c r="A5" s="4" t="s">
        <v>13</v>
      </c>
      <c r="B5" s="7">
        <v>2.502798427140438</v>
      </c>
      <c r="C5" s="6">
        <f t="shared" ca="1" si="0"/>
        <v>5.0617272889034215</v>
      </c>
      <c r="D5" s="6">
        <f t="shared" ca="1" si="1"/>
        <v>4.1038088235802892</v>
      </c>
      <c r="E5" s="6">
        <f t="shared" ca="1" si="2"/>
        <v>3.1458903582571569</v>
      </c>
      <c r="F5" s="6">
        <f t="shared" si="3"/>
        <v>2.1879718929340251</v>
      </c>
      <c r="G5" s="6">
        <f t="shared" ca="1" si="4"/>
        <v>1.230053427610893</v>
      </c>
      <c r="H5" s="6">
        <f t="shared" ca="1" si="5"/>
        <v>0.27213496228776091</v>
      </c>
      <c r="I5" s="6">
        <f t="shared" ca="1" si="6"/>
        <v>-0.68578350303537094</v>
      </c>
      <c r="J5">
        <f t="shared" ca="1" si="8"/>
        <v>2.502798427140438</v>
      </c>
      <c r="K5" s="6">
        <f t="shared" ca="1" si="9"/>
        <v>2.0745818105831786</v>
      </c>
      <c r="L5" s="6">
        <f t="shared" ca="1" si="10"/>
        <v>3.5295334130195553</v>
      </c>
      <c r="M5" s="6">
        <f t="shared" ca="1" si="11"/>
        <v>2.7131419991520591</v>
      </c>
      <c r="N5" s="6">
        <f t="shared" ca="1" si="12"/>
        <v>1.8967505852845625</v>
      </c>
      <c r="O5" s="6">
        <f t="shared" ca="1" si="7"/>
        <v>1.0803591714170662</v>
      </c>
      <c r="P5" s="6">
        <f t="shared" ca="1" si="13"/>
        <v>0.2639677575495698</v>
      </c>
      <c r="Q5" s="6">
        <f t="shared" ca="1" si="14"/>
        <v>0</v>
      </c>
      <c r="R5" s="6">
        <v>0</v>
      </c>
    </row>
    <row r="6" spans="1:18" ht="14" customHeight="1" x14ac:dyDescent="0.2">
      <c r="A6" s="4" t="s">
        <v>14</v>
      </c>
      <c r="B6" s="7">
        <v>2.7272981827345779</v>
      </c>
      <c r="C6" s="6">
        <f t="shared" ca="1" si="0"/>
        <v>5.0617272889034215</v>
      </c>
      <c r="D6" s="6">
        <f t="shared" ca="1" si="1"/>
        <v>4.1038088235802892</v>
      </c>
      <c r="E6" s="6">
        <f t="shared" ca="1" si="2"/>
        <v>3.1458903582571569</v>
      </c>
      <c r="F6" s="6">
        <f t="shared" si="3"/>
        <v>2.1879718929340251</v>
      </c>
      <c r="G6" s="6">
        <f t="shared" ca="1" si="4"/>
        <v>1.230053427610893</v>
      </c>
      <c r="H6" s="6">
        <f t="shared" ca="1" si="5"/>
        <v>0.27213496228776091</v>
      </c>
      <c r="I6" s="6">
        <f t="shared" ca="1" si="6"/>
        <v>-0.68578350303537094</v>
      </c>
      <c r="J6">
        <f t="shared" ca="1" si="8"/>
        <v>2.7272981827345779</v>
      </c>
      <c r="K6" s="6">
        <f t="shared" ca="1" si="9"/>
        <v>0.22449975559413993</v>
      </c>
      <c r="L6" s="6">
        <f t="shared" ca="1" si="10"/>
        <v>3.5295334130195553</v>
      </c>
      <c r="M6" s="6">
        <f t="shared" ca="1" si="11"/>
        <v>2.7131419991520591</v>
      </c>
      <c r="N6" s="6">
        <f t="shared" ca="1" si="12"/>
        <v>1.8967505852845625</v>
      </c>
      <c r="O6" s="6">
        <f t="shared" ca="1" si="7"/>
        <v>1.0803591714170662</v>
      </c>
      <c r="P6" s="6">
        <f t="shared" ca="1" si="13"/>
        <v>0.2639677575495698</v>
      </c>
      <c r="Q6" s="6">
        <f t="shared" ca="1" si="14"/>
        <v>0</v>
      </c>
      <c r="R6" s="6">
        <v>0</v>
      </c>
    </row>
    <row r="7" spans="1:18" ht="14" customHeight="1" x14ac:dyDescent="0.2">
      <c r="A7" s="4" t="s">
        <v>15</v>
      </c>
      <c r="B7" s="7">
        <v>2.6467140949110042</v>
      </c>
      <c r="C7" s="6">
        <f t="shared" ca="1" si="0"/>
        <v>5.0617272889034215</v>
      </c>
      <c r="D7" s="6">
        <f t="shared" ca="1" si="1"/>
        <v>4.1038088235802892</v>
      </c>
      <c r="E7" s="6">
        <f t="shared" ca="1" si="2"/>
        <v>3.1458903582571569</v>
      </c>
      <c r="F7" s="6">
        <f t="shared" si="3"/>
        <v>2.1879718929340251</v>
      </c>
      <c r="G7" s="6">
        <f t="shared" ca="1" si="4"/>
        <v>1.230053427610893</v>
      </c>
      <c r="H7" s="6">
        <f t="shared" ca="1" si="5"/>
        <v>0.27213496228776091</v>
      </c>
      <c r="I7" s="6">
        <f t="shared" ca="1" si="6"/>
        <v>-0.68578350303537094</v>
      </c>
      <c r="J7">
        <f t="shared" ca="1" si="8"/>
        <v>2.6467140949110042</v>
      </c>
      <c r="K7" s="6">
        <f t="shared" ca="1" si="9"/>
        <v>8.0584087823573736E-2</v>
      </c>
      <c r="L7" s="6">
        <f t="shared" ca="1" si="10"/>
        <v>3.5295334130195553</v>
      </c>
      <c r="M7" s="6">
        <f t="shared" ca="1" si="11"/>
        <v>2.7131419991520591</v>
      </c>
      <c r="N7" s="6">
        <f t="shared" ca="1" si="12"/>
        <v>1.8967505852845625</v>
      </c>
      <c r="O7" s="6">
        <f t="shared" ca="1" si="7"/>
        <v>1.0803591714170662</v>
      </c>
      <c r="P7" s="6">
        <f t="shared" ca="1" si="13"/>
        <v>0.2639677575495698</v>
      </c>
      <c r="Q7" s="6">
        <f t="shared" ca="1" si="14"/>
        <v>0</v>
      </c>
      <c r="R7" s="6">
        <v>0</v>
      </c>
    </row>
    <row r="8" spans="1:18" ht="14" customHeight="1" x14ac:dyDescent="0.2">
      <c r="A8" s="4" t="s">
        <v>16</v>
      </c>
      <c r="B8" s="7">
        <v>3.815922247596792</v>
      </c>
      <c r="C8" s="6">
        <f t="shared" ca="1" si="0"/>
        <v>5.0617272889034215</v>
      </c>
      <c r="D8" s="6">
        <f t="shared" ca="1" si="1"/>
        <v>4.1038088235802892</v>
      </c>
      <c r="E8" s="6">
        <f t="shared" ca="1" si="2"/>
        <v>3.1458903582571569</v>
      </c>
      <c r="F8" s="6">
        <f t="shared" si="3"/>
        <v>2.1879718929340251</v>
      </c>
      <c r="G8" s="6">
        <f t="shared" ca="1" si="4"/>
        <v>1.230053427610893</v>
      </c>
      <c r="H8" s="6">
        <f t="shared" ca="1" si="5"/>
        <v>0.27213496228776091</v>
      </c>
      <c r="I8" s="6">
        <f t="shared" ca="1" si="6"/>
        <v>-0.68578350303537094</v>
      </c>
      <c r="J8">
        <f t="shared" ca="1" si="8"/>
        <v>3.815922247596792</v>
      </c>
      <c r="K8" s="6">
        <f t="shared" ca="1" si="9"/>
        <v>1.1692081526857878</v>
      </c>
      <c r="L8" s="6">
        <f t="shared" ca="1" si="10"/>
        <v>3.5295334130195553</v>
      </c>
      <c r="M8" s="6">
        <f t="shared" ca="1" si="11"/>
        <v>2.7131419991520591</v>
      </c>
      <c r="N8" s="6">
        <f t="shared" ca="1" si="12"/>
        <v>1.8967505852845625</v>
      </c>
      <c r="O8" s="6">
        <f t="shared" ca="1" si="7"/>
        <v>1.0803591714170662</v>
      </c>
      <c r="P8" s="6">
        <f t="shared" ca="1" si="13"/>
        <v>0.2639677575495698</v>
      </c>
      <c r="Q8" s="6">
        <f t="shared" ca="1" si="14"/>
        <v>0</v>
      </c>
      <c r="R8" s="6">
        <v>0</v>
      </c>
    </row>
    <row r="9" spans="1:18" ht="14" customHeight="1" x14ac:dyDescent="0.2">
      <c r="A9" s="4" t="s">
        <v>17</v>
      </c>
      <c r="B9" s="7">
        <v>2.5757769535746262</v>
      </c>
      <c r="C9" s="6">
        <f t="shared" ca="1" si="0"/>
        <v>5.0617272889034215</v>
      </c>
      <c r="D9" s="6">
        <f t="shared" ca="1" si="1"/>
        <v>4.1038088235802892</v>
      </c>
      <c r="E9" s="6">
        <f t="shared" ca="1" si="2"/>
        <v>3.1458903582571569</v>
      </c>
      <c r="F9" s="6">
        <f t="shared" si="3"/>
        <v>2.1879718929340251</v>
      </c>
      <c r="G9" s="6">
        <f t="shared" ca="1" si="4"/>
        <v>1.230053427610893</v>
      </c>
      <c r="H9" s="6">
        <f t="shared" ca="1" si="5"/>
        <v>0.27213496228776091</v>
      </c>
      <c r="I9" s="6">
        <f t="shared" ca="1" si="6"/>
        <v>-0.68578350303537094</v>
      </c>
      <c r="J9">
        <f t="shared" ca="1" si="8"/>
        <v>2.5757769535746262</v>
      </c>
      <c r="K9" s="6">
        <f t="shared" ca="1" si="9"/>
        <v>1.2401452940221658</v>
      </c>
      <c r="L9" s="6">
        <f t="shared" ca="1" si="10"/>
        <v>3.5295334130195553</v>
      </c>
      <c r="M9" s="6">
        <f t="shared" ca="1" si="11"/>
        <v>2.7131419991520591</v>
      </c>
      <c r="N9" s="6">
        <f t="shared" ca="1" si="12"/>
        <v>1.8967505852845625</v>
      </c>
      <c r="O9" s="6">
        <f t="shared" ca="1" si="7"/>
        <v>1.0803591714170662</v>
      </c>
      <c r="P9" s="6">
        <f t="shared" ca="1" si="13"/>
        <v>0.2639677575495698</v>
      </c>
      <c r="Q9" s="6">
        <f t="shared" ca="1" si="14"/>
        <v>0</v>
      </c>
      <c r="R9" s="6">
        <v>0</v>
      </c>
    </row>
    <row r="10" spans="1:18" ht="14" customHeight="1" x14ac:dyDescent="0.2">
      <c r="A10" s="4" t="s">
        <v>18</v>
      </c>
      <c r="B10" s="7">
        <v>2.326567253503566</v>
      </c>
      <c r="C10" s="6">
        <f t="shared" ca="1" si="0"/>
        <v>5.0617272889034215</v>
      </c>
      <c r="D10" s="6">
        <f t="shared" ca="1" si="1"/>
        <v>4.1038088235802892</v>
      </c>
      <c r="E10" s="6">
        <f t="shared" ca="1" si="2"/>
        <v>3.1458903582571569</v>
      </c>
      <c r="F10" s="6">
        <f t="shared" si="3"/>
        <v>2.1879718929340251</v>
      </c>
      <c r="G10" s="6">
        <f t="shared" ca="1" si="4"/>
        <v>1.230053427610893</v>
      </c>
      <c r="H10" s="6">
        <f t="shared" ca="1" si="5"/>
        <v>0.27213496228776091</v>
      </c>
      <c r="I10" s="6">
        <f t="shared" ca="1" si="6"/>
        <v>-0.68578350303537094</v>
      </c>
      <c r="J10">
        <f t="shared" ca="1" si="8"/>
        <v>2.326567253503566</v>
      </c>
      <c r="K10" s="6">
        <f t="shared" ca="1" si="9"/>
        <v>0.24920970007106025</v>
      </c>
      <c r="L10" s="6">
        <f t="shared" ca="1" si="10"/>
        <v>3.5295334130195553</v>
      </c>
      <c r="M10" s="6">
        <f t="shared" ca="1" si="11"/>
        <v>2.7131419991520591</v>
      </c>
      <c r="N10" s="6">
        <f t="shared" ca="1" si="12"/>
        <v>1.8967505852845625</v>
      </c>
      <c r="O10" s="6">
        <f t="shared" ca="1" si="7"/>
        <v>1.0803591714170662</v>
      </c>
      <c r="P10" s="6">
        <f t="shared" ca="1" si="13"/>
        <v>0.2639677575495698</v>
      </c>
      <c r="Q10" s="6">
        <f t="shared" ca="1" si="14"/>
        <v>0</v>
      </c>
      <c r="R10" s="6">
        <v>0</v>
      </c>
    </row>
    <row r="11" spans="1:18" ht="14" customHeight="1" x14ac:dyDescent="0.2">
      <c r="A11" s="4" t="s">
        <v>19</v>
      </c>
      <c r="B11" s="7">
        <v>2.4540026806384789</v>
      </c>
      <c r="C11" s="6">
        <f t="shared" ca="1" si="0"/>
        <v>5.0617272889034215</v>
      </c>
      <c r="D11" s="6">
        <f t="shared" ca="1" si="1"/>
        <v>4.1038088235802892</v>
      </c>
      <c r="E11" s="6">
        <f t="shared" ca="1" si="2"/>
        <v>3.1458903582571569</v>
      </c>
      <c r="F11" s="6">
        <f t="shared" si="3"/>
        <v>2.1879718929340251</v>
      </c>
      <c r="G11" s="6">
        <f t="shared" ca="1" si="4"/>
        <v>1.230053427610893</v>
      </c>
      <c r="H11" s="6">
        <f t="shared" ca="1" si="5"/>
        <v>0.27213496228776091</v>
      </c>
      <c r="I11" s="6">
        <f t="shared" ca="1" si="6"/>
        <v>-0.68578350303537094</v>
      </c>
      <c r="J11">
        <f t="shared" ca="1" si="8"/>
        <v>2.4540026806384789</v>
      </c>
      <c r="K11" s="6">
        <f t="shared" ca="1" si="9"/>
        <v>0.12743542713491296</v>
      </c>
      <c r="L11" s="6">
        <f t="shared" ca="1" si="10"/>
        <v>3.5295334130195553</v>
      </c>
      <c r="M11" s="6">
        <f t="shared" ca="1" si="11"/>
        <v>2.7131419991520591</v>
      </c>
      <c r="N11" s="6">
        <f t="shared" ca="1" si="12"/>
        <v>1.8967505852845625</v>
      </c>
      <c r="O11" s="6">
        <f t="shared" ca="1" si="7"/>
        <v>1.0803591714170662</v>
      </c>
      <c r="P11" s="6">
        <f t="shared" ca="1" si="13"/>
        <v>0.2639677575495698</v>
      </c>
      <c r="Q11" s="6">
        <f t="shared" ca="1" si="14"/>
        <v>0</v>
      </c>
      <c r="R11" s="6">
        <v>0</v>
      </c>
    </row>
    <row r="12" spans="1:18" ht="14" customHeight="1" x14ac:dyDescent="0.2">
      <c r="A12" t="s">
        <v>20</v>
      </c>
      <c r="B12" s="6">
        <v>0.2616431187859759</v>
      </c>
      <c r="C12" s="6">
        <f t="shared" ca="1" si="0"/>
        <v>5.0617272889034215</v>
      </c>
      <c r="D12" s="6">
        <f t="shared" ca="1" si="1"/>
        <v>4.1038088235802892</v>
      </c>
      <c r="E12" s="6">
        <f t="shared" ca="1" si="2"/>
        <v>3.1458903582571569</v>
      </c>
      <c r="F12" s="6">
        <f t="shared" si="3"/>
        <v>2.1879718929340251</v>
      </c>
      <c r="G12" s="6">
        <f t="shared" ca="1" si="4"/>
        <v>1.230053427610893</v>
      </c>
      <c r="H12" s="6">
        <f t="shared" ca="1" si="5"/>
        <v>0.27213496228776091</v>
      </c>
      <c r="I12" s="6">
        <f t="shared" ca="1" si="6"/>
        <v>-0.68578350303537094</v>
      </c>
      <c r="J12">
        <f t="shared" ca="1" si="8"/>
        <v>0.2616431187859759</v>
      </c>
      <c r="K12" s="6">
        <f t="shared" ca="1" si="9"/>
        <v>2.1923595618525029</v>
      </c>
      <c r="L12" s="6">
        <f t="shared" ca="1" si="10"/>
        <v>3.5295334130195553</v>
      </c>
      <c r="M12" s="6">
        <f t="shared" ca="1" si="11"/>
        <v>2.7131419991520591</v>
      </c>
      <c r="N12" s="6">
        <f t="shared" ca="1" si="12"/>
        <v>1.8967505852845625</v>
      </c>
      <c r="O12" s="6">
        <f t="shared" ca="1" si="7"/>
        <v>1.0803591714170662</v>
      </c>
      <c r="P12" s="6">
        <f t="shared" ca="1" si="13"/>
        <v>0.2639677575495698</v>
      </c>
      <c r="Q12" s="6">
        <f t="shared" ca="1" si="14"/>
        <v>0</v>
      </c>
      <c r="R12" s="6">
        <v>0</v>
      </c>
    </row>
    <row r="13" spans="1:18" ht="14" customHeight="1" x14ac:dyDescent="0.2">
      <c r="A13" t="s">
        <v>21</v>
      </c>
      <c r="B13" s="6">
        <v>1.2502372366672989</v>
      </c>
      <c r="C13" s="6">
        <f t="shared" ca="1" si="0"/>
        <v>5.0617272889034215</v>
      </c>
      <c r="D13" s="6">
        <f t="shared" ca="1" si="1"/>
        <v>4.1038088235802892</v>
      </c>
      <c r="E13" s="6">
        <f t="shared" ca="1" si="2"/>
        <v>3.1458903582571569</v>
      </c>
      <c r="F13" s="6">
        <f t="shared" si="3"/>
        <v>2.1879718929340251</v>
      </c>
      <c r="G13" s="6">
        <f t="shared" ca="1" si="4"/>
        <v>1.230053427610893</v>
      </c>
      <c r="H13" s="6">
        <f t="shared" ca="1" si="5"/>
        <v>0.27213496228776091</v>
      </c>
      <c r="I13" s="6">
        <f t="shared" ca="1" si="6"/>
        <v>-0.68578350303537094</v>
      </c>
      <c r="J13">
        <f t="shared" ca="1" si="8"/>
        <v>1.2502372366672989</v>
      </c>
      <c r="K13" s="6">
        <f t="shared" ca="1" si="9"/>
        <v>0.98859411788132301</v>
      </c>
      <c r="L13" s="6">
        <f t="shared" ca="1" si="10"/>
        <v>3.5295334130195553</v>
      </c>
      <c r="M13" s="6">
        <f t="shared" ca="1" si="11"/>
        <v>2.7131419991520591</v>
      </c>
      <c r="N13" s="6">
        <f t="shared" ca="1" si="12"/>
        <v>1.8967505852845625</v>
      </c>
      <c r="O13" s="6">
        <f t="shared" ca="1" si="7"/>
        <v>1.0803591714170662</v>
      </c>
      <c r="P13" s="6">
        <f t="shared" ca="1" si="13"/>
        <v>0.2639677575495698</v>
      </c>
      <c r="Q13" s="6">
        <f t="shared" ca="1" si="14"/>
        <v>0</v>
      </c>
      <c r="R13" s="6">
        <v>0</v>
      </c>
    </row>
    <row r="14" spans="1:18" ht="14" customHeight="1" x14ac:dyDescent="0.2">
      <c r="A14" t="s">
        <v>22</v>
      </c>
      <c r="B14" s="6">
        <v>0.9559736638627897</v>
      </c>
      <c r="C14" s="6">
        <f t="shared" ca="1" si="0"/>
        <v>5.0617272889034215</v>
      </c>
      <c r="D14" s="6">
        <f t="shared" ca="1" si="1"/>
        <v>4.1038088235802892</v>
      </c>
      <c r="E14" s="6">
        <f t="shared" ca="1" si="2"/>
        <v>3.1458903582571569</v>
      </c>
      <c r="F14" s="6">
        <f t="shared" si="3"/>
        <v>2.1879718929340251</v>
      </c>
      <c r="G14" s="6">
        <f t="shared" ca="1" si="4"/>
        <v>1.230053427610893</v>
      </c>
      <c r="H14" s="6">
        <f t="shared" ca="1" si="5"/>
        <v>0.27213496228776091</v>
      </c>
      <c r="I14" s="6">
        <f t="shared" ca="1" si="6"/>
        <v>-0.68578350303537094</v>
      </c>
      <c r="J14">
        <f t="shared" ca="1" si="8"/>
        <v>0.9559736638627897</v>
      </c>
      <c r="K14" s="6">
        <f t="shared" ca="1" si="9"/>
        <v>0.29426357280450921</v>
      </c>
      <c r="L14" s="6">
        <f t="shared" ca="1" si="10"/>
        <v>3.5295334130195553</v>
      </c>
      <c r="M14" s="6">
        <f t="shared" ca="1" si="11"/>
        <v>2.7131419991520591</v>
      </c>
      <c r="N14" s="6">
        <f t="shared" ca="1" si="12"/>
        <v>1.8967505852845625</v>
      </c>
      <c r="O14" s="6">
        <f t="shared" ca="1" si="7"/>
        <v>1.0803591714170662</v>
      </c>
      <c r="P14" s="6">
        <f t="shared" ca="1" si="13"/>
        <v>0.2639677575495698</v>
      </c>
      <c r="Q14" s="6">
        <f t="shared" ca="1" si="14"/>
        <v>0</v>
      </c>
      <c r="R14" s="6">
        <v>0</v>
      </c>
    </row>
    <row r="15" spans="1:18" ht="14" customHeight="1" x14ac:dyDescent="0.2">
      <c r="A15" t="s">
        <v>23</v>
      </c>
      <c r="B15" s="6">
        <v>0.71483278018892005</v>
      </c>
      <c r="C15" s="6">
        <f t="shared" ca="1" si="0"/>
        <v>5.0617272889034215</v>
      </c>
      <c r="D15" s="6">
        <f t="shared" ca="1" si="1"/>
        <v>4.1038088235802892</v>
      </c>
      <c r="E15" s="6">
        <f t="shared" ca="1" si="2"/>
        <v>3.1458903582571569</v>
      </c>
      <c r="F15" s="6">
        <f t="shared" si="3"/>
        <v>2.1879718929340251</v>
      </c>
      <c r="G15" s="6">
        <f t="shared" ca="1" si="4"/>
        <v>1.230053427610893</v>
      </c>
      <c r="H15" s="6">
        <f t="shared" ca="1" si="5"/>
        <v>0.27213496228776091</v>
      </c>
      <c r="I15" s="6">
        <f t="shared" ca="1" si="6"/>
        <v>-0.68578350303537094</v>
      </c>
      <c r="J15">
        <f t="shared" ca="1" si="8"/>
        <v>0.71483278018892005</v>
      </c>
      <c r="K15" s="6">
        <f t="shared" ca="1" si="9"/>
        <v>0.24114088367386965</v>
      </c>
      <c r="L15" s="6">
        <f t="shared" ca="1" si="10"/>
        <v>3.5295334130195553</v>
      </c>
      <c r="M15" s="6">
        <f t="shared" ca="1" si="11"/>
        <v>2.7131419991520591</v>
      </c>
      <c r="N15" s="6">
        <f t="shared" ca="1" si="12"/>
        <v>1.8967505852845625</v>
      </c>
      <c r="O15" s="6">
        <f t="shared" ca="1" si="7"/>
        <v>1.0803591714170662</v>
      </c>
      <c r="P15" s="6">
        <f t="shared" ca="1" si="13"/>
        <v>0.2639677575495698</v>
      </c>
      <c r="Q15" s="6">
        <f t="shared" ca="1" si="14"/>
        <v>0</v>
      </c>
      <c r="R15" s="6">
        <v>0</v>
      </c>
    </row>
    <row r="16" spans="1:18" ht="14" customHeight="1" x14ac:dyDescent="0.2">
      <c r="A16" t="s">
        <v>24</v>
      </c>
      <c r="B16" s="6">
        <v>2.3804585781772092</v>
      </c>
      <c r="C16" s="6">
        <f t="shared" ca="1" si="0"/>
        <v>5.0617272889034215</v>
      </c>
      <c r="D16" s="6">
        <f t="shared" ca="1" si="1"/>
        <v>4.1038088235802892</v>
      </c>
      <c r="E16" s="6">
        <f t="shared" ca="1" si="2"/>
        <v>3.1458903582571569</v>
      </c>
      <c r="F16" s="6">
        <f t="shared" si="3"/>
        <v>2.1879718929340251</v>
      </c>
      <c r="G16" s="6">
        <f t="shared" ca="1" si="4"/>
        <v>1.230053427610893</v>
      </c>
      <c r="H16" s="6">
        <f t="shared" ca="1" si="5"/>
        <v>0.27213496228776091</v>
      </c>
      <c r="I16" s="6">
        <f t="shared" ca="1" si="6"/>
        <v>-0.68578350303537094</v>
      </c>
      <c r="J16">
        <f t="shared" ca="1" si="8"/>
        <v>2.3804585781772092</v>
      </c>
      <c r="K16" s="6">
        <f t="shared" ca="1" si="9"/>
        <v>1.6656257979882891</v>
      </c>
      <c r="L16" s="6">
        <f t="shared" ca="1" si="10"/>
        <v>3.5295334130195553</v>
      </c>
      <c r="M16" s="6">
        <f t="shared" ca="1" si="11"/>
        <v>2.7131419991520591</v>
      </c>
      <c r="N16" s="6">
        <f t="shared" ca="1" si="12"/>
        <v>1.8967505852845625</v>
      </c>
      <c r="O16" s="6">
        <f t="shared" ca="1" si="7"/>
        <v>1.0803591714170662</v>
      </c>
      <c r="P16" s="6">
        <f t="shared" ca="1" si="13"/>
        <v>0.2639677575495698</v>
      </c>
      <c r="Q16" s="6">
        <f t="shared" ca="1" si="14"/>
        <v>0</v>
      </c>
      <c r="R16" s="6">
        <v>0</v>
      </c>
    </row>
    <row r="17" spans="2:18" ht="14" customHeight="1" x14ac:dyDescent="0.2">
      <c r="B17" s="6"/>
      <c r="C17" s="6">
        <f t="shared" ca="1" si="0"/>
        <v>5.0617272889034215</v>
      </c>
      <c r="D17" s="6">
        <f t="shared" ca="1" si="1"/>
        <v>4.1038088235802892</v>
      </c>
      <c r="E17" s="6">
        <f t="shared" ca="1" si="2"/>
        <v>3.1458903582571569</v>
      </c>
      <c r="F17" s="6">
        <f t="shared" si="3"/>
        <v>2.1879718929340251</v>
      </c>
      <c r="G17" s="6">
        <f t="shared" ca="1" si="4"/>
        <v>1.230053427610893</v>
      </c>
      <c r="H17" s="6">
        <f t="shared" ca="1" si="5"/>
        <v>0.27213496228776091</v>
      </c>
      <c r="I17" s="6">
        <f t="shared" ca="1" si="6"/>
        <v>-0.68578350303537094</v>
      </c>
      <c r="J17">
        <f t="shared" ca="1" si="8"/>
        <v>2.3804585781772092</v>
      </c>
      <c r="K17" t="str">
        <f t="shared" ca="1" si="9"/>
        <v/>
      </c>
      <c r="L17">
        <f t="shared" ca="1" si="10"/>
        <v>3.5295334130195553</v>
      </c>
      <c r="M17">
        <f t="shared" ca="1" si="11"/>
        <v>2.7131419991520591</v>
      </c>
      <c r="N17">
        <f t="shared" ca="1" si="12"/>
        <v>1.8967505852845625</v>
      </c>
      <c r="O17" s="6">
        <f t="shared" ca="1" si="7"/>
        <v>1.0803591714170662</v>
      </c>
      <c r="P17">
        <f t="shared" ca="1" si="13"/>
        <v>0.2639677575495698</v>
      </c>
      <c r="Q17">
        <f t="shared" ca="1" si="14"/>
        <v>0</v>
      </c>
      <c r="R17">
        <v>0</v>
      </c>
    </row>
    <row r="18" spans="2:18" ht="14" customHeight="1" x14ac:dyDescent="0.2">
      <c r="B18" s="6"/>
      <c r="C18" s="6">
        <f t="shared" ca="1" si="0"/>
        <v>5.0617272889034215</v>
      </c>
      <c r="D18" s="6">
        <f t="shared" ca="1" si="1"/>
        <v>4.1038088235802892</v>
      </c>
      <c r="E18" s="6">
        <f t="shared" ca="1" si="2"/>
        <v>3.1458903582571569</v>
      </c>
      <c r="F18" s="6">
        <f t="shared" si="3"/>
        <v>2.1879718929340251</v>
      </c>
      <c r="G18" s="6">
        <f t="shared" ca="1" si="4"/>
        <v>1.230053427610893</v>
      </c>
      <c r="H18" s="6">
        <f t="shared" ca="1" si="5"/>
        <v>0.27213496228776091</v>
      </c>
      <c r="I18" s="6">
        <f t="shared" ca="1" si="6"/>
        <v>-0.68578350303537094</v>
      </c>
      <c r="J18">
        <f t="shared" ca="1" si="8"/>
        <v>2.3804585781772092</v>
      </c>
      <c r="K18" t="str">
        <f t="shared" ca="1" si="9"/>
        <v/>
      </c>
      <c r="L18">
        <f t="shared" ca="1" si="10"/>
        <v>3.5295334130195553</v>
      </c>
      <c r="M18">
        <f t="shared" ca="1" si="11"/>
        <v>2.7131419991520591</v>
      </c>
      <c r="N18">
        <f t="shared" ca="1" si="12"/>
        <v>1.8967505852845625</v>
      </c>
      <c r="O18" s="6">
        <f t="shared" ca="1" si="7"/>
        <v>1.0803591714170662</v>
      </c>
      <c r="P18">
        <f t="shared" ca="1" si="13"/>
        <v>0.2639677575495698</v>
      </c>
      <c r="Q18">
        <f t="shared" ca="1" si="14"/>
        <v>0</v>
      </c>
      <c r="R18">
        <v>0</v>
      </c>
    </row>
    <row r="19" spans="2:18" ht="14" customHeight="1" x14ac:dyDescent="0.2">
      <c r="B19" s="6"/>
      <c r="C19" s="6">
        <f t="shared" ca="1" si="0"/>
        <v>5.0617272889034215</v>
      </c>
      <c r="D19" s="6">
        <f t="shared" ca="1" si="1"/>
        <v>4.1038088235802892</v>
      </c>
      <c r="E19" s="6">
        <f t="shared" ca="1" si="2"/>
        <v>3.1458903582571569</v>
      </c>
      <c r="F19" s="6">
        <f t="shared" si="3"/>
        <v>2.1879718929340251</v>
      </c>
      <c r="G19" s="6">
        <f t="shared" ca="1" si="4"/>
        <v>1.230053427610893</v>
      </c>
      <c r="H19" s="6">
        <f t="shared" ca="1" si="5"/>
        <v>0.27213496228776091</v>
      </c>
      <c r="I19" s="6">
        <f t="shared" ca="1" si="6"/>
        <v>-0.68578350303537094</v>
      </c>
      <c r="J19">
        <f t="shared" ca="1" si="8"/>
        <v>2.3804585781772092</v>
      </c>
      <c r="K19" t="str">
        <f t="shared" ca="1" si="9"/>
        <v/>
      </c>
      <c r="L19">
        <f t="shared" ca="1" si="10"/>
        <v>3.5295334130195553</v>
      </c>
      <c r="M19">
        <f t="shared" ca="1" si="11"/>
        <v>2.7131419991520591</v>
      </c>
      <c r="N19">
        <f t="shared" ca="1" si="12"/>
        <v>1.8967505852845625</v>
      </c>
      <c r="O19" s="6">
        <f t="shared" ca="1" si="7"/>
        <v>1.0803591714170662</v>
      </c>
      <c r="P19">
        <f t="shared" ca="1" si="13"/>
        <v>0.2639677575495698</v>
      </c>
      <c r="Q19">
        <f t="shared" ca="1" si="14"/>
        <v>0</v>
      </c>
      <c r="R19">
        <v>0</v>
      </c>
    </row>
    <row r="20" spans="2:18" ht="14" customHeight="1" x14ac:dyDescent="0.2">
      <c r="B20" s="6"/>
      <c r="C20" s="6">
        <f t="shared" ca="1" si="0"/>
        <v>5.0617272889034215</v>
      </c>
      <c r="D20" s="6">
        <f t="shared" ca="1" si="1"/>
        <v>4.1038088235802892</v>
      </c>
      <c r="E20" s="6">
        <f t="shared" ca="1" si="2"/>
        <v>3.1458903582571569</v>
      </c>
      <c r="F20" s="6">
        <f t="shared" si="3"/>
        <v>2.1879718929340251</v>
      </c>
      <c r="G20" s="6">
        <f t="shared" ca="1" si="4"/>
        <v>1.230053427610893</v>
      </c>
      <c r="H20" s="6">
        <f t="shared" ca="1" si="5"/>
        <v>0.27213496228776091</v>
      </c>
      <c r="I20" s="6">
        <f t="shared" ca="1" si="6"/>
        <v>-0.68578350303537094</v>
      </c>
      <c r="J20">
        <f t="shared" ca="1" si="8"/>
        <v>2.3804585781772092</v>
      </c>
      <c r="K20" t="str">
        <f t="shared" ca="1" si="9"/>
        <v/>
      </c>
      <c r="L20">
        <f t="shared" ca="1" si="10"/>
        <v>3.5295334130195553</v>
      </c>
      <c r="M20">
        <f t="shared" ca="1" si="11"/>
        <v>2.7131419991520591</v>
      </c>
      <c r="N20">
        <f t="shared" ca="1" si="12"/>
        <v>1.8967505852845625</v>
      </c>
      <c r="O20" s="6">
        <f t="shared" ca="1" si="7"/>
        <v>1.0803591714170662</v>
      </c>
      <c r="P20">
        <f t="shared" ca="1" si="13"/>
        <v>0.2639677575495698</v>
      </c>
      <c r="Q20">
        <f t="shared" ca="1" si="14"/>
        <v>0</v>
      </c>
      <c r="R20">
        <v>0</v>
      </c>
    </row>
    <row r="21" spans="2:18" ht="14" customHeight="1" x14ac:dyDescent="0.2">
      <c r="B21" s="6"/>
      <c r="C21" s="6">
        <f t="shared" ca="1" si="0"/>
        <v>5.0617272889034215</v>
      </c>
      <c r="D21" s="6">
        <f t="shared" ca="1" si="1"/>
        <v>4.1038088235802892</v>
      </c>
      <c r="E21" s="6">
        <f t="shared" ca="1" si="2"/>
        <v>3.1458903582571569</v>
      </c>
      <c r="F21" s="6">
        <f t="shared" si="3"/>
        <v>2.1879718929340251</v>
      </c>
      <c r="G21" s="6">
        <f t="shared" ca="1" si="4"/>
        <v>1.230053427610893</v>
      </c>
      <c r="H21" s="6">
        <f t="shared" ca="1" si="5"/>
        <v>0.27213496228776091</v>
      </c>
      <c r="I21" s="6">
        <f t="shared" ca="1" si="6"/>
        <v>-0.68578350303537094</v>
      </c>
      <c r="J21">
        <f t="shared" ca="1" si="8"/>
        <v>2.3804585781772092</v>
      </c>
      <c r="K21" t="str">
        <f t="shared" ca="1" si="9"/>
        <v/>
      </c>
      <c r="L21">
        <f t="shared" ca="1" si="10"/>
        <v>3.5295334130195553</v>
      </c>
      <c r="M21">
        <f t="shared" ca="1" si="11"/>
        <v>2.7131419991520591</v>
      </c>
      <c r="N21">
        <f t="shared" ca="1" si="12"/>
        <v>1.8967505852845625</v>
      </c>
      <c r="O21" s="6">
        <f t="shared" ca="1" si="7"/>
        <v>1.0803591714170662</v>
      </c>
      <c r="P21">
        <f t="shared" ca="1" si="13"/>
        <v>0.2639677575495698</v>
      </c>
      <c r="Q21">
        <f t="shared" ca="1" si="14"/>
        <v>0</v>
      </c>
      <c r="R21">
        <v>0</v>
      </c>
    </row>
    <row r="22" spans="2:18" ht="14" customHeight="1" x14ac:dyDescent="0.2">
      <c r="B22" s="6"/>
      <c r="C22" s="6">
        <f t="shared" ca="1" si="0"/>
        <v>5.0617272889034215</v>
      </c>
      <c r="D22" s="6">
        <f t="shared" ca="1" si="1"/>
        <v>4.1038088235802892</v>
      </c>
      <c r="E22" s="6">
        <f t="shared" ca="1" si="2"/>
        <v>3.1458903582571569</v>
      </c>
      <c r="F22" s="6">
        <f t="shared" si="3"/>
        <v>2.1879718929340251</v>
      </c>
      <c r="G22" s="6">
        <f t="shared" ca="1" si="4"/>
        <v>1.230053427610893</v>
      </c>
      <c r="H22" s="6">
        <f t="shared" ca="1" si="5"/>
        <v>0.27213496228776091</v>
      </c>
      <c r="I22" s="6">
        <f t="shared" ca="1" si="6"/>
        <v>-0.68578350303537094</v>
      </c>
      <c r="J22">
        <f t="shared" ca="1" si="8"/>
        <v>2.3804585781772092</v>
      </c>
      <c r="K22" t="str">
        <f t="shared" ca="1" si="9"/>
        <v/>
      </c>
      <c r="L22">
        <f t="shared" ca="1" si="10"/>
        <v>3.5295334130195553</v>
      </c>
      <c r="M22">
        <f t="shared" ca="1" si="11"/>
        <v>2.7131419991520591</v>
      </c>
      <c r="N22">
        <f t="shared" ca="1" si="12"/>
        <v>1.8967505852845625</v>
      </c>
      <c r="O22" s="6">
        <f t="shared" ca="1" si="7"/>
        <v>1.0803591714170662</v>
      </c>
      <c r="P22">
        <f t="shared" ca="1" si="13"/>
        <v>0.2639677575495698</v>
      </c>
      <c r="Q22">
        <f t="shared" ca="1" si="14"/>
        <v>0</v>
      </c>
      <c r="R22">
        <v>0</v>
      </c>
    </row>
    <row r="23" spans="2:18" ht="14" customHeight="1" x14ac:dyDescent="0.2">
      <c r="B23" s="6"/>
      <c r="C23" s="6">
        <f t="shared" ca="1" si="0"/>
        <v>5.0617272889034215</v>
      </c>
      <c r="D23" s="6">
        <f t="shared" ca="1" si="1"/>
        <v>4.1038088235802892</v>
      </c>
      <c r="E23" s="6">
        <f t="shared" ca="1" si="2"/>
        <v>3.1458903582571569</v>
      </c>
      <c r="F23" s="6">
        <f t="shared" si="3"/>
        <v>2.1879718929340251</v>
      </c>
      <c r="G23" s="6">
        <f t="shared" ca="1" si="4"/>
        <v>1.230053427610893</v>
      </c>
      <c r="H23" s="6">
        <f t="shared" ca="1" si="5"/>
        <v>0.27213496228776091</v>
      </c>
      <c r="I23" s="6">
        <f t="shared" ca="1" si="6"/>
        <v>-0.68578350303537094</v>
      </c>
      <c r="J23">
        <f t="shared" ca="1" si="8"/>
        <v>2.3804585781772092</v>
      </c>
      <c r="K23" t="str">
        <f t="shared" ca="1" si="9"/>
        <v/>
      </c>
      <c r="L23">
        <f t="shared" ca="1" si="10"/>
        <v>3.5295334130195553</v>
      </c>
      <c r="M23">
        <f t="shared" ca="1" si="11"/>
        <v>2.7131419991520591</v>
      </c>
      <c r="N23">
        <f t="shared" ca="1" si="12"/>
        <v>1.8967505852845625</v>
      </c>
      <c r="O23" s="6">
        <f t="shared" ca="1" si="7"/>
        <v>1.0803591714170662</v>
      </c>
      <c r="P23">
        <f t="shared" ca="1" si="13"/>
        <v>0.2639677575495698</v>
      </c>
      <c r="Q23">
        <f t="shared" ca="1" si="14"/>
        <v>0</v>
      </c>
      <c r="R23">
        <v>0</v>
      </c>
    </row>
    <row r="24" spans="2:18" ht="14" customHeight="1" x14ac:dyDescent="0.2">
      <c r="B24" s="6"/>
      <c r="C24" s="6">
        <f t="shared" ca="1" si="0"/>
        <v>5.0617272889034215</v>
      </c>
      <c r="D24" s="6">
        <f t="shared" ca="1" si="1"/>
        <v>4.1038088235802892</v>
      </c>
      <c r="E24" s="6">
        <f t="shared" ca="1" si="2"/>
        <v>3.1458903582571569</v>
      </c>
      <c r="F24" s="6">
        <f t="shared" si="3"/>
        <v>2.1879718929340251</v>
      </c>
      <c r="G24" s="6">
        <f t="shared" ca="1" si="4"/>
        <v>1.230053427610893</v>
      </c>
      <c r="H24" s="6">
        <f t="shared" ca="1" si="5"/>
        <v>0.27213496228776091</v>
      </c>
      <c r="I24" s="6">
        <f t="shared" ca="1" si="6"/>
        <v>-0.68578350303537094</v>
      </c>
      <c r="J24">
        <f t="shared" ca="1" si="8"/>
        <v>2.3804585781772092</v>
      </c>
      <c r="K24" t="str">
        <f t="shared" ca="1" si="9"/>
        <v/>
      </c>
      <c r="L24">
        <f t="shared" ca="1" si="10"/>
        <v>3.5295334130195553</v>
      </c>
      <c r="M24">
        <f t="shared" ca="1" si="11"/>
        <v>2.7131419991520591</v>
      </c>
      <c r="N24">
        <f t="shared" ca="1" si="12"/>
        <v>1.8967505852845625</v>
      </c>
      <c r="O24" s="6">
        <f t="shared" ca="1" si="7"/>
        <v>1.0803591714170662</v>
      </c>
      <c r="P24">
        <f t="shared" ca="1" si="13"/>
        <v>0.2639677575495698</v>
      </c>
      <c r="Q24">
        <f t="shared" ca="1" si="14"/>
        <v>0</v>
      </c>
      <c r="R24">
        <v>0</v>
      </c>
    </row>
    <row r="25" spans="2:18" ht="14" customHeight="1" x14ac:dyDescent="0.2">
      <c r="B25" s="6"/>
      <c r="C25" s="6">
        <f t="shared" ca="1" si="0"/>
        <v>5.0617272889034215</v>
      </c>
      <c r="D25" s="6">
        <f t="shared" ca="1" si="1"/>
        <v>4.1038088235802892</v>
      </c>
      <c r="E25" s="6">
        <f t="shared" ca="1" si="2"/>
        <v>3.1458903582571569</v>
      </c>
      <c r="F25" s="6">
        <f t="shared" si="3"/>
        <v>2.1879718929340251</v>
      </c>
      <c r="G25" s="6">
        <f t="shared" ca="1" si="4"/>
        <v>1.230053427610893</v>
      </c>
      <c r="H25" s="6">
        <f t="shared" ca="1" si="5"/>
        <v>0.27213496228776091</v>
      </c>
      <c r="I25" s="6">
        <f t="shared" ca="1" si="6"/>
        <v>-0.68578350303537094</v>
      </c>
      <c r="J25">
        <f t="shared" ca="1" si="8"/>
        <v>2.3804585781772092</v>
      </c>
      <c r="K25" t="str">
        <f t="shared" ca="1" si="9"/>
        <v/>
      </c>
      <c r="L25">
        <f t="shared" ca="1" si="10"/>
        <v>3.5295334130195553</v>
      </c>
      <c r="M25">
        <f t="shared" ca="1" si="11"/>
        <v>2.7131419991520591</v>
      </c>
      <c r="N25">
        <f t="shared" ca="1" si="12"/>
        <v>1.8967505852845625</v>
      </c>
      <c r="O25" s="6">
        <f t="shared" ca="1" si="7"/>
        <v>1.0803591714170662</v>
      </c>
      <c r="P25">
        <f t="shared" ca="1" si="13"/>
        <v>0.2639677575495698</v>
      </c>
      <c r="Q25">
        <f t="shared" ca="1" si="14"/>
        <v>0</v>
      </c>
      <c r="R25">
        <v>0</v>
      </c>
    </row>
    <row r="26" spans="2:18" ht="14" customHeight="1" x14ac:dyDescent="0.2">
      <c r="B26" s="6"/>
      <c r="C26" s="6">
        <f t="shared" ca="1" si="0"/>
        <v>5.0617272889034215</v>
      </c>
      <c r="D26" s="6">
        <f t="shared" ca="1" si="1"/>
        <v>4.1038088235802892</v>
      </c>
      <c r="E26" s="6">
        <f t="shared" ca="1" si="2"/>
        <v>3.1458903582571569</v>
      </c>
      <c r="F26" s="6">
        <f t="shared" si="3"/>
        <v>2.1879718929340251</v>
      </c>
      <c r="G26" s="6">
        <f t="shared" ca="1" si="4"/>
        <v>1.230053427610893</v>
      </c>
      <c r="H26" s="6">
        <f t="shared" ca="1" si="5"/>
        <v>0.27213496228776091</v>
      </c>
      <c r="I26" s="6">
        <f t="shared" ca="1" si="6"/>
        <v>-0.68578350303537094</v>
      </c>
      <c r="J26">
        <f t="shared" ca="1" si="8"/>
        <v>2.3804585781772092</v>
      </c>
      <c r="K26" t="str">
        <f t="shared" ca="1" si="9"/>
        <v/>
      </c>
      <c r="L26">
        <f t="shared" ca="1" si="10"/>
        <v>3.5295334130195553</v>
      </c>
      <c r="M26">
        <f t="shared" ca="1" si="11"/>
        <v>2.7131419991520591</v>
      </c>
      <c r="N26">
        <f t="shared" ca="1" si="12"/>
        <v>1.8967505852845625</v>
      </c>
      <c r="O26" s="6">
        <f t="shared" ca="1" si="7"/>
        <v>1.0803591714170662</v>
      </c>
      <c r="P26">
        <f t="shared" ca="1" si="13"/>
        <v>0.2639677575495698</v>
      </c>
      <c r="Q26">
        <f t="shared" ca="1" si="14"/>
        <v>0</v>
      </c>
      <c r="R26">
        <v>0</v>
      </c>
    </row>
    <row r="27" spans="2:18" ht="14" customHeight="1" x14ac:dyDescent="0.2">
      <c r="B27" s="6"/>
      <c r="C27" s="6">
        <f t="shared" ca="1" si="0"/>
        <v>5.0617272889034215</v>
      </c>
      <c r="D27" s="6">
        <f t="shared" ca="1" si="1"/>
        <v>4.1038088235802892</v>
      </c>
      <c r="E27" s="6">
        <f t="shared" ca="1" si="2"/>
        <v>3.1458903582571569</v>
      </c>
      <c r="F27" s="6">
        <f t="shared" si="3"/>
        <v>2.1879718929340251</v>
      </c>
      <c r="G27" s="6">
        <f t="shared" ca="1" si="4"/>
        <v>1.230053427610893</v>
      </c>
      <c r="H27" s="6">
        <f t="shared" ca="1" si="5"/>
        <v>0.27213496228776091</v>
      </c>
      <c r="I27" s="6">
        <f t="shared" ca="1" si="6"/>
        <v>-0.68578350303537094</v>
      </c>
      <c r="J27">
        <f t="shared" ca="1" si="8"/>
        <v>2.3804585781772092</v>
      </c>
      <c r="K27" t="str">
        <f t="shared" ca="1" si="9"/>
        <v/>
      </c>
      <c r="L27">
        <f t="shared" ca="1" si="10"/>
        <v>3.5295334130195553</v>
      </c>
      <c r="M27">
        <f t="shared" ca="1" si="11"/>
        <v>2.7131419991520591</v>
      </c>
      <c r="N27">
        <f t="shared" ca="1" si="12"/>
        <v>1.8967505852845625</v>
      </c>
      <c r="O27" s="6">
        <f t="shared" ca="1" si="7"/>
        <v>1.0803591714170662</v>
      </c>
      <c r="P27">
        <f t="shared" ca="1" si="13"/>
        <v>0.2639677575495698</v>
      </c>
      <c r="Q27">
        <f t="shared" ca="1" si="14"/>
        <v>0</v>
      </c>
      <c r="R27">
        <v>0</v>
      </c>
    </row>
    <row r="28" spans="2:18" ht="14" customHeight="1" x14ac:dyDescent="0.2">
      <c r="B28" s="6"/>
      <c r="C28" s="6">
        <f t="shared" ca="1" si="0"/>
        <v>5.0617272889034215</v>
      </c>
      <c r="D28" s="6">
        <f t="shared" ca="1" si="1"/>
        <v>4.1038088235802892</v>
      </c>
      <c r="E28" s="6">
        <f t="shared" ca="1" si="2"/>
        <v>3.1458903582571569</v>
      </c>
      <c r="F28" s="6">
        <f t="shared" si="3"/>
        <v>2.1879718929340251</v>
      </c>
      <c r="G28" s="6">
        <f t="shared" ca="1" si="4"/>
        <v>1.230053427610893</v>
      </c>
      <c r="H28" s="6">
        <f t="shared" ca="1" si="5"/>
        <v>0.27213496228776091</v>
      </c>
      <c r="I28" s="6">
        <f t="shared" ca="1" si="6"/>
        <v>-0.68578350303537094</v>
      </c>
      <c r="J28">
        <f t="shared" ca="1" si="8"/>
        <v>2.3804585781772092</v>
      </c>
      <c r="K28" t="str">
        <f t="shared" ca="1" si="9"/>
        <v/>
      </c>
      <c r="L28">
        <f t="shared" ca="1" si="10"/>
        <v>3.5295334130195553</v>
      </c>
      <c r="M28">
        <f t="shared" ca="1" si="11"/>
        <v>2.7131419991520591</v>
      </c>
      <c r="N28">
        <f t="shared" ca="1" si="12"/>
        <v>1.8967505852845625</v>
      </c>
      <c r="O28" s="6">
        <f t="shared" ca="1" si="7"/>
        <v>1.0803591714170662</v>
      </c>
      <c r="P28">
        <f t="shared" ca="1" si="13"/>
        <v>0.2639677575495698</v>
      </c>
      <c r="Q28">
        <f t="shared" ca="1" si="14"/>
        <v>0</v>
      </c>
      <c r="R28">
        <v>0</v>
      </c>
    </row>
    <row r="29" spans="2:18" ht="14" customHeight="1" x14ac:dyDescent="0.2">
      <c r="B29" s="6"/>
      <c r="C29" s="6">
        <f t="shared" ca="1" si="0"/>
        <v>5.0617272889034215</v>
      </c>
      <c r="D29" s="6">
        <f t="shared" ca="1" si="1"/>
        <v>4.1038088235802892</v>
      </c>
      <c r="E29" s="6">
        <f t="shared" ca="1" si="2"/>
        <v>3.1458903582571569</v>
      </c>
      <c r="F29" s="6">
        <f t="shared" si="3"/>
        <v>2.1879718929340251</v>
      </c>
      <c r="G29" s="6">
        <f t="shared" ca="1" si="4"/>
        <v>1.230053427610893</v>
      </c>
      <c r="H29" s="6">
        <f t="shared" ca="1" si="5"/>
        <v>0.27213496228776091</v>
      </c>
      <c r="I29" s="6">
        <f t="shared" ca="1" si="6"/>
        <v>-0.68578350303537094</v>
      </c>
      <c r="J29">
        <f t="shared" ca="1" si="8"/>
        <v>2.3804585781772092</v>
      </c>
      <c r="K29" t="str">
        <f t="shared" ca="1" si="9"/>
        <v/>
      </c>
      <c r="L29">
        <f t="shared" ca="1" si="10"/>
        <v>3.5295334130195553</v>
      </c>
      <c r="M29">
        <f t="shared" ca="1" si="11"/>
        <v>2.7131419991520591</v>
      </c>
      <c r="N29">
        <f t="shared" ca="1" si="12"/>
        <v>1.8967505852845625</v>
      </c>
      <c r="O29" s="6">
        <f t="shared" ca="1" si="7"/>
        <v>1.0803591714170662</v>
      </c>
      <c r="P29">
        <f t="shared" ca="1" si="13"/>
        <v>0.2639677575495698</v>
      </c>
      <c r="Q29">
        <f t="shared" ca="1" si="14"/>
        <v>0</v>
      </c>
      <c r="R29">
        <v>0</v>
      </c>
    </row>
    <row r="30" spans="2:18" ht="14" customHeight="1" x14ac:dyDescent="0.2">
      <c r="B30" s="6"/>
      <c r="C30" s="6">
        <f t="shared" ca="1" si="0"/>
        <v>5.0617272889034215</v>
      </c>
      <c r="D30" s="6">
        <f t="shared" ca="1" si="1"/>
        <v>4.1038088235802892</v>
      </c>
      <c r="E30" s="6">
        <f t="shared" ca="1" si="2"/>
        <v>3.1458903582571569</v>
      </c>
      <c r="F30" s="6">
        <f t="shared" si="3"/>
        <v>2.1879718929340251</v>
      </c>
      <c r="G30" s="6">
        <f t="shared" ca="1" si="4"/>
        <v>1.230053427610893</v>
      </c>
      <c r="H30" s="6">
        <f t="shared" ca="1" si="5"/>
        <v>0.27213496228776091</v>
      </c>
      <c r="I30" s="6">
        <f t="shared" ca="1" si="6"/>
        <v>-0.68578350303537094</v>
      </c>
      <c r="J30">
        <f t="shared" ca="1" si="8"/>
        <v>2.3804585781772092</v>
      </c>
      <c r="K30" t="str">
        <f t="shared" ca="1" si="9"/>
        <v/>
      </c>
      <c r="L30">
        <f t="shared" ca="1" si="10"/>
        <v>3.5295334130195553</v>
      </c>
      <c r="M30">
        <f t="shared" ca="1" si="11"/>
        <v>2.7131419991520591</v>
      </c>
      <c r="N30">
        <f t="shared" ca="1" si="12"/>
        <v>1.8967505852845625</v>
      </c>
      <c r="O30" s="6">
        <f t="shared" ca="1" si="7"/>
        <v>1.0803591714170662</v>
      </c>
      <c r="P30">
        <f t="shared" ca="1" si="13"/>
        <v>0.2639677575495698</v>
      </c>
      <c r="Q30">
        <f t="shared" ca="1" si="14"/>
        <v>0</v>
      </c>
      <c r="R30">
        <v>0</v>
      </c>
    </row>
    <row r="31" spans="2:18" ht="14" customHeight="1" x14ac:dyDescent="0.2">
      <c r="B31" s="6"/>
      <c r="C31" s="6">
        <f t="shared" ca="1" si="0"/>
        <v>5.0617272889034215</v>
      </c>
      <c r="D31" s="6">
        <f t="shared" ca="1" si="1"/>
        <v>4.1038088235802892</v>
      </c>
      <c r="E31" s="6">
        <f t="shared" ca="1" si="2"/>
        <v>3.1458903582571569</v>
      </c>
      <c r="F31" s="6">
        <f t="shared" si="3"/>
        <v>2.1879718929340251</v>
      </c>
      <c r="G31" s="6">
        <f t="shared" ca="1" si="4"/>
        <v>1.230053427610893</v>
      </c>
      <c r="H31" s="6">
        <f t="shared" ca="1" si="5"/>
        <v>0.27213496228776091</v>
      </c>
      <c r="I31" s="6">
        <f t="shared" ca="1" si="6"/>
        <v>-0.68578350303537094</v>
      </c>
      <c r="J31">
        <f t="shared" ca="1" si="8"/>
        <v>2.3804585781772092</v>
      </c>
      <c r="K31" t="str">
        <f t="shared" ca="1" si="9"/>
        <v/>
      </c>
      <c r="L31">
        <f t="shared" ca="1" si="10"/>
        <v>3.5295334130195553</v>
      </c>
      <c r="M31">
        <f t="shared" ca="1" si="11"/>
        <v>2.7131419991520591</v>
      </c>
      <c r="N31">
        <f t="shared" ca="1" si="12"/>
        <v>1.8967505852845625</v>
      </c>
      <c r="O31" s="6">
        <f t="shared" ca="1" si="7"/>
        <v>1.0803591714170662</v>
      </c>
      <c r="P31">
        <f t="shared" ca="1" si="13"/>
        <v>0.2639677575495698</v>
      </c>
      <c r="Q31">
        <f t="shared" ca="1" si="14"/>
        <v>0</v>
      </c>
      <c r="R31">
        <v>0</v>
      </c>
    </row>
    <row r="32" spans="2:18" ht="14" customHeight="1" x14ac:dyDescent="0.2">
      <c r="B32" s="6"/>
      <c r="C32" s="6">
        <f t="shared" ca="1" si="0"/>
        <v>5.0617272889034215</v>
      </c>
      <c r="D32" s="6">
        <f t="shared" ca="1" si="1"/>
        <v>4.1038088235802892</v>
      </c>
      <c r="E32" s="6">
        <f t="shared" ca="1" si="2"/>
        <v>3.1458903582571569</v>
      </c>
      <c r="F32" s="6">
        <f t="shared" si="3"/>
        <v>2.1879718929340251</v>
      </c>
      <c r="G32" s="6">
        <f t="shared" ca="1" si="4"/>
        <v>1.230053427610893</v>
      </c>
      <c r="H32" s="6">
        <f t="shared" ca="1" si="5"/>
        <v>0.27213496228776091</v>
      </c>
      <c r="I32" s="6">
        <f t="shared" ca="1" si="6"/>
        <v>-0.68578350303537094</v>
      </c>
      <c r="J32">
        <f t="shared" ca="1" si="8"/>
        <v>2.3804585781772092</v>
      </c>
      <c r="K32" t="str">
        <f t="shared" ca="1" si="9"/>
        <v/>
      </c>
      <c r="L32">
        <f t="shared" ca="1" si="10"/>
        <v>3.5295334130195553</v>
      </c>
      <c r="M32">
        <f t="shared" ca="1" si="11"/>
        <v>2.7131419991520591</v>
      </c>
      <c r="N32">
        <f t="shared" ca="1" si="12"/>
        <v>1.8967505852845625</v>
      </c>
      <c r="O32" s="6">
        <f t="shared" ca="1" si="7"/>
        <v>1.0803591714170662</v>
      </c>
      <c r="P32">
        <f t="shared" ca="1" si="13"/>
        <v>0.2639677575495698</v>
      </c>
      <c r="Q32">
        <f t="shared" ca="1" si="14"/>
        <v>0</v>
      </c>
      <c r="R32">
        <v>0</v>
      </c>
    </row>
    <row r="33" spans="2:18" ht="14" customHeight="1" x14ac:dyDescent="0.2">
      <c r="B33" s="6"/>
      <c r="C33" s="6">
        <f t="shared" ca="1" si="0"/>
        <v>5.0617272889034215</v>
      </c>
      <c r="D33" s="6">
        <f t="shared" ca="1" si="1"/>
        <v>4.1038088235802892</v>
      </c>
      <c r="E33" s="6">
        <f t="shared" ca="1" si="2"/>
        <v>3.1458903582571569</v>
      </c>
      <c r="F33" s="6">
        <f t="shared" si="3"/>
        <v>2.1879718929340251</v>
      </c>
      <c r="G33" s="6">
        <f t="shared" ca="1" si="4"/>
        <v>1.230053427610893</v>
      </c>
      <c r="H33" s="6">
        <f t="shared" ca="1" si="5"/>
        <v>0.27213496228776091</v>
      </c>
      <c r="I33" s="6">
        <f t="shared" ca="1" si="6"/>
        <v>-0.68578350303537094</v>
      </c>
      <c r="J33">
        <f t="shared" ca="1" si="8"/>
        <v>2.3804585781772092</v>
      </c>
      <c r="K33" t="str">
        <f t="shared" ca="1" si="9"/>
        <v/>
      </c>
      <c r="L33">
        <f t="shared" ca="1" si="10"/>
        <v>3.5295334130195553</v>
      </c>
      <c r="M33">
        <f t="shared" ca="1" si="11"/>
        <v>2.7131419991520591</v>
      </c>
      <c r="N33">
        <f t="shared" ca="1" si="12"/>
        <v>1.8967505852845625</v>
      </c>
      <c r="O33" s="6">
        <f t="shared" ca="1" si="7"/>
        <v>1.0803591714170662</v>
      </c>
      <c r="P33">
        <f t="shared" ca="1" si="13"/>
        <v>0.2639677575495698</v>
      </c>
      <c r="Q33">
        <f t="shared" ca="1" si="14"/>
        <v>0</v>
      </c>
      <c r="R33">
        <v>0</v>
      </c>
    </row>
    <row r="34" spans="2:18" ht="14" customHeight="1" x14ac:dyDescent="0.2">
      <c r="B34" s="6"/>
      <c r="C34" s="6">
        <f t="shared" ca="1" si="0"/>
        <v>5.0617272889034215</v>
      </c>
      <c r="D34" s="6">
        <f t="shared" ca="1" si="1"/>
        <v>4.1038088235802892</v>
      </c>
      <c r="E34" s="6">
        <f t="shared" ca="1" si="2"/>
        <v>3.1458903582571569</v>
      </c>
      <c r="F34" s="6">
        <f t="shared" si="3"/>
        <v>2.1879718929340251</v>
      </c>
      <c r="G34" s="6">
        <f t="shared" ca="1" si="4"/>
        <v>1.230053427610893</v>
      </c>
      <c r="H34" s="6">
        <f t="shared" ca="1" si="5"/>
        <v>0.27213496228776091</v>
      </c>
      <c r="I34" s="6">
        <f t="shared" ca="1" si="6"/>
        <v>-0.68578350303537094</v>
      </c>
      <c r="J34">
        <f t="shared" ca="1" si="8"/>
        <v>2.3804585781772092</v>
      </c>
      <c r="K34" t="str">
        <f t="shared" ca="1" si="9"/>
        <v/>
      </c>
      <c r="L34">
        <f t="shared" ca="1" si="10"/>
        <v>3.5295334130195553</v>
      </c>
      <c r="M34">
        <f t="shared" ca="1" si="11"/>
        <v>2.7131419991520591</v>
      </c>
      <c r="N34">
        <f t="shared" ca="1" si="12"/>
        <v>1.8967505852845625</v>
      </c>
      <c r="O34" s="6">
        <f t="shared" ca="1" si="7"/>
        <v>1.0803591714170662</v>
      </c>
      <c r="P34">
        <f t="shared" ca="1" si="13"/>
        <v>0.2639677575495698</v>
      </c>
      <c r="Q34">
        <f t="shared" ca="1" si="14"/>
        <v>0</v>
      </c>
      <c r="R34">
        <v>0</v>
      </c>
    </row>
    <row r="35" spans="2:18" ht="14" customHeight="1" x14ac:dyDescent="0.2">
      <c r="B35" s="6"/>
      <c r="C35" s="6">
        <f t="shared" ca="1" si="0"/>
        <v>5.0617272889034215</v>
      </c>
      <c r="D35" s="6">
        <f t="shared" ca="1" si="1"/>
        <v>4.1038088235802892</v>
      </c>
      <c r="E35" s="6">
        <f t="shared" ca="1" si="2"/>
        <v>3.1458903582571569</v>
      </c>
      <c r="F35" s="6">
        <f t="shared" si="3"/>
        <v>2.1879718929340251</v>
      </c>
      <c r="G35" s="6">
        <f t="shared" ca="1" si="4"/>
        <v>1.230053427610893</v>
      </c>
      <c r="H35" s="6">
        <f t="shared" ca="1" si="5"/>
        <v>0.27213496228776091</v>
      </c>
      <c r="I35" s="6">
        <f t="shared" ca="1" si="6"/>
        <v>-0.68578350303537094</v>
      </c>
      <c r="J35">
        <f t="shared" ca="1" si="8"/>
        <v>2.3804585781772092</v>
      </c>
      <c r="K35" t="str">
        <f t="shared" ca="1" si="9"/>
        <v/>
      </c>
      <c r="L35">
        <f t="shared" ca="1" si="10"/>
        <v>3.5295334130195553</v>
      </c>
      <c r="M35">
        <f t="shared" ca="1" si="11"/>
        <v>2.7131419991520591</v>
      </c>
      <c r="N35">
        <f t="shared" ca="1" si="12"/>
        <v>1.8967505852845625</v>
      </c>
      <c r="O35" s="6">
        <f t="shared" ca="1" si="7"/>
        <v>1.0803591714170662</v>
      </c>
      <c r="P35">
        <f t="shared" ca="1" si="13"/>
        <v>0.2639677575495698</v>
      </c>
      <c r="Q35">
        <f t="shared" ca="1" si="14"/>
        <v>0</v>
      </c>
      <c r="R35">
        <v>0</v>
      </c>
    </row>
    <row r="36" spans="2:18" ht="14" customHeight="1" x14ac:dyDescent="0.2">
      <c r="B36" s="6"/>
      <c r="C36" s="6">
        <f t="shared" ca="1" si="0"/>
        <v>5.0617272889034215</v>
      </c>
      <c r="D36" s="6">
        <f t="shared" ca="1" si="1"/>
        <v>4.1038088235802892</v>
      </c>
      <c r="E36" s="6">
        <f t="shared" ca="1" si="2"/>
        <v>3.1458903582571569</v>
      </c>
      <c r="F36" s="6">
        <f t="shared" si="3"/>
        <v>2.1879718929340251</v>
      </c>
      <c r="G36" s="6">
        <f t="shared" ca="1" si="4"/>
        <v>1.230053427610893</v>
      </c>
      <c r="H36" s="6">
        <f t="shared" ca="1" si="5"/>
        <v>0.27213496228776091</v>
      </c>
      <c r="I36" s="6">
        <f t="shared" ca="1" si="6"/>
        <v>-0.68578350303537094</v>
      </c>
      <c r="J36">
        <f t="shared" ca="1" si="8"/>
        <v>2.3804585781772092</v>
      </c>
      <c r="K36" t="str">
        <f t="shared" ca="1" si="9"/>
        <v/>
      </c>
      <c r="L36">
        <f t="shared" ca="1" si="10"/>
        <v>3.5295334130195553</v>
      </c>
      <c r="M36">
        <f t="shared" ca="1" si="11"/>
        <v>2.7131419991520591</v>
      </c>
      <c r="N36">
        <f t="shared" ca="1" si="12"/>
        <v>1.8967505852845625</v>
      </c>
      <c r="O36" s="6">
        <f t="shared" ca="1" si="7"/>
        <v>1.0803591714170662</v>
      </c>
      <c r="P36">
        <f t="shared" ca="1" si="13"/>
        <v>0.2639677575495698</v>
      </c>
      <c r="Q36">
        <f t="shared" ca="1" si="14"/>
        <v>0</v>
      </c>
      <c r="R36">
        <v>0</v>
      </c>
    </row>
    <row r="37" spans="2:18" ht="14" customHeight="1" x14ac:dyDescent="0.2"/>
    <row r="38" spans="2:18" ht="14" customHeight="1" x14ac:dyDescent="0.2"/>
    <row r="39" spans="2:18" ht="14" customHeight="1" x14ac:dyDescent="0.2"/>
    <row r="40" spans="2:18" ht="14" customHeight="1" x14ac:dyDescent="0.2"/>
    <row r="41" spans="2:18" ht="14" customHeight="1" x14ac:dyDescent="0.2"/>
    <row r="42" spans="2:18" ht="14" customHeight="1" x14ac:dyDescent="0.2"/>
    <row r="43" spans="2:18" ht="14" customHeight="1" x14ac:dyDescent="0.2"/>
    <row r="44" spans="2:18" ht="14" customHeight="1" x14ac:dyDescent="0.2"/>
    <row r="45" spans="2:18" ht="14" customHeight="1" x14ac:dyDescent="0.2"/>
    <row r="46" spans="2:18" ht="14" customHeight="1" x14ac:dyDescent="0.2"/>
    <row r="47" spans="2:18" ht="14" customHeight="1" x14ac:dyDescent="0.2"/>
    <row r="48" spans="2:1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8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1" activeCellId="1" sqref="B1:B16 H1:H16"/>
    </sheetView>
  </sheetViews>
  <sheetFormatPr baseColWidth="10" defaultColWidth="8.83203125" defaultRowHeight="15" x14ac:dyDescent="0.2"/>
  <cols>
    <col min="1" max="1" width="14.66406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32149</v>
      </c>
      <c r="E2">
        <v>32149</v>
      </c>
    </row>
    <row r="3" spans="1:8" x14ac:dyDescent="0.2">
      <c r="A3" t="s">
        <v>8</v>
      </c>
      <c r="B3" t="s">
        <v>11</v>
      </c>
      <c r="C3" t="s">
        <v>10</v>
      </c>
      <c r="D3">
        <v>33316</v>
      </c>
      <c r="E3">
        <v>33316</v>
      </c>
      <c r="F3">
        <v>32149</v>
      </c>
      <c r="G3">
        <v>1167</v>
      </c>
      <c r="H3">
        <v>3.6299729385050861</v>
      </c>
    </row>
    <row r="4" spans="1:8" x14ac:dyDescent="0.2">
      <c r="A4" t="s">
        <v>8</v>
      </c>
      <c r="B4" t="s">
        <v>12</v>
      </c>
      <c r="C4" t="s">
        <v>10</v>
      </c>
      <c r="D4">
        <v>34841</v>
      </c>
      <c r="E4">
        <v>34841</v>
      </c>
      <c r="F4">
        <v>33316</v>
      </c>
      <c r="G4">
        <v>1525</v>
      </c>
      <c r="H4">
        <v>4.5773802377236166</v>
      </c>
    </row>
    <row r="5" spans="1:8" x14ac:dyDescent="0.2">
      <c r="A5" t="s">
        <v>8</v>
      </c>
      <c r="B5" t="s">
        <v>13</v>
      </c>
      <c r="C5" t="s">
        <v>10</v>
      </c>
      <c r="D5">
        <v>35713</v>
      </c>
      <c r="E5">
        <v>35713</v>
      </c>
      <c r="F5">
        <v>34841</v>
      </c>
      <c r="G5">
        <v>872</v>
      </c>
      <c r="H5">
        <v>2.502798427140438</v>
      </c>
    </row>
    <row r="6" spans="1:8" x14ac:dyDescent="0.2">
      <c r="A6" t="s">
        <v>8</v>
      </c>
      <c r="B6" t="s">
        <v>14</v>
      </c>
      <c r="C6" t="s">
        <v>10</v>
      </c>
      <c r="D6">
        <v>36687</v>
      </c>
      <c r="E6">
        <v>36687</v>
      </c>
      <c r="F6">
        <v>35713</v>
      </c>
      <c r="G6">
        <v>974</v>
      </c>
      <c r="H6">
        <v>2.7272981827345779</v>
      </c>
    </row>
    <row r="7" spans="1:8" x14ac:dyDescent="0.2">
      <c r="A7" t="s">
        <v>8</v>
      </c>
      <c r="B7" t="s">
        <v>15</v>
      </c>
      <c r="C7" t="s">
        <v>10</v>
      </c>
      <c r="D7">
        <v>37658</v>
      </c>
      <c r="E7">
        <v>37658</v>
      </c>
      <c r="F7">
        <v>36687</v>
      </c>
      <c r="G7">
        <v>971</v>
      </c>
      <c r="H7">
        <v>2.6467140949110042</v>
      </c>
    </row>
    <row r="8" spans="1:8" x14ac:dyDescent="0.2">
      <c r="A8" t="s">
        <v>8</v>
      </c>
      <c r="B8" t="s">
        <v>16</v>
      </c>
      <c r="C8" t="s">
        <v>10</v>
      </c>
      <c r="D8">
        <v>39095</v>
      </c>
      <c r="E8">
        <v>39095</v>
      </c>
      <c r="F8">
        <v>37658</v>
      </c>
      <c r="G8">
        <v>1437</v>
      </c>
      <c r="H8">
        <v>3.815922247596792</v>
      </c>
    </row>
    <row r="9" spans="1:8" x14ac:dyDescent="0.2">
      <c r="A9" t="s">
        <v>8</v>
      </c>
      <c r="B9" t="s">
        <v>17</v>
      </c>
      <c r="C9" t="s">
        <v>10</v>
      </c>
      <c r="D9">
        <v>40102</v>
      </c>
      <c r="E9">
        <v>40102</v>
      </c>
      <c r="F9">
        <v>39095</v>
      </c>
      <c r="G9">
        <v>1007</v>
      </c>
      <c r="H9">
        <v>2.5757769535746262</v>
      </c>
    </row>
    <row r="10" spans="1:8" x14ac:dyDescent="0.2">
      <c r="A10" t="s">
        <v>8</v>
      </c>
      <c r="B10" t="s">
        <v>18</v>
      </c>
      <c r="C10" t="s">
        <v>10</v>
      </c>
      <c r="D10">
        <v>41035</v>
      </c>
      <c r="E10">
        <v>41035</v>
      </c>
      <c r="F10">
        <v>40102</v>
      </c>
      <c r="G10">
        <v>933</v>
      </c>
      <c r="H10">
        <v>2.326567253503566</v>
      </c>
    </row>
    <row r="11" spans="1:8" x14ac:dyDescent="0.2">
      <c r="A11" t="s">
        <v>8</v>
      </c>
      <c r="B11" t="s">
        <v>19</v>
      </c>
      <c r="C11" t="s">
        <v>10</v>
      </c>
      <c r="D11">
        <v>42042</v>
      </c>
      <c r="E11">
        <v>42042</v>
      </c>
      <c r="F11">
        <v>41035</v>
      </c>
      <c r="G11">
        <v>1007</v>
      </c>
      <c r="H11">
        <v>2.4540026806384789</v>
      </c>
    </row>
    <row r="12" spans="1:8" x14ac:dyDescent="0.2">
      <c r="A12" t="s">
        <v>8</v>
      </c>
      <c r="B12" t="s">
        <v>20</v>
      </c>
      <c r="C12" t="s">
        <v>10</v>
      </c>
      <c r="D12">
        <v>42152</v>
      </c>
      <c r="E12">
        <v>42152</v>
      </c>
      <c r="F12">
        <v>42042</v>
      </c>
      <c r="G12">
        <v>110</v>
      </c>
      <c r="H12">
        <v>0.2616431187859759</v>
      </c>
    </row>
    <row r="13" spans="1:8" x14ac:dyDescent="0.2">
      <c r="A13" t="s">
        <v>8</v>
      </c>
      <c r="B13" t="s">
        <v>21</v>
      </c>
      <c r="C13" t="s">
        <v>10</v>
      </c>
      <c r="D13">
        <v>42679</v>
      </c>
      <c r="E13">
        <v>42679</v>
      </c>
      <c r="F13">
        <v>42152</v>
      </c>
      <c r="G13">
        <v>527</v>
      </c>
      <c r="H13">
        <v>1.2502372366672989</v>
      </c>
    </row>
    <row r="14" spans="1:8" x14ac:dyDescent="0.2">
      <c r="A14" t="s">
        <v>8</v>
      </c>
      <c r="B14" t="s">
        <v>22</v>
      </c>
      <c r="C14" t="s">
        <v>10</v>
      </c>
      <c r="D14">
        <v>43087</v>
      </c>
      <c r="E14">
        <v>43087</v>
      </c>
      <c r="F14">
        <v>42679</v>
      </c>
      <c r="G14">
        <v>408</v>
      </c>
      <c r="H14">
        <v>0.9559736638627897</v>
      </c>
    </row>
    <row r="15" spans="1:8" x14ac:dyDescent="0.2">
      <c r="A15" t="s">
        <v>8</v>
      </c>
      <c r="B15" t="s">
        <v>23</v>
      </c>
      <c r="C15" t="s">
        <v>10</v>
      </c>
      <c r="D15">
        <v>43395</v>
      </c>
      <c r="E15">
        <v>43395</v>
      </c>
      <c r="F15">
        <v>43087</v>
      </c>
      <c r="G15">
        <v>308</v>
      </c>
      <c r="H15">
        <v>0.71483278018892005</v>
      </c>
    </row>
    <row r="16" spans="1:8" x14ac:dyDescent="0.2">
      <c r="A16" t="s">
        <v>8</v>
      </c>
      <c r="B16" t="s">
        <v>24</v>
      </c>
      <c r="C16" t="s">
        <v>10</v>
      </c>
      <c r="D16">
        <v>44428</v>
      </c>
      <c r="E16">
        <v>44428</v>
      </c>
      <c r="F16">
        <v>43395</v>
      </c>
      <c r="G16">
        <v>1033</v>
      </c>
      <c r="H16">
        <v>2.3804585781772092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Pop RAW 2010-2024 pop XmR </vt:lpstr>
      <vt:lpstr>Pop RAW 2010-2024 pct_c XmR </vt:lpstr>
      <vt:lpstr>Pop RAW 2010-2024</vt:lpstr>
      <vt:lpstr>'Pop RAW 2010-2024 pct_c XmR '!Print_Area</vt:lpstr>
      <vt:lpstr>'Pop RAW 2010-2024 pop XmR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Pop RAW 2010-2024 pop Data</dc:title>
  <dc:creator>QI Macros</dc:creator>
  <dc:description>
_x000d_QI Macros 2025.01
_x000d_qimacros.com</dc:description>
  <cp:lastModifiedBy>D S</cp:lastModifiedBy>
  <dcterms:created xsi:type="dcterms:W3CDTF">2026-02-06T00:58:46Z</dcterms:created>
  <dcterms:modified xsi:type="dcterms:W3CDTF">2026-02-24T08:48:16Z</dcterms:modified>
</cp:coreProperties>
</file>
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data_raw/"/>
    </mc:Choice>
  </mc:AlternateContent>
  <xr:revisionPtr revIDLastSave="0" documentId="13_ncr:1_{5E30B4B8-A201-CB42-AE53-A939D15A477C}" xr6:coauthVersionLast="47" xr6:coauthVersionMax="47" xr10:uidLastSave="{00000000-0000-0000-0000-000000000000}"/>
  <bookViews>
    <workbookView xWindow="-20" yWindow="500" windowWidth="40960" windowHeight="22540" activeTab="1" xr2:uid="{39B2EAF6-FC72-46B6-A319-043640B5790D}"/>
  </bookViews>
  <sheets>
    <sheet name="FY20 Earnings-CLEANED" sheetId="3" r:id="rId1"/>
    <sheet name="FY20 Earnings-CLEANING" sheetId="1" r:id="rId2"/>
    <sheet name="2020 Department" sheetId="2" r:id="rId3"/>
  </sheets>
  <definedNames>
    <definedName name="_xlnm.Print_Titles" localSheetId="0">'FY20 Earnings-CLEANED'!$1:$1</definedName>
    <definedName name="_xlnm.Print_Titles" localSheetId="1">'FY20 Earnings-CLEANING'!$1:$1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0" i="3" l="1"/>
  <c r="L430" i="1"/>
  <c r="H430" i="1"/>
  <c r="I430" i="1"/>
  <c r="J430" i="1"/>
  <c r="K430" i="1"/>
  <c r="G43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L2" i="1"/>
  <c r="K2" i="1"/>
  <c r="J430" i="2"/>
</calcChain>
</file>

<file path=xl/sharedStrings.xml><?xml version="1.0" encoding="utf-8"?>
<sst xmlns="http://schemas.openxmlformats.org/spreadsheetml/2006/main" count="7720" uniqueCount="1128">
  <si>
    <t>STATUS</t>
  </si>
  <si>
    <t>NAME</t>
  </si>
  <si>
    <t>DEPARTMENT</t>
  </si>
  <si>
    <t>JOB TITLE</t>
  </si>
  <si>
    <t>HIRE DATE</t>
  </si>
  <si>
    <t>TERMINATION DATE</t>
  </si>
  <si>
    <t xml:space="preserve"> REGULAR EARNINGS</t>
  </si>
  <si>
    <t xml:space="preserve"> OVERTIME EARNINGS</t>
  </si>
  <si>
    <t xml:space="preserve"> TOTAL EARNINGS</t>
  </si>
  <si>
    <t>T-Terminated</t>
  </si>
  <si>
    <t>Browne, James</t>
  </si>
  <si>
    <t>City Management Office</t>
  </si>
  <si>
    <t>City Manager</t>
  </si>
  <si>
    <t>01/02/2019</t>
  </si>
  <si>
    <t>01/02/2023</t>
  </si>
  <si>
    <t>A-Active</t>
  </si>
  <si>
    <t>James, Brian C</t>
  </si>
  <si>
    <t>Deputy City Manager</t>
  </si>
  <si>
    <t>03/12/2012</t>
  </si>
  <si>
    <t/>
  </si>
  <si>
    <t>Hansen, Michael R</t>
  </si>
  <si>
    <t>Police Department</t>
  </si>
  <si>
    <t>Police Chief</t>
  </si>
  <si>
    <t>03/18/2013</t>
  </si>
  <si>
    <t>12/31/2021</t>
  </si>
  <si>
    <t>Kelm, Charles</t>
  </si>
  <si>
    <t>Assistant City Manager</t>
  </si>
  <si>
    <t>05/06/2019</t>
  </si>
  <si>
    <t>09/09/2022</t>
  </si>
  <si>
    <t>Schultze, Carl W</t>
  </si>
  <si>
    <t>Fire Department</t>
  </si>
  <si>
    <t>Training &amp; Safety Officer</t>
  </si>
  <si>
    <t>10/22/2003</t>
  </si>
  <si>
    <t>Long, Kade J</t>
  </si>
  <si>
    <t>Fire Chief</t>
  </si>
  <si>
    <t>08/24/2015</t>
  </si>
  <si>
    <t>06/30/2022</t>
  </si>
  <si>
    <t>Clauser, Myles F</t>
  </si>
  <si>
    <t>Information Technology</t>
  </si>
  <si>
    <t>Director of Information Technology (IT)</t>
  </si>
  <si>
    <t>01/07/2009</t>
  </si>
  <si>
    <t>03/31/2023</t>
  </si>
  <si>
    <t>Mabbitt, Jason M</t>
  </si>
  <si>
    <t>EMS</t>
  </si>
  <si>
    <t>EMS Chief</t>
  </si>
  <si>
    <t>10/03/2006</t>
  </si>
  <si>
    <t>Melancon, Mack A</t>
  </si>
  <si>
    <t>Fire Lieutenant</t>
  </si>
  <si>
    <t>12/05/2000</t>
  </si>
  <si>
    <t>Perry, John L</t>
  </si>
  <si>
    <t>Assistant Fire Chief</t>
  </si>
  <si>
    <t>01/27/1997</t>
  </si>
  <si>
    <t>Timke, Kirk J</t>
  </si>
  <si>
    <t>Fire Battalion Chief</t>
  </si>
  <si>
    <t>06/22/1988</t>
  </si>
  <si>
    <t>01/31/2025</t>
  </si>
  <si>
    <t>Martinez, Christopher A</t>
  </si>
  <si>
    <t>Police Sergeant</t>
  </si>
  <si>
    <t>12/16/2006</t>
  </si>
  <si>
    <t>Hewlett, Harry L</t>
  </si>
  <si>
    <t>TRAINING &amp; SAFETY OFFICER</t>
  </si>
  <si>
    <t>12/20/1988</t>
  </si>
  <si>
    <t>08/31/2022</t>
  </si>
  <si>
    <t>Bane, Marc A</t>
  </si>
  <si>
    <t>INTERIM POLICE CHIEF</t>
  </si>
  <si>
    <t>10/15/1996</t>
  </si>
  <si>
    <t>07/29/2022</t>
  </si>
  <si>
    <t>Beard, Amber B</t>
  </si>
  <si>
    <t>Water/Wastewater Services</t>
  </si>
  <si>
    <t>SSLGC General Manager</t>
  </si>
  <si>
    <t>09/01/2018</t>
  </si>
  <si>
    <t>08/27/2022</t>
  </si>
  <si>
    <t>Rodgers, Gregory</t>
  </si>
  <si>
    <t>07/01/2019</t>
  </si>
  <si>
    <t>Troncoso, Matt</t>
  </si>
  <si>
    <t>EMS SUPERVISOR</t>
  </si>
  <si>
    <t>02/12/1990</t>
  </si>
  <si>
    <t>05/12/2021</t>
  </si>
  <si>
    <t>Burch, Jason R</t>
  </si>
  <si>
    <t>EMS Battalion Chief</t>
  </si>
  <si>
    <t>01/03/2011</t>
  </si>
  <si>
    <t>01/09/2023</t>
  </si>
  <si>
    <t>Perez, Adrian</t>
  </si>
  <si>
    <t>Economic Development</t>
  </si>
  <si>
    <t>Executive Director of Economic Development</t>
  </si>
  <si>
    <t>01/13/2020</t>
  </si>
  <si>
    <t>02/09/2023</t>
  </si>
  <si>
    <t>Williams, Suzanne R</t>
  </si>
  <si>
    <t>Director of Public Works</t>
  </si>
  <si>
    <t>10/28/2019</t>
  </si>
  <si>
    <t>10/15/2022</t>
  </si>
  <si>
    <t>Boerger, Myron J</t>
  </si>
  <si>
    <t>12/29/2014</t>
  </si>
  <si>
    <t>Wood, Lesa C</t>
  </si>
  <si>
    <t>Inspections</t>
  </si>
  <si>
    <t>Director of Planning &amp; Community Development</t>
  </si>
  <si>
    <t>02/20/2007</t>
  </si>
  <si>
    <t>Woodlee, Kathryn J</t>
  </si>
  <si>
    <t>Engineering</t>
  </si>
  <si>
    <t>City Engineer</t>
  </si>
  <si>
    <t>11/04/2013</t>
  </si>
  <si>
    <t>Kurz, Jessica S</t>
  </si>
  <si>
    <t>Human Resources</t>
  </si>
  <si>
    <t>Director of Human Resources &amp; Purchasing</t>
  </si>
  <si>
    <t>02/23/2015</t>
  </si>
  <si>
    <t>Meek, Christopher H</t>
  </si>
  <si>
    <t>Fire Captain</t>
  </si>
  <si>
    <t>05/01/1999</t>
  </si>
  <si>
    <t>Williams, Clinton M</t>
  </si>
  <si>
    <t>09/21/2004</t>
  </si>
  <si>
    <t>Hooks, James A</t>
  </si>
  <si>
    <t>WATER/WASTEWATER MANAGER</t>
  </si>
  <si>
    <t>12/11/1989</t>
  </si>
  <si>
    <t>02/26/2021</t>
  </si>
  <si>
    <t>Arriaga, Albert J</t>
  </si>
  <si>
    <t>04/09/2001</t>
  </si>
  <si>
    <t>Eisen, John F</t>
  </si>
  <si>
    <t>07/24/1996</t>
  </si>
  <si>
    <t>Dennis, Brenda L</t>
  </si>
  <si>
    <t>City Secretary Office</t>
  </si>
  <si>
    <t>City Secretary</t>
  </si>
  <si>
    <t>01/01/2008</t>
  </si>
  <si>
    <t>10/12/2022</t>
  </si>
  <si>
    <t>Casas, Manny J</t>
  </si>
  <si>
    <t>Assistant Police Chief</t>
  </si>
  <si>
    <t>11/13/2000</t>
  </si>
  <si>
    <t>04/12/2024</t>
  </si>
  <si>
    <t>Shown, Michael W</t>
  </si>
  <si>
    <t>Assistant EMS Chief</t>
  </si>
  <si>
    <t>03/11/2013</t>
  </si>
  <si>
    <t>Warner, Richard Todd</t>
  </si>
  <si>
    <t>Driver Operator</t>
  </si>
  <si>
    <t>08/10/2009</t>
  </si>
  <si>
    <t>Dailey, Balis E</t>
  </si>
  <si>
    <t>Paramedic</t>
  </si>
  <si>
    <t>01/12/1998</t>
  </si>
  <si>
    <t>Rodriguez, Eduardo</t>
  </si>
  <si>
    <t>EMS Lieutenant</t>
  </si>
  <si>
    <t>01/08/2007</t>
  </si>
  <si>
    <t>Walters, James P</t>
  </si>
  <si>
    <t>Finance</t>
  </si>
  <si>
    <t>Director of Finance</t>
  </si>
  <si>
    <t>07/06/2010</t>
  </si>
  <si>
    <t>Jernigan, Michael S</t>
  </si>
  <si>
    <t>10/20/2000</t>
  </si>
  <si>
    <t>02/25/2021</t>
  </si>
  <si>
    <t>Nowak, John</t>
  </si>
  <si>
    <t>Assistant City Engineer</t>
  </si>
  <si>
    <t>05/15/2017</t>
  </si>
  <si>
    <t>Gorzell, Allison M</t>
  </si>
  <si>
    <t>EMS Billing Manager</t>
  </si>
  <si>
    <t>11/14/2002</t>
  </si>
  <si>
    <t>Jones, Virgil C</t>
  </si>
  <si>
    <t>Police Lieutenant</t>
  </si>
  <si>
    <t>06/16/2002</t>
  </si>
  <si>
    <t>McCollum, Mathew K</t>
  </si>
  <si>
    <t>03/15/2010</t>
  </si>
  <si>
    <t>Hernandez, Christopher J</t>
  </si>
  <si>
    <t>09/08/2007</t>
  </si>
  <si>
    <t>Solitto, Steven</t>
  </si>
  <si>
    <t>04/08/2002</t>
  </si>
  <si>
    <t>05/30/2025</t>
  </si>
  <si>
    <t>Trevino, Martin A</t>
  </si>
  <si>
    <t>04/15/2004</t>
  </si>
  <si>
    <t>Hollick, Thomas C</t>
  </si>
  <si>
    <t>12/19/2011</t>
  </si>
  <si>
    <t>07/02/2022</t>
  </si>
  <si>
    <t>Sutton, William</t>
  </si>
  <si>
    <t>Police Officer</t>
  </si>
  <si>
    <t>04/17/2004</t>
  </si>
  <si>
    <t>04/30/2024</t>
  </si>
  <si>
    <t>Berghofer, Carl J</t>
  </si>
  <si>
    <t>Fire Apparatus Operator</t>
  </si>
  <si>
    <t>05/09/2001</t>
  </si>
  <si>
    <t>04/07/2021</t>
  </si>
  <si>
    <t>Gonzalez, Sarah E</t>
  </si>
  <si>
    <t>08/18/2008</t>
  </si>
  <si>
    <t>Uhlhorn, Melissa</t>
  </si>
  <si>
    <t>Library</t>
  </si>
  <si>
    <t>Library Director</t>
  </si>
  <si>
    <t>01/15/2002</t>
  </si>
  <si>
    <t>07/31/2025</t>
  </si>
  <si>
    <t>King, Christopher</t>
  </si>
  <si>
    <t>02/15/2004</t>
  </si>
  <si>
    <t>Pulaski, Stephen</t>
  </si>
  <si>
    <t>03/31/2003</t>
  </si>
  <si>
    <t>07/10/2020</t>
  </si>
  <si>
    <t>Buckingham, Wyatt T</t>
  </si>
  <si>
    <t>Facility Services</t>
  </si>
  <si>
    <t>FACILITIES MANAGER</t>
  </si>
  <si>
    <t>02/20/2018</t>
  </si>
  <si>
    <t>01/29/2021</t>
  </si>
  <si>
    <t>Cumpian, Johnny</t>
  </si>
  <si>
    <t>12/10/2007</t>
  </si>
  <si>
    <t>10/28/2020</t>
  </si>
  <si>
    <t>Rolfing, Zachary W</t>
  </si>
  <si>
    <t>02/22/2016</t>
  </si>
  <si>
    <t>Hill, Brandon J</t>
  </si>
  <si>
    <t>10/11/2025</t>
  </si>
  <si>
    <t>Foerster, Christopher C</t>
  </si>
  <si>
    <t>10/10/2009</t>
  </si>
  <si>
    <t>Pinder, Thomas</t>
  </si>
  <si>
    <t>Fire Marshal</t>
  </si>
  <si>
    <t>07/09/2018</t>
  </si>
  <si>
    <t>02/12/2021</t>
  </si>
  <si>
    <t>Shrum, Lauren M</t>
  </si>
  <si>
    <t>Parks, Recreation, and Co</t>
  </si>
  <si>
    <t>Director of Parks, Rec &amp; Community Services</t>
  </si>
  <si>
    <t>06/13/2016</t>
  </si>
  <si>
    <t>Hanley, Jason T</t>
  </si>
  <si>
    <t>POLICE CORPORAL</t>
  </si>
  <si>
    <t>07/18/2011</t>
  </si>
  <si>
    <t>05/20/2023</t>
  </si>
  <si>
    <t>Wilson, Patricio A</t>
  </si>
  <si>
    <t>08/27/2012</t>
  </si>
  <si>
    <t>Klepper, Linda M</t>
  </si>
  <si>
    <t>Public Affairs</t>
  </si>
  <si>
    <t>Director of Public Affairs</t>
  </si>
  <si>
    <t>04/11/2011</t>
  </si>
  <si>
    <t>04/18/2025</t>
  </si>
  <si>
    <t>Kaiser, Todd D</t>
  </si>
  <si>
    <t>12/05/2024</t>
  </si>
  <si>
    <t>Busch, Eber G</t>
  </si>
  <si>
    <t>Water/Wastewater Superintendent</t>
  </si>
  <si>
    <t>10/01/1990</t>
  </si>
  <si>
    <t>Krask, Brian C</t>
  </si>
  <si>
    <t>02/07/2008</t>
  </si>
  <si>
    <t>Salge, Bryan W</t>
  </si>
  <si>
    <t>04/04/2016</t>
  </si>
  <si>
    <t>Bowker, Tyler J</t>
  </si>
  <si>
    <t>11/07/2016</t>
  </si>
  <si>
    <t>McGuire, Michael P</t>
  </si>
  <si>
    <t>07/24/2003</t>
  </si>
  <si>
    <t>07/08/2025</t>
  </si>
  <si>
    <t>Boney, Benjamin J</t>
  </si>
  <si>
    <t>01/03/2005</t>
  </si>
  <si>
    <t>Schwersinske, Justin E</t>
  </si>
  <si>
    <t>06/07/2010</t>
  </si>
  <si>
    <t>Kunz, Richard Arthur</t>
  </si>
  <si>
    <t>07/10/2002</t>
  </si>
  <si>
    <t>Letbetter, Walter D</t>
  </si>
  <si>
    <t>Streets</t>
  </si>
  <si>
    <t>Streets and Drainage Superintendent</t>
  </si>
  <si>
    <t>01/22/2008</t>
  </si>
  <si>
    <t>07/15/2023</t>
  </si>
  <si>
    <t>Golden, Joshua J</t>
  </si>
  <si>
    <t>03/17/2003</t>
  </si>
  <si>
    <t>Corrales, Jimmy</t>
  </si>
  <si>
    <t>Firefighter</t>
  </si>
  <si>
    <t>05/28/2002</t>
  </si>
  <si>
    <t>07/31/2022</t>
  </si>
  <si>
    <t>Kallies, Kelly Marie</t>
  </si>
  <si>
    <t>Hamilton, Matt E</t>
  </si>
  <si>
    <t>08/23/2006</t>
  </si>
  <si>
    <t>Durant, Gilbert D</t>
  </si>
  <si>
    <t>Chief Building Official</t>
  </si>
  <si>
    <t>10/20/2014</t>
  </si>
  <si>
    <t>01/31/2023</t>
  </si>
  <si>
    <t>Martin, Donney S</t>
  </si>
  <si>
    <t>Systems Administrator</t>
  </si>
  <si>
    <t>11/28/2016</t>
  </si>
  <si>
    <t>Tymrak, Jason R</t>
  </si>
  <si>
    <t>01/13/2007</t>
  </si>
  <si>
    <t>Starr, Craig</t>
  </si>
  <si>
    <t>01/30/2012</t>
  </si>
  <si>
    <t>Krivacka, Jeffrey A</t>
  </si>
  <si>
    <t>09/25/2006</t>
  </si>
  <si>
    <t>Ortiz, John B</t>
  </si>
  <si>
    <t>11/07/2011</t>
  </si>
  <si>
    <t>Trevino, Daniel J</t>
  </si>
  <si>
    <t>03/05/2007</t>
  </si>
  <si>
    <t>Sperduti, Anthony</t>
  </si>
  <si>
    <t>EMS FIELD TRAINING OFFICER</t>
  </si>
  <si>
    <t>12/15/2014</t>
  </si>
  <si>
    <t>12/04/2021</t>
  </si>
  <si>
    <t>Stair, Charles</t>
  </si>
  <si>
    <t>12/11/2000</t>
  </si>
  <si>
    <t>Ruiz, Jesse</t>
  </si>
  <si>
    <t>Roman, Daniel A</t>
  </si>
  <si>
    <t>04/02/2007</t>
  </si>
  <si>
    <t>De Leon, Raul G</t>
  </si>
  <si>
    <t>05/04/2015</t>
  </si>
  <si>
    <t>Ceeko, Shawn P</t>
  </si>
  <si>
    <t>10/31/2005</t>
  </si>
  <si>
    <t>Wencka, Tyler W</t>
  </si>
  <si>
    <t>08/08/2016</t>
  </si>
  <si>
    <t>Martin, Sandra</t>
  </si>
  <si>
    <t>Assistant Director of Finance</t>
  </si>
  <si>
    <t>01/07/2019</t>
  </si>
  <si>
    <t>08/12/2023</t>
  </si>
  <si>
    <t>Murphy, Hillory</t>
  </si>
  <si>
    <t>01/04/2010</t>
  </si>
  <si>
    <t>08/06/2024</t>
  </si>
  <si>
    <t>Armstrong, Alexander J</t>
  </si>
  <si>
    <t>03/26/2012</t>
  </si>
  <si>
    <t>Retano, David E</t>
  </si>
  <si>
    <t>EMS Training Coordinator</t>
  </si>
  <si>
    <t>11/05/2007</t>
  </si>
  <si>
    <t>McNiel, Tyler</t>
  </si>
  <si>
    <t>PT Paramedic - Irregular</t>
  </si>
  <si>
    <t>03/19/2018</t>
  </si>
  <si>
    <t>04/04/2022</t>
  </si>
  <si>
    <t>Freeman, Bill R</t>
  </si>
  <si>
    <t>04/17/2006</t>
  </si>
  <si>
    <t>McFalls, Antonio Y</t>
  </si>
  <si>
    <t>GIS Manager</t>
  </si>
  <si>
    <t>07/09/2007</t>
  </si>
  <si>
    <t>09/06/2025</t>
  </si>
  <si>
    <t>Hopper, Dallas G</t>
  </si>
  <si>
    <t>10/22/2012</t>
  </si>
  <si>
    <t>Anderson, Dane B</t>
  </si>
  <si>
    <t>Lafitte, Helen G</t>
  </si>
  <si>
    <t>11/18/2013</t>
  </si>
  <si>
    <t>Casas, Patricia A</t>
  </si>
  <si>
    <t>Municipal Court</t>
  </si>
  <si>
    <t>Court Administrator</t>
  </si>
  <si>
    <t>05/23/2002</t>
  </si>
  <si>
    <t>Busch Jr, Larry W</t>
  </si>
  <si>
    <t>06/02/2008</t>
  </si>
  <si>
    <t>Weston, Justin M</t>
  </si>
  <si>
    <t>02/27/2012</t>
  </si>
  <si>
    <t>O'Leary, Shawn T</t>
  </si>
  <si>
    <t>10/06/2014</t>
  </si>
  <si>
    <t>11/16/2025</t>
  </si>
  <si>
    <t>Zarate, Rene A</t>
  </si>
  <si>
    <t>ACCOUNTANT - SENIOR</t>
  </si>
  <si>
    <t>03/06/2007</t>
  </si>
  <si>
    <t>05/31/2023</t>
  </si>
  <si>
    <t>Carpenter, Angel G</t>
  </si>
  <si>
    <t>03/27/2017</t>
  </si>
  <si>
    <t>Rapier, Michael D</t>
  </si>
  <si>
    <t>05/22/2006</t>
  </si>
  <si>
    <t>Morehouse, Scott J</t>
  </si>
  <si>
    <t>05/12/2014</t>
  </si>
  <si>
    <t>Armstrong, Colton L</t>
  </si>
  <si>
    <t>04/22/2013</t>
  </si>
  <si>
    <t>08/05/2023</t>
  </si>
  <si>
    <t>Herzog, Eric J</t>
  </si>
  <si>
    <t>03/21/2016</t>
  </si>
  <si>
    <t>McClelland, Scott A</t>
  </si>
  <si>
    <t>Fleet Services</t>
  </si>
  <si>
    <t>INTERIM PUBLIC WORKS DIRECTOR</t>
  </si>
  <si>
    <t>06/12/2017</t>
  </si>
  <si>
    <t>11/04/2022</t>
  </si>
  <si>
    <t>Escobedo, Aaron</t>
  </si>
  <si>
    <t>10/16/2017</t>
  </si>
  <si>
    <t>03/12/2021</t>
  </si>
  <si>
    <t>Molleda, Daniel L</t>
  </si>
  <si>
    <t>12/08/2008</t>
  </si>
  <si>
    <t>Yergin, David A</t>
  </si>
  <si>
    <t>05/19/2021</t>
  </si>
  <si>
    <t>Cox, Lindsey</t>
  </si>
  <si>
    <t>Human Resources Manager</t>
  </si>
  <si>
    <t>08/21/2017</t>
  </si>
  <si>
    <t>08/21/2021</t>
  </si>
  <si>
    <t>McKenna, Sean R</t>
  </si>
  <si>
    <t>10/05/2015</t>
  </si>
  <si>
    <t>Gohlke, Julie</t>
  </si>
  <si>
    <t>Purchasing</t>
  </si>
  <si>
    <t>Purchasing Manager</t>
  </si>
  <si>
    <t>05/14/2018</t>
  </si>
  <si>
    <t>06/20/2023</t>
  </si>
  <si>
    <t>Schmidt, Frank J</t>
  </si>
  <si>
    <t>06/25/2005</t>
  </si>
  <si>
    <t>05/31/2025</t>
  </si>
  <si>
    <t>Ellis, Jason P</t>
  </si>
  <si>
    <t>02/06/2008</t>
  </si>
  <si>
    <t>12/17/2022</t>
  </si>
  <si>
    <t>Haugen, Eric A</t>
  </si>
  <si>
    <t>01/21/2014</t>
  </si>
  <si>
    <t>05/22/2025</t>
  </si>
  <si>
    <t>Flowers, Gregg T</t>
  </si>
  <si>
    <t>10/27/2025</t>
  </si>
  <si>
    <t>Sanchez, Luis A</t>
  </si>
  <si>
    <t>01/02/2012</t>
  </si>
  <si>
    <t>Myers, Timothy J</t>
  </si>
  <si>
    <t>Street Maintenance Crew Chief</t>
  </si>
  <si>
    <t>07/17/1995</t>
  </si>
  <si>
    <t>08/30/2020</t>
  </si>
  <si>
    <t>Samaniego, Adam R</t>
  </si>
  <si>
    <t>Garcia, Matthew D</t>
  </si>
  <si>
    <t>06/02/2014</t>
  </si>
  <si>
    <t>McCosh, Ryan E</t>
  </si>
  <si>
    <t>Reserve Officer</t>
  </si>
  <si>
    <t>04/09/2012</t>
  </si>
  <si>
    <t>Ivey, Haskell L</t>
  </si>
  <si>
    <t>07/17/2010</t>
  </si>
  <si>
    <t>01/13/2023</t>
  </si>
  <si>
    <t>Marks, Sawyer C</t>
  </si>
  <si>
    <t>Connors, Denise M</t>
  </si>
  <si>
    <t>04/19/2021</t>
  </si>
  <si>
    <t>Allegretti, Leon</t>
  </si>
  <si>
    <t>11/22/2005</t>
  </si>
  <si>
    <t>09/16/2020</t>
  </si>
  <si>
    <t>Brooks, Thomas W</t>
  </si>
  <si>
    <t>Master Electrician</t>
  </si>
  <si>
    <t>02/28/2011</t>
  </si>
  <si>
    <t>Jewett, Zachary S</t>
  </si>
  <si>
    <t>08/25/2014</t>
  </si>
  <si>
    <t>Reed, Michael Leon</t>
  </si>
  <si>
    <t>11/12/2019</t>
  </si>
  <si>
    <t>Von Hoven, John J</t>
  </si>
  <si>
    <t>11/27/2017</t>
  </si>
  <si>
    <t>Rice, Michael D</t>
  </si>
  <si>
    <t>07/20/2020</t>
  </si>
  <si>
    <t>Kurzban, Frederick D</t>
  </si>
  <si>
    <t>Bertoia, Elizabeth L</t>
  </si>
  <si>
    <t>10/26/2009</t>
  </si>
  <si>
    <t>Hoes, Kevin A</t>
  </si>
  <si>
    <t>02/21/2017</t>
  </si>
  <si>
    <t>Pacheco, Sylvia R</t>
  </si>
  <si>
    <t>Senior Human Resources Generalist</t>
  </si>
  <si>
    <t>02/26/2001</t>
  </si>
  <si>
    <t>Martinez, Robert</t>
  </si>
  <si>
    <t>Street Maintenance Supervisor</t>
  </si>
  <si>
    <t>05/09/2011</t>
  </si>
  <si>
    <t>Gonzales, Eddie</t>
  </si>
  <si>
    <t>02/28/2023</t>
  </si>
  <si>
    <t>Scibienski, Donald C</t>
  </si>
  <si>
    <t>Villarreal, Joe Luis M</t>
  </si>
  <si>
    <t>Facilities Maintenance Supervisor</t>
  </si>
  <si>
    <t>10/23/2001</t>
  </si>
  <si>
    <t>Lowry, Zachary J</t>
  </si>
  <si>
    <t>11/30/2015</t>
  </si>
  <si>
    <t>Montes, Joaquin</t>
  </si>
  <si>
    <t>Martin, Miranda M</t>
  </si>
  <si>
    <t>07/24/2017</t>
  </si>
  <si>
    <t>Reynosa, Christopher</t>
  </si>
  <si>
    <t>02/19/2019</t>
  </si>
  <si>
    <t>01/26/2021</t>
  </si>
  <si>
    <t>Fennesy, Megan R</t>
  </si>
  <si>
    <t>05/29/2018</t>
  </si>
  <si>
    <t>04/30/2023</t>
  </si>
  <si>
    <t>Toman, April C</t>
  </si>
  <si>
    <t>Senior Librarian</t>
  </si>
  <si>
    <t>Moheit, Jerad W</t>
  </si>
  <si>
    <t>Water/Wastewater Supervisor</t>
  </si>
  <si>
    <t>11/06/2006</t>
  </si>
  <si>
    <t>Sepeda, Alicia</t>
  </si>
  <si>
    <t>Public Safety Communications Supervisor</t>
  </si>
  <si>
    <t>Patrick, Jonathan G</t>
  </si>
  <si>
    <t>11/02/2015</t>
  </si>
  <si>
    <t>Rinehart, Elizabeth L</t>
  </si>
  <si>
    <t>Police Records Manager</t>
  </si>
  <si>
    <t>Kuhlmann, Nichole D</t>
  </si>
  <si>
    <t>Public Safety Communications Manager</t>
  </si>
  <si>
    <t>10/04/2004</t>
  </si>
  <si>
    <t>Jacobs, Craig</t>
  </si>
  <si>
    <t>10/30/2017</t>
  </si>
  <si>
    <t>Lara, Aldo</t>
  </si>
  <si>
    <t>05/28/2019</t>
  </si>
  <si>
    <t>Kolbe, Jennifer W</t>
  </si>
  <si>
    <t>BUSINESS RETENTION MANAGER</t>
  </si>
  <si>
    <t>10/03/2016</t>
  </si>
  <si>
    <t>10/30/2020</t>
  </si>
  <si>
    <t>Potts, Benjamin</t>
  </si>
  <si>
    <t>07/23/2018</t>
  </si>
  <si>
    <t>Apgar, Danielle N</t>
  </si>
  <si>
    <t>Wilson, Ryan Edward</t>
  </si>
  <si>
    <t>Solis-Douglass, Nicole M</t>
  </si>
  <si>
    <t>Crime Victim Liaison</t>
  </si>
  <si>
    <t>06/29/2015</t>
  </si>
  <si>
    <t>02/22/2021</t>
  </si>
  <si>
    <t>Montney, Jared</t>
  </si>
  <si>
    <t>Parks Superintendent</t>
  </si>
  <si>
    <t>Vincent, Andrew T</t>
  </si>
  <si>
    <t>ED MARKETING &amp; RECRUITMENT MANAGER</t>
  </si>
  <si>
    <t>01/01/2021</t>
  </si>
  <si>
    <t>Zuniga, Adrian</t>
  </si>
  <si>
    <t>Tumlinson, Nancy</t>
  </si>
  <si>
    <t>Risk &amp; Safety Specialist</t>
  </si>
  <si>
    <t>Anderson, Amy</t>
  </si>
  <si>
    <t>MIH Paramedic</t>
  </si>
  <si>
    <t>03/04/2019</t>
  </si>
  <si>
    <t>Hernandez, Mario R</t>
  </si>
  <si>
    <t>01/23/2017</t>
  </si>
  <si>
    <t>Matlock, Erin L</t>
  </si>
  <si>
    <t>Civic Center</t>
  </si>
  <si>
    <t>Civic Center Manager</t>
  </si>
  <si>
    <t>03/13/2003</t>
  </si>
  <si>
    <t>01/18/2025</t>
  </si>
  <si>
    <t>Kraft, Anna Marie</t>
  </si>
  <si>
    <t>09/05/2017</t>
  </si>
  <si>
    <t>Harris, Kimberly</t>
  </si>
  <si>
    <t>Public Safety Communications Officer</t>
  </si>
  <si>
    <t>09/17/2018</t>
  </si>
  <si>
    <t>05/13/2021</t>
  </si>
  <si>
    <t>D-Deceased</t>
  </si>
  <si>
    <t>Welch, Mark</t>
  </si>
  <si>
    <t>IT Support Specialist</t>
  </si>
  <si>
    <t>06/11/2018</t>
  </si>
  <si>
    <t>11/09/2020</t>
  </si>
  <si>
    <t>Marquez, Thomas C</t>
  </si>
  <si>
    <t>10/29/2018</t>
  </si>
  <si>
    <t>Rohach, Adam</t>
  </si>
  <si>
    <t>Gardner, William O</t>
  </si>
  <si>
    <t>GIS Specialist</t>
  </si>
  <si>
    <t>06/09/2008</t>
  </si>
  <si>
    <t>Lopez, Paul M</t>
  </si>
  <si>
    <t>Water/Wastewater Crew Chief</t>
  </si>
  <si>
    <t>08/29/2011</t>
  </si>
  <si>
    <t>Surian, Erik N</t>
  </si>
  <si>
    <t>01/22/2019</t>
  </si>
  <si>
    <t>Kellum, Dana L</t>
  </si>
  <si>
    <t>04/30/2018</t>
  </si>
  <si>
    <t>Faschingbauer, Danielle</t>
  </si>
  <si>
    <t>Spence, Mary A</t>
  </si>
  <si>
    <t>PARKS EVENTS MANAGER</t>
  </si>
  <si>
    <t>10/14/2008</t>
  </si>
  <si>
    <t>02/09/2022</t>
  </si>
  <si>
    <t>McSherry Jr, Thomas K</t>
  </si>
  <si>
    <t>11/26/2018</t>
  </si>
  <si>
    <t>11/21/2020</t>
  </si>
  <si>
    <t>Canseco-Amescua, Martha L</t>
  </si>
  <si>
    <t>Accounts Payable Coordinator</t>
  </si>
  <si>
    <t>08/21/2000</t>
  </si>
  <si>
    <t>Lonsberry, Chad R</t>
  </si>
  <si>
    <t>Facilities Maintenance Superintendent</t>
  </si>
  <si>
    <t>09/16/2019</t>
  </si>
  <si>
    <t>Hardin, Dawniecia Lynn</t>
  </si>
  <si>
    <t>Internal Services</t>
  </si>
  <si>
    <t>Internal Services Director</t>
  </si>
  <si>
    <t>Anderson, Kevin C</t>
  </si>
  <si>
    <t>Drainage</t>
  </si>
  <si>
    <t>Drainage Supervisor</t>
  </si>
  <si>
    <t>08/20/1996</t>
  </si>
  <si>
    <t>Dalrymple, Ronald W</t>
  </si>
  <si>
    <t>Plans Examiner</t>
  </si>
  <si>
    <t>09/06/2016</t>
  </si>
  <si>
    <t>10/19/2023</t>
  </si>
  <si>
    <t>Barlow, Michael J</t>
  </si>
  <si>
    <t>10/26/2021</t>
  </si>
  <si>
    <t>Kennedy, Crittenden</t>
  </si>
  <si>
    <t>Vera, Rebecca</t>
  </si>
  <si>
    <t>Neighborhood Services</t>
  </si>
  <si>
    <t>Neighborhood Services Manager</t>
  </si>
  <si>
    <t>09/03/2019</t>
  </si>
  <si>
    <t>10/31/2025</t>
  </si>
  <si>
    <t>Brozovic, Steven M</t>
  </si>
  <si>
    <t>Fleet Supervisor</t>
  </si>
  <si>
    <t>04/18/2016</t>
  </si>
  <si>
    <t>06/26/2021</t>
  </si>
  <si>
    <t>Delgado, Emily A</t>
  </si>
  <si>
    <t>Planning &amp; Zoning</t>
  </si>
  <si>
    <t>Planning Manager</t>
  </si>
  <si>
    <t>Shults, Natalie F</t>
  </si>
  <si>
    <t>Librarian</t>
  </si>
  <si>
    <t>06/15/2015</t>
  </si>
  <si>
    <t>04/15/2022</t>
  </si>
  <si>
    <t>Dispain, Ginger L</t>
  </si>
  <si>
    <t>Animal Services</t>
  </si>
  <si>
    <t>Animal Services Manager</t>
  </si>
  <si>
    <t>10/15/2018</t>
  </si>
  <si>
    <t>12/08/2020</t>
  </si>
  <si>
    <t>Horan, Patricia M</t>
  </si>
  <si>
    <t>09/27/2010</t>
  </si>
  <si>
    <t>07/01/2021</t>
  </si>
  <si>
    <t>Danhof, Tiffany A</t>
  </si>
  <si>
    <t>Administrative Assistant</t>
  </si>
  <si>
    <t>05/21/2012</t>
  </si>
  <si>
    <t>08/24/2024</t>
  </si>
  <si>
    <t>Buckley, Tanner</t>
  </si>
  <si>
    <t>EMT</t>
  </si>
  <si>
    <t>08/05/2019</t>
  </si>
  <si>
    <t>Alcala, Armando</t>
  </si>
  <si>
    <t>Building Inspector</t>
  </si>
  <si>
    <t>Jackson, Bryan</t>
  </si>
  <si>
    <t>Senior IT Support Specialist</t>
  </si>
  <si>
    <t>Villarreal, Jennifer M</t>
  </si>
  <si>
    <t>Sepeda, Bruno E</t>
  </si>
  <si>
    <t>Facilities Maintenance Crew Leader</t>
  </si>
  <si>
    <t>01/05/1998</t>
  </si>
  <si>
    <t>Colombo, Michael W</t>
  </si>
  <si>
    <t>Engineering Inspector</t>
  </si>
  <si>
    <t>10/13/2009</t>
  </si>
  <si>
    <t>07/09/2021</t>
  </si>
  <si>
    <t>Williams, Jansin</t>
  </si>
  <si>
    <t>Christensen, Devan S</t>
  </si>
  <si>
    <t>Interim Director of Public Affairs</t>
  </si>
  <si>
    <t>03/21/2017</t>
  </si>
  <si>
    <t>Rosales, Rodolfo</t>
  </si>
  <si>
    <t>Utility Billing</t>
  </si>
  <si>
    <t>Utility Billing Manager</t>
  </si>
  <si>
    <t>06/18/2007</t>
  </si>
  <si>
    <t>Diggs, Eddie L</t>
  </si>
  <si>
    <t>07/10/2006</t>
  </si>
  <si>
    <t>06/02/2023</t>
  </si>
  <si>
    <t>Ashcraft, Melissa</t>
  </si>
  <si>
    <t>09/04/2013</t>
  </si>
  <si>
    <t>05/21/2021</t>
  </si>
  <si>
    <t>Hill-Jones, Jennifer D</t>
  </si>
  <si>
    <t>ADMINISTRATIVE MANAGER</t>
  </si>
  <si>
    <t>01/13/2014</t>
  </si>
  <si>
    <t>08/02/2021</t>
  </si>
  <si>
    <t>Timmons, Bryan D</t>
  </si>
  <si>
    <t>08/14/2000</t>
  </si>
  <si>
    <t>Cook, William</t>
  </si>
  <si>
    <t>Kuehn, Monica M</t>
  </si>
  <si>
    <t>12/03/2014</t>
  </si>
  <si>
    <t>Ledoux, Maya</t>
  </si>
  <si>
    <t>Financial Analyst</t>
  </si>
  <si>
    <t>10/01/2018</t>
  </si>
  <si>
    <t>02/12/2022</t>
  </si>
  <si>
    <t>Hernandez, Christopher David</t>
  </si>
  <si>
    <t>Fleet Superintendent</t>
  </si>
  <si>
    <t>01/21/2020</t>
  </si>
  <si>
    <t>Ott, Dylan G</t>
  </si>
  <si>
    <t>01/02/2022</t>
  </si>
  <si>
    <t>Dammann, Aaron R</t>
  </si>
  <si>
    <t>Drainage Worker II</t>
  </si>
  <si>
    <t>06/11/2002</t>
  </si>
  <si>
    <t>01/31/2024</t>
  </si>
  <si>
    <t>Quast, Carl R</t>
  </si>
  <si>
    <t>01/22/2003</t>
  </si>
  <si>
    <t>02/24/2025</t>
  </si>
  <si>
    <t>Guerra, Sydney</t>
  </si>
  <si>
    <t>Sarten, Donald</t>
  </si>
  <si>
    <t>Water/Wastewater Operator II</t>
  </si>
  <si>
    <t>03/27/2024</t>
  </si>
  <si>
    <t>Hernandez, Jose R</t>
  </si>
  <si>
    <t>06/25/2001</t>
  </si>
  <si>
    <t>06/30/2020</t>
  </si>
  <si>
    <t>Green, Angela D</t>
  </si>
  <si>
    <t>Senior Deputy Court Clerk</t>
  </si>
  <si>
    <t>11/03/2003</t>
  </si>
  <si>
    <t>Wilkinson, Elizabeth G</t>
  </si>
  <si>
    <t>Deputy City Secretary</t>
  </si>
  <si>
    <t>12/10/2018</t>
  </si>
  <si>
    <t>01/08/2021</t>
  </si>
  <si>
    <t>Forehand, Vicki A</t>
  </si>
  <si>
    <t>11/26/2007</t>
  </si>
  <si>
    <t>12/14/2021</t>
  </si>
  <si>
    <t>Cammack, Ashley N</t>
  </si>
  <si>
    <t>Mixon, Joshua P</t>
  </si>
  <si>
    <t>01/31/2020</t>
  </si>
  <si>
    <t>Marbach, Jaclyn M</t>
  </si>
  <si>
    <t>Orosco, Albert</t>
  </si>
  <si>
    <t>Events Attendant</t>
  </si>
  <si>
    <t>12/01/2008</t>
  </si>
  <si>
    <t>Garcia, Chelsea Marie</t>
  </si>
  <si>
    <t>Property Room &amp; Crime Scene Technician</t>
  </si>
  <si>
    <t>04/02/2018</t>
  </si>
  <si>
    <t>Perez-Ortiz, Diana</t>
  </si>
  <si>
    <t>Accountant</t>
  </si>
  <si>
    <t>Valdez, Yolanda N</t>
  </si>
  <si>
    <t>Human Resources Generalist</t>
  </si>
  <si>
    <t>07/08/2019</t>
  </si>
  <si>
    <t>Llanez, Matthew R</t>
  </si>
  <si>
    <t>05/02/2016</t>
  </si>
  <si>
    <t>11/06/2021</t>
  </si>
  <si>
    <t>McFarland, Jerry Y</t>
  </si>
  <si>
    <t>Purchasing Specialist</t>
  </si>
  <si>
    <t>10/29/2007</t>
  </si>
  <si>
    <t>12/07/2022</t>
  </si>
  <si>
    <t>Jacobs, Jutta</t>
  </si>
  <si>
    <t>05/24/2010</t>
  </si>
  <si>
    <t>05/28/2021</t>
  </si>
  <si>
    <t>Gillard, Stephen N</t>
  </si>
  <si>
    <t>Fleet Mechanic II</t>
  </si>
  <si>
    <t>09/19/2016</t>
  </si>
  <si>
    <t>02/08/2025</t>
  </si>
  <si>
    <t>Bruce, James</t>
  </si>
  <si>
    <t>David, Kent W</t>
  </si>
  <si>
    <t>Senior Systems Administrator</t>
  </si>
  <si>
    <t>08/22/2016</t>
  </si>
  <si>
    <t>05/27/2020</t>
  </si>
  <si>
    <t>Santoya, Raul R</t>
  </si>
  <si>
    <t>SERVICEMAN II</t>
  </si>
  <si>
    <t>08/08/2006</t>
  </si>
  <si>
    <t>10/02/2020</t>
  </si>
  <si>
    <t>Gonzalez, Hector A</t>
  </si>
  <si>
    <t>11/10/2021</t>
  </si>
  <si>
    <t>Pequeno, Daniel</t>
  </si>
  <si>
    <t>05/11/1998</t>
  </si>
  <si>
    <t>Porras, Madison</t>
  </si>
  <si>
    <t>Marketing &amp; Communication Specialist</t>
  </si>
  <si>
    <t>07/23/2022</t>
  </si>
  <si>
    <t>Krause, Debra K</t>
  </si>
  <si>
    <t>Permit Technician</t>
  </si>
  <si>
    <t>06/08/2009</t>
  </si>
  <si>
    <t>08/13/2020</t>
  </si>
  <si>
    <t>Ryel, Jeremy T</t>
  </si>
  <si>
    <t>10/20/2015</t>
  </si>
  <si>
    <t>Gonzales, Ray A</t>
  </si>
  <si>
    <t>Facilities Maintenance Technician</t>
  </si>
  <si>
    <t>11/09/2009</t>
  </si>
  <si>
    <t>09/23/2021</t>
  </si>
  <si>
    <t>Williamson, Kedryn Calista</t>
  </si>
  <si>
    <t>10/27/2021</t>
  </si>
  <si>
    <t>Caraway, Waylin J</t>
  </si>
  <si>
    <t>09/26/2011</t>
  </si>
  <si>
    <t>09/28/2024</t>
  </si>
  <si>
    <t>Salazar, Sarah</t>
  </si>
  <si>
    <t>CIVIC &amp; COMMUNITY CENTER COORDINATOR</t>
  </si>
  <si>
    <t>08/17/2020</t>
  </si>
  <si>
    <t>Miller, Dominga</t>
  </si>
  <si>
    <t>EMS Billing Specialist</t>
  </si>
  <si>
    <t>Pardo, Ismael P</t>
  </si>
  <si>
    <t>Morin, Sarah G</t>
  </si>
  <si>
    <t>Leahy, Regina A</t>
  </si>
  <si>
    <t>Library Technician</t>
  </si>
  <si>
    <t>08/09/1999</t>
  </si>
  <si>
    <t>Abellas, Erica</t>
  </si>
  <si>
    <t>11/28/2020</t>
  </si>
  <si>
    <t>Quinones, Karen</t>
  </si>
  <si>
    <t>Cimino, Lisa-Marie</t>
  </si>
  <si>
    <t>07/28/2021</t>
  </si>
  <si>
    <t>Martinez, Demetrio A</t>
  </si>
  <si>
    <t>Amen, Pamela</t>
  </si>
  <si>
    <t>06/10/2019</t>
  </si>
  <si>
    <t>08/07/2020</t>
  </si>
  <si>
    <t>Porter, Lillian</t>
  </si>
  <si>
    <t>11/13/2017</t>
  </si>
  <si>
    <t>Deasy, Ashley N</t>
  </si>
  <si>
    <t>Development Specialist</t>
  </si>
  <si>
    <t>10/08/2013</t>
  </si>
  <si>
    <t>01/07/2022</t>
  </si>
  <si>
    <t>Morales, Mark A</t>
  </si>
  <si>
    <t>Meter Technician</t>
  </si>
  <si>
    <t>06/12/2006</t>
  </si>
  <si>
    <t>Paprocki, Traci S</t>
  </si>
  <si>
    <t>ADMINISTRATIVE ASSISTANT</t>
  </si>
  <si>
    <t>08/16/2004</t>
  </si>
  <si>
    <t>09/20/2024</t>
  </si>
  <si>
    <t>Sand, Ronald W</t>
  </si>
  <si>
    <t>Street Maintenance Worker II</t>
  </si>
  <si>
    <t>Brown, Eric E</t>
  </si>
  <si>
    <t>Fleet Mechanic I</t>
  </si>
  <si>
    <t>02/05/2018</t>
  </si>
  <si>
    <t>Yamazi, Marc</t>
  </si>
  <si>
    <t>Perez, Jerry</t>
  </si>
  <si>
    <t>Krauss, Shelley M</t>
  </si>
  <si>
    <t>10/02/2000</t>
  </si>
  <si>
    <t>Rhodes, Samuel D</t>
  </si>
  <si>
    <t>Street Maintenance Worker I</t>
  </si>
  <si>
    <t>Flores, Jordan A</t>
  </si>
  <si>
    <t>Jimenez, Anthony J</t>
  </si>
  <si>
    <t>Jiminez, Alyssa</t>
  </si>
  <si>
    <t>11/30/2021</t>
  </si>
  <si>
    <t>Castillo, Guadalupe E</t>
  </si>
  <si>
    <t>McFarland, Yvonne</t>
  </si>
  <si>
    <t>Deputy Court Clerk</t>
  </si>
  <si>
    <t>05/25/2006</t>
  </si>
  <si>
    <t>Lagunas, Megan R</t>
  </si>
  <si>
    <t>Davis, Sherry L</t>
  </si>
  <si>
    <t>Customer Relations/311</t>
  </si>
  <si>
    <t>Service Representative</t>
  </si>
  <si>
    <t>03/30/2009</t>
  </si>
  <si>
    <t>03/31/2025</t>
  </si>
  <si>
    <t>Mayorga, Cresencio</t>
  </si>
  <si>
    <t>12/05/2011</t>
  </si>
  <si>
    <t>Maeda, Samuel T</t>
  </si>
  <si>
    <t>Apprentice HVAC Technician</t>
  </si>
  <si>
    <t>05/30/2024</t>
  </si>
  <si>
    <t>Kunz, Tyler</t>
  </si>
  <si>
    <t>07/31/2020</t>
  </si>
  <si>
    <t>Harvego, Alysha</t>
  </si>
  <si>
    <t>Animal Services Officer</t>
  </si>
  <si>
    <t>06/08/2021</t>
  </si>
  <si>
    <t>Hansen, Nicole</t>
  </si>
  <si>
    <t>Ramirez, Stephanie</t>
  </si>
  <si>
    <t>06/27/2022</t>
  </si>
  <si>
    <t>Callen, Cody A</t>
  </si>
  <si>
    <t>11/10/2020</t>
  </si>
  <si>
    <t>Bowerman, Karen L</t>
  </si>
  <si>
    <t>Library Assistant</t>
  </si>
  <si>
    <t>11/06/2002</t>
  </si>
  <si>
    <t>Flores, Moses</t>
  </si>
  <si>
    <t>Espronceda, Amber M</t>
  </si>
  <si>
    <t>Clinical Educator EMS</t>
  </si>
  <si>
    <t>Saloka, Devon</t>
  </si>
  <si>
    <t>SERVICE WORKER I</t>
  </si>
  <si>
    <t>04/01/2019</t>
  </si>
  <si>
    <t>01/22/2021</t>
  </si>
  <si>
    <t>Fleck, Melissa D</t>
  </si>
  <si>
    <t>12/31/2022</t>
  </si>
  <si>
    <t>Smith, Robin</t>
  </si>
  <si>
    <t>04/13/2021</t>
  </si>
  <si>
    <t>Martinez, Jose D</t>
  </si>
  <si>
    <t>11/13/2018</t>
  </si>
  <si>
    <t>09/16/2022</t>
  </si>
  <si>
    <t>Alonzo, Angel</t>
  </si>
  <si>
    <t>Water/Wastewater Operator Trainee</t>
  </si>
  <si>
    <t>11/14/2025</t>
  </si>
  <si>
    <t>Fox, Bernice</t>
  </si>
  <si>
    <t>01/14/2008</t>
  </si>
  <si>
    <t>Warneke, Tyler S</t>
  </si>
  <si>
    <t>08/13/2012</t>
  </si>
  <si>
    <t>Chavez, Irene H</t>
  </si>
  <si>
    <t>Assistant City Secretary</t>
  </si>
  <si>
    <t>Hall, David H</t>
  </si>
  <si>
    <t>05/29/2021</t>
  </si>
  <si>
    <t>Cole, Daniel L</t>
  </si>
  <si>
    <t>10/15/2019</t>
  </si>
  <si>
    <t>Villarreal, Jordan</t>
  </si>
  <si>
    <t>07/22/2021</t>
  </si>
  <si>
    <t>Armstrong, Udale</t>
  </si>
  <si>
    <t>06/05/2021</t>
  </si>
  <si>
    <t>Dobratz, Robert</t>
  </si>
  <si>
    <t>Parks Supervisor</t>
  </si>
  <si>
    <t>12/11/2017</t>
  </si>
  <si>
    <t>Reinikka, Leslie</t>
  </si>
  <si>
    <t>12/26/2018</t>
  </si>
  <si>
    <t>Gutierrez, Mercedes Bianca</t>
  </si>
  <si>
    <t>Human Resources Assistant</t>
  </si>
  <si>
    <t>Weaver, Jeremy</t>
  </si>
  <si>
    <t>Abdullah, Joseph A</t>
  </si>
  <si>
    <t>Hampton, Dawn K</t>
  </si>
  <si>
    <t>Ramirez, Blanca C</t>
  </si>
  <si>
    <t>10/17/2016</t>
  </si>
  <si>
    <t>05/01/2023</t>
  </si>
  <si>
    <t>Edwards, Sandra A</t>
  </si>
  <si>
    <t>UTILITY BILLING CLERK</t>
  </si>
  <si>
    <t>04/06/2015</t>
  </si>
  <si>
    <t>02/07/2022</t>
  </si>
  <si>
    <t>Valle Sanchez, Antonio</t>
  </si>
  <si>
    <t>Traffic Signal &amp; Sign Technician I</t>
  </si>
  <si>
    <t>07/29/2013</t>
  </si>
  <si>
    <t>Gaines, Jacqueline H</t>
  </si>
  <si>
    <t>EXECUTIVE ASSISTANT</t>
  </si>
  <si>
    <t>06/24/2013</t>
  </si>
  <si>
    <t>04/30/2020</t>
  </si>
  <si>
    <t>Johnson, Joni R</t>
  </si>
  <si>
    <t>03/25/2013</t>
  </si>
  <si>
    <t>Harrison, Megan</t>
  </si>
  <si>
    <t>Planner</t>
  </si>
  <si>
    <t>02/03/2020</t>
  </si>
  <si>
    <t>09/24/2022</t>
  </si>
  <si>
    <t>Garza, Katrina A</t>
  </si>
  <si>
    <t>06/16/2014</t>
  </si>
  <si>
    <t>Sutton, Heather N</t>
  </si>
  <si>
    <t>12/29/2023</t>
  </si>
  <si>
    <t>Kromer, Nicole E</t>
  </si>
  <si>
    <t>Park Maintenance Technician I</t>
  </si>
  <si>
    <t>12/09/2019</t>
  </si>
  <si>
    <t>01/14/2023</t>
  </si>
  <si>
    <t>Bond, Korrin Marie</t>
  </si>
  <si>
    <t>02/12/2025</t>
  </si>
  <si>
    <t>Pearson, Jennifer A</t>
  </si>
  <si>
    <t>06/27/2016</t>
  </si>
  <si>
    <t>04/08/2023</t>
  </si>
  <si>
    <t>Ortiz, Arturo C</t>
  </si>
  <si>
    <t>07/28/2018</t>
  </si>
  <si>
    <t>Gomez, Melissa</t>
  </si>
  <si>
    <t>09/30/2019</t>
  </si>
  <si>
    <t>02/11/2022</t>
  </si>
  <si>
    <t>Martinez, Lidia Isabel</t>
  </si>
  <si>
    <t>Mangrum, James</t>
  </si>
  <si>
    <t>05/30/2017</t>
  </si>
  <si>
    <t>06/29/2023</t>
  </si>
  <si>
    <t>Mendoza, Esther I</t>
  </si>
  <si>
    <t>11/01/1999</t>
  </si>
  <si>
    <t>02/28/2020</t>
  </si>
  <si>
    <t>Flores, Luis Joseph</t>
  </si>
  <si>
    <t>03/24/2021</t>
  </si>
  <si>
    <t>McAfee, Deon</t>
  </si>
  <si>
    <t>Drainage Worker I</t>
  </si>
  <si>
    <t>04/16/2021</t>
  </si>
  <si>
    <t>Mata Jr, Roberto</t>
  </si>
  <si>
    <t>Gofron, Allyson</t>
  </si>
  <si>
    <t>PT Public Safety Communications Officer - Irr</t>
  </si>
  <si>
    <t>02/18/2020</t>
  </si>
  <si>
    <t>French, Coyle A</t>
  </si>
  <si>
    <t>Monserrate, Noelle</t>
  </si>
  <si>
    <t>Kennel Technician</t>
  </si>
  <si>
    <t>01/30/2019</t>
  </si>
  <si>
    <t>Casares, Armando F</t>
  </si>
  <si>
    <t>Drainage Worker Trainee</t>
  </si>
  <si>
    <t>11/25/2019</t>
  </si>
  <si>
    <t>Moody, Leroy</t>
  </si>
  <si>
    <t>Rodriguez, Isaac</t>
  </si>
  <si>
    <t>08/19/2019</t>
  </si>
  <si>
    <t>12/21/2020</t>
  </si>
  <si>
    <t>King, Roy T</t>
  </si>
  <si>
    <t>Johnson, Misty L</t>
  </si>
  <si>
    <t>Police Records Specialist</t>
  </si>
  <si>
    <t>Yang, Michelle Cia</t>
  </si>
  <si>
    <t>EVENTS SPECIALIST</t>
  </si>
  <si>
    <t>05/13/2022</t>
  </si>
  <si>
    <t>Blake, Starla</t>
  </si>
  <si>
    <t>Lawry, Charis J</t>
  </si>
  <si>
    <t>Senior Utility Billing Specialist</t>
  </si>
  <si>
    <t>Friedrichs, Warren</t>
  </si>
  <si>
    <t>04/15/2019</t>
  </si>
  <si>
    <t>Aleman, Ricardo</t>
  </si>
  <si>
    <t>CORPORAL</t>
  </si>
  <si>
    <t>10/25/2010</t>
  </si>
  <si>
    <t>01/17/2020</t>
  </si>
  <si>
    <t>Locken, Lisa</t>
  </si>
  <si>
    <t>Sanitarian</t>
  </si>
  <si>
    <t>Otte, Christopher G</t>
  </si>
  <si>
    <t>07/09/2003</t>
  </si>
  <si>
    <t>02/04/2020</t>
  </si>
  <si>
    <t>Blain, Christopher J</t>
  </si>
  <si>
    <t>ENGINEER - GRADUATE</t>
  </si>
  <si>
    <t>05/26/2020</t>
  </si>
  <si>
    <t>07/16/2021</t>
  </si>
  <si>
    <t>McMath, Ian Michael</t>
  </si>
  <si>
    <t>Tellez, Zue Elizabeth</t>
  </si>
  <si>
    <t>04/13/2020</t>
  </si>
  <si>
    <t>Dwight, Lauren Ashley</t>
  </si>
  <si>
    <t>04/08/2020</t>
  </si>
  <si>
    <t>Shurtleff, David A</t>
  </si>
  <si>
    <t>09/18/2017</t>
  </si>
  <si>
    <t>Southwell, Mark R</t>
  </si>
  <si>
    <t>08/13/2025</t>
  </si>
  <si>
    <t>Couch, Christopher S</t>
  </si>
  <si>
    <t>10/28/2013</t>
  </si>
  <si>
    <t>10/26/2024</t>
  </si>
  <si>
    <t>Spradling, Ernest G</t>
  </si>
  <si>
    <t>05/08/2006</t>
  </si>
  <si>
    <t>Pruitt, Justin S</t>
  </si>
  <si>
    <t>06/26/2007</t>
  </si>
  <si>
    <t>Litzenburger, Gow S</t>
  </si>
  <si>
    <t>Parks Maintenance Crew Leader</t>
  </si>
  <si>
    <t>03/18/2020</t>
  </si>
  <si>
    <t>Phillips, Bernice M</t>
  </si>
  <si>
    <t>01/06/2020</t>
  </si>
  <si>
    <t>10/10/2024</t>
  </si>
  <si>
    <t>Defonce, Amy S</t>
  </si>
  <si>
    <t>02/25/2013</t>
  </si>
  <si>
    <t>12/15/2021</t>
  </si>
  <si>
    <t>Regnier, Ellen H</t>
  </si>
  <si>
    <t>LIBRARY CLERK I</t>
  </si>
  <si>
    <t>10/27/2003</t>
  </si>
  <si>
    <t>10/30/2021</t>
  </si>
  <si>
    <t>Clark, Rowdy Nathaniel</t>
  </si>
  <si>
    <t>05/22/2020</t>
  </si>
  <si>
    <t>Neuburger, Lisa</t>
  </si>
  <si>
    <t>06/19/2003</t>
  </si>
  <si>
    <t>06/30/2023</t>
  </si>
  <si>
    <t>Guzman, Everardo</t>
  </si>
  <si>
    <t>04/10/2020</t>
  </si>
  <si>
    <t>Sweeney, Yolanda R</t>
  </si>
  <si>
    <t>CUSTOMER RELATIONS REPRESENTATIVE</t>
  </si>
  <si>
    <t>12/09/2021</t>
  </si>
  <si>
    <t>Charles, Xavier Ray</t>
  </si>
  <si>
    <t>05/11/2020</t>
  </si>
  <si>
    <t>07/28/2020</t>
  </si>
  <si>
    <t>Streton, Pamela S</t>
  </si>
  <si>
    <t>08/18/2007</t>
  </si>
  <si>
    <t>Luna, Stephanie Carol Ramirez</t>
  </si>
  <si>
    <t>04/27/2020</t>
  </si>
  <si>
    <t>08/27/2020</t>
  </si>
  <si>
    <t>Brinkman, Brandi M</t>
  </si>
  <si>
    <t>10/02/2021</t>
  </si>
  <si>
    <t>Norman, Michelle L</t>
  </si>
  <si>
    <t>Programming Specialist</t>
  </si>
  <si>
    <t>Bressette, Lynn M</t>
  </si>
  <si>
    <t>08/01/2021</t>
  </si>
  <si>
    <t>Deveney, Lawrence P</t>
  </si>
  <si>
    <t>PT Events Attendant</t>
  </si>
  <si>
    <t>05/28/2022</t>
  </si>
  <si>
    <t>Schindler, Laurie E</t>
  </si>
  <si>
    <t>08/30/2010</t>
  </si>
  <si>
    <t>02/16/2025</t>
  </si>
  <si>
    <t>Borg, Nina L</t>
  </si>
  <si>
    <t>Crossing Guard</t>
  </si>
  <si>
    <t>08/20/2010</t>
  </si>
  <si>
    <t>07/26/2023</t>
  </si>
  <si>
    <t>Wheeler, Alexsaray I</t>
  </si>
  <si>
    <t>Banduch, Richard</t>
  </si>
  <si>
    <t>OFFICER</t>
  </si>
  <si>
    <t>07/01/2015</t>
  </si>
  <si>
    <t>01/01/2020</t>
  </si>
  <si>
    <t>Schultz, Gerald A</t>
  </si>
  <si>
    <t>07/07/2022</t>
  </si>
  <si>
    <t>Machado, Julio C</t>
  </si>
  <si>
    <t>06/04/2018</t>
  </si>
  <si>
    <t>Smith, Dwight Orlando</t>
  </si>
  <si>
    <t>06/08/2020</t>
  </si>
  <si>
    <t>06/11/2022</t>
  </si>
  <si>
    <t>Hausman, Amanda</t>
  </si>
  <si>
    <t>08/07/2017</t>
  </si>
  <si>
    <t>05/05/2023</t>
  </si>
  <si>
    <t>Madison, LaSonya R</t>
  </si>
  <si>
    <t>Gann, John Mark</t>
  </si>
  <si>
    <t>06/22/2020</t>
  </si>
  <si>
    <t>06/10/2022</t>
  </si>
  <si>
    <t>Spenrath, Caira M</t>
  </si>
  <si>
    <t>LIBRARY CLERK</t>
  </si>
  <si>
    <t>11/11/2021</t>
  </si>
  <si>
    <t>Torres, Julian S</t>
  </si>
  <si>
    <t>02/24/2022</t>
  </si>
  <si>
    <t>Koplyay, Nicholas</t>
  </si>
  <si>
    <t>Senior Planner</t>
  </si>
  <si>
    <t>09/04/2018</t>
  </si>
  <si>
    <t>05/04/2021</t>
  </si>
  <si>
    <t>Navarro, Anthony M</t>
  </si>
  <si>
    <t>07/24/2020</t>
  </si>
  <si>
    <t>Kurczewski, Pamela H</t>
  </si>
  <si>
    <t>Hacker, Roman</t>
  </si>
  <si>
    <t>03/12/2020</t>
  </si>
  <si>
    <t>Pillar, Matthew</t>
  </si>
  <si>
    <t>Seasonal Park Worker</t>
  </si>
  <si>
    <t>08/14/2020</t>
  </si>
  <si>
    <t>Short, Matthew</t>
  </si>
  <si>
    <t>08/29/2020</t>
  </si>
  <si>
    <t>Carlson, Scott</t>
  </si>
  <si>
    <t>03/18/2019</t>
  </si>
  <si>
    <t>12/20/2019</t>
  </si>
  <si>
    <t>Gniech, Adriane</t>
  </si>
  <si>
    <t>09/30/2021</t>
  </si>
  <si>
    <t>Gutierrez, Rafael</t>
  </si>
  <si>
    <t>City Council</t>
  </si>
  <si>
    <t>Mayor</t>
  </si>
  <si>
    <t>11/21/2016</t>
  </si>
  <si>
    <t>11/17/2025</t>
  </si>
  <si>
    <t>Castillo, Ygnacio</t>
  </si>
  <si>
    <t>07/06/2020</t>
  </si>
  <si>
    <t>Briseno, Jason J</t>
  </si>
  <si>
    <t>12/26/2019</t>
  </si>
  <si>
    <t>Tayloe, Stephen L</t>
  </si>
  <si>
    <t>10/31/2016</t>
  </si>
  <si>
    <t>Hartzell, Brett D</t>
  </si>
  <si>
    <t>03/26/2022</t>
  </si>
  <si>
    <t>Morales, Hannah M</t>
  </si>
  <si>
    <t>04/01/2022</t>
  </si>
  <si>
    <t>Canales, Karen Eileen</t>
  </si>
  <si>
    <t>12/31/2019</t>
  </si>
  <si>
    <t>Jones, Raymond R</t>
  </si>
  <si>
    <t>12/25/2020</t>
  </si>
  <si>
    <t>La Cour, Darin S</t>
  </si>
  <si>
    <t>03/12/1995</t>
  </si>
  <si>
    <t>Santa Cruz, Gabriel G</t>
  </si>
  <si>
    <t>Crismon, Charles</t>
  </si>
  <si>
    <t>03/07/2022</t>
  </si>
  <si>
    <t>Williams, Kimberly</t>
  </si>
  <si>
    <t>Young, Dustin</t>
  </si>
  <si>
    <t>03/08/2020</t>
  </si>
  <si>
    <t>Durland, Angelica G</t>
  </si>
  <si>
    <t>12/26/2017</t>
  </si>
  <si>
    <t>06/23/2022</t>
  </si>
  <si>
    <t>Wilson , Chris J</t>
  </si>
  <si>
    <t>PT KENNEL TECHNICIAN</t>
  </si>
  <si>
    <t>12/01/2003</t>
  </si>
  <si>
    <t>02/23/2020</t>
  </si>
  <si>
    <t>Wait, Dudley</t>
  </si>
  <si>
    <t>06/11/2001</t>
  </si>
  <si>
    <t>06/11/2023</t>
  </si>
  <si>
    <t>Vaughn, Jeffrey A</t>
  </si>
  <si>
    <t>12/12/2006</t>
  </si>
  <si>
    <t>01/25/2025</t>
  </si>
  <si>
    <t>Larson, Jonathan S</t>
  </si>
  <si>
    <t>Council Member</t>
  </si>
  <si>
    <t>11/16/2020</t>
  </si>
  <si>
    <t>Dahle, Michael H</t>
  </si>
  <si>
    <t>11/18/2019</t>
  </si>
  <si>
    <t>12/02/2023</t>
  </si>
  <si>
    <t>Scagliola, David L</t>
  </si>
  <si>
    <t>11/21/2017</t>
  </si>
  <si>
    <t>Brown, Timothy C</t>
  </si>
  <si>
    <t>11/20/2018</t>
  </si>
  <si>
    <t>10/19/2025</t>
  </si>
  <si>
    <t>Davis, Mark E</t>
  </si>
  <si>
    <t>Heyward, Allison Y</t>
  </si>
  <si>
    <t>Scott, Rosemary G</t>
  </si>
  <si>
    <t>02/22/2022</t>
  </si>
  <si>
    <t>Partington, Judith</t>
  </si>
  <si>
    <t>08/25/2017</t>
  </si>
  <si>
    <t>Trifilio, Frank C</t>
  </si>
  <si>
    <t>Staudt, John</t>
  </si>
  <si>
    <t>Acevedo, Isabel Guadalup</t>
  </si>
  <si>
    <t>Milone, Joseph C</t>
  </si>
  <si>
    <t>08/16/2005</t>
  </si>
  <si>
    <t>12/17/2021</t>
  </si>
  <si>
    <t>Gonzalez, Carolina P</t>
  </si>
  <si>
    <t>Cohen, Nancy</t>
  </si>
  <si>
    <t>08/28/2020</t>
  </si>
  <si>
    <t>Fleming, Petra</t>
  </si>
  <si>
    <t>08/06/2018</t>
  </si>
  <si>
    <t>Wall, Meghann</t>
  </si>
  <si>
    <t>P/T LIBRARY PAGE 10 HRS</t>
  </si>
  <si>
    <t>05/20/2020</t>
  </si>
  <si>
    <t>Harshman, Jonathan M</t>
  </si>
  <si>
    <t>DIRECTOR OF FLEET &amp; FACILITY SERVICES</t>
  </si>
  <si>
    <t>06/20/2011</t>
  </si>
  <si>
    <t>12/02/2019</t>
  </si>
  <si>
    <t>Miles, Timothy Richard</t>
  </si>
  <si>
    <t>09/10/2022</t>
  </si>
  <si>
    <t>Peterson, Kendra J</t>
  </si>
  <si>
    <t>03/15/2022</t>
  </si>
  <si>
    <t>Diaz, Allen P</t>
  </si>
  <si>
    <t>SERVICEMAN I</t>
  </si>
  <si>
    <t>11/29/2019</t>
  </si>
  <si>
    <t>Zanders, Charles</t>
  </si>
  <si>
    <t>04/14/2022</t>
  </si>
  <si>
    <t>Williams, Mary Myles</t>
  </si>
  <si>
    <t>Davis, Michael W</t>
  </si>
  <si>
    <t>08/17/2009</t>
  </si>
  <si>
    <t>10/02/2023</t>
  </si>
  <si>
    <t>Simmons, Cynthia Ann</t>
  </si>
  <si>
    <t>08/31/2020</t>
  </si>
  <si>
    <t>04/06/2024</t>
  </si>
  <si>
    <t>Smith, Garett A</t>
  </si>
  <si>
    <t>05/20/2021</t>
  </si>
  <si>
    <t>Eureste, Blake C</t>
  </si>
  <si>
    <t>03/06/2020</t>
  </si>
  <si>
    <t>McFerran, Michael David</t>
  </si>
  <si>
    <t>Supply Coordinator (P/T)</t>
  </si>
  <si>
    <t>11/19/2021</t>
  </si>
  <si>
    <t>Dominguez, Dominic</t>
  </si>
  <si>
    <t>04/08/2021</t>
  </si>
  <si>
    <t>Carpenter, Michael R</t>
  </si>
  <si>
    <t>05/12/2009</t>
  </si>
  <si>
    <t>Velasquez, Ilyssa</t>
  </si>
  <si>
    <t>09/03/2020</t>
  </si>
  <si>
    <t>10/16/2021</t>
  </si>
  <si>
    <t>Hirshberg, Sidney S</t>
  </si>
  <si>
    <t>06/13/2006</t>
  </si>
  <si>
    <t>06/01/2023</t>
  </si>
  <si>
    <t>Edwards, Cedric B</t>
  </si>
  <si>
    <t>05/04/2010</t>
  </si>
  <si>
    <t>Morris, Beth</t>
  </si>
  <si>
    <t>09/04/2020</t>
  </si>
  <si>
    <t>01/03/2022</t>
  </si>
  <si>
    <t>Alfaro, Sally</t>
  </si>
  <si>
    <t>Sibdhannie, Annemarie</t>
  </si>
  <si>
    <t>Crenshaw, Catherine</t>
  </si>
  <si>
    <t>09/08/2020</t>
  </si>
  <si>
    <t>03/28/2025</t>
  </si>
  <si>
    <r>
      <t xml:space="preserve"> ADDITIONAL EARNINGS</t>
    </r>
    <r>
      <rPr>
        <b/>
        <vertAlign val="superscript"/>
        <sz val="12"/>
        <color theme="1"/>
        <rFont val="Calibri"/>
        <family val="2"/>
      </rPr>
      <t>1</t>
    </r>
  </si>
  <si>
    <r>
      <t xml:space="preserve"> ADDITIONAL EARNINGS</t>
    </r>
    <r>
      <rPr>
        <b/>
        <vertAlign val="superscript"/>
        <sz val="16"/>
        <color theme="1"/>
        <rFont val="Calibri"/>
        <family val="2"/>
      </rPr>
      <t>1</t>
    </r>
  </si>
  <si>
    <t>recalc</t>
  </si>
  <si>
    <t>diff</t>
  </si>
  <si>
    <t>column totals</t>
  </si>
  <si>
    <t xml:space="preserve"> ADDITIONAL EARNINGS</t>
  </si>
  <si>
    <t>LEAVE THE TOTAL EARNINGS COLUMN AS CHECK WHEN IMPORTING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</si>
</sst>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b/>
      <vertAlign val="superscript"/>
      <sz val="16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75E6-474E-B946-A9F7-F8AB24104A59}">
  <sheetPr>
    <pageSetUpPr fitToPage="1"/>
  </sheetPr>
  <dimension ref="A1:J430"/>
  <sheetViews>
    <sheetView topLeftCell="B1" workbookViewId="0">
      <pane ySplit="1" topLeftCell="A2" activePane="bottomLeft" state="frozen"/>
      <selection activeCell="B1" sqref="B1"/>
      <selection pane="bottomLeft" activeCell="J1" sqref="J1:J1048576"/>
    </sheetView>
  </sheetViews>
  <sheetFormatPr baseColWidth="10" defaultColWidth="8.83203125" defaultRowHeight="21" x14ac:dyDescent="0.25"/>
  <cols>
    <col min="1" max="1" width="13.1640625" style="13" hidden="1" customWidth="1"/>
    <col min="2" max="2" width="35.1640625" style="13" bestFit="1" customWidth="1"/>
    <col min="3" max="3" width="32.33203125" style="13" bestFit="1" customWidth="1"/>
    <col min="4" max="4" width="55.1640625" style="13" bestFit="1" customWidth="1"/>
    <col min="5" max="5" width="13.83203125" style="14" bestFit="1" customWidth="1"/>
    <col min="6" max="6" width="24.5" style="14" bestFit="1" customWidth="1"/>
    <col min="7" max="7" width="25.1640625" style="15" bestFit="1" customWidth="1"/>
    <col min="8" max="8" width="26.6640625" style="15" bestFit="1" customWidth="1"/>
    <col min="9" max="9" width="30" style="15" bestFit="1" customWidth="1"/>
    <col min="10" max="10" width="22" style="15" bestFit="1" customWidth="1"/>
    <col min="11" max="16384" width="8.83203125" style="13"/>
  </cols>
  <sheetData>
    <row r="1" spans="1:10" s="10" customFormat="1" ht="24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2" t="s">
        <v>1126</v>
      </c>
      <c r="J1" s="12" t="s">
        <v>8</v>
      </c>
    </row>
    <row r="2" spans="1:10" x14ac:dyDescent="0.25">
      <c r="A2" s="13" t="s">
        <v>9</v>
      </c>
      <c r="B2" s="13" t="s">
        <v>10</v>
      </c>
      <c r="C2" s="13" t="s">
        <v>11</v>
      </c>
      <c r="D2" s="13" t="s">
        <v>12</v>
      </c>
      <c r="E2" s="14" t="s">
        <v>13</v>
      </c>
      <c r="F2" s="14" t="s">
        <v>14</v>
      </c>
      <c r="G2" s="15">
        <v>147460.73999999996</v>
      </c>
      <c r="I2" s="15">
        <v>0</v>
      </c>
      <c r="J2" s="15">
        <v>147460.73999999996</v>
      </c>
    </row>
    <row r="3" spans="1:10" x14ac:dyDescent="0.25">
      <c r="A3" s="13" t="s">
        <v>15</v>
      </c>
      <c r="B3" s="13" t="s">
        <v>16</v>
      </c>
      <c r="C3" s="13" t="s">
        <v>11</v>
      </c>
      <c r="D3" s="13" t="s">
        <v>17</v>
      </c>
      <c r="E3" s="14" t="s">
        <v>18</v>
      </c>
      <c r="F3" s="14" t="s">
        <v>19</v>
      </c>
      <c r="G3" s="15">
        <v>117085.74999999994</v>
      </c>
      <c r="I3" s="15">
        <v>5815.5300000000007</v>
      </c>
      <c r="J3" s="15">
        <v>122901.28000000001</v>
      </c>
    </row>
    <row r="4" spans="1:10" x14ac:dyDescent="0.25">
      <c r="A4" s="13" t="s">
        <v>9</v>
      </c>
      <c r="B4" s="13" t="s">
        <v>20</v>
      </c>
      <c r="C4" s="13" t="s">
        <v>21</v>
      </c>
      <c r="D4" s="13" t="s">
        <v>22</v>
      </c>
      <c r="E4" s="14" t="s">
        <v>23</v>
      </c>
      <c r="F4" s="14" t="s">
        <v>24</v>
      </c>
      <c r="G4" s="15">
        <v>118406.39999999995</v>
      </c>
      <c r="I4" s="15">
        <v>4401.96</v>
      </c>
      <c r="J4" s="15">
        <v>122808.35999999994</v>
      </c>
    </row>
    <row r="5" spans="1:10" x14ac:dyDescent="0.25">
      <c r="A5" s="13" t="s">
        <v>9</v>
      </c>
      <c r="B5" s="13" t="s">
        <v>25</v>
      </c>
      <c r="C5" s="13" t="s">
        <v>11</v>
      </c>
      <c r="D5" s="13" t="s">
        <v>26</v>
      </c>
      <c r="E5" s="14" t="s">
        <v>27</v>
      </c>
      <c r="F5" s="14" t="s">
        <v>28</v>
      </c>
      <c r="G5" s="15">
        <v>112514.15000000004</v>
      </c>
      <c r="I5" s="15">
        <v>0</v>
      </c>
      <c r="J5" s="15">
        <v>112514.15000000004</v>
      </c>
    </row>
    <row r="6" spans="1:10" x14ac:dyDescent="0.25">
      <c r="A6" s="13" t="s">
        <v>15</v>
      </c>
      <c r="B6" s="13" t="s">
        <v>29</v>
      </c>
      <c r="C6" s="13" t="s">
        <v>30</v>
      </c>
      <c r="D6" s="13" t="s">
        <v>31</v>
      </c>
      <c r="E6" s="14" t="s">
        <v>32</v>
      </c>
      <c r="F6" s="14" t="s">
        <v>19</v>
      </c>
      <c r="G6" s="15">
        <v>71380.31</v>
      </c>
      <c r="I6" s="15">
        <v>28925.570000000003</v>
      </c>
      <c r="J6" s="15">
        <v>100305.88</v>
      </c>
    </row>
    <row r="7" spans="1:10" x14ac:dyDescent="0.25">
      <c r="A7" s="13" t="s">
        <v>9</v>
      </c>
      <c r="B7" s="13" t="s">
        <v>33</v>
      </c>
      <c r="C7" s="13" t="s">
        <v>30</v>
      </c>
      <c r="D7" s="13" t="s">
        <v>34</v>
      </c>
      <c r="E7" s="14" t="s">
        <v>35</v>
      </c>
      <c r="F7" s="14" t="s">
        <v>36</v>
      </c>
      <c r="G7" s="15">
        <v>94268.48000000001</v>
      </c>
      <c r="H7" s="15">
        <v>1339.11</v>
      </c>
      <c r="I7" s="15">
        <v>2821.12</v>
      </c>
      <c r="J7" s="15">
        <v>98428.710000000021</v>
      </c>
    </row>
    <row r="8" spans="1:10" x14ac:dyDescent="0.25">
      <c r="A8" s="13" t="s">
        <v>9</v>
      </c>
      <c r="B8" s="13" t="s">
        <v>37</v>
      </c>
      <c r="C8" s="13" t="s">
        <v>38</v>
      </c>
      <c r="D8" s="13" t="s">
        <v>39</v>
      </c>
      <c r="E8" s="14" t="s">
        <v>40</v>
      </c>
      <c r="F8" s="14" t="s">
        <v>41</v>
      </c>
      <c r="G8" s="15">
        <v>97830.000000000015</v>
      </c>
      <c r="I8" s="15">
        <v>0</v>
      </c>
      <c r="J8" s="15">
        <v>97830.000000000015</v>
      </c>
    </row>
    <row r="9" spans="1:10" x14ac:dyDescent="0.25">
      <c r="A9" s="13" t="s">
        <v>15</v>
      </c>
      <c r="B9" s="13" t="s">
        <v>42</v>
      </c>
      <c r="C9" s="13" t="s">
        <v>43</v>
      </c>
      <c r="D9" s="13" t="s">
        <v>44</v>
      </c>
      <c r="E9" s="14" t="s">
        <v>45</v>
      </c>
      <c r="F9" s="14" t="s">
        <v>19</v>
      </c>
      <c r="G9" s="15">
        <v>93867.200000000041</v>
      </c>
      <c r="I9" s="15">
        <v>3464.2</v>
      </c>
      <c r="J9" s="15">
        <v>97331.400000000038</v>
      </c>
    </row>
    <row r="10" spans="1:10" x14ac:dyDescent="0.25">
      <c r="A10" s="13" t="s">
        <v>15</v>
      </c>
      <c r="B10" s="13" t="s">
        <v>46</v>
      </c>
      <c r="C10" s="13" t="s">
        <v>30</v>
      </c>
      <c r="D10" s="13" t="s">
        <v>47</v>
      </c>
      <c r="E10" s="14" t="s">
        <v>48</v>
      </c>
      <c r="F10" s="14" t="s">
        <v>19</v>
      </c>
      <c r="G10" s="15">
        <v>68954.509999999995</v>
      </c>
      <c r="H10" s="15">
        <v>489.2</v>
      </c>
      <c r="I10" s="15">
        <v>23726.76</v>
      </c>
      <c r="J10" s="15">
        <v>93170.47</v>
      </c>
    </row>
    <row r="11" spans="1:10" x14ac:dyDescent="0.25">
      <c r="A11" s="13" t="s">
        <v>15</v>
      </c>
      <c r="B11" s="13" t="s">
        <v>49</v>
      </c>
      <c r="C11" s="13" t="s">
        <v>30</v>
      </c>
      <c r="D11" s="13" t="s">
        <v>50</v>
      </c>
      <c r="E11" s="14" t="s">
        <v>51</v>
      </c>
      <c r="F11" s="14" t="s">
        <v>19</v>
      </c>
      <c r="G11" s="15">
        <v>68421.63</v>
      </c>
      <c r="H11" s="15">
        <v>916.69999999999993</v>
      </c>
      <c r="I11" s="15">
        <v>22764.480000000003</v>
      </c>
      <c r="J11" s="15">
        <v>92102.810000000027</v>
      </c>
    </row>
    <row r="12" spans="1:10" x14ac:dyDescent="0.25">
      <c r="A12" s="13" t="s">
        <v>9</v>
      </c>
      <c r="B12" s="13" t="s">
        <v>52</v>
      </c>
      <c r="C12" s="13" t="s">
        <v>30</v>
      </c>
      <c r="D12" s="13" t="s">
        <v>53</v>
      </c>
      <c r="E12" s="14" t="s">
        <v>54</v>
      </c>
      <c r="F12" s="14" t="s">
        <v>55</v>
      </c>
      <c r="G12" s="15">
        <v>71514.97</v>
      </c>
      <c r="H12" s="15">
        <v>626.63</v>
      </c>
      <c r="I12" s="15">
        <v>19438.330000000002</v>
      </c>
      <c r="J12" s="15">
        <v>91579.93</v>
      </c>
    </row>
    <row r="13" spans="1:10" x14ac:dyDescent="0.25">
      <c r="A13" s="13" t="s">
        <v>15</v>
      </c>
      <c r="B13" s="13" t="s">
        <v>56</v>
      </c>
      <c r="C13" s="13" t="s">
        <v>21</v>
      </c>
      <c r="D13" s="13" t="s">
        <v>57</v>
      </c>
      <c r="E13" s="14" t="s">
        <v>58</v>
      </c>
      <c r="F13" s="14" t="s">
        <v>19</v>
      </c>
      <c r="G13" s="15">
        <v>54318.650000000009</v>
      </c>
      <c r="H13" s="15">
        <v>25646.66</v>
      </c>
      <c r="I13" s="15">
        <v>10456.620000000001</v>
      </c>
      <c r="J13" s="15">
        <v>90421.930000000008</v>
      </c>
    </row>
    <row r="14" spans="1:10" x14ac:dyDescent="0.25">
      <c r="A14" s="13" t="s">
        <v>9</v>
      </c>
      <c r="B14" s="13" t="s">
        <v>59</v>
      </c>
      <c r="C14" s="13" t="s">
        <v>30</v>
      </c>
      <c r="D14" s="13" t="s">
        <v>60</v>
      </c>
      <c r="E14" s="14" t="s">
        <v>61</v>
      </c>
      <c r="F14" s="14" t="s">
        <v>62</v>
      </c>
      <c r="G14" s="15">
        <v>76736.180000000008</v>
      </c>
      <c r="H14" s="15">
        <v>528.1</v>
      </c>
      <c r="I14" s="15">
        <v>13114.199999999999</v>
      </c>
      <c r="J14" s="15">
        <v>90378.48</v>
      </c>
    </row>
    <row r="15" spans="1:10" x14ac:dyDescent="0.25">
      <c r="A15" s="13" t="s">
        <v>9</v>
      </c>
      <c r="B15" s="13" t="s">
        <v>63</v>
      </c>
      <c r="C15" s="13" t="s">
        <v>21</v>
      </c>
      <c r="D15" s="13" t="s">
        <v>64</v>
      </c>
      <c r="E15" s="14" t="s">
        <v>65</v>
      </c>
      <c r="F15" s="14" t="s">
        <v>66</v>
      </c>
      <c r="G15" s="15">
        <v>87907.199999999997</v>
      </c>
      <c r="I15" s="15">
        <v>1540</v>
      </c>
      <c r="J15" s="15">
        <v>89447.2</v>
      </c>
    </row>
    <row r="16" spans="1:10" x14ac:dyDescent="0.25">
      <c r="A16" s="13" t="s">
        <v>9</v>
      </c>
      <c r="B16" s="13" t="s">
        <v>67</v>
      </c>
      <c r="C16" s="13" t="s">
        <v>68</v>
      </c>
      <c r="D16" s="13" t="s">
        <v>69</v>
      </c>
      <c r="E16" s="14" t="s">
        <v>70</v>
      </c>
      <c r="F16" s="14" t="s">
        <v>71</v>
      </c>
      <c r="G16" s="15">
        <v>88263.649999999965</v>
      </c>
      <c r="I16" s="15">
        <v>623.9</v>
      </c>
      <c r="J16" s="15">
        <v>88887.550000000017</v>
      </c>
    </row>
    <row r="17" spans="1:10" x14ac:dyDescent="0.25">
      <c r="A17" s="13" t="s">
        <v>15</v>
      </c>
      <c r="B17" s="13" t="s">
        <v>72</v>
      </c>
      <c r="C17" s="13" t="s">
        <v>30</v>
      </c>
      <c r="D17" s="13" t="s">
        <v>34</v>
      </c>
      <c r="E17" s="14" t="s">
        <v>73</v>
      </c>
      <c r="F17" s="14" t="s">
        <v>19</v>
      </c>
      <c r="G17" s="15">
        <v>84210.960000000021</v>
      </c>
      <c r="I17" s="15">
        <v>4652.6400000000003</v>
      </c>
      <c r="J17" s="15">
        <v>88863.60000000002</v>
      </c>
    </row>
    <row r="18" spans="1:10" x14ac:dyDescent="0.25">
      <c r="A18" s="13" t="s">
        <v>9</v>
      </c>
      <c r="B18" s="13" t="s">
        <v>74</v>
      </c>
      <c r="C18" s="13" t="s">
        <v>43</v>
      </c>
      <c r="D18" s="13" t="s">
        <v>75</v>
      </c>
      <c r="E18" s="14" t="s">
        <v>76</v>
      </c>
      <c r="F18" s="14" t="s">
        <v>77</v>
      </c>
      <c r="G18" s="15">
        <v>45832.69</v>
      </c>
      <c r="H18" s="15">
        <v>27747.230000000003</v>
      </c>
      <c r="I18" s="15">
        <v>14115.32</v>
      </c>
      <c r="J18" s="15">
        <v>87695.24</v>
      </c>
    </row>
    <row r="19" spans="1:10" x14ac:dyDescent="0.25">
      <c r="A19" s="13" t="s">
        <v>9</v>
      </c>
      <c r="B19" s="13" t="s">
        <v>78</v>
      </c>
      <c r="C19" s="13" t="s">
        <v>43</v>
      </c>
      <c r="D19" s="13" t="s">
        <v>79</v>
      </c>
      <c r="E19" s="14" t="s">
        <v>80</v>
      </c>
      <c r="F19" s="14" t="s">
        <v>81</v>
      </c>
      <c r="G19" s="15">
        <v>44095.9</v>
      </c>
      <c r="H19" s="15">
        <v>39039.769999999997</v>
      </c>
      <c r="I19" s="15">
        <v>4396.7499999999991</v>
      </c>
      <c r="J19" s="15">
        <v>87532.419999999984</v>
      </c>
    </row>
    <row r="20" spans="1:10" x14ac:dyDescent="0.25">
      <c r="A20" s="13" t="s">
        <v>9</v>
      </c>
      <c r="B20" s="13" t="s">
        <v>82</v>
      </c>
      <c r="C20" s="13" t="s">
        <v>83</v>
      </c>
      <c r="D20" s="13" t="s">
        <v>84</v>
      </c>
      <c r="E20" s="14" t="s">
        <v>85</v>
      </c>
      <c r="F20" s="14" t="s">
        <v>86</v>
      </c>
      <c r="G20" s="15">
        <v>84922.24000000002</v>
      </c>
      <c r="H20" s="15">
        <v>0</v>
      </c>
      <c r="I20" s="15">
        <v>981.76</v>
      </c>
      <c r="J20" s="15">
        <v>85904.000000000029</v>
      </c>
    </row>
    <row r="21" spans="1:10" x14ac:dyDescent="0.25">
      <c r="A21" s="13" t="s">
        <v>9</v>
      </c>
      <c r="B21" s="13" t="s">
        <v>87</v>
      </c>
      <c r="C21" s="13" t="s">
        <v>68</v>
      </c>
      <c r="D21" s="13" t="s">
        <v>88</v>
      </c>
      <c r="E21" s="14" t="s">
        <v>89</v>
      </c>
      <c r="F21" s="14" t="s">
        <v>90</v>
      </c>
      <c r="G21" s="15">
        <v>84821.069999999992</v>
      </c>
      <c r="I21" s="15">
        <v>805.28</v>
      </c>
      <c r="J21" s="15">
        <v>85626.349999999991</v>
      </c>
    </row>
    <row r="22" spans="1:10" x14ac:dyDescent="0.25">
      <c r="A22" s="13" t="s">
        <v>15</v>
      </c>
      <c r="B22" s="13" t="s">
        <v>91</v>
      </c>
      <c r="C22" s="13" t="s">
        <v>30</v>
      </c>
      <c r="D22" s="13" t="s">
        <v>53</v>
      </c>
      <c r="E22" s="14" t="s">
        <v>92</v>
      </c>
      <c r="F22" s="14" t="s">
        <v>19</v>
      </c>
      <c r="G22" s="15">
        <v>63177.160000000011</v>
      </c>
      <c r="H22" s="15">
        <v>423.28</v>
      </c>
      <c r="I22" s="15">
        <v>21284.939999999995</v>
      </c>
      <c r="J22" s="15">
        <v>84885.379999999976</v>
      </c>
    </row>
    <row r="23" spans="1:10" x14ac:dyDescent="0.25">
      <c r="A23" s="13" t="s">
        <v>15</v>
      </c>
      <c r="B23" s="13" t="s">
        <v>93</v>
      </c>
      <c r="C23" s="13" t="s">
        <v>94</v>
      </c>
      <c r="D23" s="13" t="s">
        <v>95</v>
      </c>
      <c r="E23" s="14" t="s">
        <v>96</v>
      </c>
      <c r="F23" s="14" t="s">
        <v>19</v>
      </c>
      <c r="G23" s="15">
        <v>82620.149999999994</v>
      </c>
      <c r="I23" s="15">
        <v>0</v>
      </c>
      <c r="J23" s="15">
        <v>82620.149999999994</v>
      </c>
    </row>
    <row r="24" spans="1:10" x14ac:dyDescent="0.25">
      <c r="A24" s="13" t="s">
        <v>15</v>
      </c>
      <c r="B24" s="13" t="s">
        <v>97</v>
      </c>
      <c r="C24" s="13" t="s">
        <v>98</v>
      </c>
      <c r="D24" s="13" t="s">
        <v>99</v>
      </c>
      <c r="E24" s="14" t="s">
        <v>100</v>
      </c>
      <c r="F24" s="14" t="s">
        <v>19</v>
      </c>
      <c r="G24" s="15">
        <v>82294.700000000012</v>
      </c>
      <c r="I24" s="15">
        <v>0</v>
      </c>
      <c r="J24" s="15">
        <v>82294.700000000012</v>
      </c>
    </row>
    <row r="25" spans="1:10" x14ac:dyDescent="0.25">
      <c r="A25" s="13" t="s">
        <v>15</v>
      </c>
      <c r="B25" s="13" t="s">
        <v>101</v>
      </c>
      <c r="C25" s="13" t="s">
        <v>102</v>
      </c>
      <c r="D25" s="13" t="s">
        <v>103</v>
      </c>
      <c r="E25" s="14" t="s">
        <v>104</v>
      </c>
      <c r="F25" s="14" t="s">
        <v>19</v>
      </c>
      <c r="G25" s="15">
        <v>80180.550000000017</v>
      </c>
      <c r="I25" s="15">
        <v>0</v>
      </c>
      <c r="J25" s="15">
        <v>80180.550000000017</v>
      </c>
    </row>
    <row r="26" spans="1:10" x14ac:dyDescent="0.25">
      <c r="A26" s="13" t="s">
        <v>15</v>
      </c>
      <c r="B26" s="13" t="s">
        <v>105</v>
      </c>
      <c r="C26" s="13" t="s">
        <v>30</v>
      </c>
      <c r="D26" s="13" t="s">
        <v>106</v>
      </c>
      <c r="E26" s="14" t="s">
        <v>107</v>
      </c>
      <c r="F26" s="14" t="s">
        <v>19</v>
      </c>
      <c r="G26" s="15">
        <v>60701.87999999999</v>
      </c>
      <c r="H26" s="15">
        <v>797.13</v>
      </c>
      <c r="I26" s="15">
        <v>17862.250000000004</v>
      </c>
      <c r="J26" s="15">
        <v>79361.259999999995</v>
      </c>
    </row>
    <row r="27" spans="1:10" x14ac:dyDescent="0.25">
      <c r="A27" s="13" t="s">
        <v>15</v>
      </c>
      <c r="B27" s="13" t="s">
        <v>108</v>
      </c>
      <c r="C27" s="13" t="s">
        <v>30</v>
      </c>
      <c r="D27" s="13" t="s">
        <v>53</v>
      </c>
      <c r="E27" s="14" t="s">
        <v>109</v>
      </c>
      <c r="F27" s="14" t="s">
        <v>19</v>
      </c>
      <c r="G27" s="15">
        <v>62093.159999999996</v>
      </c>
      <c r="H27" s="15">
        <v>546.13</v>
      </c>
      <c r="I27" s="15">
        <v>16289.869999999999</v>
      </c>
      <c r="J27" s="15">
        <v>78929.159999999989</v>
      </c>
    </row>
    <row r="28" spans="1:10" x14ac:dyDescent="0.25">
      <c r="A28" s="13" t="s">
        <v>9</v>
      </c>
      <c r="B28" s="13" t="s">
        <v>110</v>
      </c>
      <c r="C28" s="13" t="s">
        <v>68</v>
      </c>
      <c r="D28" s="13" t="s">
        <v>111</v>
      </c>
      <c r="E28" s="14" t="s">
        <v>112</v>
      </c>
      <c r="F28" s="14" t="s">
        <v>113</v>
      </c>
      <c r="G28" s="15">
        <v>75807.999999999985</v>
      </c>
      <c r="I28" s="15">
        <v>2988.7200000000003</v>
      </c>
      <c r="J28" s="15">
        <v>78796.72</v>
      </c>
    </row>
    <row r="29" spans="1:10" x14ac:dyDescent="0.25">
      <c r="A29" s="13" t="s">
        <v>15</v>
      </c>
      <c r="B29" s="13" t="s">
        <v>114</v>
      </c>
      <c r="C29" s="13" t="s">
        <v>21</v>
      </c>
      <c r="D29" s="13" t="s">
        <v>57</v>
      </c>
      <c r="E29" s="14" t="s">
        <v>115</v>
      </c>
      <c r="F29" s="14" t="s">
        <v>19</v>
      </c>
      <c r="G29" s="15">
        <v>51669.750000000007</v>
      </c>
      <c r="H29" s="15">
        <v>1137.6400000000001</v>
      </c>
      <c r="I29" s="15">
        <v>22798.020000000004</v>
      </c>
      <c r="J29" s="15">
        <v>75605.409999999989</v>
      </c>
    </row>
    <row r="30" spans="1:10" x14ac:dyDescent="0.25">
      <c r="A30" s="13" t="s">
        <v>15</v>
      </c>
      <c r="B30" s="13" t="s">
        <v>116</v>
      </c>
      <c r="C30" s="13" t="s">
        <v>21</v>
      </c>
      <c r="D30" s="13" t="s">
        <v>57</v>
      </c>
      <c r="E30" s="14" t="s">
        <v>117</v>
      </c>
      <c r="F30" s="14" t="s">
        <v>19</v>
      </c>
      <c r="G30" s="15">
        <v>58273.279999999992</v>
      </c>
      <c r="H30" s="15">
        <v>3999.4099999999994</v>
      </c>
      <c r="I30" s="15">
        <v>13209.929999999998</v>
      </c>
      <c r="J30" s="15">
        <v>75482.62000000001</v>
      </c>
    </row>
    <row r="31" spans="1:10" x14ac:dyDescent="0.25">
      <c r="A31" s="13" t="s">
        <v>9</v>
      </c>
      <c r="B31" s="13" t="s">
        <v>118</v>
      </c>
      <c r="C31" s="13" t="s">
        <v>119</v>
      </c>
      <c r="D31" s="13" t="s">
        <v>120</v>
      </c>
      <c r="E31" s="14" t="s">
        <v>121</v>
      </c>
      <c r="F31" s="14" t="s">
        <v>122</v>
      </c>
      <c r="G31" s="15">
        <v>75360.320000000007</v>
      </c>
      <c r="I31" s="15">
        <v>10.92</v>
      </c>
      <c r="J31" s="15">
        <v>75371.240000000005</v>
      </c>
    </row>
    <row r="32" spans="1:10" x14ac:dyDescent="0.25">
      <c r="A32" s="13" t="s">
        <v>9</v>
      </c>
      <c r="B32" s="13" t="s">
        <v>123</v>
      </c>
      <c r="C32" s="13" t="s">
        <v>21</v>
      </c>
      <c r="D32" s="13" t="s">
        <v>124</v>
      </c>
      <c r="E32" s="14" t="s">
        <v>125</v>
      </c>
      <c r="F32" s="14" t="s">
        <v>126</v>
      </c>
      <c r="G32" s="15">
        <v>72791.520000000004</v>
      </c>
      <c r="I32" s="15">
        <v>2404.8399999999997</v>
      </c>
      <c r="J32" s="15">
        <v>75196.360000000015</v>
      </c>
    </row>
    <row r="33" spans="1:10" x14ac:dyDescent="0.25">
      <c r="A33" s="13" t="s">
        <v>15</v>
      </c>
      <c r="B33" s="13" t="s">
        <v>127</v>
      </c>
      <c r="C33" s="13" t="s">
        <v>43</v>
      </c>
      <c r="D33" s="13" t="s">
        <v>128</v>
      </c>
      <c r="E33" s="14" t="s">
        <v>129</v>
      </c>
      <c r="F33" s="14" t="s">
        <v>19</v>
      </c>
      <c r="G33" s="15">
        <v>72173.440000000017</v>
      </c>
      <c r="I33" s="15">
        <v>2934.36</v>
      </c>
      <c r="J33" s="15">
        <v>75107.800000000017</v>
      </c>
    </row>
    <row r="34" spans="1:10" x14ac:dyDescent="0.25">
      <c r="A34" s="13" t="s">
        <v>15</v>
      </c>
      <c r="B34" s="13" t="s">
        <v>130</v>
      </c>
      <c r="C34" s="13" t="s">
        <v>30</v>
      </c>
      <c r="D34" s="13" t="s">
        <v>131</v>
      </c>
      <c r="E34" s="14" t="s">
        <v>132</v>
      </c>
      <c r="F34" s="14" t="s">
        <v>19</v>
      </c>
      <c r="G34" s="15">
        <v>58387.73</v>
      </c>
      <c r="H34" s="15">
        <v>21.38</v>
      </c>
      <c r="I34" s="15">
        <v>16665.879999999997</v>
      </c>
      <c r="J34" s="15">
        <v>75074.990000000005</v>
      </c>
    </row>
    <row r="35" spans="1:10" x14ac:dyDescent="0.25">
      <c r="A35" s="13" t="s">
        <v>15</v>
      </c>
      <c r="B35" s="13" t="s">
        <v>133</v>
      </c>
      <c r="C35" s="13" t="s">
        <v>43</v>
      </c>
      <c r="D35" s="13" t="s">
        <v>134</v>
      </c>
      <c r="E35" s="14" t="s">
        <v>135</v>
      </c>
      <c r="F35" s="14" t="s">
        <v>19</v>
      </c>
      <c r="G35" s="15">
        <v>32372.799999999999</v>
      </c>
      <c r="H35" s="15">
        <v>35480.699999999997</v>
      </c>
      <c r="I35" s="15">
        <v>7070.8899999999994</v>
      </c>
      <c r="J35" s="15">
        <v>74924.39</v>
      </c>
    </row>
    <row r="36" spans="1:10" x14ac:dyDescent="0.25">
      <c r="A36" s="13" t="s">
        <v>15</v>
      </c>
      <c r="B36" s="13" t="s">
        <v>136</v>
      </c>
      <c r="C36" s="13" t="s">
        <v>43</v>
      </c>
      <c r="D36" s="13" t="s">
        <v>137</v>
      </c>
      <c r="E36" s="14" t="s">
        <v>138</v>
      </c>
      <c r="F36" s="14" t="s">
        <v>19</v>
      </c>
      <c r="G36" s="15">
        <v>37478.200000000012</v>
      </c>
      <c r="H36" s="15">
        <v>27738.720000000001</v>
      </c>
      <c r="I36" s="15">
        <v>9124.4600000000009</v>
      </c>
      <c r="J36" s="15">
        <v>74341.37999999999</v>
      </c>
    </row>
    <row r="37" spans="1:10" x14ac:dyDescent="0.25">
      <c r="A37" s="13" t="s">
        <v>15</v>
      </c>
      <c r="B37" s="13" t="s">
        <v>139</v>
      </c>
      <c r="C37" s="13" t="s">
        <v>140</v>
      </c>
      <c r="D37" s="13" t="s">
        <v>141</v>
      </c>
      <c r="E37" s="14" t="s">
        <v>142</v>
      </c>
      <c r="F37" s="14" t="s">
        <v>19</v>
      </c>
      <c r="G37" s="15">
        <v>74171.250000000015</v>
      </c>
      <c r="I37" s="15">
        <v>0</v>
      </c>
      <c r="J37" s="15">
        <v>74171.250000000015</v>
      </c>
    </row>
    <row r="38" spans="1:10" x14ac:dyDescent="0.25">
      <c r="A38" s="13" t="s">
        <v>9</v>
      </c>
      <c r="B38" s="13" t="s">
        <v>143</v>
      </c>
      <c r="C38" s="13" t="s">
        <v>43</v>
      </c>
      <c r="D38" s="13" t="s">
        <v>134</v>
      </c>
      <c r="E38" s="14" t="s">
        <v>144</v>
      </c>
      <c r="F38" s="14" t="s">
        <v>145</v>
      </c>
      <c r="G38" s="15">
        <v>37247.750000000007</v>
      </c>
      <c r="H38" s="15">
        <v>28599.5</v>
      </c>
      <c r="I38" s="15">
        <v>7838.9100000000008</v>
      </c>
      <c r="J38" s="15">
        <v>73686.159999999989</v>
      </c>
    </row>
    <row r="39" spans="1:10" x14ac:dyDescent="0.25">
      <c r="A39" s="13" t="s">
        <v>15</v>
      </c>
      <c r="B39" s="13" t="s">
        <v>146</v>
      </c>
      <c r="C39" s="13" t="s">
        <v>98</v>
      </c>
      <c r="D39" s="13" t="s">
        <v>147</v>
      </c>
      <c r="E39" s="14" t="s">
        <v>148</v>
      </c>
      <c r="F39" s="14" t="s">
        <v>19</v>
      </c>
      <c r="G39" s="15">
        <v>73592.250000000015</v>
      </c>
      <c r="I39" s="15">
        <v>0</v>
      </c>
      <c r="J39" s="15">
        <v>73592.250000000015</v>
      </c>
    </row>
    <row r="40" spans="1:10" x14ac:dyDescent="0.25">
      <c r="A40" s="13" t="s">
        <v>15</v>
      </c>
      <c r="B40" s="13" t="s">
        <v>149</v>
      </c>
      <c r="C40" s="13" t="s">
        <v>43</v>
      </c>
      <c r="D40" s="13" t="s">
        <v>150</v>
      </c>
      <c r="E40" s="14" t="s">
        <v>151</v>
      </c>
      <c r="F40" s="14" t="s">
        <v>19</v>
      </c>
      <c r="G40" s="15">
        <v>72877.440000000002</v>
      </c>
      <c r="I40" s="15">
        <v>687.36</v>
      </c>
      <c r="J40" s="15">
        <v>73564.800000000017</v>
      </c>
    </row>
    <row r="41" spans="1:10" x14ac:dyDescent="0.25">
      <c r="A41" s="13" t="s">
        <v>15</v>
      </c>
      <c r="B41" s="13" t="s">
        <v>152</v>
      </c>
      <c r="C41" s="13" t="s">
        <v>21</v>
      </c>
      <c r="D41" s="13" t="s">
        <v>153</v>
      </c>
      <c r="E41" s="14" t="s">
        <v>154</v>
      </c>
      <c r="F41" s="14" t="s">
        <v>19</v>
      </c>
      <c r="G41" s="15">
        <v>61044.66</v>
      </c>
      <c r="H41" s="15">
        <v>3870.7</v>
      </c>
      <c r="I41" s="15">
        <v>8556.24</v>
      </c>
      <c r="J41" s="15">
        <v>73471.60000000002</v>
      </c>
    </row>
    <row r="42" spans="1:10" x14ac:dyDescent="0.25">
      <c r="A42" s="13" t="s">
        <v>15</v>
      </c>
      <c r="B42" s="13" t="s">
        <v>155</v>
      </c>
      <c r="C42" s="13" t="s">
        <v>43</v>
      </c>
      <c r="D42" s="13" t="s">
        <v>79</v>
      </c>
      <c r="E42" s="14" t="s">
        <v>156</v>
      </c>
      <c r="F42" s="14" t="s">
        <v>19</v>
      </c>
      <c r="G42" s="15">
        <v>38124.710000000014</v>
      </c>
      <c r="H42" s="15">
        <v>19247.370000000003</v>
      </c>
      <c r="I42" s="15">
        <v>15584.420000000002</v>
      </c>
      <c r="J42" s="15">
        <v>72956.5</v>
      </c>
    </row>
    <row r="43" spans="1:10" x14ac:dyDescent="0.25">
      <c r="A43" s="13" t="s">
        <v>15</v>
      </c>
      <c r="B43" s="13" t="s">
        <v>157</v>
      </c>
      <c r="C43" s="13" t="s">
        <v>21</v>
      </c>
      <c r="D43" s="13" t="s">
        <v>57</v>
      </c>
      <c r="E43" s="14" t="s">
        <v>158</v>
      </c>
      <c r="F43" s="14" t="s">
        <v>19</v>
      </c>
      <c r="G43" s="15">
        <v>49852.54</v>
      </c>
      <c r="H43" s="15">
        <v>14748.390000000003</v>
      </c>
      <c r="I43" s="15">
        <v>8034.619999999999</v>
      </c>
      <c r="J43" s="15">
        <v>72635.55</v>
      </c>
    </row>
    <row r="44" spans="1:10" x14ac:dyDescent="0.25">
      <c r="A44" s="13" t="s">
        <v>9</v>
      </c>
      <c r="B44" s="13" t="s">
        <v>159</v>
      </c>
      <c r="C44" s="13" t="s">
        <v>21</v>
      </c>
      <c r="D44" s="13" t="s">
        <v>57</v>
      </c>
      <c r="E44" s="14" t="s">
        <v>160</v>
      </c>
      <c r="F44" s="14" t="s">
        <v>161</v>
      </c>
      <c r="G44" s="15">
        <v>57871.1</v>
      </c>
      <c r="H44" s="15">
        <v>3169.14</v>
      </c>
      <c r="I44" s="15">
        <v>11540.590000000002</v>
      </c>
      <c r="J44" s="15">
        <v>72580.829999999987</v>
      </c>
    </row>
    <row r="45" spans="1:10" x14ac:dyDescent="0.25">
      <c r="A45" s="13" t="s">
        <v>15</v>
      </c>
      <c r="B45" s="13" t="s">
        <v>162</v>
      </c>
      <c r="C45" s="13" t="s">
        <v>21</v>
      </c>
      <c r="D45" s="13" t="s">
        <v>153</v>
      </c>
      <c r="E45" s="14" t="s">
        <v>163</v>
      </c>
      <c r="F45" s="14" t="s">
        <v>19</v>
      </c>
      <c r="G45" s="15">
        <v>50297.729999999996</v>
      </c>
      <c r="H45" s="15">
        <v>6362.64</v>
      </c>
      <c r="I45" s="15">
        <v>15729.890000000001</v>
      </c>
      <c r="J45" s="15">
        <v>72390.260000000024</v>
      </c>
    </row>
    <row r="46" spans="1:10" x14ac:dyDescent="0.25">
      <c r="A46" s="13" t="s">
        <v>9</v>
      </c>
      <c r="B46" s="13" t="s">
        <v>164</v>
      </c>
      <c r="C46" s="13" t="s">
        <v>30</v>
      </c>
      <c r="D46" s="13" t="s">
        <v>47</v>
      </c>
      <c r="E46" s="14" t="s">
        <v>165</v>
      </c>
      <c r="F46" s="14" t="s">
        <v>166</v>
      </c>
      <c r="G46" s="15">
        <v>54208.44999999999</v>
      </c>
      <c r="I46" s="15">
        <v>16576.519999999997</v>
      </c>
      <c r="J46" s="15">
        <v>70784.97</v>
      </c>
    </row>
    <row r="47" spans="1:10" x14ac:dyDescent="0.25">
      <c r="A47" s="13" t="s">
        <v>9</v>
      </c>
      <c r="B47" s="13" t="s">
        <v>167</v>
      </c>
      <c r="C47" s="13" t="s">
        <v>21</v>
      </c>
      <c r="D47" s="13" t="s">
        <v>168</v>
      </c>
      <c r="E47" s="14" t="s">
        <v>169</v>
      </c>
      <c r="F47" s="14" t="s">
        <v>170</v>
      </c>
      <c r="G47" s="15">
        <v>47557.69000000001</v>
      </c>
      <c r="H47" s="15">
        <v>7720.16</v>
      </c>
      <c r="I47" s="15">
        <v>15170.32</v>
      </c>
      <c r="J47" s="15">
        <v>70448.170000000013</v>
      </c>
    </row>
    <row r="48" spans="1:10" x14ac:dyDescent="0.25">
      <c r="A48" s="13" t="s">
        <v>9</v>
      </c>
      <c r="B48" s="13" t="s">
        <v>171</v>
      </c>
      <c r="C48" s="13" t="s">
        <v>30</v>
      </c>
      <c r="D48" s="13" t="s">
        <v>172</v>
      </c>
      <c r="E48" s="14" t="s">
        <v>173</v>
      </c>
      <c r="F48" s="14" t="s">
        <v>174</v>
      </c>
      <c r="G48" s="15">
        <v>51843.540000000008</v>
      </c>
      <c r="H48" s="15">
        <v>861.95</v>
      </c>
      <c r="I48" s="15">
        <v>17716.13</v>
      </c>
      <c r="J48" s="15">
        <v>70421.619999999981</v>
      </c>
    </row>
    <row r="49" spans="1:10" x14ac:dyDescent="0.25">
      <c r="A49" s="13" t="s">
        <v>15</v>
      </c>
      <c r="B49" s="13" t="s">
        <v>175</v>
      </c>
      <c r="C49" s="13" t="s">
        <v>11</v>
      </c>
      <c r="D49" s="13" t="s">
        <v>26</v>
      </c>
      <c r="E49" s="14" t="s">
        <v>176</v>
      </c>
      <c r="F49" s="14" t="s">
        <v>19</v>
      </c>
      <c r="G49" s="15">
        <v>70322.60000000002</v>
      </c>
      <c r="I49" s="15">
        <v>0</v>
      </c>
      <c r="J49" s="15">
        <v>70322.60000000002</v>
      </c>
    </row>
    <row r="50" spans="1:10" x14ac:dyDescent="0.25">
      <c r="A50" s="13" t="s">
        <v>9</v>
      </c>
      <c r="B50" s="13" t="s">
        <v>177</v>
      </c>
      <c r="C50" s="13" t="s">
        <v>178</v>
      </c>
      <c r="D50" s="13" t="s">
        <v>179</v>
      </c>
      <c r="E50" s="14" t="s">
        <v>180</v>
      </c>
      <c r="F50" s="14" t="s">
        <v>181</v>
      </c>
      <c r="G50" s="15">
        <v>70238.400000000009</v>
      </c>
      <c r="I50" s="15">
        <v>0</v>
      </c>
      <c r="J50" s="15">
        <v>70238.400000000009</v>
      </c>
    </row>
    <row r="51" spans="1:10" x14ac:dyDescent="0.25">
      <c r="A51" s="13" t="s">
        <v>15</v>
      </c>
      <c r="B51" s="13" t="s">
        <v>182</v>
      </c>
      <c r="C51" s="13" t="s">
        <v>30</v>
      </c>
      <c r="D51" s="13" t="s">
        <v>47</v>
      </c>
      <c r="E51" s="14" t="s">
        <v>183</v>
      </c>
      <c r="F51" s="14" t="s">
        <v>19</v>
      </c>
      <c r="G51" s="15">
        <v>54615.500000000007</v>
      </c>
      <c r="H51" s="15">
        <v>680.13</v>
      </c>
      <c r="I51" s="15">
        <v>14889.71</v>
      </c>
      <c r="J51" s="15">
        <v>70185.34</v>
      </c>
    </row>
    <row r="52" spans="1:10" x14ac:dyDescent="0.25">
      <c r="A52" s="13" t="s">
        <v>9</v>
      </c>
      <c r="B52" s="13" t="s">
        <v>184</v>
      </c>
      <c r="C52" s="13" t="s">
        <v>21</v>
      </c>
      <c r="D52" s="13" t="s">
        <v>153</v>
      </c>
      <c r="E52" s="14" t="s">
        <v>185</v>
      </c>
      <c r="F52" s="14" t="s">
        <v>186</v>
      </c>
      <c r="G52" s="15">
        <v>55294.079999999994</v>
      </c>
      <c r="I52" s="15">
        <v>14174.85</v>
      </c>
      <c r="J52" s="15">
        <v>69468.929999999993</v>
      </c>
    </row>
    <row r="53" spans="1:10" x14ac:dyDescent="0.25">
      <c r="A53" s="13" t="s">
        <v>9</v>
      </c>
      <c r="B53" s="13" t="s">
        <v>187</v>
      </c>
      <c r="C53" s="13" t="s">
        <v>188</v>
      </c>
      <c r="D53" s="13" t="s">
        <v>189</v>
      </c>
      <c r="E53" s="14" t="s">
        <v>190</v>
      </c>
      <c r="F53" s="14" t="s">
        <v>191</v>
      </c>
      <c r="G53" s="15">
        <v>69240.60000000002</v>
      </c>
      <c r="I53" s="15">
        <v>0</v>
      </c>
      <c r="J53" s="15">
        <v>69240.60000000002</v>
      </c>
    </row>
    <row r="54" spans="1:10" x14ac:dyDescent="0.25">
      <c r="A54" s="13" t="s">
        <v>9</v>
      </c>
      <c r="B54" s="13" t="s">
        <v>192</v>
      </c>
      <c r="C54" s="13" t="s">
        <v>21</v>
      </c>
      <c r="D54" s="13" t="s">
        <v>57</v>
      </c>
      <c r="E54" s="14" t="s">
        <v>193</v>
      </c>
      <c r="F54" s="14" t="s">
        <v>194</v>
      </c>
      <c r="G54" s="15">
        <v>51084.95</v>
      </c>
      <c r="H54" s="15">
        <v>6735.3799999999992</v>
      </c>
      <c r="I54" s="15">
        <v>11261.080000000002</v>
      </c>
      <c r="J54" s="15">
        <v>69081.41</v>
      </c>
    </row>
    <row r="55" spans="1:10" x14ac:dyDescent="0.25">
      <c r="A55" s="13" t="s">
        <v>15</v>
      </c>
      <c r="B55" s="13" t="s">
        <v>195</v>
      </c>
      <c r="C55" s="13" t="s">
        <v>30</v>
      </c>
      <c r="D55" s="13" t="s">
        <v>53</v>
      </c>
      <c r="E55" s="14" t="s">
        <v>196</v>
      </c>
      <c r="F55" s="14" t="s">
        <v>19</v>
      </c>
      <c r="G55" s="15">
        <v>51912.420000000006</v>
      </c>
      <c r="H55" s="15">
        <v>629.81000000000006</v>
      </c>
      <c r="I55" s="15">
        <v>16464.039999999994</v>
      </c>
      <c r="J55" s="15">
        <v>69006.26999999999</v>
      </c>
    </row>
    <row r="56" spans="1:10" x14ac:dyDescent="0.25">
      <c r="A56" s="13" t="s">
        <v>9</v>
      </c>
      <c r="B56" s="13" t="s">
        <v>197</v>
      </c>
      <c r="C56" s="13" t="s">
        <v>43</v>
      </c>
      <c r="D56" s="13" t="s">
        <v>128</v>
      </c>
      <c r="E56" s="14" t="s">
        <v>80</v>
      </c>
      <c r="F56" s="14" t="s">
        <v>198</v>
      </c>
      <c r="G56" s="15">
        <v>65370.239999999983</v>
      </c>
      <c r="H56" s="15">
        <v>1488.31</v>
      </c>
      <c r="I56" s="15">
        <v>2029.56</v>
      </c>
      <c r="J56" s="15">
        <v>68888.109999999986</v>
      </c>
    </row>
    <row r="57" spans="1:10" x14ac:dyDescent="0.25">
      <c r="A57" s="13" t="s">
        <v>15</v>
      </c>
      <c r="B57" s="13" t="s">
        <v>199</v>
      </c>
      <c r="C57" s="13" t="s">
        <v>43</v>
      </c>
      <c r="D57" s="13" t="s">
        <v>79</v>
      </c>
      <c r="E57" s="14" t="s">
        <v>200</v>
      </c>
      <c r="F57" s="14" t="s">
        <v>19</v>
      </c>
      <c r="G57" s="15">
        <v>33938.750000000007</v>
      </c>
      <c r="H57" s="15">
        <v>23202.709999999995</v>
      </c>
      <c r="I57" s="15">
        <v>11460.9</v>
      </c>
      <c r="J57" s="15">
        <v>68602.360000000015</v>
      </c>
    </row>
    <row r="58" spans="1:10" x14ac:dyDescent="0.25">
      <c r="A58" s="13" t="s">
        <v>9</v>
      </c>
      <c r="B58" s="13" t="s">
        <v>201</v>
      </c>
      <c r="C58" s="13" t="s">
        <v>30</v>
      </c>
      <c r="D58" s="13" t="s">
        <v>202</v>
      </c>
      <c r="E58" s="14" t="s">
        <v>203</v>
      </c>
      <c r="F58" s="14" t="s">
        <v>204</v>
      </c>
      <c r="G58" s="15">
        <v>58863.429999999993</v>
      </c>
      <c r="H58" s="15">
        <v>884.08999999999992</v>
      </c>
      <c r="I58" s="15">
        <v>8670.0499999999993</v>
      </c>
      <c r="J58" s="15">
        <v>68417.569999999992</v>
      </c>
    </row>
    <row r="59" spans="1:10" x14ac:dyDescent="0.25">
      <c r="A59" s="13" t="s">
        <v>15</v>
      </c>
      <c r="B59" s="13" t="s">
        <v>205</v>
      </c>
      <c r="C59" s="13" t="s">
        <v>206</v>
      </c>
      <c r="D59" s="13" t="s">
        <v>207</v>
      </c>
      <c r="E59" s="14" t="s">
        <v>208</v>
      </c>
      <c r="F59" s="14" t="s">
        <v>19</v>
      </c>
      <c r="G59" s="15">
        <v>68361.799999999974</v>
      </c>
      <c r="I59" s="15">
        <v>0</v>
      </c>
      <c r="J59" s="15">
        <v>68361.799999999974</v>
      </c>
    </row>
    <row r="60" spans="1:10" x14ac:dyDescent="0.25">
      <c r="A60" s="13" t="s">
        <v>9</v>
      </c>
      <c r="B60" s="13" t="s">
        <v>209</v>
      </c>
      <c r="C60" s="13" t="s">
        <v>21</v>
      </c>
      <c r="D60" s="13" t="s">
        <v>210</v>
      </c>
      <c r="E60" s="14" t="s">
        <v>211</v>
      </c>
      <c r="F60" s="14" t="s">
        <v>212</v>
      </c>
      <c r="G60" s="15">
        <v>40544.950000000012</v>
      </c>
      <c r="H60" s="15">
        <v>17050.860000000004</v>
      </c>
      <c r="I60" s="15">
        <v>10461.530000000001</v>
      </c>
      <c r="J60" s="15">
        <v>68057.340000000011</v>
      </c>
    </row>
    <row r="61" spans="1:10" x14ac:dyDescent="0.25">
      <c r="A61" s="13" t="s">
        <v>15</v>
      </c>
      <c r="B61" s="13" t="s">
        <v>213</v>
      </c>
      <c r="C61" s="13" t="s">
        <v>30</v>
      </c>
      <c r="D61" s="13" t="s">
        <v>47</v>
      </c>
      <c r="E61" s="14" t="s">
        <v>214</v>
      </c>
      <c r="F61" s="14" t="s">
        <v>19</v>
      </c>
      <c r="G61" s="15">
        <v>50982.310000000012</v>
      </c>
      <c r="H61" s="15">
        <v>363.1</v>
      </c>
      <c r="I61" s="15">
        <v>16341.199999999999</v>
      </c>
      <c r="J61" s="15">
        <v>67686.61</v>
      </c>
    </row>
    <row r="62" spans="1:10" x14ac:dyDescent="0.25">
      <c r="A62" s="13" t="s">
        <v>9</v>
      </c>
      <c r="B62" s="13" t="s">
        <v>215</v>
      </c>
      <c r="C62" s="13" t="s">
        <v>216</v>
      </c>
      <c r="D62" s="13" t="s">
        <v>217</v>
      </c>
      <c r="E62" s="14" t="s">
        <v>218</v>
      </c>
      <c r="F62" s="14" t="s">
        <v>219</v>
      </c>
      <c r="G62" s="15">
        <v>66528</v>
      </c>
      <c r="I62" s="15">
        <v>1050</v>
      </c>
      <c r="J62" s="15">
        <v>67578</v>
      </c>
    </row>
    <row r="63" spans="1:10" x14ac:dyDescent="0.25">
      <c r="A63" s="13" t="s">
        <v>9</v>
      </c>
      <c r="B63" s="13" t="s">
        <v>220</v>
      </c>
      <c r="C63" s="13" t="s">
        <v>43</v>
      </c>
      <c r="D63" s="13" t="s">
        <v>134</v>
      </c>
      <c r="E63" s="14" t="s">
        <v>65</v>
      </c>
      <c r="F63" s="14" t="s">
        <v>221</v>
      </c>
      <c r="G63" s="15">
        <v>46675.090000000004</v>
      </c>
      <c r="H63" s="15">
        <v>12306.550000000001</v>
      </c>
      <c r="I63" s="15">
        <v>8078.8399999999992</v>
      </c>
      <c r="J63" s="15">
        <v>67060.479999999996</v>
      </c>
    </row>
    <row r="64" spans="1:10" x14ac:dyDescent="0.25">
      <c r="A64" s="13" t="s">
        <v>9</v>
      </c>
      <c r="B64" s="13" t="s">
        <v>222</v>
      </c>
      <c r="C64" s="13" t="s">
        <v>68</v>
      </c>
      <c r="D64" s="13" t="s">
        <v>223</v>
      </c>
      <c r="E64" s="14" t="s">
        <v>224</v>
      </c>
      <c r="F64" s="14" t="s">
        <v>113</v>
      </c>
      <c r="G64" s="15">
        <v>63824.299999999996</v>
      </c>
      <c r="I64" s="15">
        <v>3009.8799999999983</v>
      </c>
      <c r="J64" s="15">
        <v>66834.179999999978</v>
      </c>
    </row>
    <row r="65" spans="1:10" x14ac:dyDescent="0.25">
      <c r="A65" s="13" t="s">
        <v>15</v>
      </c>
      <c r="B65" s="13" t="s">
        <v>225</v>
      </c>
      <c r="C65" s="13" t="s">
        <v>30</v>
      </c>
      <c r="D65" s="13" t="s">
        <v>47</v>
      </c>
      <c r="E65" s="14" t="s">
        <v>226</v>
      </c>
      <c r="F65" s="14" t="s">
        <v>19</v>
      </c>
      <c r="G65" s="15">
        <v>52798.89</v>
      </c>
      <c r="H65" s="15">
        <v>653.13</v>
      </c>
      <c r="I65" s="15">
        <v>13289</v>
      </c>
      <c r="J65" s="15">
        <v>66741.02</v>
      </c>
    </row>
    <row r="66" spans="1:10" x14ac:dyDescent="0.25">
      <c r="A66" s="13" t="s">
        <v>15</v>
      </c>
      <c r="B66" s="13" t="s">
        <v>227</v>
      </c>
      <c r="C66" s="13" t="s">
        <v>43</v>
      </c>
      <c r="D66" s="13" t="s">
        <v>79</v>
      </c>
      <c r="E66" s="14" t="s">
        <v>228</v>
      </c>
      <c r="F66" s="14" t="s">
        <v>19</v>
      </c>
      <c r="G66" s="15">
        <v>34361.040000000001</v>
      </c>
      <c r="H66" s="15">
        <v>24808.670000000002</v>
      </c>
      <c r="I66" s="15">
        <v>7514.7599999999993</v>
      </c>
      <c r="J66" s="15">
        <v>66684.47</v>
      </c>
    </row>
    <row r="67" spans="1:10" x14ac:dyDescent="0.25">
      <c r="A67" s="13" t="s">
        <v>15</v>
      </c>
      <c r="B67" s="13" t="s">
        <v>229</v>
      </c>
      <c r="C67" s="13" t="s">
        <v>43</v>
      </c>
      <c r="D67" s="13" t="s">
        <v>128</v>
      </c>
      <c r="E67" s="14" t="s">
        <v>230</v>
      </c>
      <c r="F67" s="14" t="s">
        <v>19</v>
      </c>
      <c r="G67" s="15">
        <v>43244.840000000018</v>
      </c>
      <c r="H67" s="15">
        <v>13511.590000000002</v>
      </c>
      <c r="I67" s="15">
        <v>9595.74</v>
      </c>
      <c r="J67" s="15">
        <v>66352.17</v>
      </c>
    </row>
    <row r="68" spans="1:10" x14ac:dyDescent="0.25">
      <c r="A68" s="13" t="s">
        <v>9</v>
      </c>
      <c r="B68" s="13" t="s">
        <v>231</v>
      </c>
      <c r="C68" s="13" t="s">
        <v>21</v>
      </c>
      <c r="D68" s="13" t="s">
        <v>57</v>
      </c>
      <c r="E68" s="14" t="s">
        <v>232</v>
      </c>
      <c r="F68" s="14" t="s">
        <v>233</v>
      </c>
      <c r="G68" s="15">
        <v>51992.359999999993</v>
      </c>
      <c r="H68" s="15">
        <v>3433.2400000000002</v>
      </c>
      <c r="I68" s="15">
        <v>10804.729999999998</v>
      </c>
      <c r="J68" s="15">
        <v>66230.33</v>
      </c>
    </row>
    <row r="69" spans="1:10" x14ac:dyDescent="0.25">
      <c r="A69" s="13" t="s">
        <v>15</v>
      </c>
      <c r="B69" s="13" t="s">
        <v>234</v>
      </c>
      <c r="C69" s="13" t="s">
        <v>30</v>
      </c>
      <c r="D69" s="13" t="s">
        <v>202</v>
      </c>
      <c r="E69" s="14" t="s">
        <v>235</v>
      </c>
      <c r="F69" s="14" t="s">
        <v>19</v>
      </c>
      <c r="G69" s="15">
        <v>54256.060000000005</v>
      </c>
      <c r="H69" s="15">
        <v>648.63</v>
      </c>
      <c r="I69" s="15">
        <v>10127.560000000001</v>
      </c>
      <c r="J69" s="15">
        <v>65032.25</v>
      </c>
    </row>
    <row r="70" spans="1:10" x14ac:dyDescent="0.25">
      <c r="A70" s="13" t="s">
        <v>15</v>
      </c>
      <c r="B70" s="13" t="s">
        <v>236</v>
      </c>
      <c r="C70" s="13" t="s">
        <v>30</v>
      </c>
      <c r="D70" s="13" t="s">
        <v>47</v>
      </c>
      <c r="E70" s="14" t="s">
        <v>237</v>
      </c>
      <c r="F70" s="14" t="s">
        <v>19</v>
      </c>
      <c r="G70" s="15">
        <v>52051.909999999996</v>
      </c>
      <c r="H70" s="15">
        <v>372.15000000000003</v>
      </c>
      <c r="I70" s="15">
        <v>12457.96</v>
      </c>
      <c r="J70" s="15">
        <v>64882.01999999999</v>
      </c>
    </row>
    <row r="71" spans="1:10" x14ac:dyDescent="0.25">
      <c r="A71" s="13" t="s">
        <v>15</v>
      </c>
      <c r="B71" s="13" t="s">
        <v>238</v>
      </c>
      <c r="C71" s="13" t="s">
        <v>21</v>
      </c>
      <c r="D71" s="13" t="s">
        <v>57</v>
      </c>
      <c r="E71" s="14" t="s">
        <v>239</v>
      </c>
      <c r="F71" s="14" t="s">
        <v>19</v>
      </c>
      <c r="G71" s="15">
        <v>44711.59</v>
      </c>
      <c r="H71" s="15">
        <v>2535.87</v>
      </c>
      <c r="I71" s="15">
        <v>17600.28</v>
      </c>
      <c r="J71" s="15">
        <v>64847.740000000005</v>
      </c>
    </row>
    <row r="72" spans="1:10" x14ac:dyDescent="0.25">
      <c r="A72" s="13" t="s">
        <v>9</v>
      </c>
      <c r="B72" s="13" t="s">
        <v>240</v>
      </c>
      <c r="C72" s="13" t="s">
        <v>241</v>
      </c>
      <c r="D72" s="13" t="s">
        <v>242</v>
      </c>
      <c r="E72" s="14" t="s">
        <v>243</v>
      </c>
      <c r="F72" s="14" t="s">
        <v>244</v>
      </c>
      <c r="G72" s="15">
        <v>64700.000000000015</v>
      </c>
      <c r="I72" s="15">
        <v>0</v>
      </c>
      <c r="J72" s="15">
        <v>64700.000000000015</v>
      </c>
    </row>
    <row r="73" spans="1:10" x14ac:dyDescent="0.25">
      <c r="A73" s="13" t="s">
        <v>15</v>
      </c>
      <c r="B73" s="13" t="s">
        <v>245</v>
      </c>
      <c r="C73" s="13" t="s">
        <v>30</v>
      </c>
      <c r="D73" s="13" t="s">
        <v>131</v>
      </c>
      <c r="E73" s="14" t="s">
        <v>246</v>
      </c>
      <c r="F73" s="14" t="s">
        <v>19</v>
      </c>
      <c r="G73" s="15">
        <v>47770.359999999993</v>
      </c>
      <c r="H73" s="15">
        <v>418.84</v>
      </c>
      <c r="I73" s="15">
        <v>16148.149999999998</v>
      </c>
      <c r="J73" s="15">
        <v>64337.349999999984</v>
      </c>
    </row>
    <row r="74" spans="1:10" x14ac:dyDescent="0.25">
      <c r="A74" s="13" t="s">
        <v>9</v>
      </c>
      <c r="B74" s="13" t="s">
        <v>247</v>
      </c>
      <c r="C74" s="13" t="s">
        <v>30</v>
      </c>
      <c r="D74" s="13" t="s">
        <v>248</v>
      </c>
      <c r="E74" s="14" t="s">
        <v>249</v>
      </c>
      <c r="F74" s="14" t="s">
        <v>250</v>
      </c>
      <c r="G74" s="15">
        <v>47279.66</v>
      </c>
      <c r="I74" s="15">
        <v>16929.97</v>
      </c>
      <c r="J74" s="15">
        <v>64209.63</v>
      </c>
    </row>
    <row r="75" spans="1:10" x14ac:dyDescent="0.25">
      <c r="A75" s="13" t="s">
        <v>15</v>
      </c>
      <c r="B75" s="13" t="s">
        <v>251</v>
      </c>
      <c r="C75" s="13" t="s">
        <v>21</v>
      </c>
      <c r="D75" s="13" t="s">
        <v>153</v>
      </c>
      <c r="E75" s="14" t="s">
        <v>158</v>
      </c>
      <c r="F75" s="14" t="s">
        <v>19</v>
      </c>
      <c r="G75" s="15">
        <v>61118.299999999996</v>
      </c>
      <c r="I75" s="15">
        <v>2585.6099999999992</v>
      </c>
      <c r="J75" s="15">
        <v>63703.909999999989</v>
      </c>
    </row>
    <row r="76" spans="1:10" x14ac:dyDescent="0.25">
      <c r="A76" s="13" t="s">
        <v>15</v>
      </c>
      <c r="B76" s="13" t="s">
        <v>252</v>
      </c>
      <c r="C76" s="13" t="s">
        <v>30</v>
      </c>
      <c r="D76" s="13" t="s">
        <v>131</v>
      </c>
      <c r="E76" s="14" t="s">
        <v>253</v>
      </c>
      <c r="F76" s="14" t="s">
        <v>19</v>
      </c>
      <c r="G76" s="15">
        <v>51186.859999999993</v>
      </c>
      <c r="H76" s="15">
        <v>409.57</v>
      </c>
      <c r="I76" s="15">
        <v>11595.400000000001</v>
      </c>
      <c r="J76" s="15">
        <v>63191.83</v>
      </c>
    </row>
    <row r="77" spans="1:10" x14ac:dyDescent="0.25">
      <c r="A77" s="13" t="s">
        <v>9</v>
      </c>
      <c r="B77" s="13" t="s">
        <v>254</v>
      </c>
      <c r="C77" s="13" t="s">
        <v>94</v>
      </c>
      <c r="D77" s="13" t="s">
        <v>255</v>
      </c>
      <c r="E77" s="14" t="s">
        <v>256</v>
      </c>
      <c r="F77" s="14" t="s">
        <v>257</v>
      </c>
      <c r="G77" s="15">
        <v>63175.150000000016</v>
      </c>
      <c r="I77" s="15">
        <v>0</v>
      </c>
      <c r="J77" s="15">
        <v>63175.150000000016</v>
      </c>
    </row>
    <row r="78" spans="1:10" x14ac:dyDescent="0.25">
      <c r="A78" s="13" t="s">
        <v>15</v>
      </c>
      <c r="B78" s="13" t="s">
        <v>258</v>
      </c>
      <c r="C78" s="13" t="s">
        <v>38</v>
      </c>
      <c r="D78" s="13" t="s">
        <v>259</v>
      </c>
      <c r="E78" s="14" t="s">
        <v>260</v>
      </c>
      <c r="F78" s="14" t="s">
        <v>19</v>
      </c>
      <c r="G78" s="15">
        <v>42764.359999999993</v>
      </c>
      <c r="H78" s="15">
        <v>13808.92</v>
      </c>
      <c r="I78" s="15">
        <v>5576.4699999999993</v>
      </c>
      <c r="J78" s="15">
        <v>62149.750000000007</v>
      </c>
    </row>
    <row r="79" spans="1:10" x14ac:dyDescent="0.25">
      <c r="A79" s="13" t="s">
        <v>15</v>
      </c>
      <c r="B79" s="13" t="s">
        <v>261</v>
      </c>
      <c r="C79" s="13" t="s">
        <v>30</v>
      </c>
      <c r="D79" s="13" t="s">
        <v>47</v>
      </c>
      <c r="E79" s="14" t="s">
        <v>262</v>
      </c>
      <c r="F79" s="14" t="s">
        <v>19</v>
      </c>
      <c r="G79" s="15">
        <v>48867.80000000001</v>
      </c>
      <c r="H79" s="15">
        <v>24.8</v>
      </c>
      <c r="I79" s="15">
        <v>13212.470000000001</v>
      </c>
      <c r="J79" s="15">
        <v>62105.070000000007</v>
      </c>
    </row>
    <row r="80" spans="1:10" x14ac:dyDescent="0.25">
      <c r="A80" s="13" t="s">
        <v>15</v>
      </c>
      <c r="B80" s="13" t="s">
        <v>263</v>
      </c>
      <c r="C80" s="13" t="s">
        <v>30</v>
      </c>
      <c r="D80" s="13" t="s">
        <v>47</v>
      </c>
      <c r="E80" s="14" t="s">
        <v>264</v>
      </c>
      <c r="F80" s="14" t="s">
        <v>19</v>
      </c>
      <c r="G80" s="15">
        <v>48598.799999999996</v>
      </c>
      <c r="H80" s="15">
        <v>420.31</v>
      </c>
      <c r="I80" s="15">
        <v>13015.439999999999</v>
      </c>
      <c r="J80" s="15">
        <v>62034.55</v>
      </c>
    </row>
    <row r="81" spans="1:10" x14ac:dyDescent="0.25">
      <c r="A81" s="13" t="s">
        <v>15</v>
      </c>
      <c r="B81" s="13" t="s">
        <v>265</v>
      </c>
      <c r="C81" s="13" t="s">
        <v>21</v>
      </c>
      <c r="D81" s="13" t="s">
        <v>168</v>
      </c>
      <c r="E81" s="14" t="s">
        <v>266</v>
      </c>
      <c r="F81" s="14" t="s">
        <v>19</v>
      </c>
      <c r="G81" s="15">
        <v>46317.360000000008</v>
      </c>
      <c r="H81" s="15">
        <v>4259.4900000000007</v>
      </c>
      <c r="I81" s="15">
        <v>11436.199999999999</v>
      </c>
      <c r="J81" s="15">
        <v>62013.05</v>
      </c>
    </row>
    <row r="82" spans="1:10" x14ac:dyDescent="0.25">
      <c r="A82" s="13" t="s">
        <v>15</v>
      </c>
      <c r="B82" s="13" t="s">
        <v>267</v>
      </c>
      <c r="C82" s="13" t="s">
        <v>21</v>
      </c>
      <c r="D82" s="13" t="s">
        <v>168</v>
      </c>
      <c r="E82" s="14" t="s">
        <v>268</v>
      </c>
      <c r="F82" s="14" t="s">
        <v>19</v>
      </c>
      <c r="G82" s="15">
        <v>46271.229999999996</v>
      </c>
      <c r="H82" s="15">
        <v>6424.23</v>
      </c>
      <c r="I82" s="15">
        <v>8227.1200000000008</v>
      </c>
      <c r="J82" s="15">
        <v>60922.579999999994</v>
      </c>
    </row>
    <row r="83" spans="1:10" x14ac:dyDescent="0.25">
      <c r="A83" s="13" t="s">
        <v>15</v>
      </c>
      <c r="B83" s="13" t="s">
        <v>269</v>
      </c>
      <c r="C83" s="13" t="s">
        <v>21</v>
      </c>
      <c r="D83" s="13" t="s">
        <v>57</v>
      </c>
      <c r="E83" s="14" t="s">
        <v>270</v>
      </c>
      <c r="F83" s="14" t="s">
        <v>19</v>
      </c>
      <c r="G83" s="15">
        <v>46957.43</v>
      </c>
      <c r="H83" s="15">
        <v>4875.99</v>
      </c>
      <c r="I83" s="15">
        <v>8844.9499999999971</v>
      </c>
      <c r="J83" s="15">
        <v>60678.37000000001</v>
      </c>
    </row>
    <row r="84" spans="1:10" x14ac:dyDescent="0.25">
      <c r="A84" s="13" t="s">
        <v>9</v>
      </c>
      <c r="B84" s="13" t="s">
        <v>271</v>
      </c>
      <c r="C84" s="13" t="s">
        <v>43</v>
      </c>
      <c r="D84" s="13" t="s">
        <v>272</v>
      </c>
      <c r="E84" s="14" t="s">
        <v>273</v>
      </c>
      <c r="F84" s="14" t="s">
        <v>274</v>
      </c>
      <c r="G84" s="15">
        <v>28771.050000000007</v>
      </c>
      <c r="H84" s="15">
        <v>25084.539999999994</v>
      </c>
      <c r="I84" s="15">
        <v>6375.3300000000008</v>
      </c>
      <c r="J84" s="15">
        <v>60230.919999999991</v>
      </c>
    </row>
    <row r="85" spans="1:10" x14ac:dyDescent="0.25">
      <c r="A85" s="13" t="s">
        <v>9</v>
      </c>
      <c r="B85" s="13" t="s">
        <v>275</v>
      </c>
      <c r="C85" s="13" t="s">
        <v>21</v>
      </c>
      <c r="D85" s="13" t="s">
        <v>168</v>
      </c>
      <c r="E85" s="14" t="s">
        <v>276</v>
      </c>
      <c r="F85" s="14" t="s">
        <v>24</v>
      </c>
      <c r="G85" s="15">
        <v>45997.15</v>
      </c>
      <c r="H85" s="15">
        <v>808.59</v>
      </c>
      <c r="I85" s="15">
        <v>13394.550000000003</v>
      </c>
      <c r="J85" s="15">
        <v>60200.29</v>
      </c>
    </row>
    <row r="86" spans="1:10" x14ac:dyDescent="0.25">
      <c r="A86" s="13" t="s">
        <v>15</v>
      </c>
      <c r="B86" s="13" t="s">
        <v>277</v>
      </c>
      <c r="C86" s="13" t="s">
        <v>30</v>
      </c>
      <c r="D86" s="13" t="s">
        <v>248</v>
      </c>
      <c r="E86" s="14" t="s">
        <v>235</v>
      </c>
      <c r="F86" s="14" t="s">
        <v>19</v>
      </c>
      <c r="G86" s="15">
        <v>42567.710000000014</v>
      </c>
      <c r="H86" s="15">
        <v>18.59</v>
      </c>
      <c r="I86" s="15">
        <v>16813.13</v>
      </c>
      <c r="J86" s="15">
        <v>59399.430000000015</v>
      </c>
    </row>
    <row r="87" spans="1:10" x14ac:dyDescent="0.25">
      <c r="A87" s="13" t="s">
        <v>15</v>
      </c>
      <c r="B87" s="13" t="s">
        <v>278</v>
      </c>
      <c r="C87" s="13" t="s">
        <v>21</v>
      </c>
      <c r="D87" s="13" t="s">
        <v>124</v>
      </c>
      <c r="E87" s="14" t="s">
        <v>279</v>
      </c>
      <c r="F87" s="14" t="s">
        <v>19</v>
      </c>
      <c r="G87" s="15">
        <v>43672.909999999996</v>
      </c>
      <c r="H87" s="15">
        <v>2286.15</v>
      </c>
      <c r="I87" s="15">
        <v>13438.109999999999</v>
      </c>
      <c r="J87" s="15">
        <v>59397.169999999991</v>
      </c>
    </row>
    <row r="88" spans="1:10" x14ac:dyDescent="0.25">
      <c r="A88" s="13" t="s">
        <v>15</v>
      </c>
      <c r="B88" s="13" t="s">
        <v>280</v>
      </c>
      <c r="C88" s="13" t="s">
        <v>43</v>
      </c>
      <c r="D88" s="13" t="s">
        <v>134</v>
      </c>
      <c r="E88" s="14" t="s">
        <v>281</v>
      </c>
      <c r="F88" s="14" t="s">
        <v>19</v>
      </c>
      <c r="G88" s="15">
        <v>27492.579999999998</v>
      </c>
      <c r="H88" s="15">
        <v>25844.03</v>
      </c>
      <c r="I88" s="15">
        <v>5028.9500000000007</v>
      </c>
      <c r="J88" s="15">
        <v>58365.560000000005</v>
      </c>
    </row>
    <row r="89" spans="1:10" x14ac:dyDescent="0.25">
      <c r="A89" s="13" t="s">
        <v>15</v>
      </c>
      <c r="B89" s="13" t="s">
        <v>282</v>
      </c>
      <c r="C89" s="13" t="s">
        <v>21</v>
      </c>
      <c r="D89" s="13" t="s">
        <v>57</v>
      </c>
      <c r="E89" s="14" t="s">
        <v>283</v>
      </c>
      <c r="F89" s="14" t="s">
        <v>19</v>
      </c>
      <c r="G89" s="15">
        <v>45143.409999999996</v>
      </c>
      <c r="H89" s="15">
        <v>807.31</v>
      </c>
      <c r="I89" s="15">
        <v>12411.659999999998</v>
      </c>
      <c r="J89" s="15">
        <v>58362.37999999999</v>
      </c>
    </row>
    <row r="90" spans="1:10" x14ac:dyDescent="0.25">
      <c r="A90" s="13" t="s">
        <v>15</v>
      </c>
      <c r="B90" s="13" t="s">
        <v>284</v>
      </c>
      <c r="C90" s="13" t="s">
        <v>30</v>
      </c>
      <c r="D90" s="13" t="s">
        <v>248</v>
      </c>
      <c r="E90" s="14" t="s">
        <v>285</v>
      </c>
      <c r="F90" s="14" t="s">
        <v>19</v>
      </c>
      <c r="G90" s="15">
        <v>47059.710000000006</v>
      </c>
      <c r="H90" s="15">
        <v>298.22999999999996</v>
      </c>
      <c r="I90" s="15">
        <v>10729.53</v>
      </c>
      <c r="J90" s="15">
        <v>58087.469999999994</v>
      </c>
    </row>
    <row r="91" spans="1:10" x14ac:dyDescent="0.25">
      <c r="A91" s="13" t="s">
        <v>9</v>
      </c>
      <c r="B91" s="13" t="s">
        <v>286</v>
      </c>
      <c r="C91" s="13" t="s">
        <v>140</v>
      </c>
      <c r="D91" s="13" t="s">
        <v>287</v>
      </c>
      <c r="E91" s="14" t="s">
        <v>288</v>
      </c>
      <c r="F91" s="14" t="s">
        <v>289</v>
      </c>
      <c r="G91" s="15">
        <v>58035.849999999977</v>
      </c>
      <c r="I91" s="15">
        <v>0</v>
      </c>
      <c r="J91" s="15">
        <v>58035.849999999977</v>
      </c>
    </row>
    <row r="92" spans="1:10" x14ac:dyDescent="0.25">
      <c r="A92" s="13" t="s">
        <v>9</v>
      </c>
      <c r="B92" s="13" t="s">
        <v>290</v>
      </c>
      <c r="C92" s="13" t="s">
        <v>21</v>
      </c>
      <c r="D92" s="13" t="s">
        <v>153</v>
      </c>
      <c r="E92" s="14" t="s">
        <v>291</v>
      </c>
      <c r="F92" s="14" t="s">
        <v>292</v>
      </c>
      <c r="G92" s="15">
        <v>43078.12000000001</v>
      </c>
      <c r="H92" s="15">
        <v>1700.74</v>
      </c>
      <c r="I92" s="15">
        <v>12861.179999999995</v>
      </c>
      <c r="J92" s="15">
        <v>57640.04</v>
      </c>
    </row>
    <row r="93" spans="1:10" x14ac:dyDescent="0.25">
      <c r="A93" s="13" t="s">
        <v>15</v>
      </c>
      <c r="B93" s="13" t="s">
        <v>293</v>
      </c>
      <c r="C93" s="13" t="s">
        <v>30</v>
      </c>
      <c r="D93" s="13" t="s">
        <v>47</v>
      </c>
      <c r="E93" s="14" t="s">
        <v>294</v>
      </c>
      <c r="F93" s="14" t="s">
        <v>19</v>
      </c>
      <c r="G93" s="15">
        <v>47584.739999999991</v>
      </c>
      <c r="H93" s="15">
        <v>368.01</v>
      </c>
      <c r="I93" s="15">
        <v>9624.98</v>
      </c>
      <c r="J93" s="15">
        <v>57577.729999999996</v>
      </c>
    </row>
    <row r="94" spans="1:10" x14ac:dyDescent="0.25">
      <c r="A94" s="13" t="s">
        <v>15</v>
      </c>
      <c r="B94" s="13" t="s">
        <v>295</v>
      </c>
      <c r="C94" s="13" t="s">
        <v>43</v>
      </c>
      <c r="D94" s="13" t="s">
        <v>296</v>
      </c>
      <c r="E94" s="14" t="s">
        <v>297</v>
      </c>
      <c r="F94" s="14" t="s">
        <v>19</v>
      </c>
      <c r="G94" s="15">
        <v>49760.249999999993</v>
      </c>
      <c r="H94" s="15">
        <v>3864.09</v>
      </c>
      <c r="I94" s="15">
        <v>3799.3600000000006</v>
      </c>
      <c r="J94" s="15">
        <v>57423.700000000012</v>
      </c>
    </row>
    <row r="95" spans="1:10" x14ac:dyDescent="0.25">
      <c r="A95" s="13" t="s">
        <v>9</v>
      </c>
      <c r="B95" s="13" t="s">
        <v>298</v>
      </c>
      <c r="C95" s="13" t="s">
        <v>43</v>
      </c>
      <c r="D95" s="13" t="s">
        <v>299</v>
      </c>
      <c r="E95" s="14" t="s">
        <v>300</v>
      </c>
      <c r="F95" s="14" t="s">
        <v>301</v>
      </c>
      <c r="G95" s="15">
        <v>26561.43</v>
      </c>
      <c r="H95" s="15">
        <v>25752.720000000008</v>
      </c>
      <c r="I95" s="15">
        <v>4670.3500000000004</v>
      </c>
      <c r="J95" s="15">
        <v>56984.499999999993</v>
      </c>
    </row>
    <row r="96" spans="1:10" x14ac:dyDescent="0.25">
      <c r="A96" s="13" t="s">
        <v>15</v>
      </c>
      <c r="B96" s="13" t="s">
        <v>302</v>
      </c>
      <c r="C96" s="13" t="s">
        <v>21</v>
      </c>
      <c r="D96" s="13" t="s">
        <v>168</v>
      </c>
      <c r="E96" s="14" t="s">
        <v>303</v>
      </c>
      <c r="F96" s="14" t="s">
        <v>19</v>
      </c>
      <c r="G96" s="15">
        <v>42730</v>
      </c>
      <c r="H96" s="15">
        <v>5299.9900000000016</v>
      </c>
      <c r="I96" s="15">
        <v>8893.0800000000017</v>
      </c>
      <c r="J96" s="15">
        <v>56923.070000000007</v>
      </c>
    </row>
    <row r="97" spans="1:10" x14ac:dyDescent="0.25">
      <c r="A97" s="13" t="s">
        <v>9</v>
      </c>
      <c r="B97" s="13" t="s">
        <v>304</v>
      </c>
      <c r="C97" s="13" t="s">
        <v>38</v>
      </c>
      <c r="D97" s="13" t="s">
        <v>305</v>
      </c>
      <c r="E97" s="14" t="s">
        <v>306</v>
      </c>
      <c r="F97" s="14" t="s">
        <v>307</v>
      </c>
      <c r="G97" s="15">
        <v>56882.549999999988</v>
      </c>
      <c r="I97" s="15">
        <v>0</v>
      </c>
      <c r="J97" s="15">
        <v>56882.549999999988</v>
      </c>
    </row>
    <row r="98" spans="1:10" x14ac:dyDescent="0.25">
      <c r="A98" s="13" t="s">
        <v>15</v>
      </c>
      <c r="B98" s="13" t="s">
        <v>308</v>
      </c>
      <c r="C98" s="13" t="s">
        <v>21</v>
      </c>
      <c r="D98" s="13" t="s">
        <v>57</v>
      </c>
      <c r="E98" s="14" t="s">
        <v>309</v>
      </c>
      <c r="F98" s="14" t="s">
        <v>19</v>
      </c>
      <c r="G98" s="15">
        <v>42865.630000000005</v>
      </c>
      <c r="H98" s="15">
        <v>4833.1399999999985</v>
      </c>
      <c r="I98" s="15">
        <v>8502.81</v>
      </c>
      <c r="J98" s="15">
        <v>56201.579999999994</v>
      </c>
    </row>
    <row r="99" spans="1:10" x14ac:dyDescent="0.25">
      <c r="A99" s="13" t="s">
        <v>15</v>
      </c>
      <c r="B99" s="13" t="s">
        <v>310</v>
      </c>
      <c r="C99" s="13" t="s">
        <v>30</v>
      </c>
      <c r="D99" s="13" t="s">
        <v>131</v>
      </c>
      <c r="E99" s="14" t="s">
        <v>237</v>
      </c>
      <c r="F99" s="14" t="s">
        <v>19</v>
      </c>
      <c r="G99" s="15">
        <v>43484.85</v>
      </c>
      <c r="H99" s="15">
        <v>372.98999999999995</v>
      </c>
      <c r="I99" s="15">
        <v>12303.549999999997</v>
      </c>
      <c r="J99" s="15">
        <v>56161.39</v>
      </c>
    </row>
    <row r="100" spans="1:10" x14ac:dyDescent="0.25">
      <c r="A100" s="13" t="s">
        <v>15</v>
      </c>
      <c r="B100" s="13" t="s">
        <v>311</v>
      </c>
      <c r="C100" s="13" t="s">
        <v>21</v>
      </c>
      <c r="D100" s="13" t="s">
        <v>168</v>
      </c>
      <c r="E100" s="14" t="s">
        <v>312</v>
      </c>
      <c r="F100" s="14" t="s">
        <v>19</v>
      </c>
      <c r="G100" s="15">
        <v>44812.380000000005</v>
      </c>
      <c r="H100" s="15">
        <v>3905.0400000000004</v>
      </c>
      <c r="I100" s="15">
        <v>6374.8800000000019</v>
      </c>
      <c r="J100" s="15">
        <v>55092.299999999988</v>
      </c>
    </row>
    <row r="101" spans="1:10" x14ac:dyDescent="0.25">
      <c r="A101" s="13" t="s">
        <v>15</v>
      </c>
      <c r="B101" s="13" t="s">
        <v>313</v>
      </c>
      <c r="C101" s="13" t="s">
        <v>314</v>
      </c>
      <c r="D101" s="13" t="s">
        <v>315</v>
      </c>
      <c r="E101" s="14" t="s">
        <v>316</v>
      </c>
      <c r="F101" s="14" t="s">
        <v>19</v>
      </c>
      <c r="G101" s="15">
        <v>54425.599999999999</v>
      </c>
      <c r="I101" s="15">
        <v>484.67999999999978</v>
      </c>
      <c r="J101" s="15">
        <v>54910.280000000013</v>
      </c>
    </row>
    <row r="102" spans="1:10" x14ac:dyDescent="0.25">
      <c r="A102" s="13" t="s">
        <v>15</v>
      </c>
      <c r="B102" s="13" t="s">
        <v>317</v>
      </c>
      <c r="C102" s="13" t="s">
        <v>68</v>
      </c>
      <c r="D102" s="13" t="s">
        <v>88</v>
      </c>
      <c r="E102" s="14" t="s">
        <v>318</v>
      </c>
      <c r="F102" s="14" t="s">
        <v>19</v>
      </c>
      <c r="G102" s="15">
        <v>54137.600000000006</v>
      </c>
      <c r="I102" s="15">
        <v>727.02</v>
      </c>
      <c r="J102" s="15">
        <v>54864.619999999995</v>
      </c>
    </row>
    <row r="103" spans="1:10" x14ac:dyDescent="0.25">
      <c r="A103" s="13" t="s">
        <v>15</v>
      </c>
      <c r="B103" s="13" t="s">
        <v>319</v>
      </c>
      <c r="C103" s="13" t="s">
        <v>21</v>
      </c>
      <c r="D103" s="13" t="s">
        <v>168</v>
      </c>
      <c r="E103" s="14" t="s">
        <v>320</v>
      </c>
      <c r="F103" s="14" t="s">
        <v>19</v>
      </c>
      <c r="G103" s="15">
        <v>41723.949999999997</v>
      </c>
      <c r="H103" s="15">
        <v>2329.12</v>
      </c>
      <c r="I103" s="15">
        <v>10751.529999999999</v>
      </c>
      <c r="J103" s="15">
        <v>54804.599999999991</v>
      </c>
    </row>
    <row r="104" spans="1:10" x14ac:dyDescent="0.25">
      <c r="A104" s="13" t="s">
        <v>9</v>
      </c>
      <c r="B104" s="13" t="s">
        <v>321</v>
      </c>
      <c r="C104" s="13" t="s">
        <v>21</v>
      </c>
      <c r="D104" s="13" t="s">
        <v>168</v>
      </c>
      <c r="E104" s="14" t="s">
        <v>322</v>
      </c>
      <c r="F104" s="14" t="s">
        <v>323</v>
      </c>
      <c r="G104" s="15">
        <v>40323.399999999994</v>
      </c>
      <c r="H104" s="15">
        <v>6408.7300000000014</v>
      </c>
      <c r="I104" s="15">
        <v>8059.33</v>
      </c>
      <c r="J104" s="15">
        <v>54791.459999999992</v>
      </c>
    </row>
    <row r="105" spans="1:10" x14ac:dyDescent="0.25">
      <c r="A105" s="13" t="s">
        <v>9</v>
      </c>
      <c r="B105" s="13" t="s">
        <v>324</v>
      </c>
      <c r="C105" s="13" t="s">
        <v>140</v>
      </c>
      <c r="D105" s="13" t="s">
        <v>325</v>
      </c>
      <c r="E105" s="14" t="s">
        <v>326</v>
      </c>
      <c r="F105" s="14" t="s">
        <v>327</v>
      </c>
      <c r="G105" s="15">
        <v>53735.799999999981</v>
      </c>
      <c r="I105" s="15">
        <v>1050</v>
      </c>
      <c r="J105" s="15">
        <v>54785.799999999981</v>
      </c>
    </row>
    <row r="106" spans="1:10" x14ac:dyDescent="0.25">
      <c r="A106" s="13" t="s">
        <v>15</v>
      </c>
      <c r="B106" s="13" t="s">
        <v>328</v>
      </c>
      <c r="C106" s="13" t="s">
        <v>43</v>
      </c>
      <c r="D106" s="13" t="s">
        <v>137</v>
      </c>
      <c r="E106" s="14" t="s">
        <v>329</v>
      </c>
      <c r="F106" s="14" t="s">
        <v>19</v>
      </c>
      <c r="G106" s="15">
        <v>25959.95</v>
      </c>
      <c r="H106" s="15">
        <v>24024.920000000006</v>
      </c>
      <c r="I106" s="15">
        <v>4794.4500000000007</v>
      </c>
      <c r="J106" s="15">
        <v>54779.319999999992</v>
      </c>
    </row>
    <row r="107" spans="1:10" x14ac:dyDescent="0.25">
      <c r="A107" s="13" t="s">
        <v>15</v>
      </c>
      <c r="B107" s="13" t="s">
        <v>330</v>
      </c>
      <c r="C107" s="13" t="s">
        <v>21</v>
      </c>
      <c r="D107" s="13" t="s">
        <v>168</v>
      </c>
      <c r="E107" s="14" t="s">
        <v>331</v>
      </c>
      <c r="F107" s="14" t="s">
        <v>19</v>
      </c>
      <c r="G107" s="15">
        <v>30030.140000000003</v>
      </c>
      <c r="H107" s="15">
        <v>3138.1699999999996</v>
      </c>
      <c r="I107" s="15">
        <v>21588.789999999994</v>
      </c>
      <c r="J107" s="15">
        <v>54757.100000000013</v>
      </c>
    </row>
    <row r="108" spans="1:10" x14ac:dyDescent="0.25">
      <c r="A108" s="13" t="s">
        <v>15</v>
      </c>
      <c r="B108" s="13" t="s">
        <v>332</v>
      </c>
      <c r="C108" s="13" t="s">
        <v>21</v>
      </c>
      <c r="D108" s="13" t="s">
        <v>57</v>
      </c>
      <c r="E108" s="14" t="s">
        <v>333</v>
      </c>
      <c r="F108" s="14" t="s">
        <v>19</v>
      </c>
      <c r="G108" s="15">
        <v>37315.89</v>
      </c>
      <c r="H108" s="15">
        <v>4150.82</v>
      </c>
      <c r="I108" s="15">
        <v>13213.89</v>
      </c>
      <c r="J108" s="15">
        <v>54680.600000000006</v>
      </c>
    </row>
    <row r="109" spans="1:10" x14ac:dyDescent="0.25">
      <c r="A109" s="13" t="s">
        <v>9</v>
      </c>
      <c r="B109" s="13" t="s">
        <v>334</v>
      </c>
      <c r="C109" s="13" t="s">
        <v>21</v>
      </c>
      <c r="D109" s="13" t="s">
        <v>210</v>
      </c>
      <c r="E109" s="14" t="s">
        <v>335</v>
      </c>
      <c r="F109" s="14" t="s">
        <v>336</v>
      </c>
      <c r="G109" s="15">
        <v>42971.329999999994</v>
      </c>
      <c r="H109" s="15">
        <v>2672.65</v>
      </c>
      <c r="I109" s="15">
        <v>8842.3300000000017</v>
      </c>
      <c r="J109" s="15">
        <v>54486.31</v>
      </c>
    </row>
    <row r="110" spans="1:10" x14ac:dyDescent="0.25">
      <c r="A110" s="13" t="s">
        <v>15</v>
      </c>
      <c r="B110" s="13" t="s">
        <v>337</v>
      </c>
      <c r="C110" s="13" t="s">
        <v>30</v>
      </c>
      <c r="D110" s="13" t="s">
        <v>131</v>
      </c>
      <c r="E110" s="14" t="s">
        <v>338</v>
      </c>
      <c r="F110" s="14" t="s">
        <v>19</v>
      </c>
      <c r="G110" s="15">
        <v>42275.92</v>
      </c>
      <c r="H110" s="15">
        <v>401.3</v>
      </c>
      <c r="I110" s="15">
        <v>11791.36</v>
      </c>
      <c r="J110" s="15">
        <v>54468.580000000009</v>
      </c>
    </row>
    <row r="111" spans="1:10" x14ac:dyDescent="0.25">
      <c r="A111" s="13" t="s">
        <v>9</v>
      </c>
      <c r="B111" s="13" t="s">
        <v>339</v>
      </c>
      <c r="C111" s="13" t="s">
        <v>340</v>
      </c>
      <c r="D111" s="13" t="s">
        <v>341</v>
      </c>
      <c r="E111" s="14" t="s">
        <v>342</v>
      </c>
      <c r="F111" s="14" t="s">
        <v>343</v>
      </c>
      <c r="G111" s="15">
        <v>52629.499999999993</v>
      </c>
      <c r="H111" s="15">
        <v>0</v>
      </c>
      <c r="I111" s="15">
        <v>1496.6399999999999</v>
      </c>
      <c r="J111" s="15">
        <v>54126.139999999985</v>
      </c>
    </row>
    <row r="112" spans="1:10" x14ac:dyDescent="0.25">
      <c r="A112" s="13" t="s">
        <v>9</v>
      </c>
      <c r="B112" s="13" t="s">
        <v>344</v>
      </c>
      <c r="C112" s="13" t="s">
        <v>30</v>
      </c>
      <c r="D112" s="13" t="s">
        <v>248</v>
      </c>
      <c r="E112" s="14" t="s">
        <v>345</v>
      </c>
      <c r="F112" s="14" t="s">
        <v>346</v>
      </c>
      <c r="G112" s="15">
        <v>40894.369999999995</v>
      </c>
      <c r="H112" s="15">
        <v>296.12</v>
      </c>
      <c r="I112" s="15">
        <v>12703.779999999997</v>
      </c>
      <c r="J112" s="15">
        <v>53894.27</v>
      </c>
    </row>
    <row r="113" spans="1:10" x14ac:dyDescent="0.25">
      <c r="A113" s="13" t="s">
        <v>15</v>
      </c>
      <c r="B113" s="13" t="s">
        <v>347</v>
      </c>
      <c r="C113" s="13" t="s">
        <v>21</v>
      </c>
      <c r="D113" s="13" t="s">
        <v>168</v>
      </c>
      <c r="E113" s="14" t="s">
        <v>348</v>
      </c>
      <c r="F113" s="14" t="s">
        <v>19</v>
      </c>
      <c r="G113" s="15">
        <v>43510.319999999992</v>
      </c>
      <c r="H113" s="15">
        <v>2018.9900000000002</v>
      </c>
      <c r="I113" s="15">
        <v>8275.9700000000012</v>
      </c>
      <c r="J113" s="15">
        <v>53805.280000000006</v>
      </c>
    </row>
    <row r="114" spans="1:10" x14ac:dyDescent="0.25">
      <c r="A114" s="13" t="s">
        <v>9</v>
      </c>
      <c r="B114" s="13" t="s">
        <v>349</v>
      </c>
      <c r="C114" s="13" t="s">
        <v>43</v>
      </c>
      <c r="D114" s="13" t="s">
        <v>134</v>
      </c>
      <c r="E114" s="14" t="s">
        <v>35</v>
      </c>
      <c r="F114" s="14" t="s">
        <v>350</v>
      </c>
      <c r="G114" s="15">
        <v>26644.209999999995</v>
      </c>
      <c r="H114" s="15">
        <v>22230.11</v>
      </c>
      <c r="I114" s="15">
        <v>4913.8</v>
      </c>
      <c r="J114" s="15">
        <v>53788.12</v>
      </c>
    </row>
    <row r="115" spans="1:10" x14ac:dyDescent="0.25">
      <c r="A115" s="13" t="s">
        <v>9</v>
      </c>
      <c r="B115" s="13" t="s">
        <v>351</v>
      </c>
      <c r="C115" s="13" t="s">
        <v>102</v>
      </c>
      <c r="D115" s="13" t="s">
        <v>352</v>
      </c>
      <c r="E115" s="14" t="s">
        <v>353</v>
      </c>
      <c r="F115" s="14" t="s">
        <v>354</v>
      </c>
      <c r="G115" s="15">
        <v>53686.5</v>
      </c>
      <c r="I115" s="15">
        <v>0</v>
      </c>
      <c r="J115" s="15">
        <v>53686.5</v>
      </c>
    </row>
    <row r="116" spans="1:10" x14ac:dyDescent="0.25">
      <c r="A116" s="13" t="s">
        <v>15</v>
      </c>
      <c r="B116" s="13" t="s">
        <v>355</v>
      </c>
      <c r="C116" s="13" t="s">
        <v>21</v>
      </c>
      <c r="D116" s="13" t="s">
        <v>57</v>
      </c>
      <c r="E116" s="14" t="s">
        <v>356</v>
      </c>
      <c r="F116" s="14" t="s">
        <v>19</v>
      </c>
      <c r="G116" s="15">
        <v>38296.71</v>
      </c>
      <c r="H116" s="15">
        <v>1985.5900000000001</v>
      </c>
      <c r="I116" s="15">
        <v>12361.780000000002</v>
      </c>
      <c r="J116" s="15">
        <v>52644.08</v>
      </c>
    </row>
    <row r="117" spans="1:10" x14ac:dyDescent="0.25">
      <c r="A117" s="13" t="s">
        <v>9</v>
      </c>
      <c r="B117" s="13" t="s">
        <v>357</v>
      </c>
      <c r="C117" s="13" t="s">
        <v>358</v>
      </c>
      <c r="D117" s="13" t="s">
        <v>359</v>
      </c>
      <c r="E117" s="14" t="s">
        <v>360</v>
      </c>
      <c r="F117" s="14" t="s">
        <v>361</v>
      </c>
      <c r="G117" s="15">
        <v>52638.400000000016</v>
      </c>
      <c r="I117" s="15">
        <v>0</v>
      </c>
      <c r="J117" s="15">
        <v>52638.400000000016</v>
      </c>
    </row>
    <row r="118" spans="1:10" x14ac:dyDescent="0.25">
      <c r="A118" s="13" t="s">
        <v>9</v>
      </c>
      <c r="B118" s="13" t="s">
        <v>362</v>
      </c>
      <c r="C118" s="13" t="s">
        <v>21</v>
      </c>
      <c r="D118" s="13" t="s">
        <v>168</v>
      </c>
      <c r="E118" s="14" t="s">
        <v>363</v>
      </c>
      <c r="F118" s="14" t="s">
        <v>364</v>
      </c>
      <c r="G118" s="15">
        <v>41262.629999999997</v>
      </c>
      <c r="H118" s="15">
        <v>1319.5400000000002</v>
      </c>
      <c r="I118" s="15">
        <v>9707.67</v>
      </c>
      <c r="J118" s="15">
        <v>52289.840000000011</v>
      </c>
    </row>
    <row r="119" spans="1:10" x14ac:dyDescent="0.25">
      <c r="A119" s="13" t="s">
        <v>9</v>
      </c>
      <c r="B119" s="13" t="s">
        <v>365</v>
      </c>
      <c r="C119" s="13" t="s">
        <v>30</v>
      </c>
      <c r="D119" s="13" t="s">
        <v>248</v>
      </c>
      <c r="E119" s="14" t="s">
        <v>366</v>
      </c>
      <c r="F119" s="14" t="s">
        <v>367</v>
      </c>
      <c r="G119" s="15">
        <v>39215.550000000003</v>
      </c>
      <c r="H119" s="15">
        <v>22.35</v>
      </c>
      <c r="I119" s="15">
        <v>12993.48</v>
      </c>
      <c r="J119" s="15">
        <v>52231.380000000005</v>
      </c>
    </row>
    <row r="120" spans="1:10" x14ac:dyDescent="0.25">
      <c r="A120" s="13" t="s">
        <v>9</v>
      </c>
      <c r="B120" s="13" t="s">
        <v>368</v>
      </c>
      <c r="C120" s="13" t="s">
        <v>38</v>
      </c>
      <c r="D120" s="13" t="s">
        <v>259</v>
      </c>
      <c r="E120" s="14" t="s">
        <v>369</v>
      </c>
      <c r="F120" s="14" t="s">
        <v>370</v>
      </c>
      <c r="G120" s="15">
        <v>42898.950000000004</v>
      </c>
      <c r="H120" s="15">
        <v>2303.11</v>
      </c>
      <c r="I120" s="15">
        <v>6614.4100000000008</v>
      </c>
      <c r="J120" s="15">
        <v>51816.469999999994</v>
      </c>
    </row>
    <row r="121" spans="1:10" x14ac:dyDescent="0.25">
      <c r="A121" s="13" t="s">
        <v>9</v>
      </c>
      <c r="B121" s="13" t="s">
        <v>371</v>
      </c>
      <c r="C121" s="13" t="s">
        <v>21</v>
      </c>
      <c r="D121" s="13" t="s">
        <v>57</v>
      </c>
      <c r="E121" s="14" t="s">
        <v>356</v>
      </c>
      <c r="F121" s="14" t="s">
        <v>372</v>
      </c>
      <c r="G121" s="15">
        <v>39029.269999999997</v>
      </c>
      <c r="H121" s="15">
        <v>2538.8099999999995</v>
      </c>
      <c r="I121" s="15">
        <v>10042.509999999998</v>
      </c>
      <c r="J121" s="15">
        <v>51610.590000000004</v>
      </c>
    </row>
    <row r="122" spans="1:10" x14ac:dyDescent="0.25">
      <c r="A122" s="13" t="s">
        <v>15</v>
      </c>
      <c r="B122" s="13" t="s">
        <v>373</v>
      </c>
      <c r="C122" s="13" t="s">
        <v>43</v>
      </c>
      <c r="D122" s="13" t="s">
        <v>134</v>
      </c>
      <c r="E122" s="14" t="s">
        <v>374</v>
      </c>
      <c r="F122" s="14" t="s">
        <v>19</v>
      </c>
      <c r="G122" s="15">
        <v>27823.69</v>
      </c>
      <c r="H122" s="15">
        <v>18204.5</v>
      </c>
      <c r="I122" s="15">
        <v>5524.64</v>
      </c>
      <c r="J122" s="15">
        <v>51552.830000000009</v>
      </c>
    </row>
    <row r="123" spans="1:10" x14ac:dyDescent="0.25">
      <c r="A123" s="13" t="s">
        <v>9</v>
      </c>
      <c r="B123" s="13" t="s">
        <v>375</v>
      </c>
      <c r="C123" s="13" t="s">
        <v>241</v>
      </c>
      <c r="D123" s="13" t="s">
        <v>376</v>
      </c>
      <c r="E123" s="14" t="s">
        <v>377</v>
      </c>
      <c r="F123" s="14" t="s">
        <v>378</v>
      </c>
      <c r="G123" s="15">
        <v>32515.33</v>
      </c>
      <c r="H123" s="15">
        <v>320.91999999999996</v>
      </c>
      <c r="I123" s="15">
        <v>18660.629999999997</v>
      </c>
      <c r="J123" s="15">
        <v>51496.880000000005</v>
      </c>
    </row>
    <row r="124" spans="1:10" x14ac:dyDescent="0.25">
      <c r="A124" s="13" t="s">
        <v>15</v>
      </c>
      <c r="B124" s="13" t="s">
        <v>379</v>
      </c>
      <c r="C124" s="13" t="s">
        <v>21</v>
      </c>
      <c r="D124" s="13" t="s">
        <v>168</v>
      </c>
      <c r="E124" s="14" t="s">
        <v>322</v>
      </c>
      <c r="F124" s="14" t="s">
        <v>19</v>
      </c>
      <c r="G124" s="15">
        <v>37816.15</v>
      </c>
      <c r="H124" s="15">
        <v>3591.7</v>
      </c>
      <c r="I124" s="15">
        <v>9962.83</v>
      </c>
      <c r="J124" s="15">
        <v>51370.68</v>
      </c>
    </row>
    <row r="125" spans="1:10" x14ac:dyDescent="0.25">
      <c r="A125" s="13" t="s">
        <v>15</v>
      </c>
      <c r="B125" s="13" t="s">
        <v>380</v>
      </c>
      <c r="C125" s="13" t="s">
        <v>30</v>
      </c>
      <c r="D125" s="13" t="s">
        <v>131</v>
      </c>
      <c r="E125" s="14" t="s">
        <v>381</v>
      </c>
      <c r="F125" s="14" t="s">
        <v>19</v>
      </c>
      <c r="G125" s="15">
        <v>40757.539999999994</v>
      </c>
      <c r="H125" s="15">
        <v>344.73</v>
      </c>
      <c r="I125" s="15">
        <v>10259.76</v>
      </c>
      <c r="J125" s="15">
        <v>51362.029999999992</v>
      </c>
    </row>
    <row r="126" spans="1:10" x14ac:dyDescent="0.25">
      <c r="A126" s="13" t="s">
        <v>15</v>
      </c>
      <c r="B126" s="13" t="s">
        <v>382</v>
      </c>
      <c r="C126" s="13" t="s">
        <v>21</v>
      </c>
      <c r="D126" s="13" t="s">
        <v>383</v>
      </c>
      <c r="E126" s="14" t="s">
        <v>384</v>
      </c>
      <c r="F126" s="14" t="s">
        <v>19</v>
      </c>
      <c r="G126" s="15">
        <v>34314.380000000005</v>
      </c>
      <c r="H126" s="15">
        <v>3192.2</v>
      </c>
      <c r="I126" s="15">
        <v>13806.320000000002</v>
      </c>
      <c r="J126" s="15">
        <v>51312.9</v>
      </c>
    </row>
    <row r="127" spans="1:10" x14ac:dyDescent="0.25">
      <c r="A127" s="13" t="s">
        <v>9</v>
      </c>
      <c r="B127" s="13" t="s">
        <v>385</v>
      </c>
      <c r="C127" s="13" t="s">
        <v>21</v>
      </c>
      <c r="D127" s="13" t="s">
        <v>168</v>
      </c>
      <c r="E127" s="14" t="s">
        <v>386</v>
      </c>
      <c r="F127" s="14" t="s">
        <v>387</v>
      </c>
      <c r="G127" s="15">
        <v>39280.289999999994</v>
      </c>
      <c r="H127" s="15">
        <v>1938.8899999999996</v>
      </c>
      <c r="I127" s="15">
        <v>10045.780000000001</v>
      </c>
      <c r="J127" s="15">
        <v>51264.959999999999</v>
      </c>
    </row>
    <row r="128" spans="1:10" x14ac:dyDescent="0.25">
      <c r="A128" s="13" t="s">
        <v>15</v>
      </c>
      <c r="B128" s="13" t="s">
        <v>388</v>
      </c>
      <c r="C128" s="13" t="s">
        <v>30</v>
      </c>
      <c r="D128" s="13" t="s">
        <v>248</v>
      </c>
      <c r="E128" s="14" t="s">
        <v>285</v>
      </c>
      <c r="F128" s="14" t="s">
        <v>19</v>
      </c>
      <c r="G128" s="15">
        <v>40977.090000000004</v>
      </c>
      <c r="H128" s="15">
        <v>833.96</v>
      </c>
      <c r="I128" s="15">
        <v>9433.4700000000012</v>
      </c>
      <c r="J128" s="15">
        <v>51244.520000000004</v>
      </c>
    </row>
    <row r="129" spans="1:10" x14ac:dyDescent="0.25">
      <c r="A129" s="13" t="s">
        <v>9</v>
      </c>
      <c r="B129" s="13" t="s">
        <v>389</v>
      </c>
      <c r="C129" s="13" t="s">
        <v>43</v>
      </c>
      <c r="D129" s="13" t="s">
        <v>134</v>
      </c>
      <c r="E129" s="14" t="s">
        <v>35</v>
      </c>
      <c r="F129" s="14" t="s">
        <v>390</v>
      </c>
      <c r="G129" s="15">
        <v>36835.80999999999</v>
      </c>
      <c r="H129" s="15">
        <v>5982.58</v>
      </c>
      <c r="I129" s="15">
        <v>8269.6600000000017</v>
      </c>
      <c r="J129" s="15">
        <v>51088.05</v>
      </c>
    </row>
    <row r="130" spans="1:10" x14ac:dyDescent="0.25">
      <c r="A130" s="13" t="s">
        <v>9</v>
      </c>
      <c r="B130" s="13" t="s">
        <v>391</v>
      </c>
      <c r="C130" s="13" t="s">
        <v>43</v>
      </c>
      <c r="D130" s="13" t="s">
        <v>134</v>
      </c>
      <c r="E130" s="14" t="s">
        <v>392</v>
      </c>
      <c r="F130" s="14" t="s">
        <v>393</v>
      </c>
      <c r="G130" s="15">
        <v>37201.910000000003</v>
      </c>
      <c r="H130" s="15">
        <v>7261.6400000000012</v>
      </c>
      <c r="I130" s="15">
        <v>6618.24</v>
      </c>
      <c r="J130" s="15">
        <v>51081.79</v>
      </c>
    </row>
    <row r="131" spans="1:10" x14ac:dyDescent="0.25">
      <c r="A131" s="13" t="s">
        <v>15</v>
      </c>
      <c r="B131" s="13" t="s">
        <v>394</v>
      </c>
      <c r="C131" s="13" t="s">
        <v>188</v>
      </c>
      <c r="D131" s="13" t="s">
        <v>395</v>
      </c>
      <c r="E131" s="14" t="s">
        <v>396</v>
      </c>
      <c r="F131" s="14" t="s">
        <v>19</v>
      </c>
      <c r="G131" s="15">
        <v>39835.220000000008</v>
      </c>
      <c r="H131" s="15">
        <v>974.74</v>
      </c>
      <c r="I131" s="15">
        <v>10236.030000000001</v>
      </c>
      <c r="J131" s="15">
        <v>51045.99</v>
      </c>
    </row>
    <row r="132" spans="1:10" x14ac:dyDescent="0.25">
      <c r="A132" s="13" t="s">
        <v>15</v>
      </c>
      <c r="B132" s="13" t="s">
        <v>397</v>
      </c>
      <c r="C132" s="13" t="s">
        <v>30</v>
      </c>
      <c r="D132" s="13" t="s">
        <v>131</v>
      </c>
      <c r="E132" s="14" t="s">
        <v>398</v>
      </c>
      <c r="F132" s="14" t="s">
        <v>19</v>
      </c>
      <c r="G132" s="15">
        <v>41573.939999999995</v>
      </c>
      <c r="H132" s="15">
        <v>325.20999999999998</v>
      </c>
      <c r="I132" s="15">
        <v>9131.9499999999989</v>
      </c>
      <c r="J132" s="15">
        <v>51031.099999999991</v>
      </c>
    </row>
    <row r="133" spans="1:10" x14ac:dyDescent="0.25">
      <c r="A133" s="13" t="s">
        <v>15</v>
      </c>
      <c r="B133" s="13" t="s">
        <v>399</v>
      </c>
      <c r="C133" s="13" t="s">
        <v>43</v>
      </c>
      <c r="D133" s="13" t="s">
        <v>79</v>
      </c>
      <c r="E133" s="14" t="s">
        <v>400</v>
      </c>
      <c r="F133" s="14" t="s">
        <v>19</v>
      </c>
      <c r="G133" s="15">
        <v>25711.48</v>
      </c>
      <c r="H133" s="15">
        <v>21623.87</v>
      </c>
      <c r="I133" s="15">
        <v>3540.4700000000003</v>
      </c>
      <c r="J133" s="15">
        <v>50875.82</v>
      </c>
    </row>
    <row r="134" spans="1:10" x14ac:dyDescent="0.25">
      <c r="A134" s="13" t="s">
        <v>15</v>
      </c>
      <c r="B134" s="13" t="s">
        <v>401</v>
      </c>
      <c r="C134" s="13" t="s">
        <v>30</v>
      </c>
      <c r="D134" s="13" t="s">
        <v>131</v>
      </c>
      <c r="E134" s="14" t="s">
        <v>402</v>
      </c>
      <c r="F134" s="14" t="s">
        <v>19</v>
      </c>
      <c r="G134" s="15">
        <v>43155.900000000009</v>
      </c>
      <c r="H134" s="15">
        <v>301.79000000000002</v>
      </c>
      <c r="I134" s="15">
        <v>6758.21</v>
      </c>
      <c r="J134" s="15">
        <v>50215.899999999994</v>
      </c>
    </row>
    <row r="135" spans="1:10" x14ac:dyDescent="0.25">
      <c r="A135" s="13" t="s">
        <v>9</v>
      </c>
      <c r="B135" s="13" t="s">
        <v>403</v>
      </c>
      <c r="C135" s="13" t="s">
        <v>43</v>
      </c>
      <c r="D135" s="13" t="s">
        <v>134</v>
      </c>
      <c r="E135" s="14" t="s">
        <v>228</v>
      </c>
      <c r="F135" s="14" t="s">
        <v>404</v>
      </c>
      <c r="G135" s="15">
        <v>22073.620000000003</v>
      </c>
      <c r="H135" s="15">
        <v>16213.04</v>
      </c>
      <c r="I135" s="15">
        <v>11846.25</v>
      </c>
      <c r="J135" s="15">
        <v>50132.909999999996</v>
      </c>
    </row>
    <row r="136" spans="1:10" x14ac:dyDescent="0.25">
      <c r="A136" s="13" t="s">
        <v>15</v>
      </c>
      <c r="B136" s="13" t="s">
        <v>405</v>
      </c>
      <c r="C136" s="13" t="s">
        <v>43</v>
      </c>
      <c r="D136" s="13" t="s">
        <v>134</v>
      </c>
      <c r="E136" s="14" t="s">
        <v>281</v>
      </c>
      <c r="F136" s="14" t="s">
        <v>19</v>
      </c>
      <c r="G136" s="15">
        <v>32603.430000000004</v>
      </c>
      <c r="H136" s="15">
        <v>6073.32</v>
      </c>
      <c r="I136" s="15">
        <v>11453.45</v>
      </c>
      <c r="J136" s="15">
        <v>50130.200000000004</v>
      </c>
    </row>
    <row r="137" spans="1:10" x14ac:dyDescent="0.25">
      <c r="A137" s="13" t="s">
        <v>15</v>
      </c>
      <c r="B137" s="13" t="s">
        <v>406</v>
      </c>
      <c r="C137" s="13" t="s">
        <v>178</v>
      </c>
      <c r="D137" s="13" t="s">
        <v>179</v>
      </c>
      <c r="E137" s="14" t="s">
        <v>407</v>
      </c>
      <c r="F137" s="14" t="s">
        <v>19</v>
      </c>
      <c r="G137" s="15">
        <v>49504.800000000003</v>
      </c>
      <c r="I137" s="15">
        <v>0</v>
      </c>
      <c r="J137" s="15">
        <v>49504.800000000003</v>
      </c>
    </row>
    <row r="138" spans="1:10" x14ac:dyDescent="0.25">
      <c r="A138" s="13" t="s">
        <v>15</v>
      </c>
      <c r="B138" s="13" t="s">
        <v>408</v>
      </c>
      <c r="C138" s="13" t="s">
        <v>30</v>
      </c>
      <c r="D138" s="13" t="s">
        <v>131</v>
      </c>
      <c r="E138" s="14" t="s">
        <v>409</v>
      </c>
      <c r="F138" s="14" t="s">
        <v>19</v>
      </c>
      <c r="G138" s="15">
        <v>40625.15</v>
      </c>
      <c r="H138" s="15">
        <v>318.99</v>
      </c>
      <c r="I138" s="15">
        <v>8354.48</v>
      </c>
      <c r="J138" s="15">
        <v>49298.62000000001</v>
      </c>
    </row>
    <row r="139" spans="1:10" x14ac:dyDescent="0.25">
      <c r="A139" s="13" t="s">
        <v>15</v>
      </c>
      <c r="B139" s="13" t="s">
        <v>410</v>
      </c>
      <c r="C139" s="13" t="s">
        <v>102</v>
      </c>
      <c r="D139" s="13" t="s">
        <v>411</v>
      </c>
      <c r="E139" s="14" t="s">
        <v>412</v>
      </c>
      <c r="F139" s="14" t="s">
        <v>19</v>
      </c>
      <c r="G139" s="15">
        <v>42225.899999999994</v>
      </c>
      <c r="H139" s="15">
        <v>199.49</v>
      </c>
      <c r="I139" s="15">
        <v>6789.21</v>
      </c>
      <c r="J139" s="15">
        <v>49214.6</v>
      </c>
    </row>
    <row r="140" spans="1:10" x14ac:dyDescent="0.25">
      <c r="A140" s="13" t="s">
        <v>15</v>
      </c>
      <c r="B140" s="13" t="s">
        <v>413</v>
      </c>
      <c r="C140" s="13" t="s">
        <v>241</v>
      </c>
      <c r="D140" s="13" t="s">
        <v>414</v>
      </c>
      <c r="E140" s="14" t="s">
        <v>415</v>
      </c>
      <c r="F140" s="14" t="s">
        <v>19</v>
      </c>
      <c r="G140" s="15">
        <v>48067.200000000019</v>
      </c>
      <c r="I140" s="15">
        <v>969.35999999999967</v>
      </c>
      <c r="J140" s="15">
        <v>49036.560000000005</v>
      </c>
    </row>
    <row r="141" spans="1:10" x14ac:dyDescent="0.25">
      <c r="A141" s="13" t="s">
        <v>9</v>
      </c>
      <c r="B141" s="13" t="s">
        <v>416</v>
      </c>
      <c r="C141" s="13" t="s">
        <v>21</v>
      </c>
      <c r="D141" s="13" t="s">
        <v>168</v>
      </c>
      <c r="E141" s="14" t="s">
        <v>80</v>
      </c>
      <c r="F141" s="14" t="s">
        <v>417</v>
      </c>
      <c r="G141" s="15">
        <v>36179.31</v>
      </c>
      <c r="H141" s="15">
        <v>564.24</v>
      </c>
      <c r="I141" s="15">
        <v>12237.960000000003</v>
      </c>
      <c r="J141" s="15">
        <v>48981.51</v>
      </c>
    </row>
    <row r="142" spans="1:10" x14ac:dyDescent="0.25">
      <c r="A142" s="13" t="s">
        <v>15</v>
      </c>
      <c r="B142" s="13" t="s">
        <v>418</v>
      </c>
      <c r="C142" s="13" t="s">
        <v>30</v>
      </c>
      <c r="D142" s="13" t="s">
        <v>131</v>
      </c>
      <c r="E142" s="14" t="s">
        <v>285</v>
      </c>
      <c r="F142" s="14" t="s">
        <v>19</v>
      </c>
      <c r="G142" s="15">
        <v>38485.270000000004</v>
      </c>
      <c r="H142" s="15">
        <v>307.8</v>
      </c>
      <c r="I142" s="15">
        <v>9996.989999999998</v>
      </c>
      <c r="J142" s="15">
        <v>48790.060000000005</v>
      </c>
    </row>
    <row r="143" spans="1:10" x14ac:dyDescent="0.25">
      <c r="A143" s="13" t="s">
        <v>15</v>
      </c>
      <c r="B143" s="13" t="s">
        <v>419</v>
      </c>
      <c r="C143" s="13" t="s">
        <v>188</v>
      </c>
      <c r="D143" s="13" t="s">
        <v>420</v>
      </c>
      <c r="E143" s="14" t="s">
        <v>421</v>
      </c>
      <c r="F143" s="14" t="s">
        <v>19</v>
      </c>
      <c r="G143" s="15">
        <v>48067.200000000019</v>
      </c>
      <c r="I143" s="15">
        <v>600.07999999999993</v>
      </c>
      <c r="J143" s="15">
        <v>48667.279999999984</v>
      </c>
    </row>
    <row r="144" spans="1:10" x14ac:dyDescent="0.25">
      <c r="A144" s="13" t="s">
        <v>15</v>
      </c>
      <c r="B144" s="13" t="s">
        <v>422</v>
      </c>
      <c r="C144" s="13" t="s">
        <v>30</v>
      </c>
      <c r="D144" s="13" t="s">
        <v>47</v>
      </c>
      <c r="E144" s="14" t="s">
        <v>423</v>
      </c>
      <c r="F144" s="14" t="s">
        <v>19</v>
      </c>
      <c r="G144" s="15">
        <v>39300.86</v>
      </c>
      <c r="H144" s="15">
        <v>328.21999999999997</v>
      </c>
      <c r="I144" s="15">
        <v>9023.8499999999985</v>
      </c>
      <c r="J144" s="15">
        <v>48652.929999999993</v>
      </c>
    </row>
    <row r="145" spans="1:10" x14ac:dyDescent="0.25">
      <c r="A145" s="13" t="s">
        <v>15</v>
      </c>
      <c r="B145" s="13" t="s">
        <v>424</v>
      </c>
      <c r="C145" s="13" t="s">
        <v>21</v>
      </c>
      <c r="D145" s="13" t="s">
        <v>168</v>
      </c>
      <c r="E145" s="14" t="s">
        <v>360</v>
      </c>
      <c r="F145" s="14" t="s">
        <v>19</v>
      </c>
      <c r="G145" s="15">
        <v>40070.30000000001</v>
      </c>
      <c r="H145" s="15">
        <v>3460.6699999999996</v>
      </c>
      <c r="I145" s="15">
        <v>4961.0099999999993</v>
      </c>
      <c r="J145" s="15">
        <v>48491.98</v>
      </c>
    </row>
    <row r="146" spans="1:10" x14ac:dyDescent="0.25">
      <c r="A146" s="13" t="s">
        <v>9</v>
      </c>
      <c r="B146" s="13" t="s">
        <v>425</v>
      </c>
      <c r="C146" s="13" t="s">
        <v>21</v>
      </c>
      <c r="D146" s="13" t="s">
        <v>168</v>
      </c>
      <c r="E146" s="14" t="s">
        <v>426</v>
      </c>
      <c r="F146" s="14" t="s">
        <v>41</v>
      </c>
      <c r="G146" s="15">
        <v>38374.1</v>
      </c>
      <c r="H146" s="15">
        <v>3962.42</v>
      </c>
      <c r="I146" s="15">
        <v>6119.0000000000009</v>
      </c>
      <c r="J146" s="15">
        <v>48455.520000000004</v>
      </c>
    </row>
    <row r="147" spans="1:10" x14ac:dyDescent="0.25">
      <c r="A147" s="13" t="s">
        <v>9</v>
      </c>
      <c r="B147" s="13" t="s">
        <v>427</v>
      </c>
      <c r="C147" s="13" t="s">
        <v>21</v>
      </c>
      <c r="D147" s="13" t="s">
        <v>168</v>
      </c>
      <c r="E147" s="14" t="s">
        <v>428</v>
      </c>
      <c r="F147" s="14" t="s">
        <v>429</v>
      </c>
      <c r="G147" s="15">
        <v>38631.479999999996</v>
      </c>
      <c r="H147" s="15">
        <v>3523.0800000000004</v>
      </c>
      <c r="I147" s="15">
        <v>6049.3600000000006</v>
      </c>
      <c r="J147" s="15">
        <v>48203.92</v>
      </c>
    </row>
    <row r="148" spans="1:10" x14ac:dyDescent="0.25">
      <c r="A148" s="13" t="s">
        <v>9</v>
      </c>
      <c r="B148" s="13" t="s">
        <v>430</v>
      </c>
      <c r="C148" s="13" t="s">
        <v>21</v>
      </c>
      <c r="D148" s="13" t="s">
        <v>210</v>
      </c>
      <c r="E148" s="14" t="s">
        <v>431</v>
      </c>
      <c r="F148" s="14" t="s">
        <v>432</v>
      </c>
      <c r="G148" s="15">
        <v>34586.18</v>
      </c>
      <c r="H148" s="15">
        <v>2538.4500000000003</v>
      </c>
      <c r="I148" s="15">
        <v>11064</v>
      </c>
      <c r="J148" s="15">
        <v>48188.62999999999</v>
      </c>
    </row>
    <row r="149" spans="1:10" x14ac:dyDescent="0.25">
      <c r="A149" s="13" t="s">
        <v>15</v>
      </c>
      <c r="B149" s="13" t="s">
        <v>433</v>
      </c>
      <c r="C149" s="13" t="s">
        <v>178</v>
      </c>
      <c r="D149" s="13" t="s">
        <v>434</v>
      </c>
      <c r="E149" s="14" t="s">
        <v>291</v>
      </c>
      <c r="F149" s="14" t="s">
        <v>19</v>
      </c>
      <c r="G149" s="15">
        <v>48067.200000000019</v>
      </c>
      <c r="I149" s="15">
        <v>0</v>
      </c>
      <c r="J149" s="15">
        <v>48067.200000000019</v>
      </c>
    </row>
    <row r="150" spans="1:10" x14ac:dyDescent="0.25">
      <c r="A150" s="13" t="s">
        <v>15</v>
      </c>
      <c r="B150" s="13" t="s">
        <v>435</v>
      </c>
      <c r="C150" s="13" t="s">
        <v>68</v>
      </c>
      <c r="D150" s="13" t="s">
        <v>436</v>
      </c>
      <c r="E150" s="14" t="s">
        <v>437</v>
      </c>
      <c r="F150" s="14" t="s">
        <v>19</v>
      </c>
      <c r="G150" s="15">
        <v>36935.379999999997</v>
      </c>
      <c r="H150" s="15">
        <v>3084.92</v>
      </c>
      <c r="I150" s="15">
        <v>8014.5500000000011</v>
      </c>
      <c r="J150" s="15">
        <v>48034.849999999991</v>
      </c>
    </row>
    <row r="151" spans="1:10" x14ac:dyDescent="0.25">
      <c r="A151" s="13" t="s">
        <v>15</v>
      </c>
      <c r="B151" s="13" t="s">
        <v>438</v>
      </c>
      <c r="C151" s="13" t="s">
        <v>21</v>
      </c>
      <c r="D151" s="13" t="s">
        <v>439</v>
      </c>
      <c r="E151" s="14" t="s">
        <v>276</v>
      </c>
      <c r="F151" s="14" t="s">
        <v>19</v>
      </c>
      <c r="G151" s="15">
        <v>35790.999999999993</v>
      </c>
      <c r="H151" s="15">
        <v>2066.19</v>
      </c>
      <c r="I151" s="15">
        <v>10139.599999999999</v>
      </c>
      <c r="J151" s="15">
        <v>47996.789999999994</v>
      </c>
    </row>
    <row r="152" spans="1:10" x14ac:dyDescent="0.25">
      <c r="A152" s="13" t="s">
        <v>9</v>
      </c>
      <c r="B152" s="13" t="s">
        <v>440</v>
      </c>
      <c r="C152" s="13" t="s">
        <v>21</v>
      </c>
      <c r="D152" s="13" t="s">
        <v>168</v>
      </c>
      <c r="E152" s="14" t="s">
        <v>441</v>
      </c>
      <c r="F152" s="14" t="s">
        <v>212</v>
      </c>
      <c r="G152" s="15">
        <v>37080.990000000005</v>
      </c>
      <c r="H152" s="15">
        <v>557.5</v>
      </c>
      <c r="I152" s="15">
        <v>10286.049999999999</v>
      </c>
      <c r="J152" s="15">
        <v>47924.54</v>
      </c>
    </row>
    <row r="153" spans="1:10" x14ac:dyDescent="0.25">
      <c r="A153" s="13" t="s">
        <v>9</v>
      </c>
      <c r="B153" s="13" t="s">
        <v>442</v>
      </c>
      <c r="C153" s="13" t="s">
        <v>21</v>
      </c>
      <c r="D153" s="13" t="s">
        <v>443</v>
      </c>
      <c r="E153" s="14" t="s">
        <v>312</v>
      </c>
      <c r="F153" s="14" t="s">
        <v>55</v>
      </c>
      <c r="G153" s="15">
        <v>40551.42</v>
      </c>
      <c r="H153" s="15">
        <v>1273.95</v>
      </c>
      <c r="I153" s="15">
        <v>6087.53</v>
      </c>
      <c r="J153" s="15">
        <v>47912.899999999987</v>
      </c>
    </row>
    <row r="154" spans="1:10" x14ac:dyDescent="0.25">
      <c r="A154" s="13" t="s">
        <v>15</v>
      </c>
      <c r="B154" s="13" t="s">
        <v>444</v>
      </c>
      <c r="C154" s="13" t="s">
        <v>21</v>
      </c>
      <c r="D154" s="13" t="s">
        <v>445</v>
      </c>
      <c r="E154" s="14" t="s">
        <v>446</v>
      </c>
      <c r="F154" s="14" t="s">
        <v>19</v>
      </c>
      <c r="G154" s="15">
        <v>36040.29</v>
      </c>
      <c r="H154" s="15">
        <v>3987.04</v>
      </c>
      <c r="I154" s="15">
        <v>7883.0599999999995</v>
      </c>
      <c r="J154" s="15">
        <v>47910.39</v>
      </c>
    </row>
    <row r="155" spans="1:10" x14ac:dyDescent="0.25">
      <c r="A155" s="13" t="s">
        <v>15</v>
      </c>
      <c r="B155" s="13" t="s">
        <v>447</v>
      </c>
      <c r="C155" s="13" t="s">
        <v>30</v>
      </c>
      <c r="D155" s="13" t="s">
        <v>248</v>
      </c>
      <c r="E155" s="14" t="s">
        <v>448</v>
      </c>
      <c r="F155" s="14" t="s">
        <v>19</v>
      </c>
      <c r="G155" s="15">
        <v>39714.889999999992</v>
      </c>
      <c r="H155" s="15">
        <v>289.98</v>
      </c>
      <c r="I155" s="15">
        <v>7805.31</v>
      </c>
      <c r="J155" s="15">
        <v>47810.179999999993</v>
      </c>
    </row>
    <row r="156" spans="1:10" x14ac:dyDescent="0.25">
      <c r="A156" s="13" t="s">
        <v>15</v>
      </c>
      <c r="B156" s="13" t="s">
        <v>449</v>
      </c>
      <c r="C156" s="13" t="s">
        <v>21</v>
      </c>
      <c r="D156" s="13" t="s">
        <v>168</v>
      </c>
      <c r="E156" s="14" t="s">
        <v>450</v>
      </c>
      <c r="F156" s="14" t="s">
        <v>19</v>
      </c>
      <c r="G156" s="15">
        <v>36746.529999999992</v>
      </c>
      <c r="H156" s="15">
        <v>4672.17</v>
      </c>
      <c r="I156" s="15">
        <v>6269.4100000000017</v>
      </c>
      <c r="J156" s="15">
        <v>47688.11</v>
      </c>
    </row>
    <row r="157" spans="1:10" x14ac:dyDescent="0.25">
      <c r="A157" s="13" t="s">
        <v>9</v>
      </c>
      <c r="B157" s="13" t="s">
        <v>451</v>
      </c>
      <c r="C157" s="13" t="s">
        <v>83</v>
      </c>
      <c r="D157" s="13" t="s">
        <v>452</v>
      </c>
      <c r="E157" s="14" t="s">
        <v>453</v>
      </c>
      <c r="F157" s="14" t="s">
        <v>454</v>
      </c>
      <c r="G157" s="15">
        <v>47583.200000000019</v>
      </c>
      <c r="I157" s="15">
        <v>0</v>
      </c>
      <c r="J157" s="15">
        <v>47583.200000000019</v>
      </c>
    </row>
    <row r="158" spans="1:10" x14ac:dyDescent="0.25">
      <c r="A158" s="13" t="s">
        <v>15</v>
      </c>
      <c r="B158" s="13" t="s">
        <v>455</v>
      </c>
      <c r="C158" s="13" t="s">
        <v>43</v>
      </c>
      <c r="D158" s="13" t="s">
        <v>134</v>
      </c>
      <c r="E158" s="14" t="s">
        <v>456</v>
      </c>
      <c r="F158" s="14" t="s">
        <v>19</v>
      </c>
      <c r="G158" s="15">
        <v>33604.259999999995</v>
      </c>
      <c r="H158" s="15">
        <v>7630.85</v>
      </c>
      <c r="I158" s="15">
        <v>6252.369999999999</v>
      </c>
      <c r="J158" s="15">
        <v>47487.48000000001</v>
      </c>
    </row>
    <row r="159" spans="1:10" x14ac:dyDescent="0.25">
      <c r="A159" s="13" t="s">
        <v>15</v>
      </c>
      <c r="B159" s="13" t="s">
        <v>457</v>
      </c>
      <c r="C159" s="13" t="s">
        <v>21</v>
      </c>
      <c r="D159" s="13" t="s">
        <v>168</v>
      </c>
      <c r="E159" s="14" t="s">
        <v>356</v>
      </c>
      <c r="F159" s="14" t="s">
        <v>19</v>
      </c>
      <c r="G159" s="15">
        <v>36720.87999999999</v>
      </c>
      <c r="H159" s="15">
        <v>3667.5099999999998</v>
      </c>
      <c r="I159" s="15">
        <v>6654.800000000002</v>
      </c>
      <c r="J159" s="15">
        <v>47043.189999999995</v>
      </c>
    </row>
    <row r="160" spans="1:10" x14ac:dyDescent="0.25">
      <c r="A160" s="13" t="s">
        <v>15</v>
      </c>
      <c r="B160" s="13" t="s">
        <v>458</v>
      </c>
      <c r="C160" s="13" t="s">
        <v>43</v>
      </c>
      <c r="D160" s="13" t="s">
        <v>137</v>
      </c>
      <c r="E160" s="14" t="s">
        <v>400</v>
      </c>
      <c r="F160" s="14" t="s">
        <v>19</v>
      </c>
      <c r="G160" s="15">
        <v>25285.57</v>
      </c>
      <c r="H160" s="15">
        <v>18502.53</v>
      </c>
      <c r="I160" s="15">
        <v>3087.77</v>
      </c>
      <c r="J160" s="15">
        <v>46875.87</v>
      </c>
    </row>
    <row r="161" spans="1:10" x14ac:dyDescent="0.25">
      <c r="A161" s="13" t="s">
        <v>9</v>
      </c>
      <c r="B161" s="13" t="s">
        <v>459</v>
      </c>
      <c r="C161" s="13" t="s">
        <v>21</v>
      </c>
      <c r="D161" s="13" t="s">
        <v>460</v>
      </c>
      <c r="E161" s="14" t="s">
        <v>461</v>
      </c>
      <c r="F161" s="14" t="s">
        <v>462</v>
      </c>
      <c r="G161" s="15">
        <v>36744.51</v>
      </c>
      <c r="H161" s="15">
        <v>1554.2199999999998</v>
      </c>
      <c r="I161" s="15">
        <v>8456.52</v>
      </c>
      <c r="J161" s="15">
        <v>46755.250000000007</v>
      </c>
    </row>
    <row r="162" spans="1:10" x14ac:dyDescent="0.25">
      <c r="A162" s="13" t="s">
        <v>15</v>
      </c>
      <c r="B162" s="13" t="s">
        <v>463</v>
      </c>
      <c r="C162" s="13" t="s">
        <v>206</v>
      </c>
      <c r="D162" s="13" t="s">
        <v>464</v>
      </c>
      <c r="E162" s="14" t="s">
        <v>353</v>
      </c>
      <c r="F162" s="14" t="s">
        <v>19</v>
      </c>
      <c r="G162" s="15">
        <v>45309.439999999981</v>
      </c>
      <c r="I162" s="15">
        <v>1439.5599999999995</v>
      </c>
      <c r="J162" s="15">
        <v>46749</v>
      </c>
    </row>
    <row r="163" spans="1:10" x14ac:dyDescent="0.25">
      <c r="A163" s="13" t="s">
        <v>9</v>
      </c>
      <c r="B163" s="13" t="s">
        <v>465</v>
      </c>
      <c r="C163" s="13" t="s">
        <v>83</v>
      </c>
      <c r="D163" s="13" t="s">
        <v>466</v>
      </c>
      <c r="E163" s="14" t="s">
        <v>148</v>
      </c>
      <c r="F163" s="14" t="s">
        <v>467</v>
      </c>
      <c r="G163" s="15">
        <v>46687.19999999999</v>
      </c>
      <c r="I163" s="15">
        <v>0</v>
      </c>
      <c r="J163" s="15">
        <v>46687.19999999999</v>
      </c>
    </row>
    <row r="164" spans="1:10" x14ac:dyDescent="0.25">
      <c r="A164" s="13" t="s">
        <v>15</v>
      </c>
      <c r="B164" s="13" t="s">
        <v>468</v>
      </c>
      <c r="C164" s="13" t="s">
        <v>21</v>
      </c>
      <c r="D164" s="13" t="s">
        <v>168</v>
      </c>
      <c r="E164" s="14" t="s">
        <v>288</v>
      </c>
      <c r="F164" s="14" t="s">
        <v>19</v>
      </c>
      <c r="G164" s="15">
        <v>36637.760000000002</v>
      </c>
      <c r="H164" s="15">
        <v>2875.1000000000004</v>
      </c>
      <c r="I164" s="15">
        <v>6509.36</v>
      </c>
      <c r="J164" s="15">
        <v>46022.220000000008</v>
      </c>
    </row>
    <row r="165" spans="1:10" x14ac:dyDescent="0.25">
      <c r="A165" s="13" t="s">
        <v>15</v>
      </c>
      <c r="B165" s="13" t="s">
        <v>469</v>
      </c>
      <c r="C165" s="13" t="s">
        <v>358</v>
      </c>
      <c r="D165" s="13" t="s">
        <v>470</v>
      </c>
      <c r="E165" s="14" t="s">
        <v>193</v>
      </c>
      <c r="F165" s="14" t="s">
        <v>19</v>
      </c>
      <c r="G165" s="15">
        <v>38239.31</v>
      </c>
      <c r="I165" s="15">
        <v>7710.6200000000008</v>
      </c>
      <c r="J165" s="15">
        <v>45949.93</v>
      </c>
    </row>
    <row r="166" spans="1:10" x14ac:dyDescent="0.25">
      <c r="A166" s="13" t="s">
        <v>15</v>
      </c>
      <c r="B166" s="13" t="s">
        <v>471</v>
      </c>
      <c r="C166" s="13" t="s">
        <v>43</v>
      </c>
      <c r="D166" s="13" t="s">
        <v>472</v>
      </c>
      <c r="E166" s="14" t="s">
        <v>473</v>
      </c>
      <c r="F166" s="14" t="s">
        <v>19</v>
      </c>
      <c r="G166" s="15">
        <v>30885.499999999993</v>
      </c>
      <c r="H166" s="15">
        <v>7854.22</v>
      </c>
      <c r="I166" s="15">
        <v>7189.21</v>
      </c>
      <c r="J166" s="15">
        <v>45928.93</v>
      </c>
    </row>
    <row r="167" spans="1:10" x14ac:dyDescent="0.25">
      <c r="A167" s="13" t="s">
        <v>15</v>
      </c>
      <c r="B167" s="13" t="s">
        <v>474</v>
      </c>
      <c r="C167" s="13" t="s">
        <v>21</v>
      </c>
      <c r="D167" s="13" t="s">
        <v>168</v>
      </c>
      <c r="E167" s="14" t="s">
        <v>475</v>
      </c>
      <c r="F167" s="14" t="s">
        <v>19</v>
      </c>
      <c r="G167" s="15">
        <v>36859.719999999994</v>
      </c>
      <c r="H167" s="15">
        <v>1420.3</v>
      </c>
      <c r="I167" s="15">
        <v>7608.6599999999989</v>
      </c>
      <c r="J167" s="15">
        <v>45888.680000000008</v>
      </c>
    </row>
    <row r="168" spans="1:10" x14ac:dyDescent="0.25">
      <c r="A168" s="13" t="s">
        <v>9</v>
      </c>
      <c r="B168" s="13" t="s">
        <v>476</v>
      </c>
      <c r="C168" s="13" t="s">
        <v>477</v>
      </c>
      <c r="D168" s="13" t="s">
        <v>478</v>
      </c>
      <c r="E168" s="14" t="s">
        <v>479</v>
      </c>
      <c r="F168" s="14" t="s">
        <v>480</v>
      </c>
      <c r="G168" s="15">
        <v>45787.19999999999</v>
      </c>
      <c r="I168" s="15">
        <v>0</v>
      </c>
      <c r="J168" s="15">
        <v>45787.19999999999</v>
      </c>
    </row>
    <row r="169" spans="1:10" x14ac:dyDescent="0.25">
      <c r="A169" s="13" t="s">
        <v>15</v>
      </c>
      <c r="B169" s="13" t="s">
        <v>481</v>
      </c>
      <c r="C169" s="13" t="s">
        <v>21</v>
      </c>
      <c r="D169" s="13" t="s">
        <v>168</v>
      </c>
      <c r="E169" s="14" t="s">
        <v>482</v>
      </c>
      <c r="F169" s="14" t="s">
        <v>19</v>
      </c>
      <c r="G169" s="15">
        <v>36236.810000000005</v>
      </c>
      <c r="H169" s="15">
        <v>1890.7399999999998</v>
      </c>
      <c r="I169" s="15">
        <v>7594.86</v>
      </c>
      <c r="J169" s="15">
        <v>45722.409999999996</v>
      </c>
    </row>
    <row r="170" spans="1:10" x14ac:dyDescent="0.25">
      <c r="A170" s="13" t="s">
        <v>9</v>
      </c>
      <c r="B170" s="13" t="s">
        <v>483</v>
      </c>
      <c r="C170" s="13" t="s">
        <v>21</v>
      </c>
      <c r="D170" s="13" t="s">
        <v>484</v>
      </c>
      <c r="E170" s="14" t="s">
        <v>485</v>
      </c>
      <c r="F170" s="14" t="s">
        <v>486</v>
      </c>
      <c r="G170" s="15">
        <v>45296.799999999981</v>
      </c>
      <c r="I170" s="15">
        <v>336</v>
      </c>
      <c r="J170" s="15">
        <v>45632.799999999981</v>
      </c>
    </row>
    <row r="171" spans="1:10" x14ac:dyDescent="0.25">
      <c r="A171" s="13" t="s">
        <v>487</v>
      </c>
      <c r="B171" s="13" t="s">
        <v>488</v>
      </c>
      <c r="C171" s="13" t="s">
        <v>38</v>
      </c>
      <c r="D171" s="13" t="s">
        <v>489</v>
      </c>
      <c r="E171" s="14" t="s">
        <v>490</v>
      </c>
      <c r="F171" s="14" t="s">
        <v>491</v>
      </c>
      <c r="G171" s="15">
        <v>26376.450000000004</v>
      </c>
      <c r="H171" s="15">
        <v>8714.26</v>
      </c>
      <c r="I171" s="15">
        <v>10318.700000000001</v>
      </c>
      <c r="J171" s="15">
        <v>45409.41</v>
      </c>
    </row>
    <row r="172" spans="1:10" x14ac:dyDescent="0.25">
      <c r="A172" s="13" t="s">
        <v>15</v>
      </c>
      <c r="B172" s="13" t="s">
        <v>492</v>
      </c>
      <c r="C172" s="13" t="s">
        <v>21</v>
      </c>
      <c r="D172" s="13" t="s">
        <v>168</v>
      </c>
      <c r="E172" s="14" t="s">
        <v>493</v>
      </c>
      <c r="F172" s="14" t="s">
        <v>19</v>
      </c>
      <c r="G172" s="15">
        <v>35283.950000000004</v>
      </c>
      <c r="H172" s="15">
        <v>3016.1499999999996</v>
      </c>
      <c r="I172" s="15">
        <v>7105.88</v>
      </c>
      <c r="J172" s="15">
        <v>45405.98000000001</v>
      </c>
    </row>
    <row r="173" spans="1:10" x14ac:dyDescent="0.25">
      <c r="A173" s="13" t="s">
        <v>15</v>
      </c>
      <c r="B173" s="13" t="s">
        <v>494</v>
      </c>
      <c r="C173" s="13" t="s">
        <v>43</v>
      </c>
      <c r="D173" s="13" t="s">
        <v>134</v>
      </c>
      <c r="E173" s="14" t="s">
        <v>473</v>
      </c>
      <c r="F173" s="14" t="s">
        <v>19</v>
      </c>
      <c r="G173" s="15">
        <v>24818.959999999995</v>
      </c>
      <c r="H173" s="15">
        <v>14791.31</v>
      </c>
      <c r="I173" s="15">
        <v>5635.18</v>
      </c>
      <c r="J173" s="15">
        <v>45245.450000000012</v>
      </c>
    </row>
    <row r="174" spans="1:10" x14ac:dyDescent="0.25">
      <c r="A174" s="13" t="s">
        <v>15</v>
      </c>
      <c r="B174" s="13" t="s">
        <v>495</v>
      </c>
      <c r="C174" s="13" t="s">
        <v>38</v>
      </c>
      <c r="D174" s="13" t="s">
        <v>496</v>
      </c>
      <c r="E174" s="14" t="s">
        <v>497</v>
      </c>
      <c r="F174" s="14" t="s">
        <v>19</v>
      </c>
      <c r="G174" s="15">
        <v>40393.12999999999</v>
      </c>
      <c r="H174" s="15">
        <v>292.77000000000004</v>
      </c>
      <c r="I174" s="15">
        <v>4500.74</v>
      </c>
      <c r="J174" s="15">
        <v>45186.64</v>
      </c>
    </row>
    <row r="175" spans="1:10" x14ac:dyDescent="0.25">
      <c r="A175" s="13" t="s">
        <v>15</v>
      </c>
      <c r="B175" s="13" t="s">
        <v>498</v>
      </c>
      <c r="C175" s="13" t="s">
        <v>68</v>
      </c>
      <c r="D175" s="13" t="s">
        <v>499</v>
      </c>
      <c r="E175" s="14" t="s">
        <v>500</v>
      </c>
      <c r="F175" s="14" t="s">
        <v>19</v>
      </c>
      <c r="G175" s="15">
        <v>37912.679999999986</v>
      </c>
      <c r="H175" s="15">
        <v>2182.9699999999998</v>
      </c>
      <c r="I175" s="15">
        <v>5084.5899999999992</v>
      </c>
      <c r="J175" s="15">
        <v>45180.24</v>
      </c>
    </row>
    <row r="176" spans="1:10" x14ac:dyDescent="0.25">
      <c r="A176" s="13" t="s">
        <v>15</v>
      </c>
      <c r="B176" s="13" t="s">
        <v>501</v>
      </c>
      <c r="C176" s="13" t="s">
        <v>30</v>
      </c>
      <c r="D176" s="13" t="s">
        <v>248</v>
      </c>
      <c r="E176" s="14" t="s">
        <v>502</v>
      </c>
      <c r="F176" s="14" t="s">
        <v>19</v>
      </c>
      <c r="G176" s="15">
        <v>37648.46</v>
      </c>
      <c r="H176" s="15">
        <v>10.41</v>
      </c>
      <c r="I176" s="15">
        <v>7422.3900000000012</v>
      </c>
      <c r="J176" s="15">
        <v>45081.260000000009</v>
      </c>
    </row>
    <row r="177" spans="1:10" x14ac:dyDescent="0.25">
      <c r="A177" s="13" t="s">
        <v>15</v>
      </c>
      <c r="B177" s="13" t="s">
        <v>503</v>
      </c>
      <c r="C177" s="13" t="s">
        <v>30</v>
      </c>
      <c r="D177" s="13" t="s">
        <v>131</v>
      </c>
      <c r="E177" s="14" t="s">
        <v>504</v>
      </c>
      <c r="F177" s="14" t="s">
        <v>19</v>
      </c>
      <c r="G177" s="15">
        <v>36360.460000000006</v>
      </c>
      <c r="I177" s="15">
        <v>8698.99</v>
      </c>
      <c r="J177" s="15">
        <v>45059.450000000004</v>
      </c>
    </row>
    <row r="178" spans="1:10" x14ac:dyDescent="0.25">
      <c r="A178" s="13" t="s">
        <v>15</v>
      </c>
      <c r="B178" s="13" t="s">
        <v>505</v>
      </c>
      <c r="C178" s="13" t="s">
        <v>30</v>
      </c>
      <c r="D178" s="13" t="s">
        <v>248</v>
      </c>
      <c r="E178" s="14" t="s">
        <v>450</v>
      </c>
      <c r="F178" s="14" t="s">
        <v>19</v>
      </c>
      <c r="G178" s="15">
        <v>37944.51</v>
      </c>
      <c r="H178" s="15">
        <v>297.07</v>
      </c>
      <c r="I178" s="15">
        <v>6627.0899999999992</v>
      </c>
      <c r="J178" s="15">
        <v>44868.67</v>
      </c>
    </row>
    <row r="179" spans="1:10" x14ac:dyDescent="0.25">
      <c r="A179" s="13" t="s">
        <v>9</v>
      </c>
      <c r="B179" s="13" t="s">
        <v>506</v>
      </c>
      <c r="C179" s="13" t="s">
        <v>206</v>
      </c>
      <c r="D179" s="13" t="s">
        <v>507</v>
      </c>
      <c r="E179" s="14" t="s">
        <v>508</v>
      </c>
      <c r="F179" s="14" t="s">
        <v>509</v>
      </c>
      <c r="G179" s="15">
        <v>44406.400000000023</v>
      </c>
      <c r="I179" s="15">
        <v>0</v>
      </c>
      <c r="J179" s="15">
        <v>44406.400000000023</v>
      </c>
    </row>
    <row r="180" spans="1:10" x14ac:dyDescent="0.25">
      <c r="A180" s="13" t="s">
        <v>9</v>
      </c>
      <c r="B180" s="13" t="s">
        <v>510</v>
      </c>
      <c r="C180" s="13" t="s">
        <v>43</v>
      </c>
      <c r="D180" s="13" t="s">
        <v>134</v>
      </c>
      <c r="E180" s="14" t="s">
        <v>511</v>
      </c>
      <c r="F180" s="14" t="s">
        <v>512</v>
      </c>
      <c r="G180" s="15">
        <v>19607.010000000002</v>
      </c>
      <c r="H180" s="15">
        <v>13203.050000000001</v>
      </c>
      <c r="I180" s="15">
        <v>11529.300000000001</v>
      </c>
      <c r="J180" s="15">
        <v>44339.359999999993</v>
      </c>
    </row>
    <row r="181" spans="1:10" x14ac:dyDescent="0.25">
      <c r="A181" s="13" t="s">
        <v>15</v>
      </c>
      <c r="B181" s="13" t="s">
        <v>513</v>
      </c>
      <c r="C181" s="13" t="s">
        <v>140</v>
      </c>
      <c r="D181" s="13" t="s">
        <v>514</v>
      </c>
      <c r="E181" s="14" t="s">
        <v>515</v>
      </c>
      <c r="F181" s="14" t="s">
        <v>19</v>
      </c>
      <c r="G181" s="15">
        <v>37305.15</v>
      </c>
      <c r="H181" s="15">
        <v>528.69000000000005</v>
      </c>
      <c r="I181" s="15">
        <v>5938.5400000000009</v>
      </c>
      <c r="J181" s="15">
        <v>43772.380000000005</v>
      </c>
    </row>
    <row r="182" spans="1:10" x14ac:dyDescent="0.25">
      <c r="A182" s="13" t="s">
        <v>15</v>
      </c>
      <c r="B182" s="13" t="s">
        <v>516</v>
      </c>
      <c r="C182" s="13" t="s">
        <v>188</v>
      </c>
      <c r="D182" s="13" t="s">
        <v>517</v>
      </c>
      <c r="E182" s="14" t="s">
        <v>518</v>
      </c>
      <c r="F182" s="14" t="s">
        <v>19</v>
      </c>
      <c r="G182" s="15">
        <v>37164.329999999994</v>
      </c>
      <c r="H182" s="15">
        <v>1249.1300000000003</v>
      </c>
      <c r="I182" s="15">
        <v>5323.2200000000012</v>
      </c>
      <c r="J182" s="15">
        <v>43736.680000000008</v>
      </c>
    </row>
    <row r="183" spans="1:10" x14ac:dyDescent="0.25">
      <c r="A183" s="13" t="s">
        <v>15</v>
      </c>
      <c r="B183" s="13" t="s">
        <v>519</v>
      </c>
      <c r="C183" s="13" t="s">
        <v>520</v>
      </c>
      <c r="D183" s="13" t="s">
        <v>521</v>
      </c>
      <c r="E183" s="14" t="s">
        <v>402</v>
      </c>
      <c r="F183" s="14" t="s">
        <v>19</v>
      </c>
      <c r="G183" s="15">
        <v>43533.599999999999</v>
      </c>
      <c r="I183" s="15">
        <v>0</v>
      </c>
      <c r="J183" s="15">
        <v>43533.599999999999</v>
      </c>
    </row>
    <row r="184" spans="1:10" x14ac:dyDescent="0.25">
      <c r="A184" s="13" t="s">
        <v>15</v>
      </c>
      <c r="B184" s="13" t="s">
        <v>522</v>
      </c>
      <c r="C184" s="13" t="s">
        <v>523</v>
      </c>
      <c r="D184" s="13" t="s">
        <v>524</v>
      </c>
      <c r="E184" s="14" t="s">
        <v>525</v>
      </c>
      <c r="F184" s="14" t="s">
        <v>19</v>
      </c>
      <c r="G184" s="15">
        <v>35396.870000000003</v>
      </c>
      <c r="H184" s="15">
        <v>1858.5500000000004</v>
      </c>
      <c r="I184" s="15">
        <v>6141.58</v>
      </c>
      <c r="J184" s="15">
        <v>43396.999999999993</v>
      </c>
    </row>
    <row r="185" spans="1:10" x14ac:dyDescent="0.25">
      <c r="A185" s="13" t="s">
        <v>9</v>
      </c>
      <c r="B185" s="13" t="s">
        <v>526</v>
      </c>
      <c r="C185" s="13" t="s">
        <v>94</v>
      </c>
      <c r="D185" s="13" t="s">
        <v>527</v>
      </c>
      <c r="E185" s="14" t="s">
        <v>528</v>
      </c>
      <c r="F185" s="14" t="s">
        <v>529</v>
      </c>
      <c r="G185" s="15">
        <v>36091.089999999997</v>
      </c>
      <c r="H185" s="15">
        <v>2365.7700000000004</v>
      </c>
      <c r="I185" s="15">
        <v>4573.54</v>
      </c>
      <c r="J185" s="15">
        <v>43030.400000000001</v>
      </c>
    </row>
    <row r="186" spans="1:10" x14ac:dyDescent="0.25">
      <c r="A186" s="13" t="s">
        <v>9</v>
      </c>
      <c r="B186" s="13" t="s">
        <v>530</v>
      </c>
      <c r="C186" s="13" t="s">
        <v>21</v>
      </c>
      <c r="D186" s="13" t="s">
        <v>168</v>
      </c>
      <c r="E186" s="14" t="s">
        <v>502</v>
      </c>
      <c r="F186" s="14" t="s">
        <v>531</v>
      </c>
      <c r="G186" s="15">
        <v>32010.06</v>
      </c>
      <c r="H186" s="15">
        <v>2230.6299999999997</v>
      </c>
      <c r="I186" s="15">
        <v>8784.510000000002</v>
      </c>
      <c r="J186" s="15">
        <v>43025.19999999999</v>
      </c>
    </row>
    <row r="187" spans="1:10" x14ac:dyDescent="0.25">
      <c r="A187" s="13" t="s">
        <v>15</v>
      </c>
      <c r="B187" s="13" t="s">
        <v>532</v>
      </c>
      <c r="C187" s="13" t="s">
        <v>30</v>
      </c>
      <c r="D187" s="13" t="s">
        <v>248</v>
      </c>
      <c r="E187" s="14" t="s">
        <v>502</v>
      </c>
      <c r="F187" s="14" t="s">
        <v>19</v>
      </c>
      <c r="G187" s="15">
        <v>34592.21</v>
      </c>
      <c r="H187" s="15">
        <v>284.54000000000002</v>
      </c>
      <c r="I187" s="15">
        <v>8040.8700000000008</v>
      </c>
      <c r="J187" s="15">
        <v>42917.62</v>
      </c>
    </row>
    <row r="188" spans="1:10" x14ac:dyDescent="0.25">
      <c r="A188" s="13" t="s">
        <v>9</v>
      </c>
      <c r="B188" s="13" t="s">
        <v>533</v>
      </c>
      <c r="C188" s="13" t="s">
        <v>534</v>
      </c>
      <c r="D188" s="13" t="s">
        <v>535</v>
      </c>
      <c r="E188" s="14" t="s">
        <v>536</v>
      </c>
      <c r="F188" s="14" t="s">
        <v>537</v>
      </c>
      <c r="G188" s="15">
        <v>41077.439999999995</v>
      </c>
      <c r="H188" s="15">
        <v>0</v>
      </c>
      <c r="I188" s="15">
        <v>1661.7599999999995</v>
      </c>
      <c r="J188" s="15">
        <v>42739.19999999999</v>
      </c>
    </row>
    <row r="189" spans="1:10" x14ac:dyDescent="0.25">
      <c r="A189" s="13" t="s">
        <v>9</v>
      </c>
      <c r="B189" s="13" t="s">
        <v>538</v>
      </c>
      <c r="C189" s="13" t="s">
        <v>340</v>
      </c>
      <c r="D189" s="13" t="s">
        <v>539</v>
      </c>
      <c r="E189" s="14" t="s">
        <v>540</v>
      </c>
      <c r="F189" s="14" t="s">
        <v>541</v>
      </c>
      <c r="G189" s="15">
        <v>34942.25</v>
      </c>
      <c r="H189" s="15">
        <v>2251.1999999999998</v>
      </c>
      <c r="I189" s="15">
        <v>5387.68</v>
      </c>
      <c r="J189" s="15">
        <v>42581.130000000005</v>
      </c>
    </row>
    <row r="190" spans="1:10" x14ac:dyDescent="0.25">
      <c r="A190" s="13" t="s">
        <v>15</v>
      </c>
      <c r="B190" s="13" t="s">
        <v>542</v>
      </c>
      <c r="C190" s="13" t="s">
        <v>543</v>
      </c>
      <c r="D190" s="13" t="s">
        <v>544</v>
      </c>
      <c r="E190" s="14" t="s">
        <v>228</v>
      </c>
      <c r="F190" s="14" t="s">
        <v>19</v>
      </c>
      <c r="G190" s="15">
        <v>42026.679999999993</v>
      </c>
      <c r="I190" s="15">
        <v>402.72</v>
      </c>
      <c r="J190" s="15">
        <v>42429.399999999994</v>
      </c>
    </row>
    <row r="191" spans="1:10" x14ac:dyDescent="0.25">
      <c r="A191" s="13" t="s">
        <v>9</v>
      </c>
      <c r="B191" s="13" t="s">
        <v>545</v>
      </c>
      <c r="C191" s="13" t="s">
        <v>178</v>
      </c>
      <c r="D191" s="13" t="s">
        <v>546</v>
      </c>
      <c r="E191" s="14" t="s">
        <v>547</v>
      </c>
      <c r="F191" s="14" t="s">
        <v>548</v>
      </c>
      <c r="G191" s="15">
        <v>42257.599999999991</v>
      </c>
      <c r="I191" s="15">
        <v>0</v>
      </c>
      <c r="J191" s="15">
        <v>42257.599999999991</v>
      </c>
    </row>
    <row r="192" spans="1:10" x14ac:dyDescent="0.25">
      <c r="A192" s="13" t="s">
        <v>9</v>
      </c>
      <c r="B192" s="13" t="s">
        <v>549</v>
      </c>
      <c r="C192" s="13" t="s">
        <v>550</v>
      </c>
      <c r="D192" s="13" t="s">
        <v>551</v>
      </c>
      <c r="E192" s="14" t="s">
        <v>552</v>
      </c>
      <c r="F192" s="14" t="s">
        <v>553</v>
      </c>
      <c r="G192" s="15">
        <v>41850.87999999999</v>
      </c>
      <c r="H192" s="15">
        <v>0</v>
      </c>
      <c r="I192" s="15">
        <v>394.72</v>
      </c>
      <c r="J192" s="15">
        <v>42245.599999999984</v>
      </c>
    </row>
    <row r="193" spans="1:10" x14ac:dyDescent="0.25">
      <c r="A193" s="13" t="s">
        <v>9</v>
      </c>
      <c r="B193" s="13" t="s">
        <v>554</v>
      </c>
      <c r="C193" s="13" t="s">
        <v>83</v>
      </c>
      <c r="D193" s="13" t="s">
        <v>452</v>
      </c>
      <c r="E193" s="14" t="s">
        <v>555</v>
      </c>
      <c r="F193" s="14" t="s">
        <v>556</v>
      </c>
      <c r="G193" s="15">
        <v>35866.299999999996</v>
      </c>
      <c r="H193" s="15">
        <v>611.53</v>
      </c>
      <c r="I193" s="15">
        <v>5613.66</v>
      </c>
      <c r="J193" s="15">
        <v>42091.490000000005</v>
      </c>
    </row>
    <row r="194" spans="1:10" x14ac:dyDescent="0.25">
      <c r="A194" s="13" t="s">
        <v>9</v>
      </c>
      <c r="B194" s="13" t="s">
        <v>557</v>
      </c>
      <c r="C194" s="13" t="s">
        <v>94</v>
      </c>
      <c r="D194" s="13" t="s">
        <v>558</v>
      </c>
      <c r="E194" s="14" t="s">
        <v>559</v>
      </c>
      <c r="F194" s="14" t="s">
        <v>560</v>
      </c>
      <c r="G194" s="15">
        <v>34830.480000000003</v>
      </c>
      <c r="H194" s="15">
        <v>1287.3400000000001</v>
      </c>
      <c r="I194" s="15">
        <v>5515.55</v>
      </c>
      <c r="J194" s="15">
        <v>41633.369999999995</v>
      </c>
    </row>
    <row r="195" spans="1:10" x14ac:dyDescent="0.25">
      <c r="A195" s="13" t="s">
        <v>15</v>
      </c>
      <c r="B195" s="13" t="s">
        <v>561</v>
      </c>
      <c r="C195" s="13" t="s">
        <v>43</v>
      </c>
      <c r="D195" s="13" t="s">
        <v>562</v>
      </c>
      <c r="E195" s="14" t="s">
        <v>563</v>
      </c>
      <c r="F195" s="14" t="s">
        <v>19</v>
      </c>
      <c r="G195" s="15">
        <v>23884.79</v>
      </c>
      <c r="H195" s="15">
        <v>12380.27</v>
      </c>
      <c r="I195" s="15">
        <v>5060.6899999999996</v>
      </c>
      <c r="J195" s="15">
        <v>41325.75</v>
      </c>
    </row>
    <row r="196" spans="1:10" x14ac:dyDescent="0.25">
      <c r="A196" s="13" t="s">
        <v>15</v>
      </c>
      <c r="B196" s="13" t="s">
        <v>564</v>
      </c>
      <c r="C196" s="13" t="s">
        <v>94</v>
      </c>
      <c r="D196" s="13" t="s">
        <v>565</v>
      </c>
      <c r="E196" s="14" t="s">
        <v>493</v>
      </c>
      <c r="F196" s="14" t="s">
        <v>19</v>
      </c>
      <c r="G196" s="15">
        <v>36687.96</v>
      </c>
      <c r="H196" s="15">
        <v>206.46</v>
      </c>
      <c r="I196" s="15">
        <v>4418.17</v>
      </c>
      <c r="J196" s="15">
        <v>41312.590000000004</v>
      </c>
    </row>
    <row r="197" spans="1:10" x14ac:dyDescent="0.25">
      <c r="A197" s="13" t="s">
        <v>15</v>
      </c>
      <c r="B197" s="13" t="s">
        <v>566</v>
      </c>
      <c r="C197" s="13" t="s">
        <v>38</v>
      </c>
      <c r="D197" s="13" t="s">
        <v>567</v>
      </c>
      <c r="E197" s="14" t="s">
        <v>360</v>
      </c>
      <c r="F197" s="14" t="s">
        <v>19</v>
      </c>
      <c r="G197" s="15">
        <v>30067.06</v>
      </c>
      <c r="H197" s="15">
        <v>5136.84</v>
      </c>
      <c r="I197" s="15">
        <v>5404.92</v>
      </c>
      <c r="J197" s="15">
        <v>40608.82</v>
      </c>
    </row>
    <row r="198" spans="1:10" x14ac:dyDescent="0.25">
      <c r="A198" s="13" t="s">
        <v>15</v>
      </c>
      <c r="B198" s="13" t="s">
        <v>568</v>
      </c>
      <c r="C198" s="13" t="s">
        <v>21</v>
      </c>
      <c r="D198" s="13" t="s">
        <v>439</v>
      </c>
      <c r="E198" s="14" t="s">
        <v>264</v>
      </c>
      <c r="F198" s="14" t="s">
        <v>19</v>
      </c>
      <c r="G198" s="15">
        <v>31537.33</v>
      </c>
      <c r="H198" s="15">
        <v>2349.1200000000003</v>
      </c>
      <c r="I198" s="15">
        <v>6530.66</v>
      </c>
      <c r="J198" s="15">
        <v>40417.109999999993</v>
      </c>
    </row>
    <row r="199" spans="1:10" x14ac:dyDescent="0.25">
      <c r="A199" s="13" t="s">
        <v>15</v>
      </c>
      <c r="B199" s="13" t="s">
        <v>569</v>
      </c>
      <c r="C199" s="13" t="s">
        <v>188</v>
      </c>
      <c r="D199" s="13" t="s">
        <v>570</v>
      </c>
      <c r="E199" s="14" t="s">
        <v>571</v>
      </c>
      <c r="F199" s="14" t="s">
        <v>19</v>
      </c>
      <c r="G199" s="15">
        <v>31424.2</v>
      </c>
      <c r="H199" s="15">
        <v>858.91</v>
      </c>
      <c r="I199" s="15">
        <v>7793.6900000000014</v>
      </c>
      <c r="J199" s="15">
        <v>40076.799999999988</v>
      </c>
    </row>
    <row r="200" spans="1:10" x14ac:dyDescent="0.25">
      <c r="A200" s="13" t="s">
        <v>9</v>
      </c>
      <c r="B200" s="13" t="s">
        <v>572</v>
      </c>
      <c r="C200" s="13" t="s">
        <v>98</v>
      </c>
      <c r="D200" s="13" t="s">
        <v>573</v>
      </c>
      <c r="E200" s="14" t="s">
        <v>574</v>
      </c>
      <c r="F200" s="14" t="s">
        <v>575</v>
      </c>
      <c r="G200" s="15">
        <v>31416.53</v>
      </c>
      <c r="H200" s="15">
        <v>142.42000000000002</v>
      </c>
      <c r="I200" s="15">
        <v>8428.77</v>
      </c>
      <c r="J200" s="15">
        <v>39987.720000000008</v>
      </c>
    </row>
    <row r="201" spans="1:10" x14ac:dyDescent="0.25">
      <c r="A201" s="13" t="s">
        <v>15</v>
      </c>
      <c r="B201" s="13" t="s">
        <v>576</v>
      </c>
      <c r="C201" s="13" t="s">
        <v>43</v>
      </c>
      <c r="D201" s="13" t="s">
        <v>134</v>
      </c>
      <c r="E201" s="14" t="s">
        <v>563</v>
      </c>
      <c r="F201" s="14" t="s">
        <v>19</v>
      </c>
      <c r="G201" s="15">
        <v>18816.690000000002</v>
      </c>
      <c r="H201" s="15">
        <v>18635.929999999997</v>
      </c>
      <c r="I201" s="15">
        <v>2510.61</v>
      </c>
      <c r="J201" s="15">
        <v>39963.23000000001</v>
      </c>
    </row>
    <row r="202" spans="1:10" x14ac:dyDescent="0.25">
      <c r="A202" s="13" t="s">
        <v>15</v>
      </c>
      <c r="B202" s="13" t="s">
        <v>577</v>
      </c>
      <c r="C202" s="13" t="s">
        <v>216</v>
      </c>
      <c r="D202" s="13" t="s">
        <v>578</v>
      </c>
      <c r="E202" s="14" t="s">
        <v>579</v>
      </c>
      <c r="F202" s="14" t="s">
        <v>19</v>
      </c>
      <c r="G202" s="15">
        <v>39031.259999999987</v>
      </c>
      <c r="H202" s="15">
        <v>0</v>
      </c>
      <c r="I202" s="15">
        <v>918.33999999999992</v>
      </c>
      <c r="J202" s="15">
        <v>39949.599999999984</v>
      </c>
    </row>
    <row r="203" spans="1:10" x14ac:dyDescent="0.25">
      <c r="A203" s="13" t="s">
        <v>15</v>
      </c>
      <c r="B203" s="13" t="s">
        <v>580</v>
      </c>
      <c r="C203" s="13" t="s">
        <v>581</v>
      </c>
      <c r="D203" s="13" t="s">
        <v>582</v>
      </c>
      <c r="E203" s="14" t="s">
        <v>583</v>
      </c>
      <c r="F203" s="14" t="s">
        <v>19</v>
      </c>
      <c r="G203" s="15">
        <v>34949.399999999994</v>
      </c>
      <c r="H203" s="15">
        <v>1105.5800000000002</v>
      </c>
      <c r="I203" s="15">
        <v>3275.73</v>
      </c>
      <c r="J203" s="15">
        <v>39330.709999999992</v>
      </c>
    </row>
    <row r="204" spans="1:10" x14ac:dyDescent="0.25">
      <c r="A204" s="13" t="s">
        <v>9</v>
      </c>
      <c r="B204" s="13" t="s">
        <v>584</v>
      </c>
      <c r="C204" s="13" t="s">
        <v>98</v>
      </c>
      <c r="D204" s="13" t="s">
        <v>573</v>
      </c>
      <c r="E204" s="14" t="s">
        <v>585</v>
      </c>
      <c r="F204" s="14" t="s">
        <v>586</v>
      </c>
      <c r="G204" s="15">
        <v>31104.889999999996</v>
      </c>
      <c r="H204" s="15">
        <v>67.37</v>
      </c>
      <c r="I204" s="15">
        <v>8060.22</v>
      </c>
      <c r="J204" s="15">
        <v>39232.479999999996</v>
      </c>
    </row>
    <row r="205" spans="1:10" x14ac:dyDescent="0.25">
      <c r="A205" s="13" t="s">
        <v>9</v>
      </c>
      <c r="B205" s="13" t="s">
        <v>587</v>
      </c>
      <c r="C205" s="13" t="s">
        <v>30</v>
      </c>
      <c r="D205" s="13" t="s">
        <v>558</v>
      </c>
      <c r="E205" s="14" t="s">
        <v>588</v>
      </c>
      <c r="F205" s="14" t="s">
        <v>589</v>
      </c>
      <c r="G205" s="15">
        <v>33885.990000000005</v>
      </c>
      <c r="H205" s="15">
        <v>58.039999999999992</v>
      </c>
      <c r="I205" s="15">
        <v>5142.55</v>
      </c>
      <c r="J205" s="15">
        <v>39086.580000000009</v>
      </c>
    </row>
    <row r="206" spans="1:10" x14ac:dyDescent="0.25">
      <c r="A206" s="13" t="s">
        <v>9</v>
      </c>
      <c r="B206" s="13" t="s">
        <v>590</v>
      </c>
      <c r="C206" s="13" t="s">
        <v>68</v>
      </c>
      <c r="D206" s="13" t="s">
        <v>591</v>
      </c>
      <c r="E206" s="14" t="s">
        <v>592</v>
      </c>
      <c r="F206" s="14" t="s">
        <v>593</v>
      </c>
      <c r="G206" s="15">
        <v>39039.999999999993</v>
      </c>
      <c r="I206" s="15">
        <v>0</v>
      </c>
      <c r="J206" s="15">
        <v>39039.999999999993</v>
      </c>
    </row>
    <row r="207" spans="1:10" x14ac:dyDescent="0.25">
      <c r="A207" s="13" t="s">
        <v>15</v>
      </c>
      <c r="B207" s="13" t="s">
        <v>594</v>
      </c>
      <c r="C207" s="13" t="s">
        <v>98</v>
      </c>
      <c r="D207" s="13" t="s">
        <v>573</v>
      </c>
      <c r="E207" s="14" t="s">
        <v>595</v>
      </c>
      <c r="F207" s="14" t="s">
        <v>19</v>
      </c>
      <c r="G207" s="15">
        <v>30137.820000000003</v>
      </c>
      <c r="H207" s="15">
        <v>1341.8400000000001</v>
      </c>
      <c r="I207" s="15">
        <v>7367.29</v>
      </c>
      <c r="J207" s="15">
        <v>38846.950000000004</v>
      </c>
    </row>
    <row r="208" spans="1:10" x14ac:dyDescent="0.25">
      <c r="A208" s="13" t="s">
        <v>15</v>
      </c>
      <c r="B208" s="13" t="s">
        <v>596</v>
      </c>
      <c r="C208" s="13" t="s">
        <v>43</v>
      </c>
      <c r="D208" s="13" t="s">
        <v>134</v>
      </c>
      <c r="E208" s="14" t="s">
        <v>300</v>
      </c>
      <c r="F208" s="14" t="s">
        <v>19</v>
      </c>
      <c r="G208" s="15">
        <v>19237.089999999997</v>
      </c>
      <c r="H208" s="15">
        <v>14427.309999999998</v>
      </c>
      <c r="I208" s="15">
        <v>5032.45</v>
      </c>
      <c r="J208" s="15">
        <v>38696.849999999991</v>
      </c>
    </row>
    <row r="209" spans="1:10" x14ac:dyDescent="0.25">
      <c r="A209" s="13" t="s">
        <v>15</v>
      </c>
      <c r="B209" s="13" t="s">
        <v>597</v>
      </c>
      <c r="C209" s="13" t="s">
        <v>21</v>
      </c>
      <c r="D209" s="13" t="s">
        <v>439</v>
      </c>
      <c r="E209" s="14" t="s">
        <v>598</v>
      </c>
      <c r="F209" s="14" t="s">
        <v>19</v>
      </c>
      <c r="G209" s="15">
        <v>30922.190000000002</v>
      </c>
      <c r="H209" s="15">
        <v>1969.6699999999996</v>
      </c>
      <c r="I209" s="15">
        <v>5717.49</v>
      </c>
      <c r="J209" s="15">
        <v>38609.35</v>
      </c>
    </row>
    <row r="210" spans="1:10" x14ac:dyDescent="0.25">
      <c r="A210" s="13" t="s">
        <v>9</v>
      </c>
      <c r="B210" s="13" t="s">
        <v>599</v>
      </c>
      <c r="C210" s="13" t="s">
        <v>140</v>
      </c>
      <c r="D210" s="13" t="s">
        <v>600</v>
      </c>
      <c r="E210" s="14" t="s">
        <v>601</v>
      </c>
      <c r="F210" s="14" t="s">
        <v>602</v>
      </c>
      <c r="G210" s="15">
        <v>34736.020000000004</v>
      </c>
      <c r="H210" s="15">
        <v>896</v>
      </c>
      <c r="I210" s="15">
        <v>2969.3500000000004</v>
      </c>
      <c r="J210" s="15">
        <v>38601.37000000001</v>
      </c>
    </row>
    <row r="211" spans="1:10" x14ac:dyDescent="0.25">
      <c r="A211" s="13" t="s">
        <v>9</v>
      </c>
      <c r="B211" s="13" t="s">
        <v>603</v>
      </c>
      <c r="C211" s="13" t="s">
        <v>340</v>
      </c>
      <c r="D211" s="13" t="s">
        <v>604</v>
      </c>
      <c r="E211" s="14" t="s">
        <v>605</v>
      </c>
      <c r="F211" s="14" t="s">
        <v>364</v>
      </c>
      <c r="G211" s="15">
        <v>37630.99</v>
      </c>
      <c r="H211" s="15">
        <v>298.88</v>
      </c>
      <c r="I211" s="15">
        <v>0</v>
      </c>
      <c r="J211" s="15">
        <v>37929.870000000003</v>
      </c>
    </row>
    <row r="212" spans="1:10" x14ac:dyDescent="0.25">
      <c r="A212" s="13" t="s">
        <v>9</v>
      </c>
      <c r="B212" s="13" t="s">
        <v>606</v>
      </c>
      <c r="C212" s="13" t="s">
        <v>43</v>
      </c>
      <c r="D212" s="13" t="s">
        <v>562</v>
      </c>
      <c r="E212" s="14" t="s">
        <v>329</v>
      </c>
      <c r="F212" s="14" t="s">
        <v>607</v>
      </c>
      <c r="G212" s="15">
        <v>26535.93</v>
      </c>
      <c r="H212" s="15">
        <v>7484.4100000000008</v>
      </c>
      <c r="I212" s="15">
        <v>3847.48</v>
      </c>
      <c r="J212" s="15">
        <v>37867.82</v>
      </c>
    </row>
    <row r="213" spans="1:10" x14ac:dyDescent="0.25">
      <c r="A213" s="13" t="s">
        <v>487</v>
      </c>
      <c r="B213" s="13" t="s">
        <v>608</v>
      </c>
      <c r="C213" s="13" t="s">
        <v>523</v>
      </c>
      <c r="D213" s="13" t="s">
        <v>609</v>
      </c>
      <c r="E213" s="14" t="s">
        <v>610</v>
      </c>
      <c r="F213" s="14" t="s">
        <v>611</v>
      </c>
      <c r="G213" s="15">
        <v>26270.84</v>
      </c>
      <c r="H213" s="15">
        <v>3035.43</v>
      </c>
      <c r="I213" s="15">
        <v>8466.119999999999</v>
      </c>
      <c r="J213" s="15">
        <v>37772.39</v>
      </c>
    </row>
    <row r="214" spans="1:10" x14ac:dyDescent="0.25">
      <c r="A214" s="13" t="s">
        <v>9</v>
      </c>
      <c r="B214" s="13" t="s">
        <v>612</v>
      </c>
      <c r="C214" s="13" t="s">
        <v>94</v>
      </c>
      <c r="D214" s="13" t="s">
        <v>565</v>
      </c>
      <c r="E214" s="14" t="s">
        <v>613</v>
      </c>
      <c r="F214" s="14" t="s">
        <v>614</v>
      </c>
      <c r="G214" s="15">
        <v>31777.300000000003</v>
      </c>
      <c r="H214" s="15">
        <v>207.82</v>
      </c>
      <c r="I214" s="15">
        <v>5090.97</v>
      </c>
      <c r="J214" s="15">
        <v>37076.089999999989</v>
      </c>
    </row>
    <row r="215" spans="1:10" x14ac:dyDescent="0.25">
      <c r="A215" s="13" t="s">
        <v>15</v>
      </c>
      <c r="B215" s="13" t="s">
        <v>615</v>
      </c>
      <c r="C215" s="13" t="s">
        <v>43</v>
      </c>
      <c r="D215" s="13" t="s">
        <v>134</v>
      </c>
      <c r="E215" s="14" t="s">
        <v>511</v>
      </c>
      <c r="F215" s="14" t="s">
        <v>19</v>
      </c>
      <c r="G215" s="15">
        <v>19194.2</v>
      </c>
      <c r="H215" s="15">
        <v>13588.250000000002</v>
      </c>
      <c r="I215" s="15">
        <v>3805.1299999999997</v>
      </c>
      <c r="J215" s="15">
        <v>36587.58</v>
      </c>
    </row>
    <row r="216" spans="1:10" x14ac:dyDescent="0.25">
      <c r="A216" s="13" t="s">
        <v>9</v>
      </c>
      <c r="B216" s="13" t="s">
        <v>616</v>
      </c>
      <c r="C216" s="13" t="s">
        <v>68</v>
      </c>
      <c r="D216" s="13" t="s">
        <v>617</v>
      </c>
      <c r="E216" s="14" t="s">
        <v>300</v>
      </c>
      <c r="F216" s="14" t="s">
        <v>618</v>
      </c>
      <c r="G216" s="15">
        <v>27701.51</v>
      </c>
      <c r="H216" s="15">
        <v>5557.4299999999994</v>
      </c>
      <c r="I216" s="15">
        <v>2997.9900000000002</v>
      </c>
      <c r="J216" s="15">
        <v>36256.93</v>
      </c>
    </row>
    <row r="217" spans="1:10" x14ac:dyDescent="0.25">
      <c r="A217" s="13" t="s">
        <v>9</v>
      </c>
      <c r="B217" s="13" t="s">
        <v>619</v>
      </c>
      <c r="C217" s="13" t="s">
        <v>43</v>
      </c>
      <c r="D217" s="13" t="s">
        <v>134</v>
      </c>
      <c r="E217" s="14" t="s">
        <v>620</v>
      </c>
      <c r="F217" s="14" t="s">
        <v>621</v>
      </c>
      <c r="G217" s="15">
        <v>138.96</v>
      </c>
      <c r="I217" s="15">
        <v>36050.590000000004</v>
      </c>
      <c r="J217" s="15">
        <v>36189.550000000003</v>
      </c>
    </row>
    <row r="218" spans="1:10" x14ac:dyDescent="0.25">
      <c r="A218" s="13" t="s">
        <v>15</v>
      </c>
      <c r="B218" s="13" t="s">
        <v>622</v>
      </c>
      <c r="C218" s="13" t="s">
        <v>314</v>
      </c>
      <c r="D218" s="13" t="s">
        <v>623</v>
      </c>
      <c r="E218" s="14" t="s">
        <v>624</v>
      </c>
      <c r="F218" s="14" t="s">
        <v>19</v>
      </c>
      <c r="G218" s="15">
        <v>30886.850000000002</v>
      </c>
      <c r="H218" s="15">
        <v>17.029999999999998</v>
      </c>
      <c r="I218" s="15">
        <v>5271.2</v>
      </c>
      <c r="J218" s="15">
        <v>36175.08</v>
      </c>
    </row>
    <row r="219" spans="1:10" x14ac:dyDescent="0.25">
      <c r="A219" s="13" t="s">
        <v>9</v>
      </c>
      <c r="B219" s="13" t="s">
        <v>625</v>
      </c>
      <c r="C219" s="13" t="s">
        <v>119</v>
      </c>
      <c r="D219" s="13" t="s">
        <v>626</v>
      </c>
      <c r="E219" s="14" t="s">
        <v>627</v>
      </c>
      <c r="F219" s="14" t="s">
        <v>628</v>
      </c>
      <c r="G219" s="15">
        <v>36060.799999999996</v>
      </c>
      <c r="I219" s="15">
        <v>0</v>
      </c>
      <c r="J219" s="15">
        <v>36060.799999999996</v>
      </c>
    </row>
    <row r="220" spans="1:10" x14ac:dyDescent="0.25">
      <c r="A220" s="13" t="s">
        <v>9</v>
      </c>
      <c r="B220" s="13" t="s">
        <v>629</v>
      </c>
      <c r="C220" s="13" t="s">
        <v>21</v>
      </c>
      <c r="D220" s="13" t="s">
        <v>484</v>
      </c>
      <c r="E220" s="14" t="s">
        <v>630</v>
      </c>
      <c r="F220" s="14" t="s">
        <v>631</v>
      </c>
      <c r="G220" s="15">
        <v>27354.410000000003</v>
      </c>
      <c r="H220" s="15">
        <v>649.06000000000006</v>
      </c>
      <c r="I220" s="15">
        <v>7792.68</v>
      </c>
      <c r="J220" s="15">
        <v>35796.15</v>
      </c>
    </row>
    <row r="221" spans="1:10" x14ac:dyDescent="0.25">
      <c r="A221" s="13" t="s">
        <v>15</v>
      </c>
      <c r="B221" s="13" t="s">
        <v>632</v>
      </c>
      <c r="C221" s="13" t="s">
        <v>43</v>
      </c>
      <c r="D221" s="13" t="s">
        <v>134</v>
      </c>
      <c r="E221" s="14" t="s">
        <v>605</v>
      </c>
      <c r="F221" s="14" t="s">
        <v>19</v>
      </c>
      <c r="G221" s="15">
        <v>18087.8</v>
      </c>
      <c r="H221" s="15">
        <v>15070.550000000001</v>
      </c>
      <c r="I221" s="15">
        <v>2222.92</v>
      </c>
      <c r="J221" s="15">
        <v>35381.269999999997</v>
      </c>
    </row>
    <row r="222" spans="1:10" x14ac:dyDescent="0.25">
      <c r="A222" s="13" t="s">
        <v>9</v>
      </c>
      <c r="B222" s="13" t="s">
        <v>633</v>
      </c>
      <c r="C222" s="13" t="s">
        <v>21</v>
      </c>
      <c r="D222" s="13" t="s">
        <v>153</v>
      </c>
      <c r="E222" s="14" t="s">
        <v>144</v>
      </c>
      <c r="F222" s="14" t="s">
        <v>634</v>
      </c>
      <c r="G222" s="15">
        <v>15564</v>
      </c>
      <c r="I222" s="15">
        <v>18903.93</v>
      </c>
      <c r="J222" s="15">
        <v>34467.93</v>
      </c>
    </row>
    <row r="223" spans="1:10" x14ac:dyDescent="0.25">
      <c r="A223" s="13" t="s">
        <v>15</v>
      </c>
      <c r="B223" s="13" t="s">
        <v>635</v>
      </c>
      <c r="C223" s="13" t="s">
        <v>21</v>
      </c>
      <c r="D223" s="13" t="s">
        <v>558</v>
      </c>
      <c r="E223" s="14" t="s">
        <v>583</v>
      </c>
      <c r="F223" s="14" t="s">
        <v>19</v>
      </c>
      <c r="G223" s="15">
        <v>27499.82</v>
      </c>
      <c r="H223" s="15">
        <v>366.03000000000003</v>
      </c>
      <c r="I223" s="15">
        <v>6375.65</v>
      </c>
      <c r="J223" s="15">
        <v>34241.5</v>
      </c>
    </row>
    <row r="224" spans="1:10" x14ac:dyDescent="0.25">
      <c r="A224" s="13" t="s">
        <v>15</v>
      </c>
      <c r="B224" s="13" t="s">
        <v>636</v>
      </c>
      <c r="C224" s="13" t="s">
        <v>477</v>
      </c>
      <c r="D224" s="13" t="s">
        <v>637</v>
      </c>
      <c r="E224" s="14" t="s">
        <v>638</v>
      </c>
      <c r="F224" s="14" t="s">
        <v>19</v>
      </c>
      <c r="G224" s="15">
        <v>23342.86</v>
      </c>
      <c r="H224" s="15">
        <v>4313.7700000000004</v>
      </c>
      <c r="I224" s="15">
        <v>6579.24</v>
      </c>
      <c r="J224" s="15">
        <v>34235.869999999995</v>
      </c>
    </row>
    <row r="225" spans="1:10" x14ac:dyDescent="0.25">
      <c r="A225" s="13" t="s">
        <v>15</v>
      </c>
      <c r="B225" s="13" t="s">
        <v>639</v>
      </c>
      <c r="C225" s="13" t="s">
        <v>21</v>
      </c>
      <c r="D225" s="13" t="s">
        <v>640</v>
      </c>
      <c r="E225" s="14" t="s">
        <v>641</v>
      </c>
      <c r="F225" s="14" t="s">
        <v>19</v>
      </c>
      <c r="G225" s="15">
        <v>28281.49</v>
      </c>
      <c r="H225" s="15">
        <v>915.88</v>
      </c>
      <c r="I225" s="15">
        <v>4952.33</v>
      </c>
      <c r="J225" s="15">
        <v>34149.699999999997</v>
      </c>
    </row>
    <row r="226" spans="1:10" x14ac:dyDescent="0.25">
      <c r="A226" s="13" t="s">
        <v>15</v>
      </c>
      <c r="B226" s="13" t="s">
        <v>642</v>
      </c>
      <c r="C226" s="13" t="s">
        <v>140</v>
      </c>
      <c r="D226" s="13" t="s">
        <v>643</v>
      </c>
      <c r="E226" s="14" t="s">
        <v>482</v>
      </c>
      <c r="F226" s="14" t="s">
        <v>19</v>
      </c>
      <c r="G226" s="15">
        <v>32195.909999999996</v>
      </c>
      <c r="H226" s="15">
        <v>568.41</v>
      </c>
      <c r="I226" s="15">
        <v>1355.15</v>
      </c>
      <c r="J226" s="15">
        <v>34119.469999999994</v>
      </c>
    </row>
    <row r="227" spans="1:10" x14ac:dyDescent="0.25">
      <c r="A227" s="13" t="s">
        <v>15</v>
      </c>
      <c r="B227" s="13" t="s">
        <v>644</v>
      </c>
      <c r="C227" s="13" t="s">
        <v>102</v>
      </c>
      <c r="D227" s="13" t="s">
        <v>645</v>
      </c>
      <c r="E227" s="14" t="s">
        <v>646</v>
      </c>
      <c r="F227" s="14" t="s">
        <v>19</v>
      </c>
      <c r="G227" s="15">
        <v>30466.020000000004</v>
      </c>
      <c r="H227" s="15">
        <v>294.20000000000005</v>
      </c>
      <c r="I227" s="15">
        <v>3165.61</v>
      </c>
      <c r="J227" s="15">
        <v>33925.83</v>
      </c>
    </row>
    <row r="228" spans="1:10" x14ac:dyDescent="0.25">
      <c r="A228" s="13" t="s">
        <v>9</v>
      </c>
      <c r="B228" s="13" t="s">
        <v>647</v>
      </c>
      <c r="C228" s="13" t="s">
        <v>21</v>
      </c>
      <c r="D228" s="13" t="s">
        <v>484</v>
      </c>
      <c r="E228" s="14" t="s">
        <v>648</v>
      </c>
      <c r="F228" s="14" t="s">
        <v>649</v>
      </c>
      <c r="G228" s="15">
        <v>27383.850000000002</v>
      </c>
      <c r="H228" s="15">
        <v>560.84</v>
      </c>
      <c r="I228" s="15">
        <v>5895.5400000000009</v>
      </c>
      <c r="J228" s="15">
        <v>33840.229999999996</v>
      </c>
    </row>
    <row r="229" spans="1:10" x14ac:dyDescent="0.25">
      <c r="A229" s="13" t="s">
        <v>9</v>
      </c>
      <c r="B229" s="13" t="s">
        <v>650</v>
      </c>
      <c r="C229" s="13" t="s">
        <v>358</v>
      </c>
      <c r="D229" s="13" t="s">
        <v>651</v>
      </c>
      <c r="E229" s="14" t="s">
        <v>652</v>
      </c>
      <c r="F229" s="14" t="s">
        <v>653</v>
      </c>
      <c r="G229" s="15">
        <v>27809.160000000003</v>
      </c>
      <c r="H229" s="15">
        <v>5.46</v>
      </c>
      <c r="I229" s="15">
        <v>6002.18</v>
      </c>
      <c r="J229" s="15">
        <v>33816.800000000003</v>
      </c>
    </row>
    <row r="230" spans="1:10" x14ac:dyDescent="0.25">
      <c r="A230" s="13" t="s">
        <v>9</v>
      </c>
      <c r="B230" s="13" t="s">
        <v>654</v>
      </c>
      <c r="C230" s="13" t="s">
        <v>38</v>
      </c>
      <c r="D230" s="13" t="s">
        <v>558</v>
      </c>
      <c r="E230" s="14" t="s">
        <v>655</v>
      </c>
      <c r="F230" s="14" t="s">
        <v>656</v>
      </c>
      <c r="G230" s="15">
        <v>22597.07</v>
      </c>
      <c r="H230" s="15">
        <v>2784.61</v>
      </c>
      <c r="I230" s="15">
        <v>8269.32</v>
      </c>
      <c r="J230" s="15">
        <v>33651</v>
      </c>
    </row>
    <row r="231" spans="1:10" x14ac:dyDescent="0.25">
      <c r="A231" s="13" t="s">
        <v>9</v>
      </c>
      <c r="B231" s="13" t="s">
        <v>657</v>
      </c>
      <c r="C231" s="13" t="s">
        <v>340</v>
      </c>
      <c r="D231" s="13" t="s">
        <v>658</v>
      </c>
      <c r="E231" s="14" t="s">
        <v>659</v>
      </c>
      <c r="F231" s="14" t="s">
        <v>660</v>
      </c>
      <c r="G231" s="15">
        <v>25389.509999999995</v>
      </c>
      <c r="H231" s="15">
        <v>4196.5600000000004</v>
      </c>
      <c r="I231" s="15">
        <v>4020.9600000000005</v>
      </c>
      <c r="J231" s="15">
        <v>33607.03</v>
      </c>
    </row>
    <row r="232" spans="1:10" x14ac:dyDescent="0.25">
      <c r="A232" s="13" t="s">
        <v>15</v>
      </c>
      <c r="B232" s="13" t="s">
        <v>661</v>
      </c>
      <c r="C232" s="13" t="s">
        <v>94</v>
      </c>
      <c r="D232" s="13" t="s">
        <v>255</v>
      </c>
      <c r="E232" s="14" t="s">
        <v>300</v>
      </c>
      <c r="F232" s="14" t="s">
        <v>19</v>
      </c>
      <c r="G232" s="15">
        <v>30435.399999999991</v>
      </c>
      <c r="H232" s="15">
        <v>69.47</v>
      </c>
      <c r="I232" s="15">
        <v>2945.7900000000004</v>
      </c>
      <c r="J232" s="15">
        <v>33450.659999999996</v>
      </c>
    </row>
    <row r="233" spans="1:10" x14ac:dyDescent="0.25">
      <c r="A233" s="13" t="s">
        <v>9</v>
      </c>
      <c r="B233" s="13" t="s">
        <v>662</v>
      </c>
      <c r="C233" s="13" t="s">
        <v>38</v>
      </c>
      <c r="D233" s="13" t="s">
        <v>663</v>
      </c>
      <c r="E233" s="14" t="s">
        <v>664</v>
      </c>
      <c r="F233" s="14" t="s">
        <v>665</v>
      </c>
      <c r="G233" s="15">
        <v>20349.509999999998</v>
      </c>
      <c r="H233" s="15">
        <v>2187.1999999999998</v>
      </c>
      <c r="I233" s="15">
        <v>10817.98</v>
      </c>
      <c r="J233" s="15">
        <v>33354.69</v>
      </c>
    </row>
    <row r="234" spans="1:10" x14ac:dyDescent="0.25">
      <c r="A234" s="13" t="s">
        <v>9</v>
      </c>
      <c r="B234" s="13" t="s">
        <v>666</v>
      </c>
      <c r="C234" s="13" t="s">
        <v>68</v>
      </c>
      <c r="D234" s="13" t="s">
        <v>667</v>
      </c>
      <c r="E234" s="14" t="s">
        <v>668</v>
      </c>
      <c r="F234" s="14" t="s">
        <v>669</v>
      </c>
      <c r="G234" s="15">
        <v>23972.910000000003</v>
      </c>
      <c r="H234" s="15">
        <v>1993.5099999999998</v>
      </c>
      <c r="I234" s="15">
        <v>7320.1900000000005</v>
      </c>
      <c r="J234" s="15">
        <v>33286.61</v>
      </c>
    </row>
    <row r="235" spans="1:10" x14ac:dyDescent="0.25">
      <c r="A235" s="13" t="s">
        <v>9</v>
      </c>
      <c r="B235" s="13" t="s">
        <v>670</v>
      </c>
      <c r="C235" s="13" t="s">
        <v>43</v>
      </c>
      <c r="D235" s="13" t="s">
        <v>299</v>
      </c>
      <c r="E235" s="14" t="s">
        <v>273</v>
      </c>
      <c r="F235" s="14" t="s">
        <v>671</v>
      </c>
      <c r="G235" s="15">
        <v>18141.98</v>
      </c>
      <c r="H235" s="15">
        <v>9527.39</v>
      </c>
      <c r="I235" s="15">
        <v>5405.28</v>
      </c>
      <c r="J235" s="15">
        <v>33074.65</v>
      </c>
    </row>
    <row r="236" spans="1:10" x14ac:dyDescent="0.25">
      <c r="A236" s="13" t="s">
        <v>15</v>
      </c>
      <c r="B236" s="13" t="s">
        <v>672</v>
      </c>
      <c r="C236" s="13" t="s">
        <v>523</v>
      </c>
      <c r="D236" s="13" t="s">
        <v>609</v>
      </c>
      <c r="E236" s="14" t="s">
        <v>673</v>
      </c>
      <c r="F236" s="14" t="s">
        <v>19</v>
      </c>
      <c r="G236" s="15">
        <v>27855.37</v>
      </c>
      <c r="H236" s="15">
        <v>200.34000000000003</v>
      </c>
      <c r="I236" s="15">
        <v>4830.3499999999995</v>
      </c>
      <c r="J236" s="15">
        <v>32886.06</v>
      </c>
    </row>
    <row r="237" spans="1:10" x14ac:dyDescent="0.25">
      <c r="A237" s="13" t="s">
        <v>9</v>
      </c>
      <c r="B237" s="13" t="s">
        <v>674</v>
      </c>
      <c r="C237" s="13" t="s">
        <v>216</v>
      </c>
      <c r="D237" s="13" t="s">
        <v>675</v>
      </c>
      <c r="E237" s="14" t="s">
        <v>536</v>
      </c>
      <c r="F237" s="14" t="s">
        <v>676</v>
      </c>
      <c r="G237" s="15">
        <v>28567.07</v>
      </c>
      <c r="H237" s="15">
        <v>70.05</v>
      </c>
      <c r="I237" s="15">
        <v>4144.3999999999996</v>
      </c>
      <c r="J237" s="15">
        <v>32781.520000000004</v>
      </c>
    </row>
    <row r="238" spans="1:10" x14ac:dyDescent="0.25">
      <c r="A238" s="13" t="s">
        <v>9</v>
      </c>
      <c r="B238" s="13" t="s">
        <v>677</v>
      </c>
      <c r="C238" s="13" t="s">
        <v>94</v>
      </c>
      <c r="D238" s="13" t="s">
        <v>678</v>
      </c>
      <c r="E238" s="14" t="s">
        <v>679</v>
      </c>
      <c r="F238" s="14" t="s">
        <v>680</v>
      </c>
      <c r="G238" s="15">
        <v>22188.010000000002</v>
      </c>
      <c r="H238" s="15">
        <v>750.12999999999988</v>
      </c>
      <c r="I238" s="15">
        <v>9811.4600000000009</v>
      </c>
      <c r="J238" s="15">
        <v>32749.600000000002</v>
      </c>
    </row>
    <row r="239" spans="1:10" x14ac:dyDescent="0.25">
      <c r="A239" s="13" t="s">
        <v>15</v>
      </c>
      <c r="B239" s="13" t="s">
        <v>681</v>
      </c>
      <c r="C239" s="13" t="s">
        <v>68</v>
      </c>
      <c r="D239" s="13" t="s">
        <v>499</v>
      </c>
      <c r="E239" s="14" t="s">
        <v>682</v>
      </c>
      <c r="F239" s="14" t="s">
        <v>19</v>
      </c>
      <c r="G239" s="15">
        <v>24423.75</v>
      </c>
      <c r="H239" s="15">
        <v>2839.16</v>
      </c>
      <c r="I239" s="15">
        <v>5226.3099999999995</v>
      </c>
      <c r="J239" s="15">
        <v>32489.220000000005</v>
      </c>
    </row>
    <row r="240" spans="1:10" x14ac:dyDescent="0.25">
      <c r="A240" s="13" t="s">
        <v>9</v>
      </c>
      <c r="B240" s="13" t="s">
        <v>683</v>
      </c>
      <c r="C240" s="13" t="s">
        <v>188</v>
      </c>
      <c r="D240" s="13" t="s">
        <v>684</v>
      </c>
      <c r="E240" s="14" t="s">
        <v>685</v>
      </c>
      <c r="F240" s="14" t="s">
        <v>686</v>
      </c>
      <c r="G240" s="15">
        <v>24430.7</v>
      </c>
      <c r="H240" s="15">
        <v>3732.6700000000005</v>
      </c>
      <c r="I240" s="15">
        <v>4204.42</v>
      </c>
      <c r="J240" s="15">
        <v>32367.790000000005</v>
      </c>
    </row>
    <row r="241" spans="1:10" x14ac:dyDescent="0.25">
      <c r="A241" s="13" t="s">
        <v>9</v>
      </c>
      <c r="B241" s="13" t="s">
        <v>687</v>
      </c>
      <c r="C241" s="13" t="s">
        <v>21</v>
      </c>
      <c r="D241" s="13" t="s">
        <v>484</v>
      </c>
      <c r="E241" s="14" t="s">
        <v>431</v>
      </c>
      <c r="F241" s="14" t="s">
        <v>688</v>
      </c>
      <c r="G241" s="15">
        <v>24062.65</v>
      </c>
      <c r="H241" s="15">
        <v>1352.93</v>
      </c>
      <c r="I241" s="15">
        <v>6790.6500000000005</v>
      </c>
      <c r="J241" s="15">
        <v>32206.23</v>
      </c>
    </row>
    <row r="242" spans="1:10" x14ac:dyDescent="0.25">
      <c r="A242" s="13" t="s">
        <v>9</v>
      </c>
      <c r="B242" s="13" t="s">
        <v>689</v>
      </c>
      <c r="C242" s="13" t="s">
        <v>94</v>
      </c>
      <c r="D242" s="13" t="s">
        <v>565</v>
      </c>
      <c r="E242" s="14" t="s">
        <v>690</v>
      </c>
      <c r="F242" s="14" t="s">
        <v>691</v>
      </c>
      <c r="G242" s="15">
        <v>26218.649999999994</v>
      </c>
      <c r="H242" s="15">
        <v>96.259999999999991</v>
      </c>
      <c r="I242" s="15">
        <v>5889.08</v>
      </c>
      <c r="J242" s="15">
        <v>32203.99</v>
      </c>
    </row>
    <row r="243" spans="1:10" x14ac:dyDescent="0.25">
      <c r="A243" s="13" t="s">
        <v>9</v>
      </c>
      <c r="B243" s="13" t="s">
        <v>692</v>
      </c>
      <c r="C243" s="13" t="s">
        <v>477</v>
      </c>
      <c r="D243" s="13" t="s">
        <v>693</v>
      </c>
      <c r="E243" s="14" t="s">
        <v>482</v>
      </c>
      <c r="F243" s="14" t="s">
        <v>694</v>
      </c>
      <c r="G243" s="15">
        <v>25219.100000000006</v>
      </c>
      <c r="H243" s="15">
        <v>56</v>
      </c>
      <c r="I243" s="15">
        <v>6802.6699999999983</v>
      </c>
      <c r="J243" s="15">
        <v>32077.769999999997</v>
      </c>
    </row>
    <row r="244" spans="1:10" x14ac:dyDescent="0.25">
      <c r="A244" s="13" t="s">
        <v>15</v>
      </c>
      <c r="B244" s="13" t="s">
        <v>695</v>
      </c>
      <c r="C244" s="13" t="s">
        <v>43</v>
      </c>
      <c r="D244" s="13" t="s">
        <v>696</v>
      </c>
      <c r="E244" s="14" t="s">
        <v>690</v>
      </c>
      <c r="F244" s="14" t="s">
        <v>19</v>
      </c>
      <c r="G244" s="15">
        <v>28977.280000000006</v>
      </c>
      <c r="H244" s="15">
        <v>670.99000000000012</v>
      </c>
      <c r="I244" s="15">
        <v>2267.4799999999996</v>
      </c>
      <c r="J244" s="15">
        <v>31915.749999999996</v>
      </c>
    </row>
    <row r="245" spans="1:10" x14ac:dyDescent="0.25">
      <c r="A245" s="13" t="s">
        <v>15</v>
      </c>
      <c r="B245" s="13" t="s">
        <v>697</v>
      </c>
      <c r="C245" s="13" t="s">
        <v>68</v>
      </c>
      <c r="D245" s="13" t="s">
        <v>617</v>
      </c>
      <c r="E245" s="14" t="s">
        <v>92</v>
      </c>
      <c r="F245" s="14" t="s">
        <v>19</v>
      </c>
      <c r="G245" s="15">
        <v>25334.819999999996</v>
      </c>
      <c r="H245" s="15">
        <v>3302.62</v>
      </c>
      <c r="I245" s="15">
        <v>3243.72</v>
      </c>
      <c r="J245" s="15">
        <v>31881.16</v>
      </c>
    </row>
    <row r="246" spans="1:10" x14ac:dyDescent="0.25">
      <c r="A246" s="13" t="s">
        <v>15</v>
      </c>
      <c r="B246" s="13" t="s">
        <v>698</v>
      </c>
      <c r="C246" s="13" t="s">
        <v>21</v>
      </c>
      <c r="D246" s="13" t="s">
        <v>484</v>
      </c>
      <c r="E246" s="14" t="s">
        <v>360</v>
      </c>
      <c r="F246" s="14" t="s">
        <v>19</v>
      </c>
      <c r="G246" s="15">
        <v>26654.799999999999</v>
      </c>
      <c r="H246" s="15">
        <v>502.54</v>
      </c>
      <c r="I246" s="15">
        <v>4672.1000000000004</v>
      </c>
      <c r="J246" s="15">
        <v>31829.439999999999</v>
      </c>
    </row>
    <row r="247" spans="1:10" x14ac:dyDescent="0.25">
      <c r="A247" s="13" t="s">
        <v>9</v>
      </c>
      <c r="B247" s="13" t="s">
        <v>699</v>
      </c>
      <c r="C247" s="13" t="s">
        <v>178</v>
      </c>
      <c r="D247" s="13" t="s">
        <v>700</v>
      </c>
      <c r="E247" s="14" t="s">
        <v>701</v>
      </c>
      <c r="F247" s="14" t="s">
        <v>364</v>
      </c>
      <c r="G247" s="15">
        <v>21105.439999999999</v>
      </c>
      <c r="H247" s="15">
        <v>6.91</v>
      </c>
      <c r="I247" s="15">
        <v>10622.130000000003</v>
      </c>
      <c r="J247" s="15">
        <v>31734.479999999996</v>
      </c>
    </row>
    <row r="248" spans="1:10" x14ac:dyDescent="0.25">
      <c r="A248" s="13" t="s">
        <v>9</v>
      </c>
      <c r="B248" s="13" t="s">
        <v>702</v>
      </c>
      <c r="C248" s="13" t="s">
        <v>43</v>
      </c>
      <c r="D248" s="13" t="s">
        <v>558</v>
      </c>
      <c r="E248" s="14" t="s">
        <v>428</v>
      </c>
      <c r="F248" s="14" t="s">
        <v>703</v>
      </c>
      <c r="G248" s="15">
        <v>26078.830000000005</v>
      </c>
      <c r="H248" s="15">
        <v>159.26999999999998</v>
      </c>
      <c r="I248" s="15">
        <v>5430.8</v>
      </c>
      <c r="J248" s="15">
        <v>31668.9</v>
      </c>
    </row>
    <row r="249" spans="1:10" x14ac:dyDescent="0.25">
      <c r="A249" s="13" t="s">
        <v>15</v>
      </c>
      <c r="B249" s="13" t="s">
        <v>704</v>
      </c>
      <c r="C249" s="13" t="s">
        <v>21</v>
      </c>
      <c r="D249" s="13" t="s">
        <v>640</v>
      </c>
      <c r="E249" s="14" t="s">
        <v>504</v>
      </c>
      <c r="F249" s="14" t="s">
        <v>19</v>
      </c>
      <c r="G249" s="15">
        <v>26045.88</v>
      </c>
      <c r="H249" s="15">
        <v>423.7999999999999</v>
      </c>
      <c r="I249" s="15">
        <v>5107.6600000000017</v>
      </c>
      <c r="J249" s="15">
        <v>31577.34</v>
      </c>
    </row>
    <row r="250" spans="1:10" x14ac:dyDescent="0.25">
      <c r="A250" s="13" t="s">
        <v>9</v>
      </c>
      <c r="B250" s="13" t="s">
        <v>705</v>
      </c>
      <c r="C250" s="13" t="s">
        <v>21</v>
      </c>
      <c r="D250" s="13" t="s">
        <v>484</v>
      </c>
      <c r="E250" s="14" t="s">
        <v>504</v>
      </c>
      <c r="F250" s="14" t="s">
        <v>706</v>
      </c>
      <c r="G250" s="15">
        <v>23967.969999999998</v>
      </c>
      <c r="H250" s="15">
        <v>368.02</v>
      </c>
      <c r="I250" s="15">
        <v>6915.62</v>
      </c>
      <c r="J250" s="15">
        <v>31251.61</v>
      </c>
    </row>
    <row r="251" spans="1:10" x14ac:dyDescent="0.25">
      <c r="A251" s="13" t="s">
        <v>15</v>
      </c>
      <c r="B251" s="13" t="s">
        <v>707</v>
      </c>
      <c r="C251" s="13" t="s">
        <v>241</v>
      </c>
      <c r="D251" s="13" t="s">
        <v>376</v>
      </c>
      <c r="E251" s="14" t="s">
        <v>243</v>
      </c>
      <c r="F251" s="14" t="s">
        <v>19</v>
      </c>
      <c r="G251" s="15">
        <v>25281.97</v>
      </c>
      <c r="H251" s="15">
        <v>251.14000000000001</v>
      </c>
      <c r="I251" s="15">
        <v>5701.3300000000008</v>
      </c>
      <c r="J251" s="15">
        <v>31234.440000000006</v>
      </c>
    </row>
    <row r="252" spans="1:10" x14ac:dyDescent="0.25">
      <c r="A252" s="13" t="s">
        <v>9</v>
      </c>
      <c r="B252" s="13" t="s">
        <v>708</v>
      </c>
      <c r="C252" s="13" t="s">
        <v>206</v>
      </c>
      <c r="D252" s="13" t="s">
        <v>558</v>
      </c>
      <c r="E252" s="14" t="s">
        <v>709</v>
      </c>
      <c r="F252" s="14" t="s">
        <v>710</v>
      </c>
      <c r="G252" s="15">
        <v>24978.530000000002</v>
      </c>
      <c r="H252" s="15">
        <v>499.6</v>
      </c>
      <c r="I252" s="15">
        <v>5718.9000000000005</v>
      </c>
      <c r="J252" s="15">
        <v>31197.030000000002</v>
      </c>
    </row>
    <row r="253" spans="1:10" x14ac:dyDescent="0.25">
      <c r="A253" s="13" t="s">
        <v>9</v>
      </c>
      <c r="B253" s="13" t="s">
        <v>711</v>
      </c>
      <c r="C253" s="13" t="s">
        <v>43</v>
      </c>
      <c r="D253" s="13" t="s">
        <v>696</v>
      </c>
      <c r="E253" s="14" t="s">
        <v>712</v>
      </c>
      <c r="F253" s="14" t="s">
        <v>145</v>
      </c>
      <c r="G253" s="15">
        <v>26569.22</v>
      </c>
      <c r="H253" s="15">
        <v>317.26</v>
      </c>
      <c r="I253" s="15">
        <v>4288.0199999999995</v>
      </c>
      <c r="J253" s="15">
        <v>31174.500000000004</v>
      </c>
    </row>
    <row r="254" spans="1:10" x14ac:dyDescent="0.25">
      <c r="A254" s="13" t="s">
        <v>9</v>
      </c>
      <c r="B254" s="13" t="s">
        <v>713</v>
      </c>
      <c r="C254" s="13" t="s">
        <v>94</v>
      </c>
      <c r="D254" s="13" t="s">
        <v>714</v>
      </c>
      <c r="E254" s="14" t="s">
        <v>715</v>
      </c>
      <c r="F254" s="14" t="s">
        <v>716</v>
      </c>
      <c r="G254" s="15">
        <v>22158.510000000002</v>
      </c>
      <c r="H254" s="15">
        <v>272.57000000000005</v>
      </c>
      <c r="I254" s="15">
        <v>8454.2799999999988</v>
      </c>
      <c r="J254" s="15">
        <v>30885.360000000001</v>
      </c>
    </row>
    <row r="255" spans="1:10" x14ac:dyDescent="0.25">
      <c r="A255" s="13" t="s">
        <v>15</v>
      </c>
      <c r="B255" s="13" t="s">
        <v>717</v>
      </c>
      <c r="C255" s="13" t="s">
        <v>581</v>
      </c>
      <c r="D255" s="13" t="s">
        <v>718</v>
      </c>
      <c r="E255" s="14" t="s">
        <v>719</v>
      </c>
      <c r="F255" s="14" t="s">
        <v>19</v>
      </c>
      <c r="G255" s="15">
        <v>26493.940000000002</v>
      </c>
      <c r="H255" s="15">
        <v>361.71000000000009</v>
      </c>
      <c r="I255" s="15">
        <v>3910.15</v>
      </c>
      <c r="J255" s="15">
        <v>30765.8</v>
      </c>
    </row>
    <row r="256" spans="1:10" x14ac:dyDescent="0.25">
      <c r="A256" s="13" t="s">
        <v>9</v>
      </c>
      <c r="B256" s="13" t="s">
        <v>720</v>
      </c>
      <c r="C256" s="13" t="s">
        <v>477</v>
      </c>
      <c r="D256" s="13" t="s">
        <v>721</v>
      </c>
      <c r="E256" s="14" t="s">
        <v>722</v>
      </c>
      <c r="F256" s="14" t="s">
        <v>723</v>
      </c>
      <c r="G256" s="15">
        <v>24524.780000000006</v>
      </c>
      <c r="H256" s="15">
        <v>67.460000000000008</v>
      </c>
      <c r="I256" s="15">
        <v>6154.1799999999985</v>
      </c>
      <c r="J256" s="15">
        <v>30746.419999999991</v>
      </c>
    </row>
    <row r="257" spans="1:10" x14ac:dyDescent="0.25">
      <c r="A257" s="13" t="s">
        <v>15</v>
      </c>
      <c r="B257" s="13" t="s">
        <v>724</v>
      </c>
      <c r="C257" s="13" t="s">
        <v>241</v>
      </c>
      <c r="D257" s="13" t="s">
        <v>725</v>
      </c>
      <c r="E257" s="14" t="s">
        <v>138</v>
      </c>
      <c r="F257" s="14" t="s">
        <v>19</v>
      </c>
      <c r="G257" s="15">
        <v>24078.19</v>
      </c>
      <c r="H257" s="15">
        <v>295.3</v>
      </c>
      <c r="I257" s="15">
        <v>6128.8199999999988</v>
      </c>
      <c r="J257" s="15">
        <v>30502.309999999998</v>
      </c>
    </row>
    <row r="258" spans="1:10" x14ac:dyDescent="0.25">
      <c r="A258" s="13" t="s">
        <v>9</v>
      </c>
      <c r="B258" s="13" t="s">
        <v>726</v>
      </c>
      <c r="C258" s="13" t="s">
        <v>340</v>
      </c>
      <c r="D258" s="13" t="s">
        <v>727</v>
      </c>
      <c r="E258" s="14" t="s">
        <v>728</v>
      </c>
      <c r="F258" s="14" t="s">
        <v>354</v>
      </c>
      <c r="G258" s="15">
        <v>24132.76</v>
      </c>
      <c r="H258" s="15">
        <v>2202.2899999999995</v>
      </c>
      <c r="I258" s="15">
        <v>4160.92</v>
      </c>
      <c r="J258" s="15">
        <v>30495.969999999998</v>
      </c>
    </row>
    <row r="259" spans="1:10" x14ac:dyDescent="0.25">
      <c r="A259" s="13" t="s">
        <v>15</v>
      </c>
      <c r="B259" s="13" t="s">
        <v>729</v>
      </c>
      <c r="C259" s="13" t="s">
        <v>94</v>
      </c>
      <c r="D259" s="13" t="s">
        <v>565</v>
      </c>
      <c r="E259" s="14" t="s">
        <v>473</v>
      </c>
      <c r="F259" s="14" t="s">
        <v>19</v>
      </c>
      <c r="G259" s="15">
        <v>25077.170000000002</v>
      </c>
      <c r="H259" s="15">
        <v>1371.51</v>
      </c>
      <c r="I259" s="15">
        <v>4013.3399999999997</v>
      </c>
      <c r="J259" s="15">
        <v>30462.02</v>
      </c>
    </row>
    <row r="260" spans="1:10" x14ac:dyDescent="0.25">
      <c r="A260" s="13" t="s">
        <v>15</v>
      </c>
      <c r="B260" s="13" t="s">
        <v>730</v>
      </c>
      <c r="C260" s="13" t="s">
        <v>94</v>
      </c>
      <c r="D260" s="13" t="s">
        <v>565</v>
      </c>
      <c r="E260" s="14" t="s">
        <v>456</v>
      </c>
      <c r="F260" s="14" t="s">
        <v>19</v>
      </c>
      <c r="G260" s="15">
        <v>23729.469999999998</v>
      </c>
      <c r="H260" s="15">
        <v>1241.7900000000002</v>
      </c>
      <c r="I260" s="15">
        <v>5355.9800000000005</v>
      </c>
      <c r="J260" s="15">
        <v>30327.239999999998</v>
      </c>
    </row>
    <row r="261" spans="1:10" x14ac:dyDescent="0.25">
      <c r="A261" s="13" t="s">
        <v>15</v>
      </c>
      <c r="B261" s="13" t="s">
        <v>731</v>
      </c>
      <c r="C261" s="13" t="s">
        <v>140</v>
      </c>
      <c r="D261" s="13" t="s">
        <v>558</v>
      </c>
      <c r="E261" s="14" t="s">
        <v>732</v>
      </c>
      <c r="F261" s="14" t="s">
        <v>19</v>
      </c>
      <c r="G261" s="15">
        <v>25940.30000000001</v>
      </c>
      <c r="H261" s="15">
        <v>73.98</v>
      </c>
      <c r="I261" s="15">
        <v>4009.85</v>
      </c>
      <c r="J261" s="15">
        <v>30024.129999999997</v>
      </c>
    </row>
    <row r="262" spans="1:10" x14ac:dyDescent="0.25">
      <c r="A262" s="13" t="s">
        <v>15</v>
      </c>
      <c r="B262" s="13" t="s">
        <v>733</v>
      </c>
      <c r="C262" s="13" t="s">
        <v>241</v>
      </c>
      <c r="D262" s="13" t="s">
        <v>734</v>
      </c>
      <c r="E262" s="14" t="s">
        <v>407</v>
      </c>
      <c r="F262" s="14" t="s">
        <v>19</v>
      </c>
      <c r="G262" s="15">
        <v>21200.159999999996</v>
      </c>
      <c r="H262" s="15">
        <v>2868.6500000000005</v>
      </c>
      <c r="I262" s="15">
        <v>5849.4400000000005</v>
      </c>
      <c r="J262" s="15">
        <v>29918.25</v>
      </c>
    </row>
    <row r="263" spans="1:10" x14ac:dyDescent="0.25">
      <c r="A263" s="13" t="s">
        <v>15</v>
      </c>
      <c r="B263" s="13" t="s">
        <v>735</v>
      </c>
      <c r="C263" s="13" t="s">
        <v>21</v>
      </c>
      <c r="D263" s="13" t="s">
        <v>484</v>
      </c>
      <c r="E263" s="14" t="s">
        <v>518</v>
      </c>
      <c r="F263" s="14" t="s">
        <v>19</v>
      </c>
      <c r="G263" s="15">
        <v>25407.610000000004</v>
      </c>
      <c r="H263" s="15">
        <v>1137.8900000000001</v>
      </c>
      <c r="I263" s="15">
        <v>3324.9100000000003</v>
      </c>
      <c r="J263" s="15">
        <v>29870.410000000003</v>
      </c>
    </row>
    <row r="264" spans="1:10" x14ac:dyDescent="0.25">
      <c r="A264" s="13" t="s">
        <v>15</v>
      </c>
      <c r="B264" s="13" t="s">
        <v>736</v>
      </c>
      <c r="C264" s="13" t="s">
        <v>68</v>
      </c>
      <c r="D264" s="13" t="s">
        <v>617</v>
      </c>
      <c r="E264" s="14" t="s">
        <v>579</v>
      </c>
      <c r="F264" s="14" t="s">
        <v>19</v>
      </c>
      <c r="G264" s="15">
        <v>22311.629999999997</v>
      </c>
      <c r="H264" s="15">
        <v>2555.52</v>
      </c>
      <c r="I264" s="15">
        <v>4777.5800000000008</v>
      </c>
      <c r="J264" s="15">
        <v>29644.73</v>
      </c>
    </row>
    <row r="265" spans="1:10" x14ac:dyDescent="0.25">
      <c r="A265" s="13" t="s">
        <v>9</v>
      </c>
      <c r="B265" s="13" t="s">
        <v>737</v>
      </c>
      <c r="C265" s="13" t="s">
        <v>21</v>
      </c>
      <c r="D265" s="13" t="s">
        <v>484</v>
      </c>
      <c r="E265" s="14" t="s">
        <v>360</v>
      </c>
      <c r="F265" s="14" t="s">
        <v>738</v>
      </c>
      <c r="G265" s="15">
        <v>17908.330000000005</v>
      </c>
      <c r="H265" s="15">
        <v>377.57999999999993</v>
      </c>
      <c r="I265" s="15">
        <v>11116.960000000001</v>
      </c>
      <c r="J265" s="15">
        <v>29402.870000000003</v>
      </c>
    </row>
    <row r="266" spans="1:10" x14ac:dyDescent="0.25">
      <c r="A266" s="13" t="s">
        <v>15</v>
      </c>
      <c r="B266" s="13" t="s">
        <v>739</v>
      </c>
      <c r="C266" s="13" t="s">
        <v>241</v>
      </c>
      <c r="D266" s="13" t="s">
        <v>725</v>
      </c>
      <c r="E266" s="14" t="s">
        <v>668</v>
      </c>
      <c r="F266" s="14" t="s">
        <v>19</v>
      </c>
      <c r="G266" s="15">
        <v>23626.859999999997</v>
      </c>
      <c r="H266" s="15">
        <v>208.60000000000002</v>
      </c>
      <c r="I266" s="15">
        <v>5474.55</v>
      </c>
      <c r="J266" s="15">
        <v>29310.01</v>
      </c>
    </row>
    <row r="267" spans="1:10" x14ac:dyDescent="0.25">
      <c r="A267" s="13" t="s">
        <v>15</v>
      </c>
      <c r="B267" s="13" t="s">
        <v>740</v>
      </c>
      <c r="C267" s="13" t="s">
        <v>314</v>
      </c>
      <c r="D267" s="13" t="s">
        <v>741</v>
      </c>
      <c r="E267" s="14" t="s">
        <v>742</v>
      </c>
      <c r="F267" s="14" t="s">
        <v>19</v>
      </c>
      <c r="G267" s="15">
        <v>23665.440000000002</v>
      </c>
      <c r="H267" s="15">
        <v>77.95</v>
      </c>
      <c r="I267" s="15">
        <v>5146.53</v>
      </c>
      <c r="J267" s="15">
        <v>28889.919999999998</v>
      </c>
    </row>
    <row r="268" spans="1:10" x14ac:dyDescent="0.25">
      <c r="A268" s="13" t="s">
        <v>15</v>
      </c>
      <c r="B268" s="13" t="s">
        <v>743</v>
      </c>
      <c r="C268" s="13" t="s">
        <v>21</v>
      </c>
      <c r="D268" s="13" t="s">
        <v>551</v>
      </c>
      <c r="E268" s="14" t="s">
        <v>453</v>
      </c>
      <c r="F268" s="14" t="s">
        <v>19</v>
      </c>
      <c r="G268" s="15">
        <v>22822.959999999999</v>
      </c>
      <c r="H268" s="15">
        <v>2076.77</v>
      </c>
      <c r="I268" s="15">
        <v>3761.2799999999997</v>
      </c>
      <c r="J268" s="15">
        <v>28661.01</v>
      </c>
    </row>
    <row r="269" spans="1:10" x14ac:dyDescent="0.25">
      <c r="A269" s="13" t="s">
        <v>9</v>
      </c>
      <c r="B269" s="13" t="s">
        <v>744</v>
      </c>
      <c r="C269" s="13" t="s">
        <v>745</v>
      </c>
      <c r="D269" s="13" t="s">
        <v>746</v>
      </c>
      <c r="E269" s="14" t="s">
        <v>747</v>
      </c>
      <c r="F269" s="14" t="s">
        <v>748</v>
      </c>
      <c r="G269" s="15">
        <v>21433.089999999997</v>
      </c>
      <c r="H269" s="15">
        <v>124.23</v>
      </c>
      <c r="I269" s="15">
        <v>7099.1399999999985</v>
      </c>
      <c r="J269" s="15">
        <v>28656.460000000006</v>
      </c>
    </row>
    <row r="270" spans="1:10" x14ac:dyDescent="0.25">
      <c r="A270" s="13" t="s">
        <v>15</v>
      </c>
      <c r="B270" s="13" t="s">
        <v>749</v>
      </c>
      <c r="C270" s="13" t="s">
        <v>188</v>
      </c>
      <c r="D270" s="13" t="s">
        <v>684</v>
      </c>
      <c r="E270" s="14" t="s">
        <v>750</v>
      </c>
      <c r="F270" s="14" t="s">
        <v>19</v>
      </c>
      <c r="G270" s="15">
        <v>21238.81</v>
      </c>
      <c r="H270" s="15">
        <v>2594.8800000000006</v>
      </c>
      <c r="I270" s="15">
        <v>4794.3700000000008</v>
      </c>
      <c r="J270" s="15">
        <v>28628.059999999998</v>
      </c>
    </row>
    <row r="271" spans="1:10" x14ac:dyDescent="0.25">
      <c r="A271" s="13" t="s">
        <v>9</v>
      </c>
      <c r="B271" s="13" t="s">
        <v>751</v>
      </c>
      <c r="C271" s="13" t="s">
        <v>188</v>
      </c>
      <c r="D271" s="13" t="s">
        <v>752</v>
      </c>
      <c r="E271" s="14" t="s">
        <v>423</v>
      </c>
      <c r="F271" s="14" t="s">
        <v>753</v>
      </c>
      <c r="G271" s="15">
        <v>21553.500000000004</v>
      </c>
      <c r="H271" s="15">
        <v>1353.0600000000002</v>
      </c>
      <c r="I271" s="15">
        <v>5588.1500000000005</v>
      </c>
      <c r="J271" s="15">
        <v>28494.709999999995</v>
      </c>
    </row>
    <row r="272" spans="1:10" x14ac:dyDescent="0.25">
      <c r="A272" s="13" t="s">
        <v>9</v>
      </c>
      <c r="B272" s="13" t="s">
        <v>754</v>
      </c>
      <c r="C272" s="13" t="s">
        <v>43</v>
      </c>
      <c r="D272" s="13" t="s">
        <v>562</v>
      </c>
      <c r="E272" s="14" t="s">
        <v>563</v>
      </c>
      <c r="F272" s="14" t="s">
        <v>755</v>
      </c>
      <c r="G272" s="15">
        <v>16018.679999999997</v>
      </c>
      <c r="H272" s="15">
        <v>9729.89</v>
      </c>
      <c r="I272" s="15">
        <v>2723.24</v>
      </c>
      <c r="J272" s="15">
        <v>28471.81</v>
      </c>
    </row>
    <row r="273" spans="1:10" x14ac:dyDescent="0.25">
      <c r="A273" s="13" t="s">
        <v>9</v>
      </c>
      <c r="B273" s="13" t="s">
        <v>756</v>
      </c>
      <c r="C273" s="13" t="s">
        <v>21</v>
      </c>
      <c r="D273" s="13" t="s">
        <v>757</v>
      </c>
      <c r="E273" s="14" t="s">
        <v>493</v>
      </c>
      <c r="F273" s="14" t="s">
        <v>758</v>
      </c>
      <c r="G273" s="15">
        <v>21633.620000000003</v>
      </c>
      <c r="H273" s="15">
        <v>2296.2600000000002</v>
      </c>
      <c r="I273" s="15">
        <v>4422.41</v>
      </c>
      <c r="J273" s="15">
        <v>28352.29</v>
      </c>
    </row>
    <row r="274" spans="1:10" x14ac:dyDescent="0.25">
      <c r="A274" s="13" t="s">
        <v>15</v>
      </c>
      <c r="B274" s="13" t="s">
        <v>759</v>
      </c>
      <c r="C274" s="13" t="s">
        <v>21</v>
      </c>
      <c r="D274" s="13" t="s">
        <v>757</v>
      </c>
      <c r="E274" s="14" t="s">
        <v>473</v>
      </c>
      <c r="F274" s="14" t="s">
        <v>19</v>
      </c>
      <c r="G274" s="15">
        <v>22389.520000000004</v>
      </c>
      <c r="H274" s="15">
        <v>2624.1800000000003</v>
      </c>
      <c r="I274" s="15">
        <v>3305.2</v>
      </c>
      <c r="J274" s="15">
        <v>28318.9</v>
      </c>
    </row>
    <row r="275" spans="1:10" x14ac:dyDescent="0.25">
      <c r="A275" s="13" t="s">
        <v>9</v>
      </c>
      <c r="B275" s="13" t="s">
        <v>760</v>
      </c>
      <c r="C275" s="13" t="s">
        <v>21</v>
      </c>
      <c r="D275" s="13" t="s">
        <v>757</v>
      </c>
      <c r="E275" s="14" t="s">
        <v>402</v>
      </c>
      <c r="F275" s="14" t="s">
        <v>761</v>
      </c>
      <c r="G275" s="15">
        <v>22584.099999999995</v>
      </c>
      <c r="H275" s="15">
        <v>1667.6599999999999</v>
      </c>
      <c r="I275" s="15">
        <v>4025.8499999999995</v>
      </c>
      <c r="J275" s="15">
        <v>28277.61</v>
      </c>
    </row>
    <row r="276" spans="1:10" x14ac:dyDescent="0.25">
      <c r="A276" s="13" t="s">
        <v>9</v>
      </c>
      <c r="B276" s="13" t="s">
        <v>762</v>
      </c>
      <c r="C276" s="13" t="s">
        <v>43</v>
      </c>
      <c r="D276" s="13" t="s">
        <v>134</v>
      </c>
      <c r="E276" s="14" t="s">
        <v>228</v>
      </c>
      <c r="F276" s="14" t="s">
        <v>763</v>
      </c>
      <c r="G276" s="15">
        <v>24074.819999999992</v>
      </c>
      <c r="H276" s="15">
        <v>2555.66</v>
      </c>
      <c r="I276" s="15">
        <v>1626.67</v>
      </c>
      <c r="J276" s="15">
        <v>28257.149999999994</v>
      </c>
    </row>
    <row r="277" spans="1:10" x14ac:dyDescent="0.25">
      <c r="A277" s="13" t="s">
        <v>15</v>
      </c>
      <c r="B277" s="13" t="s">
        <v>764</v>
      </c>
      <c r="C277" s="13" t="s">
        <v>178</v>
      </c>
      <c r="D277" s="13" t="s">
        <v>765</v>
      </c>
      <c r="E277" s="14" t="s">
        <v>766</v>
      </c>
      <c r="F277" s="14" t="s">
        <v>19</v>
      </c>
      <c r="G277" s="15">
        <v>23218.080000000005</v>
      </c>
      <c r="H277" s="15">
        <v>76.600000000000009</v>
      </c>
      <c r="I277" s="15">
        <v>4935.8200000000006</v>
      </c>
      <c r="J277" s="15">
        <v>28230.500000000004</v>
      </c>
    </row>
    <row r="278" spans="1:10" x14ac:dyDescent="0.25">
      <c r="A278" s="13" t="s">
        <v>15</v>
      </c>
      <c r="B278" s="13" t="s">
        <v>767</v>
      </c>
      <c r="C278" s="13" t="s">
        <v>68</v>
      </c>
      <c r="D278" s="13" t="s">
        <v>617</v>
      </c>
      <c r="E278" s="14" t="s">
        <v>300</v>
      </c>
      <c r="F278" s="14" t="s">
        <v>19</v>
      </c>
      <c r="G278" s="15">
        <v>21607.810000000005</v>
      </c>
      <c r="H278" s="15">
        <v>2548.87</v>
      </c>
      <c r="I278" s="15">
        <v>3882.72</v>
      </c>
      <c r="J278" s="15">
        <v>28039.4</v>
      </c>
    </row>
    <row r="279" spans="1:10" x14ac:dyDescent="0.25">
      <c r="A279" s="13" t="s">
        <v>15</v>
      </c>
      <c r="B279" s="13" t="s">
        <v>768</v>
      </c>
      <c r="C279" s="13" t="s">
        <v>43</v>
      </c>
      <c r="D279" s="13" t="s">
        <v>769</v>
      </c>
      <c r="E279" s="14" t="s">
        <v>605</v>
      </c>
      <c r="F279" s="14" t="s">
        <v>19</v>
      </c>
      <c r="G279" s="15">
        <v>16649.769999999997</v>
      </c>
      <c r="H279" s="15">
        <v>9012.7899999999991</v>
      </c>
      <c r="I279" s="15">
        <v>2220.1</v>
      </c>
      <c r="J279" s="15">
        <v>27882.66</v>
      </c>
    </row>
    <row r="280" spans="1:10" x14ac:dyDescent="0.25">
      <c r="A280" s="13" t="s">
        <v>9</v>
      </c>
      <c r="B280" s="13" t="s">
        <v>770</v>
      </c>
      <c r="C280" s="13" t="s">
        <v>68</v>
      </c>
      <c r="D280" s="13" t="s">
        <v>771</v>
      </c>
      <c r="E280" s="14" t="s">
        <v>772</v>
      </c>
      <c r="F280" s="14" t="s">
        <v>773</v>
      </c>
      <c r="G280" s="15">
        <v>21827.79</v>
      </c>
      <c r="H280" s="15">
        <v>3408.9200000000005</v>
      </c>
      <c r="I280" s="15">
        <v>2445.2100000000005</v>
      </c>
      <c r="J280" s="15">
        <v>27681.919999999998</v>
      </c>
    </row>
    <row r="281" spans="1:10" x14ac:dyDescent="0.25">
      <c r="A281" s="13" t="s">
        <v>9</v>
      </c>
      <c r="B281" s="13" t="s">
        <v>774</v>
      </c>
      <c r="C281" s="13" t="s">
        <v>21</v>
      </c>
      <c r="D281" s="13" t="s">
        <v>558</v>
      </c>
      <c r="E281" s="14" t="s">
        <v>502</v>
      </c>
      <c r="F281" s="14" t="s">
        <v>775</v>
      </c>
      <c r="G281" s="15">
        <v>24292.570000000003</v>
      </c>
      <c r="H281" s="15">
        <v>447.72</v>
      </c>
      <c r="I281" s="15">
        <v>2860.46</v>
      </c>
      <c r="J281" s="15">
        <v>27600.75</v>
      </c>
    </row>
    <row r="282" spans="1:10" x14ac:dyDescent="0.25">
      <c r="A282" s="13" t="s">
        <v>9</v>
      </c>
      <c r="B282" s="13" t="s">
        <v>776</v>
      </c>
      <c r="C282" s="13" t="s">
        <v>68</v>
      </c>
      <c r="D282" s="13" t="s">
        <v>771</v>
      </c>
      <c r="E282" s="14" t="s">
        <v>641</v>
      </c>
      <c r="F282" s="14" t="s">
        <v>777</v>
      </c>
      <c r="G282" s="15">
        <v>21018.5</v>
      </c>
      <c r="H282" s="15">
        <v>2765.79</v>
      </c>
      <c r="I282" s="15">
        <v>3460.8999999999996</v>
      </c>
      <c r="J282" s="15">
        <v>27245.19</v>
      </c>
    </row>
    <row r="283" spans="1:10" x14ac:dyDescent="0.25">
      <c r="A283" s="13" t="s">
        <v>9</v>
      </c>
      <c r="B283" s="13" t="s">
        <v>778</v>
      </c>
      <c r="C283" s="13" t="s">
        <v>581</v>
      </c>
      <c r="D283" s="13" t="s">
        <v>718</v>
      </c>
      <c r="E283" s="14" t="s">
        <v>779</v>
      </c>
      <c r="F283" s="14" t="s">
        <v>780</v>
      </c>
      <c r="G283" s="15">
        <v>21514.610000000004</v>
      </c>
      <c r="H283" s="15">
        <v>2301.1600000000003</v>
      </c>
      <c r="I283" s="15">
        <v>3401.7500000000005</v>
      </c>
      <c r="J283" s="15">
        <v>27217.519999999997</v>
      </c>
    </row>
    <row r="284" spans="1:10" x14ac:dyDescent="0.25">
      <c r="A284" s="13" t="s">
        <v>9</v>
      </c>
      <c r="B284" s="13" t="s">
        <v>781</v>
      </c>
      <c r="C284" s="13" t="s">
        <v>68</v>
      </c>
      <c r="D284" s="13" t="s">
        <v>782</v>
      </c>
      <c r="E284" s="14" t="s">
        <v>772</v>
      </c>
      <c r="F284" s="14" t="s">
        <v>783</v>
      </c>
      <c r="G284" s="15">
        <v>19778.28</v>
      </c>
      <c r="H284" s="15">
        <v>2709.5199999999995</v>
      </c>
      <c r="I284" s="15">
        <v>4440.57</v>
      </c>
      <c r="J284" s="15">
        <v>26928.37</v>
      </c>
    </row>
    <row r="285" spans="1:10" x14ac:dyDescent="0.25">
      <c r="A285" s="13" t="s">
        <v>9</v>
      </c>
      <c r="B285" s="13" t="s">
        <v>784</v>
      </c>
      <c r="C285" s="13" t="s">
        <v>94</v>
      </c>
      <c r="D285" s="13" t="s">
        <v>678</v>
      </c>
      <c r="E285" s="14" t="s">
        <v>785</v>
      </c>
      <c r="F285" s="14" t="s">
        <v>669</v>
      </c>
      <c r="G285" s="15">
        <v>22816.74</v>
      </c>
      <c r="H285" s="15">
        <v>589.02</v>
      </c>
      <c r="I285" s="15">
        <v>3413.0299999999997</v>
      </c>
      <c r="J285" s="15">
        <v>26818.790000000005</v>
      </c>
    </row>
    <row r="286" spans="1:10" x14ac:dyDescent="0.25">
      <c r="A286" s="13" t="s">
        <v>15</v>
      </c>
      <c r="B286" s="13" t="s">
        <v>786</v>
      </c>
      <c r="C286" s="13" t="s">
        <v>43</v>
      </c>
      <c r="D286" s="13" t="s">
        <v>134</v>
      </c>
      <c r="E286" s="14" t="s">
        <v>787</v>
      </c>
      <c r="F286" s="14" t="s">
        <v>19</v>
      </c>
      <c r="G286" s="15">
        <v>19520.880000000005</v>
      </c>
      <c r="H286" s="15">
        <v>299.57</v>
      </c>
      <c r="I286" s="15">
        <v>6838.5599999999995</v>
      </c>
      <c r="J286" s="15">
        <v>26659.01</v>
      </c>
    </row>
    <row r="287" spans="1:10" x14ac:dyDescent="0.25">
      <c r="A287" s="13" t="s">
        <v>15</v>
      </c>
      <c r="B287" s="13" t="s">
        <v>788</v>
      </c>
      <c r="C287" s="13" t="s">
        <v>119</v>
      </c>
      <c r="D287" s="13" t="s">
        <v>789</v>
      </c>
      <c r="E287" s="14" t="s">
        <v>381</v>
      </c>
      <c r="F287" s="14" t="s">
        <v>19</v>
      </c>
      <c r="G287" s="15">
        <v>22133.19</v>
      </c>
      <c r="H287" s="15">
        <v>80.56</v>
      </c>
      <c r="I287" s="15">
        <v>4417.6299999999992</v>
      </c>
      <c r="J287" s="15">
        <v>26631.380000000005</v>
      </c>
    </row>
    <row r="288" spans="1:10" x14ac:dyDescent="0.25">
      <c r="A288" s="13" t="s">
        <v>9</v>
      </c>
      <c r="B288" s="13" t="s">
        <v>790</v>
      </c>
      <c r="C288" s="13" t="s">
        <v>581</v>
      </c>
      <c r="D288" s="13" t="s">
        <v>718</v>
      </c>
      <c r="E288" s="14" t="s">
        <v>409</v>
      </c>
      <c r="F288" s="14" t="s">
        <v>791</v>
      </c>
      <c r="G288" s="15">
        <v>22126.02</v>
      </c>
      <c r="H288" s="15">
        <v>633.03</v>
      </c>
      <c r="I288" s="15">
        <v>3715.3900000000003</v>
      </c>
      <c r="J288" s="15">
        <v>26474.44</v>
      </c>
    </row>
    <row r="289" spans="1:10" x14ac:dyDescent="0.25">
      <c r="A289" s="13" t="s">
        <v>9</v>
      </c>
      <c r="B289" s="13" t="s">
        <v>792</v>
      </c>
      <c r="C289" s="13" t="s">
        <v>340</v>
      </c>
      <c r="D289" s="13" t="s">
        <v>727</v>
      </c>
      <c r="E289" s="14" t="s">
        <v>793</v>
      </c>
      <c r="F289" s="14" t="s">
        <v>694</v>
      </c>
      <c r="G289" s="15">
        <v>21209.500000000004</v>
      </c>
      <c r="H289" s="15">
        <v>1248.94</v>
      </c>
      <c r="I289" s="15">
        <v>3855.9399999999996</v>
      </c>
      <c r="J289" s="15">
        <v>26314.379999999994</v>
      </c>
    </row>
    <row r="290" spans="1:10" x14ac:dyDescent="0.25">
      <c r="A290" s="13" t="s">
        <v>9</v>
      </c>
      <c r="B290" s="13" t="s">
        <v>794</v>
      </c>
      <c r="C290" s="13" t="s">
        <v>68</v>
      </c>
      <c r="D290" s="13" t="s">
        <v>771</v>
      </c>
      <c r="E290" s="14" t="s">
        <v>772</v>
      </c>
      <c r="F290" s="14" t="s">
        <v>795</v>
      </c>
      <c r="G290" s="15">
        <v>20756.310000000001</v>
      </c>
      <c r="H290" s="15">
        <v>2410.21</v>
      </c>
      <c r="I290" s="15">
        <v>3137.38</v>
      </c>
      <c r="J290" s="15">
        <v>26303.9</v>
      </c>
    </row>
    <row r="291" spans="1:10" x14ac:dyDescent="0.25">
      <c r="A291" s="13" t="s">
        <v>9</v>
      </c>
      <c r="B291" s="13" t="s">
        <v>796</v>
      </c>
      <c r="C291" s="13" t="s">
        <v>68</v>
      </c>
      <c r="D291" s="13" t="s">
        <v>771</v>
      </c>
      <c r="E291" s="14" t="s">
        <v>563</v>
      </c>
      <c r="F291" s="14" t="s">
        <v>797</v>
      </c>
      <c r="G291" s="15">
        <v>21965.550000000003</v>
      </c>
      <c r="H291" s="15">
        <v>2191.37</v>
      </c>
      <c r="I291" s="15">
        <v>2106.5500000000002</v>
      </c>
      <c r="J291" s="15">
        <v>26263.469999999998</v>
      </c>
    </row>
    <row r="292" spans="1:10" x14ac:dyDescent="0.25">
      <c r="A292" s="13" t="s">
        <v>15</v>
      </c>
      <c r="B292" s="13" t="s">
        <v>798</v>
      </c>
      <c r="C292" s="13" t="s">
        <v>206</v>
      </c>
      <c r="D292" s="13" t="s">
        <v>799</v>
      </c>
      <c r="E292" s="14" t="s">
        <v>800</v>
      </c>
      <c r="F292" s="14" t="s">
        <v>19</v>
      </c>
      <c r="G292" s="15">
        <v>19793.29</v>
      </c>
      <c r="H292" s="15">
        <v>2108.2600000000002</v>
      </c>
      <c r="I292" s="15">
        <v>4357.96</v>
      </c>
      <c r="J292" s="15">
        <v>26259.510000000006</v>
      </c>
    </row>
    <row r="293" spans="1:10" x14ac:dyDescent="0.25">
      <c r="A293" s="13" t="s">
        <v>9</v>
      </c>
      <c r="B293" s="13" t="s">
        <v>801</v>
      </c>
      <c r="C293" s="13" t="s">
        <v>43</v>
      </c>
      <c r="D293" s="13" t="s">
        <v>696</v>
      </c>
      <c r="E293" s="14" t="s">
        <v>802</v>
      </c>
      <c r="F293" s="14" t="s">
        <v>791</v>
      </c>
      <c r="G293" s="15">
        <v>23221.049999999992</v>
      </c>
      <c r="H293" s="15">
        <v>67.38</v>
      </c>
      <c r="I293" s="15">
        <v>2833.8399999999997</v>
      </c>
      <c r="J293" s="15">
        <v>26122.270000000004</v>
      </c>
    </row>
    <row r="294" spans="1:10" x14ac:dyDescent="0.25">
      <c r="A294" s="13" t="s">
        <v>15</v>
      </c>
      <c r="B294" s="13" t="s">
        <v>803</v>
      </c>
      <c r="C294" s="13" t="s">
        <v>102</v>
      </c>
      <c r="D294" s="13" t="s">
        <v>804</v>
      </c>
      <c r="E294" s="14" t="s">
        <v>536</v>
      </c>
      <c r="F294" s="14" t="s">
        <v>19</v>
      </c>
      <c r="G294" s="15">
        <v>23162.899999999994</v>
      </c>
      <c r="H294" s="15">
        <v>190.35999999999999</v>
      </c>
      <c r="I294" s="15">
        <v>2513.6400000000008</v>
      </c>
      <c r="J294" s="15">
        <v>25866.9</v>
      </c>
    </row>
    <row r="295" spans="1:10" x14ac:dyDescent="0.25">
      <c r="A295" s="13" t="s">
        <v>15</v>
      </c>
      <c r="B295" s="13" t="s">
        <v>805</v>
      </c>
      <c r="C295" s="13" t="s">
        <v>581</v>
      </c>
      <c r="D295" s="13" t="s">
        <v>718</v>
      </c>
      <c r="E295" s="14" t="s">
        <v>627</v>
      </c>
      <c r="F295" s="14" t="s">
        <v>19</v>
      </c>
      <c r="G295" s="15">
        <v>22697.580000000005</v>
      </c>
      <c r="H295" s="15">
        <v>886.06</v>
      </c>
      <c r="I295" s="15">
        <v>2245.73</v>
      </c>
      <c r="J295" s="15">
        <v>25829.370000000003</v>
      </c>
    </row>
    <row r="296" spans="1:10" x14ac:dyDescent="0.25">
      <c r="A296" s="13" t="s">
        <v>9</v>
      </c>
      <c r="B296" s="13" t="s">
        <v>806</v>
      </c>
      <c r="C296" s="13" t="s">
        <v>241</v>
      </c>
      <c r="D296" s="13" t="s">
        <v>725</v>
      </c>
      <c r="E296" s="14" t="s">
        <v>423</v>
      </c>
      <c r="F296" s="14" t="s">
        <v>274</v>
      </c>
      <c r="G296" s="15">
        <v>22469.510000000009</v>
      </c>
      <c r="H296" s="15">
        <v>848.69</v>
      </c>
      <c r="I296" s="15">
        <v>2402.42</v>
      </c>
      <c r="J296" s="15">
        <v>25720.619999999995</v>
      </c>
    </row>
    <row r="297" spans="1:10" x14ac:dyDescent="0.25">
      <c r="A297" s="13" t="s">
        <v>15</v>
      </c>
      <c r="B297" s="13" t="s">
        <v>807</v>
      </c>
      <c r="C297" s="13" t="s">
        <v>68</v>
      </c>
      <c r="D297" s="13" t="s">
        <v>558</v>
      </c>
      <c r="E297" s="14" t="s">
        <v>208</v>
      </c>
      <c r="F297" s="14" t="s">
        <v>19</v>
      </c>
      <c r="G297" s="15">
        <v>22483.649999999998</v>
      </c>
      <c r="H297" s="15">
        <v>580.04999999999995</v>
      </c>
      <c r="I297" s="15">
        <v>2389.7599999999998</v>
      </c>
      <c r="J297" s="15">
        <v>25453.460000000003</v>
      </c>
    </row>
    <row r="298" spans="1:10" x14ac:dyDescent="0.25">
      <c r="A298" s="13" t="s">
        <v>9</v>
      </c>
      <c r="B298" s="13" t="s">
        <v>808</v>
      </c>
      <c r="C298" s="13" t="s">
        <v>477</v>
      </c>
      <c r="D298" s="13" t="s">
        <v>637</v>
      </c>
      <c r="E298" s="14" t="s">
        <v>809</v>
      </c>
      <c r="F298" s="14" t="s">
        <v>810</v>
      </c>
      <c r="G298" s="15">
        <v>16855.36</v>
      </c>
      <c r="H298" s="15">
        <v>213.44000000000003</v>
      </c>
      <c r="I298" s="15">
        <v>8213.7799999999988</v>
      </c>
      <c r="J298" s="15">
        <v>25282.580000000005</v>
      </c>
    </row>
    <row r="299" spans="1:10" x14ac:dyDescent="0.25">
      <c r="A299" s="13" t="s">
        <v>9</v>
      </c>
      <c r="B299" s="13" t="s">
        <v>811</v>
      </c>
      <c r="C299" s="13" t="s">
        <v>581</v>
      </c>
      <c r="D299" s="13" t="s">
        <v>812</v>
      </c>
      <c r="E299" s="14" t="s">
        <v>813</v>
      </c>
      <c r="F299" s="14" t="s">
        <v>814</v>
      </c>
      <c r="G299" s="15">
        <v>21814.999999999996</v>
      </c>
      <c r="H299" s="15">
        <v>464.78</v>
      </c>
      <c r="I299" s="15">
        <v>3001.92</v>
      </c>
      <c r="J299" s="15">
        <v>25281.7</v>
      </c>
    </row>
    <row r="300" spans="1:10" x14ac:dyDescent="0.25">
      <c r="A300" s="13" t="s">
        <v>15</v>
      </c>
      <c r="B300" s="13" t="s">
        <v>815</v>
      </c>
      <c r="C300" s="13" t="s">
        <v>241</v>
      </c>
      <c r="D300" s="13" t="s">
        <v>816</v>
      </c>
      <c r="E300" s="14" t="s">
        <v>817</v>
      </c>
      <c r="F300" s="14" t="s">
        <v>19</v>
      </c>
      <c r="G300" s="15">
        <v>21466.99</v>
      </c>
      <c r="H300" s="15">
        <v>585.29000000000008</v>
      </c>
      <c r="I300" s="15">
        <v>2838.2300000000005</v>
      </c>
      <c r="J300" s="15">
        <v>24890.510000000002</v>
      </c>
    </row>
    <row r="301" spans="1:10" x14ac:dyDescent="0.25">
      <c r="A301" s="13" t="s">
        <v>9</v>
      </c>
      <c r="B301" s="13" t="s">
        <v>818</v>
      </c>
      <c r="C301" s="13" t="s">
        <v>11</v>
      </c>
      <c r="D301" s="13" t="s">
        <v>819</v>
      </c>
      <c r="E301" s="14" t="s">
        <v>820</v>
      </c>
      <c r="F301" s="14" t="s">
        <v>821</v>
      </c>
      <c r="G301" s="15">
        <v>17997.18</v>
      </c>
      <c r="H301" s="15">
        <v>448.06</v>
      </c>
      <c r="I301" s="15">
        <v>6441.5000000000009</v>
      </c>
      <c r="J301" s="15">
        <v>24886.74</v>
      </c>
    </row>
    <row r="302" spans="1:10" x14ac:dyDescent="0.25">
      <c r="A302" s="13" t="s">
        <v>15</v>
      </c>
      <c r="B302" s="13" t="s">
        <v>822</v>
      </c>
      <c r="C302" s="13" t="s">
        <v>178</v>
      </c>
      <c r="D302" s="13" t="s">
        <v>700</v>
      </c>
      <c r="E302" s="14" t="s">
        <v>823</v>
      </c>
      <c r="F302" s="14" t="s">
        <v>19</v>
      </c>
      <c r="G302" s="15">
        <v>21544.45</v>
      </c>
      <c r="H302" s="15">
        <v>29.659999999999997</v>
      </c>
      <c r="I302" s="15">
        <v>2981.44</v>
      </c>
      <c r="J302" s="15">
        <v>24555.549999999996</v>
      </c>
    </row>
    <row r="303" spans="1:10" x14ac:dyDescent="0.25">
      <c r="A303" s="13" t="s">
        <v>9</v>
      </c>
      <c r="B303" s="13" t="s">
        <v>824</v>
      </c>
      <c r="C303" s="13" t="s">
        <v>543</v>
      </c>
      <c r="D303" s="13" t="s">
        <v>825</v>
      </c>
      <c r="E303" s="14" t="s">
        <v>826</v>
      </c>
      <c r="F303" s="14" t="s">
        <v>827</v>
      </c>
      <c r="G303" s="15">
        <v>21279.03</v>
      </c>
      <c r="H303" s="15">
        <v>317.64999999999998</v>
      </c>
      <c r="I303" s="15">
        <v>2921.4500000000003</v>
      </c>
      <c r="J303" s="15">
        <v>24518.13</v>
      </c>
    </row>
    <row r="304" spans="1:10" x14ac:dyDescent="0.25">
      <c r="A304" s="13" t="s">
        <v>15</v>
      </c>
      <c r="B304" s="13" t="s">
        <v>828</v>
      </c>
      <c r="C304" s="13" t="s">
        <v>178</v>
      </c>
      <c r="D304" s="13" t="s">
        <v>700</v>
      </c>
      <c r="E304" s="14" t="s">
        <v>829</v>
      </c>
      <c r="F304" s="14" t="s">
        <v>19</v>
      </c>
      <c r="G304" s="15">
        <v>18880.980000000003</v>
      </c>
      <c r="H304" s="15">
        <v>8.69</v>
      </c>
      <c r="I304" s="15">
        <v>5546.42</v>
      </c>
      <c r="J304" s="15">
        <v>24436.089999999997</v>
      </c>
    </row>
    <row r="305" spans="1:10" x14ac:dyDescent="0.25">
      <c r="A305" s="13" t="s">
        <v>9</v>
      </c>
      <c r="B305" s="13" t="s">
        <v>830</v>
      </c>
      <c r="C305" s="13" t="s">
        <v>314</v>
      </c>
      <c r="D305" s="13" t="s">
        <v>741</v>
      </c>
      <c r="E305" s="14" t="s">
        <v>426</v>
      </c>
      <c r="F305" s="14" t="s">
        <v>831</v>
      </c>
      <c r="G305" s="15">
        <v>21762.889999999996</v>
      </c>
      <c r="H305" s="15">
        <v>74.13</v>
      </c>
      <c r="I305" s="15">
        <v>2591.59</v>
      </c>
      <c r="J305" s="15">
        <v>24428.609999999993</v>
      </c>
    </row>
    <row r="306" spans="1:10" x14ac:dyDescent="0.25">
      <c r="A306" s="13" t="s">
        <v>9</v>
      </c>
      <c r="B306" s="13" t="s">
        <v>832</v>
      </c>
      <c r="C306" s="13" t="s">
        <v>206</v>
      </c>
      <c r="D306" s="13" t="s">
        <v>833</v>
      </c>
      <c r="E306" s="14" t="s">
        <v>834</v>
      </c>
      <c r="F306" s="14" t="s">
        <v>835</v>
      </c>
      <c r="G306" s="15">
        <v>18980.450000000004</v>
      </c>
      <c r="H306" s="15">
        <v>2497.62</v>
      </c>
      <c r="I306" s="15">
        <v>2658.3999999999996</v>
      </c>
      <c r="J306" s="15">
        <v>24136.47</v>
      </c>
    </row>
    <row r="307" spans="1:10" x14ac:dyDescent="0.25">
      <c r="A307" s="13" t="s">
        <v>9</v>
      </c>
      <c r="B307" s="13" t="s">
        <v>836</v>
      </c>
      <c r="C307" s="13" t="s">
        <v>38</v>
      </c>
      <c r="D307" s="13" t="s">
        <v>558</v>
      </c>
      <c r="E307" s="14" t="s">
        <v>601</v>
      </c>
      <c r="F307" s="14" t="s">
        <v>837</v>
      </c>
      <c r="G307" s="15">
        <v>20661.690000000006</v>
      </c>
      <c r="H307" s="15">
        <v>682.25999999999988</v>
      </c>
      <c r="I307" s="15">
        <v>2725.6200000000003</v>
      </c>
      <c r="J307" s="15">
        <v>24069.570000000003</v>
      </c>
    </row>
    <row r="308" spans="1:10" x14ac:dyDescent="0.25">
      <c r="A308" s="13" t="s">
        <v>9</v>
      </c>
      <c r="B308" s="13" t="s">
        <v>838</v>
      </c>
      <c r="C308" s="13" t="s">
        <v>178</v>
      </c>
      <c r="D308" s="13" t="s">
        <v>765</v>
      </c>
      <c r="E308" s="14" t="s">
        <v>839</v>
      </c>
      <c r="F308" s="14" t="s">
        <v>840</v>
      </c>
      <c r="G308" s="15">
        <v>20633.359999999997</v>
      </c>
      <c r="H308" s="15">
        <v>31.869999999999997</v>
      </c>
      <c r="I308" s="15">
        <v>3385.23</v>
      </c>
      <c r="J308" s="15">
        <v>24050.460000000003</v>
      </c>
    </row>
    <row r="309" spans="1:10" x14ac:dyDescent="0.25">
      <c r="A309" s="13" t="s">
        <v>15</v>
      </c>
      <c r="B309" s="13" t="s">
        <v>841</v>
      </c>
      <c r="C309" s="13" t="s">
        <v>477</v>
      </c>
      <c r="D309" s="13" t="s">
        <v>637</v>
      </c>
      <c r="E309" s="14" t="s">
        <v>842</v>
      </c>
      <c r="F309" s="14" t="s">
        <v>19</v>
      </c>
      <c r="G309" s="15">
        <v>19462.309999999998</v>
      </c>
      <c r="H309" s="15">
        <v>555.57999999999993</v>
      </c>
      <c r="I309" s="15">
        <v>3854.4399999999996</v>
      </c>
      <c r="J309" s="15">
        <v>23872.33</v>
      </c>
    </row>
    <row r="310" spans="1:10" x14ac:dyDescent="0.25">
      <c r="A310" s="13" t="s">
        <v>9</v>
      </c>
      <c r="B310" s="13" t="s">
        <v>843</v>
      </c>
      <c r="C310" s="13" t="s">
        <v>581</v>
      </c>
      <c r="D310" s="13" t="s">
        <v>812</v>
      </c>
      <c r="E310" s="14" t="s">
        <v>844</v>
      </c>
      <c r="F310" s="14" t="s">
        <v>845</v>
      </c>
      <c r="G310" s="15">
        <v>20663.699999999997</v>
      </c>
      <c r="H310" s="15">
        <v>419.05000000000007</v>
      </c>
      <c r="I310" s="15">
        <v>2592.5099999999998</v>
      </c>
      <c r="J310" s="15">
        <v>23675.260000000002</v>
      </c>
    </row>
    <row r="311" spans="1:10" x14ac:dyDescent="0.25">
      <c r="A311" s="13" t="s">
        <v>15</v>
      </c>
      <c r="B311" s="13" t="s">
        <v>846</v>
      </c>
      <c r="C311" s="13" t="s">
        <v>745</v>
      </c>
      <c r="D311" s="13" t="s">
        <v>746</v>
      </c>
      <c r="E311" s="14" t="s">
        <v>482</v>
      </c>
      <c r="F311" s="14" t="s">
        <v>19</v>
      </c>
      <c r="G311" s="15">
        <v>16794.240000000002</v>
      </c>
      <c r="H311" s="15">
        <v>2.66</v>
      </c>
      <c r="I311" s="15">
        <v>6097.62</v>
      </c>
      <c r="J311" s="15">
        <v>22894.520000000004</v>
      </c>
    </row>
    <row r="312" spans="1:10" x14ac:dyDescent="0.25">
      <c r="A312" s="13" t="s">
        <v>9</v>
      </c>
      <c r="B312" s="13" t="s">
        <v>847</v>
      </c>
      <c r="C312" s="13" t="s">
        <v>43</v>
      </c>
      <c r="D312" s="13" t="s">
        <v>299</v>
      </c>
      <c r="E312" s="14" t="s">
        <v>848</v>
      </c>
      <c r="F312" s="14" t="s">
        <v>849</v>
      </c>
      <c r="G312" s="15">
        <v>20653.399999999998</v>
      </c>
      <c r="H312" s="15">
        <v>1225.82</v>
      </c>
      <c r="I312" s="15">
        <v>821.13</v>
      </c>
      <c r="J312" s="15">
        <v>22700.35</v>
      </c>
    </row>
    <row r="313" spans="1:10" x14ac:dyDescent="0.25">
      <c r="A313" s="13" t="s">
        <v>9</v>
      </c>
      <c r="B313" s="13" t="s">
        <v>850</v>
      </c>
      <c r="C313" s="13" t="s">
        <v>21</v>
      </c>
      <c r="D313" s="13" t="s">
        <v>558</v>
      </c>
      <c r="E313" s="14" t="s">
        <v>851</v>
      </c>
      <c r="F313" s="14" t="s">
        <v>852</v>
      </c>
      <c r="G313" s="15">
        <v>9621.31</v>
      </c>
      <c r="H313" s="15">
        <v>125.24000000000001</v>
      </c>
      <c r="I313" s="15">
        <v>12712.119999999999</v>
      </c>
      <c r="J313" s="15">
        <v>22458.67</v>
      </c>
    </row>
    <row r="314" spans="1:10" x14ac:dyDescent="0.25">
      <c r="A314" s="13" t="s">
        <v>9</v>
      </c>
      <c r="B314" s="13" t="s">
        <v>853</v>
      </c>
      <c r="C314" s="13" t="s">
        <v>241</v>
      </c>
      <c r="D314" s="13" t="s">
        <v>725</v>
      </c>
      <c r="E314" s="14" t="s">
        <v>89</v>
      </c>
      <c r="F314" s="14" t="s">
        <v>854</v>
      </c>
      <c r="G314" s="15">
        <v>19521.63</v>
      </c>
      <c r="H314" s="15">
        <v>744.89</v>
      </c>
      <c r="I314" s="15">
        <v>2011.24</v>
      </c>
      <c r="J314" s="15">
        <v>22277.760000000009</v>
      </c>
    </row>
    <row r="315" spans="1:10" x14ac:dyDescent="0.25">
      <c r="A315" s="13" t="s">
        <v>9</v>
      </c>
      <c r="B315" s="13" t="s">
        <v>855</v>
      </c>
      <c r="C315" s="13" t="s">
        <v>523</v>
      </c>
      <c r="D315" s="13" t="s">
        <v>856</v>
      </c>
      <c r="E315" s="14" t="s">
        <v>456</v>
      </c>
      <c r="F315" s="14" t="s">
        <v>857</v>
      </c>
      <c r="G315" s="15">
        <v>18909.200000000004</v>
      </c>
      <c r="H315" s="15">
        <v>407.35999999999996</v>
      </c>
      <c r="I315" s="15">
        <v>2956.2399999999993</v>
      </c>
      <c r="J315" s="15">
        <v>22272.799999999999</v>
      </c>
    </row>
    <row r="316" spans="1:10" x14ac:dyDescent="0.25">
      <c r="A316" s="13" t="s">
        <v>9</v>
      </c>
      <c r="B316" s="13" t="s">
        <v>858</v>
      </c>
      <c r="C316" s="13" t="s">
        <v>241</v>
      </c>
      <c r="D316" s="13" t="s">
        <v>734</v>
      </c>
      <c r="E316" s="14" t="s">
        <v>518</v>
      </c>
      <c r="F316" s="14" t="s">
        <v>166</v>
      </c>
      <c r="G316" s="15">
        <v>17688.419999999998</v>
      </c>
      <c r="H316" s="15">
        <v>327.90000000000003</v>
      </c>
      <c r="I316" s="15">
        <v>4147.1899999999996</v>
      </c>
      <c r="J316" s="15">
        <v>22163.510000000002</v>
      </c>
    </row>
    <row r="317" spans="1:10" x14ac:dyDescent="0.25">
      <c r="A317" s="13" t="s">
        <v>9</v>
      </c>
      <c r="B317" s="13" t="s">
        <v>859</v>
      </c>
      <c r="C317" s="13" t="s">
        <v>21</v>
      </c>
      <c r="D317" s="13" t="s">
        <v>860</v>
      </c>
      <c r="E317" s="14" t="s">
        <v>861</v>
      </c>
      <c r="F317" s="14" t="s">
        <v>122</v>
      </c>
      <c r="G317" s="15">
        <v>19575.22</v>
      </c>
      <c r="H317" s="15">
        <v>191.26000000000002</v>
      </c>
      <c r="I317" s="15">
        <v>2236.2000000000003</v>
      </c>
      <c r="J317" s="15">
        <v>22002.68</v>
      </c>
    </row>
    <row r="318" spans="1:10" x14ac:dyDescent="0.25">
      <c r="A318" s="13" t="s">
        <v>15</v>
      </c>
      <c r="B318" s="13" t="s">
        <v>862</v>
      </c>
      <c r="C318" s="13" t="s">
        <v>523</v>
      </c>
      <c r="D318" s="13" t="s">
        <v>609</v>
      </c>
      <c r="E318" s="14" t="s">
        <v>89</v>
      </c>
      <c r="F318" s="14" t="s">
        <v>19</v>
      </c>
      <c r="G318" s="15">
        <v>18843.949999999997</v>
      </c>
      <c r="H318" s="15">
        <v>345.45999999999992</v>
      </c>
      <c r="I318" s="15">
        <v>2733.62</v>
      </c>
      <c r="J318" s="15">
        <v>21923.03</v>
      </c>
    </row>
    <row r="319" spans="1:10" x14ac:dyDescent="0.25">
      <c r="A319" s="13" t="s">
        <v>15</v>
      </c>
      <c r="B319" s="13" t="s">
        <v>863</v>
      </c>
      <c r="C319" s="13" t="s">
        <v>21</v>
      </c>
      <c r="D319" s="13" t="s">
        <v>864</v>
      </c>
      <c r="E319" s="14" t="s">
        <v>865</v>
      </c>
      <c r="F319" s="14" t="s">
        <v>19</v>
      </c>
      <c r="G319" s="15">
        <v>18392.729999999996</v>
      </c>
      <c r="H319" s="15">
        <v>941.93000000000006</v>
      </c>
      <c r="I319" s="15">
        <v>2447.5500000000002</v>
      </c>
      <c r="J319" s="15">
        <v>21782.209999999992</v>
      </c>
    </row>
    <row r="320" spans="1:10" x14ac:dyDescent="0.25">
      <c r="A320" s="13" t="s">
        <v>15</v>
      </c>
      <c r="B320" s="13" t="s">
        <v>866</v>
      </c>
      <c r="C320" s="13" t="s">
        <v>523</v>
      </c>
      <c r="D320" s="13" t="s">
        <v>867</v>
      </c>
      <c r="E320" s="14" t="s">
        <v>868</v>
      </c>
      <c r="F320" s="14" t="s">
        <v>19</v>
      </c>
      <c r="G320" s="15">
        <v>19882.349999999999</v>
      </c>
      <c r="H320" s="15">
        <v>124.68</v>
      </c>
      <c r="I320" s="15">
        <v>1646.8800000000003</v>
      </c>
      <c r="J320" s="15">
        <v>21653.910000000003</v>
      </c>
    </row>
    <row r="321" spans="1:10" x14ac:dyDescent="0.25">
      <c r="A321" s="13" t="s">
        <v>15</v>
      </c>
      <c r="B321" s="13" t="s">
        <v>869</v>
      </c>
      <c r="C321" s="13" t="s">
        <v>523</v>
      </c>
      <c r="D321" s="13" t="s">
        <v>867</v>
      </c>
      <c r="E321" s="14" t="s">
        <v>646</v>
      </c>
      <c r="F321" s="14" t="s">
        <v>19</v>
      </c>
      <c r="G321" s="15">
        <v>18724.039999999997</v>
      </c>
      <c r="H321" s="15">
        <v>143.82999999999998</v>
      </c>
      <c r="I321" s="15">
        <v>2771.71</v>
      </c>
      <c r="J321" s="15">
        <v>21639.58</v>
      </c>
    </row>
    <row r="322" spans="1:10" x14ac:dyDescent="0.25">
      <c r="A322" s="13" t="s">
        <v>9</v>
      </c>
      <c r="B322" s="13" t="s">
        <v>870</v>
      </c>
      <c r="C322" s="13" t="s">
        <v>241</v>
      </c>
      <c r="D322" s="13" t="s">
        <v>734</v>
      </c>
      <c r="E322" s="14" t="s">
        <v>871</v>
      </c>
      <c r="F322" s="14" t="s">
        <v>872</v>
      </c>
      <c r="G322" s="15">
        <v>17197.22</v>
      </c>
      <c r="H322" s="15">
        <v>142.70000000000005</v>
      </c>
      <c r="I322" s="15">
        <v>4213.7000000000007</v>
      </c>
      <c r="J322" s="15">
        <v>21553.620000000006</v>
      </c>
    </row>
    <row r="323" spans="1:10" x14ac:dyDescent="0.25">
      <c r="A323" s="13" t="s">
        <v>9</v>
      </c>
      <c r="B323" s="13" t="s">
        <v>873</v>
      </c>
      <c r="C323" s="13" t="s">
        <v>206</v>
      </c>
      <c r="D323" s="13" t="s">
        <v>833</v>
      </c>
      <c r="E323" s="14" t="s">
        <v>502</v>
      </c>
      <c r="F323" s="14" t="s">
        <v>710</v>
      </c>
      <c r="G323" s="15">
        <v>16638.48</v>
      </c>
      <c r="H323" s="15">
        <v>1434.74</v>
      </c>
      <c r="I323" s="15">
        <v>3380.45</v>
      </c>
      <c r="J323" s="15">
        <v>21453.670000000002</v>
      </c>
    </row>
    <row r="324" spans="1:10" x14ac:dyDescent="0.25">
      <c r="A324" s="13" t="s">
        <v>9</v>
      </c>
      <c r="B324" s="13" t="s">
        <v>874</v>
      </c>
      <c r="C324" s="13" t="s">
        <v>21</v>
      </c>
      <c r="D324" s="13" t="s">
        <v>875</v>
      </c>
      <c r="E324" s="14" t="s">
        <v>793</v>
      </c>
      <c r="F324" s="14" t="s">
        <v>354</v>
      </c>
      <c r="G324" s="15">
        <v>18204.66</v>
      </c>
      <c r="H324" s="15">
        <v>181.94999999999996</v>
      </c>
      <c r="I324" s="15">
        <v>2860.3199999999997</v>
      </c>
      <c r="J324" s="15">
        <v>21246.93</v>
      </c>
    </row>
    <row r="325" spans="1:10" x14ac:dyDescent="0.25">
      <c r="A325" s="13" t="s">
        <v>9</v>
      </c>
      <c r="B325" s="13" t="s">
        <v>876</v>
      </c>
      <c r="C325" s="13" t="s">
        <v>206</v>
      </c>
      <c r="D325" s="13" t="s">
        <v>877</v>
      </c>
      <c r="E325" s="14" t="s">
        <v>861</v>
      </c>
      <c r="F325" s="14" t="s">
        <v>878</v>
      </c>
      <c r="G325" s="15">
        <v>18439.079999999998</v>
      </c>
      <c r="H325" s="15">
        <v>1213.74</v>
      </c>
      <c r="I325" s="15">
        <v>766.08000000000015</v>
      </c>
      <c r="J325" s="15">
        <v>20418.900000000001</v>
      </c>
    </row>
    <row r="326" spans="1:10" x14ac:dyDescent="0.25">
      <c r="A326" s="13" t="s">
        <v>15</v>
      </c>
      <c r="B326" s="13" t="s">
        <v>879</v>
      </c>
      <c r="C326" s="13" t="s">
        <v>21</v>
      </c>
      <c r="D326" s="13" t="s">
        <v>443</v>
      </c>
      <c r="E326" s="14" t="s">
        <v>300</v>
      </c>
      <c r="F326" s="14" t="s">
        <v>19</v>
      </c>
      <c r="G326" s="15">
        <v>18817.009999999998</v>
      </c>
      <c r="H326" s="15">
        <v>1.95</v>
      </c>
      <c r="I326" s="15">
        <v>522.04</v>
      </c>
      <c r="J326" s="15">
        <v>19341</v>
      </c>
    </row>
    <row r="327" spans="1:10" x14ac:dyDescent="0.25">
      <c r="A327" s="13" t="s">
        <v>15</v>
      </c>
      <c r="B327" s="13" t="s">
        <v>880</v>
      </c>
      <c r="C327" s="13" t="s">
        <v>581</v>
      </c>
      <c r="D327" s="13" t="s">
        <v>881</v>
      </c>
      <c r="E327" s="14" t="s">
        <v>809</v>
      </c>
      <c r="F327" s="14" t="s">
        <v>19</v>
      </c>
      <c r="G327" s="15">
        <v>15058.240000000002</v>
      </c>
      <c r="H327" s="15">
        <v>281.42</v>
      </c>
      <c r="I327" s="15">
        <v>3758.05</v>
      </c>
      <c r="J327" s="15">
        <v>19097.71</v>
      </c>
    </row>
    <row r="328" spans="1:10" x14ac:dyDescent="0.25">
      <c r="A328" s="13" t="s">
        <v>15</v>
      </c>
      <c r="B328" s="13" t="s">
        <v>882</v>
      </c>
      <c r="C328" s="13" t="s">
        <v>43</v>
      </c>
      <c r="D328" s="13" t="s">
        <v>562</v>
      </c>
      <c r="E328" s="14" t="s">
        <v>883</v>
      </c>
      <c r="F328" s="14" t="s">
        <v>19</v>
      </c>
      <c r="G328" s="15">
        <v>12031.640000000001</v>
      </c>
      <c r="H328" s="15">
        <v>5157.92</v>
      </c>
      <c r="I328" s="15">
        <v>633.85</v>
      </c>
      <c r="J328" s="15">
        <v>17823.409999999996</v>
      </c>
    </row>
    <row r="329" spans="1:10" x14ac:dyDescent="0.25">
      <c r="A329" s="13" t="s">
        <v>9</v>
      </c>
      <c r="B329" s="13" t="s">
        <v>884</v>
      </c>
      <c r="C329" s="13" t="s">
        <v>21</v>
      </c>
      <c r="D329" s="13" t="s">
        <v>885</v>
      </c>
      <c r="E329" s="14" t="s">
        <v>886</v>
      </c>
      <c r="F329" s="14" t="s">
        <v>887</v>
      </c>
      <c r="G329" s="15">
        <v>7489.57</v>
      </c>
      <c r="H329" s="15">
        <v>350.04</v>
      </c>
      <c r="I329" s="15">
        <v>9236.33</v>
      </c>
      <c r="J329" s="15">
        <v>17075.940000000002</v>
      </c>
    </row>
    <row r="330" spans="1:10" x14ac:dyDescent="0.25">
      <c r="A330" s="13" t="s">
        <v>15</v>
      </c>
      <c r="B330" s="13" t="s">
        <v>888</v>
      </c>
      <c r="C330" s="13" t="s">
        <v>534</v>
      </c>
      <c r="D330" s="13" t="s">
        <v>889</v>
      </c>
      <c r="E330" s="14" t="s">
        <v>848</v>
      </c>
      <c r="F330" s="14" t="s">
        <v>19</v>
      </c>
      <c r="G330" s="15">
        <v>11111.119999999999</v>
      </c>
      <c r="H330" s="15">
        <v>353.82000000000005</v>
      </c>
      <c r="I330" s="15">
        <v>5409.4000000000005</v>
      </c>
      <c r="J330" s="15">
        <v>16874.34</v>
      </c>
    </row>
    <row r="331" spans="1:10" x14ac:dyDescent="0.25">
      <c r="A331" s="13" t="s">
        <v>9</v>
      </c>
      <c r="B331" s="13" t="s">
        <v>890</v>
      </c>
      <c r="C331" s="13" t="s">
        <v>43</v>
      </c>
      <c r="D331" s="13" t="s">
        <v>134</v>
      </c>
      <c r="E331" s="14" t="s">
        <v>891</v>
      </c>
      <c r="F331" s="14" t="s">
        <v>892</v>
      </c>
      <c r="G331" s="15">
        <v>8514.5199999999986</v>
      </c>
      <c r="H331" s="15">
        <v>4075.32</v>
      </c>
      <c r="I331" s="15">
        <v>4250.92</v>
      </c>
      <c r="J331" s="15">
        <v>16840.760000000002</v>
      </c>
    </row>
    <row r="332" spans="1:10" x14ac:dyDescent="0.25">
      <c r="A332" s="13" t="s">
        <v>9</v>
      </c>
      <c r="B332" s="13" t="s">
        <v>893</v>
      </c>
      <c r="C332" s="13" t="s">
        <v>98</v>
      </c>
      <c r="D332" s="13" t="s">
        <v>894</v>
      </c>
      <c r="E332" s="14" t="s">
        <v>895</v>
      </c>
      <c r="F332" s="14" t="s">
        <v>896</v>
      </c>
      <c r="G332" s="15">
        <v>16755.2</v>
      </c>
      <c r="I332" s="15">
        <v>0</v>
      </c>
      <c r="J332" s="15">
        <v>16755.2</v>
      </c>
    </row>
    <row r="333" spans="1:10" x14ac:dyDescent="0.25">
      <c r="A333" s="13" t="s">
        <v>15</v>
      </c>
      <c r="B333" s="13" t="s">
        <v>897</v>
      </c>
      <c r="C333" s="13" t="s">
        <v>21</v>
      </c>
      <c r="D333" s="13" t="s">
        <v>168</v>
      </c>
      <c r="E333" s="14" t="s">
        <v>665</v>
      </c>
      <c r="F333" s="14" t="s">
        <v>19</v>
      </c>
      <c r="G333" s="15">
        <v>14179.4</v>
      </c>
      <c r="H333" s="15">
        <v>1123.28</v>
      </c>
      <c r="I333" s="15">
        <v>1076.8</v>
      </c>
      <c r="J333" s="15">
        <v>16379.48</v>
      </c>
    </row>
    <row r="334" spans="1:10" x14ac:dyDescent="0.25">
      <c r="A334" s="13" t="s">
        <v>15</v>
      </c>
      <c r="B334" s="13" t="s">
        <v>898</v>
      </c>
      <c r="C334" s="13" t="s">
        <v>21</v>
      </c>
      <c r="D334" s="13" t="s">
        <v>484</v>
      </c>
      <c r="E334" s="14" t="s">
        <v>899</v>
      </c>
      <c r="F334" s="14" t="s">
        <v>19</v>
      </c>
      <c r="G334" s="15">
        <v>14780.619999999999</v>
      </c>
      <c r="H334" s="15">
        <v>263.39999999999998</v>
      </c>
      <c r="I334" s="15">
        <v>1172.0900000000001</v>
      </c>
      <c r="J334" s="15">
        <v>16216.110000000002</v>
      </c>
    </row>
    <row r="335" spans="1:10" x14ac:dyDescent="0.25">
      <c r="A335" s="13" t="s">
        <v>9</v>
      </c>
      <c r="B335" s="13" t="s">
        <v>900</v>
      </c>
      <c r="C335" s="13" t="s">
        <v>43</v>
      </c>
      <c r="D335" s="13" t="s">
        <v>134</v>
      </c>
      <c r="E335" s="14" t="s">
        <v>400</v>
      </c>
      <c r="F335" s="14" t="s">
        <v>901</v>
      </c>
      <c r="G335" s="15">
        <v>8528</v>
      </c>
      <c r="H335" s="15">
        <v>4836.8599999999997</v>
      </c>
      <c r="I335" s="15">
        <v>2325.4700000000003</v>
      </c>
      <c r="J335" s="15">
        <v>15690.33</v>
      </c>
    </row>
    <row r="336" spans="1:10" x14ac:dyDescent="0.25">
      <c r="A336" s="13" t="s">
        <v>9</v>
      </c>
      <c r="B336" s="13" t="s">
        <v>902</v>
      </c>
      <c r="C336" s="13" t="s">
        <v>477</v>
      </c>
      <c r="D336" s="13" t="s">
        <v>637</v>
      </c>
      <c r="E336" s="14" t="s">
        <v>903</v>
      </c>
      <c r="F336" s="14" t="s">
        <v>512</v>
      </c>
      <c r="G336" s="15">
        <v>13893.449999999999</v>
      </c>
      <c r="I336" s="15">
        <v>1583.38</v>
      </c>
      <c r="J336" s="15">
        <v>15476.83</v>
      </c>
    </row>
    <row r="337" spans="1:10" x14ac:dyDescent="0.25">
      <c r="A337" s="13" t="s">
        <v>9</v>
      </c>
      <c r="B337" s="13" t="s">
        <v>904</v>
      </c>
      <c r="C337" s="13" t="s">
        <v>43</v>
      </c>
      <c r="D337" s="13" t="s">
        <v>299</v>
      </c>
      <c r="E337" s="14" t="s">
        <v>80</v>
      </c>
      <c r="F337" s="14" t="s">
        <v>905</v>
      </c>
      <c r="G337" s="15">
        <v>13667.939999999999</v>
      </c>
      <c r="H337" s="15">
        <v>1361.2199999999998</v>
      </c>
      <c r="I337" s="15">
        <v>105.72</v>
      </c>
      <c r="J337" s="15">
        <v>15134.880000000001</v>
      </c>
    </row>
    <row r="338" spans="1:10" x14ac:dyDescent="0.25">
      <c r="A338" s="13" t="s">
        <v>9</v>
      </c>
      <c r="B338" s="13" t="s">
        <v>906</v>
      </c>
      <c r="C338" s="13" t="s">
        <v>43</v>
      </c>
      <c r="D338" s="13" t="s">
        <v>299</v>
      </c>
      <c r="E338" s="14" t="s">
        <v>907</v>
      </c>
      <c r="F338" s="14" t="s">
        <v>908</v>
      </c>
      <c r="G338" s="15">
        <v>14188.700000000003</v>
      </c>
      <c r="H338" s="15">
        <v>598.23</v>
      </c>
      <c r="I338" s="15">
        <v>279.13</v>
      </c>
      <c r="J338" s="15">
        <v>15066.060000000003</v>
      </c>
    </row>
    <row r="339" spans="1:10" x14ac:dyDescent="0.25">
      <c r="A339" s="13" t="s">
        <v>9</v>
      </c>
      <c r="B339" s="13" t="s">
        <v>909</v>
      </c>
      <c r="C339" s="13" t="s">
        <v>21</v>
      </c>
      <c r="D339" s="13" t="s">
        <v>885</v>
      </c>
      <c r="E339" s="14" t="s">
        <v>910</v>
      </c>
      <c r="F339" s="14" t="s">
        <v>826</v>
      </c>
      <c r="G339" s="15">
        <v>7515.24</v>
      </c>
      <c r="I339" s="15">
        <v>7243.51</v>
      </c>
      <c r="J339" s="15">
        <v>14758.75</v>
      </c>
    </row>
    <row r="340" spans="1:10" x14ac:dyDescent="0.25">
      <c r="A340" s="13" t="s">
        <v>15</v>
      </c>
      <c r="B340" s="13" t="s">
        <v>911</v>
      </c>
      <c r="C340" s="13" t="s">
        <v>43</v>
      </c>
      <c r="D340" s="13" t="s">
        <v>134</v>
      </c>
      <c r="E340" s="14" t="s">
        <v>912</v>
      </c>
      <c r="F340" s="14" t="s">
        <v>19</v>
      </c>
      <c r="G340" s="15">
        <v>14472.32</v>
      </c>
      <c r="I340" s="15">
        <v>150.36000000000001</v>
      </c>
      <c r="J340" s="15">
        <v>14622.68</v>
      </c>
    </row>
    <row r="341" spans="1:10" x14ac:dyDescent="0.25">
      <c r="A341" s="13" t="s">
        <v>9</v>
      </c>
      <c r="B341" s="13" t="s">
        <v>913</v>
      </c>
      <c r="C341" s="13" t="s">
        <v>206</v>
      </c>
      <c r="D341" s="13" t="s">
        <v>914</v>
      </c>
      <c r="E341" s="14" t="s">
        <v>834</v>
      </c>
      <c r="F341" s="14" t="s">
        <v>915</v>
      </c>
      <c r="G341" s="15">
        <v>11341.89</v>
      </c>
      <c r="H341" s="15">
        <v>2261.52</v>
      </c>
      <c r="I341" s="15">
        <v>647.67999999999995</v>
      </c>
      <c r="J341" s="15">
        <v>14251.09</v>
      </c>
    </row>
    <row r="342" spans="1:10" x14ac:dyDescent="0.25">
      <c r="A342" s="13" t="s">
        <v>9</v>
      </c>
      <c r="B342" s="13" t="s">
        <v>916</v>
      </c>
      <c r="C342" s="13" t="s">
        <v>21</v>
      </c>
      <c r="D342" s="13" t="s">
        <v>864</v>
      </c>
      <c r="E342" s="14" t="s">
        <v>917</v>
      </c>
      <c r="F342" s="14" t="s">
        <v>918</v>
      </c>
      <c r="G342" s="15">
        <v>12808.820000000002</v>
      </c>
      <c r="H342" s="15">
        <v>860.45999999999992</v>
      </c>
      <c r="I342" s="15">
        <v>436.10999999999996</v>
      </c>
      <c r="J342" s="15">
        <v>14105.39</v>
      </c>
    </row>
    <row r="343" spans="1:10" x14ac:dyDescent="0.25">
      <c r="A343" s="13" t="s">
        <v>9</v>
      </c>
      <c r="B343" s="13" t="s">
        <v>919</v>
      </c>
      <c r="C343" s="13" t="s">
        <v>21</v>
      </c>
      <c r="D343" s="13" t="s">
        <v>484</v>
      </c>
      <c r="E343" s="14" t="s">
        <v>920</v>
      </c>
      <c r="F343" s="14" t="s">
        <v>921</v>
      </c>
      <c r="G343" s="15">
        <v>12633.27</v>
      </c>
      <c r="I343" s="15">
        <v>1364.08</v>
      </c>
      <c r="J343" s="15">
        <v>13997.35</v>
      </c>
    </row>
    <row r="344" spans="1:10" x14ac:dyDescent="0.25">
      <c r="A344" s="13" t="s">
        <v>9</v>
      </c>
      <c r="B344" s="13" t="s">
        <v>922</v>
      </c>
      <c r="C344" s="13" t="s">
        <v>178</v>
      </c>
      <c r="D344" s="13" t="s">
        <v>923</v>
      </c>
      <c r="E344" s="14" t="s">
        <v>924</v>
      </c>
      <c r="F344" s="14" t="s">
        <v>925</v>
      </c>
      <c r="G344" s="15">
        <v>13264.51</v>
      </c>
      <c r="I344" s="15">
        <v>688.28000000000009</v>
      </c>
      <c r="J344" s="15">
        <v>13952.79</v>
      </c>
    </row>
    <row r="345" spans="1:10" x14ac:dyDescent="0.25">
      <c r="A345" s="13" t="s">
        <v>9</v>
      </c>
      <c r="B345" s="13" t="s">
        <v>926</v>
      </c>
      <c r="C345" s="13" t="s">
        <v>206</v>
      </c>
      <c r="D345" s="13" t="s">
        <v>833</v>
      </c>
      <c r="E345" s="14" t="s">
        <v>844</v>
      </c>
      <c r="F345" s="14" t="s">
        <v>927</v>
      </c>
      <c r="G345" s="15">
        <v>11445.78</v>
      </c>
      <c r="H345" s="15">
        <v>497.61999999999995</v>
      </c>
      <c r="I345" s="15">
        <v>1899.0399999999997</v>
      </c>
      <c r="J345" s="15">
        <v>13842.439999999997</v>
      </c>
    </row>
    <row r="346" spans="1:10" x14ac:dyDescent="0.25">
      <c r="A346" s="13" t="s">
        <v>9</v>
      </c>
      <c r="B346" s="13" t="s">
        <v>928</v>
      </c>
      <c r="C346" s="13" t="s">
        <v>178</v>
      </c>
      <c r="D346" s="13" t="s">
        <v>765</v>
      </c>
      <c r="E346" s="14" t="s">
        <v>929</v>
      </c>
      <c r="F346" s="14" t="s">
        <v>930</v>
      </c>
      <c r="G346" s="15">
        <v>11209.17</v>
      </c>
      <c r="I346" s="15">
        <v>2555.2499999999991</v>
      </c>
      <c r="J346" s="15">
        <v>13764.420000000002</v>
      </c>
    </row>
    <row r="347" spans="1:10" x14ac:dyDescent="0.25">
      <c r="A347" s="13" t="s">
        <v>9</v>
      </c>
      <c r="B347" s="13" t="s">
        <v>931</v>
      </c>
      <c r="C347" s="13" t="s">
        <v>241</v>
      </c>
      <c r="D347" s="13" t="s">
        <v>734</v>
      </c>
      <c r="E347" s="14" t="s">
        <v>360</v>
      </c>
      <c r="F347" s="14" t="s">
        <v>932</v>
      </c>
      <c r="G347" s="15">
        <v>9205.8100000000013</v>
      </c>
      <c r="H347" s="15">
        <v>421.5499999999999</v>
      </c>
      <c r="I347" s="15">
        <v>3715.1099999999997</v>
      </c>
      <c r="J347" s="15">
        <v>13342.470000000001</v>
      </c>
    </row>
    <row r="348" spans="1:10" x14ac:dyDescent="0.25">
      <c r="A348" s="13" t="s">
        <v>9</v>
      </c>
      <c r="B348" s="13" t="s">
        <v>933</v>
      </c>
      <c r="C348" s="13" t="s">
        <v>745</v>
      </c>
      <c r="D348" s="13" t="s">
        <v>934</v>
      </c>
      <c r="E348" s="14" t="s">
        <v>648</v>
      </c>
      <c r="F348" s="14" t="s">
        <v>935</v>
      </c>
      <c r="G348" s="15">
        <v>11930.85</v>
      </c>
      <c r="I348" s="15">
        <v>1372.5199999999995</v>
      </c>
      <c r="J348" s="15">
        <v>13303.369999999999</v>
      </c>
    </row>
    <row r="349" spans="1:10" x14ac:dyDescent="0.25">
      <c r="A349" s="13" t="s">
        <v>9</v>
      </c>
      <c r="B349" s="13" t="s">
        <v>936</v>
      </c>
      <c r="C349" s="13" t="s">
        <v>21</v>
      </c>
      <c r="D349" s="13" t="s">
        <v>168</v>
      </c>
      <c r="E349" s="14" t="s">
        <v>937</v>
      </c>
      <c r="F349" s="14" t="s">
        <v>938</v>
      </c>
      <c r="G349" s="15">
        <v>10857.710000000001</v>
      </c>
      <c r="H349" s="15">
        <v>1107.53</v>
      </c>
      <c r="I349" s="15">
        <v>619.52</v>
      </c>
      <c r="J349" s="15">
        <v>12584.759999999998</v>
      </c>
    </row>
    <row r="350" spans="1:10" x14ac:dyDescent="0.25">
      <c r="A350" s="13" t="s">
        <v>15</v>
      </c>
      <c r="B350" s="13" t="s">
        <v>939</v>
      </c>
      <c r="C350" s="13" t="s">
        <v>178</v>
      </c>
      <c r="D350" s="13" t="s">
        <v>765</v>
      </c>
      <c r="E350" s="14" t="s">
        <v>940</v>
      </c>
      <c r="F350" s="14" t="s">
        <v>19</v>
      </c>
      <c r="G350" s="15">
        <v>11364.019999999999</v>
      </c>
      <c r="I350" s="15">
        <v>1080.2499999999998</v>
      </c>
      <c r="J350" s="15">
        <v>12444.269999999999</v>
      </c>
    </row>
    <row r="351" spans="1:10" x14ac:dyDescent="0.25">
      <c r="A351" s="13" t="s">
        <v>9</v>
      </c>
      <c r="B351" s="13" t="s">
        <v>941</v>
      </c>
      <c r="C351" s="13" t="s">
        <v>21</v>
      </c>
      <c r="D351" s="13" t="s">
        <v>484</v>
      </c>
      <c r="E351" s="14" t="s">
        <v>942</v>
      </c>
      <c r="F351" s="14" t="s">
        <v>943</v>
      </c>
      <c r="G351" s="15">
        <v>11501.29</v>
      </c>
      <c r="H351" s="15">
        <v>61.640000000000008</v>
      </c>
      <c r="I351" s="15">
        <v>791.96</v>
      </c>
      <c r="J351" s="15">
        <v>12354.889999999998</v>
      </c>
    </row>
    <row r="352" spans="1:10" x14ac:dyDescent="0.25">
      <c r="A352" s="13" t="s">
        <v>9</v>
      </c>
      <c r="B352" s="13" t="s">
        <v>944</v>
      </c>
      <c r="C352" s="13" t="s">
        <v>21</v>
      </c>
      <c r="D352" s="13" t="s">
        <v>860</v>
      </c>
      <c r="E352" s="14" t="s">
        <v>728</v>
      </c>
      <c r="F352" s="14" t="s">
        <v>945</v>
      </c>
      <c r="G352" s="15">
        <v>11707.380000000003</v>
      </c>
      <c r="I352" s="15">
        <v>285.76</v>
      </c>
      <c r="J352" s="15">
        <v>11993.140000000001</v>
      </c>
    </row>
    <row r="353" spans="1:10" x14ac:dyDescent="0.25">
      <c r="A353" s="13" t="s">
        <v>15</v>
      </c>
      <c r="B353" s="13" t="s">
        <v>946</v>
      </c>
      <c r="C353" s="13" t="s">
        <v>178</v>
      </c>
      <c r="D353" s="13" t="s">
        <v>947</v>
      </c>
      <c r="E353" s="14" t="s">
        <v>907</v>
      </c>
      <c r="F353" s="14" t="s">
        <v>19</v>
      </c>
      <c r="G353" s="15">
        <v>11006.38</v>
      </c>
      <c r="I353" s="15">
        <v>885.45999999999992</v>
      </c>
      <c r="J353" s="15">
        <v>11891.839999999998</v>
      </c>
    </row>
    <row r="354" spans="1:10" x14ac:dyDescent="0.25">
      <c r="A354" s="13" t="s">
        <v>9</v>
      </c>
      <c r="B354" s="13" t="s">
        <v>948</v>
      </c>
      <c r="C354" s="13" t="s">
        <v>178</v>
      </c>
      <c r="D354" s="13" t="s">
        <v>923</v>
      </c>
      <c r="E354" s="14" t="s">
        <v>555</v>
      </c>
      <c r="F354" s="14" t="s">
        <v>949</v>
      </c>
      <c r="G354" s="15">
        <v>10611.04</v>
      </c>
      <c r="I354" s="15">
        <v>1224.6300000000001</v>
      </c>
      <c r="J354" s="15">
        <v>11835.669999999998</v>
      </c>
    </row>
    <row r="355" spans="1:10" x14ac:dyDescent="0.25">
      <c r="A355" s="13" t="s">
        <v>9</v>
      </c>
      <c r="B355" s="13" t="s">
        <v>950</v>
      </c>
      <c r="C355" s="13" t="s">
        <v>477</v>
      </c>
      <c r="D355" s="13" t="s">
        <v>951</v>
      </c>
      <c r="E355" s="14" t="s">
        <v>793</v>
      </c>
      <c r="F355" s="14" t="s">
        <v>952</v>
      </c>
      <c r="G355" s="15">
        <v>10885.25</v>
      </c>
      <c r="I355" s="15">
        <v>781.5200000000001</v>
      </c>
      <c r="J355" s="15">
        <v>11666.77</v>
      </c>
    </row>
    <row r="356" spans="1:10" x14ac:dyDescent="0.25">
      <c r="A356" s="13" t="s">
        <v>9</v>
      </c>
      <c r="B356" s="13" t="s">
        <v>953</v>
      </c>
      <c r="C356" s="13" t="s">
        <v>178</v>
      </c>
      <c r="D356" s="13" t="s">
        <v>765</v>
      </c>
      <c r="E356" s="14" t="s">
        <v>954</v>
      </c>
      <c r="F356" s="14" t="s">
        <v>955</v>
      </c>
      <c r="G356" s="15">
        <v>10471.620000000001</v>
      </c>
      <c r="I356" s="15">
        <v>1150.6699999999998</v>
      </c>
      <c r="J356" s="15">
        <v>11622.29</v>
      </c>
    </row>
    <row r="357" spans="1:10" x14ac:dyDescent="0.25">
      <c r="A357" s="13" t="s">
        <v>9</v>
      </c>
      <c r="B357" s="13" t="s">
        <v>956</v>
      </c>
      <c r="C357" s="13" t="s">
        <v>21</v>
      </c>
      <c r="D357" s="13" t="s">
        <v>957</v>
      </c>
      <c r="E357" s="14" t="s">
        <v>958</v>
      </c>
      <c r="F357" s="14" t="s">
        <v>959</v>
      </c>
      <c r="G357" s="15">
        <v>5616</v>
      </c>
      <c r="I357" s="15">
        <v>5015.3999999999996</v>
      </c>
      <c r="J357" s="15">
        <v>10631.4</v>
      </c>
    </row>
    <row r="358" spans="1:10" x14ac:dyDescent="0.25">
      <c r="A358" s="13" t="s">
        <v>15</v>
      </c>
      <c r="B358" s="13" t="s">
        <v>960</v>
      </c>
      <c r="C358" s="13" t="s">
        <v>178</v>
      </c>
      <c r="D358" s="13" t="s">
        <v>765</v>
      </c>
      <c r="E358" s="14" t="s">
        <v>839</v>
      </c>
      <c r="F358" s="14" t="s">
        <v>19</v>
      </c>
      <c r="G358" s="15">
        <v>9610.84</v>
      </c>
      <c r="I358" s="15">
        <v>843.09000000000015</v>
      </c>
      <c r="J358" s="15">
        <v>10453.929999999998</v>
      </c>
    </row>
    <row r="359" spans="1:10" x14ac:dyDescent="0.25">
      <c r="A359" s="13" t="s">
        <v>9</v>
      </c>
      <c r="B359" s="13" t="s">
        <v>961</v>
      </c>
      <c r="C359" s="13" t="s">
        <v>21</v>
      </c>
      <c r="D359" s="13" t="s">
        <v>962</v>
      </c>
      <c r="E359" s="14" t="s">
        <v>963</v>
      </c>
      <c r="F359" s="14" t="s">
        <v>964</v>
      </c>
      <c r="G359" s="15">
        <v>5576.2300000000005</v>
      </c>
      <c r="H359" s="15">
        <v>990.87</v>
      </c>
      <c r="I359" s="15">
        <v>3639.3499999999995</v>
      </c>
      <c r="J359" s="15">
        <v>10206.450000000001</v>
      </c>
    </row>
    <row r="360" spans="1:10" x14ac:dyDescent="0.25">
      <c r="A360" s="13" t="s">
        <v>9</v>
      </c>
      <c r="B360" s="13" t="s">
        <v>965</v>
      </c>
      <c r="C360" s="13" t="s">
        <v>43</v>
      </c>
      <c r="D360" s="13" t="s">
        <v>299</v>
      </c>
      <c r="E360" s="14" t="s">
        <v>907</v>
      </c>
      <c r="F360" s="14" t="s">
        <v>966</v>
      </c>
      <c r="G360" s="15">
        <v>10102.01</v>
      </c>
      <c r="I360" s="15">
        <v>0</v>
      </c>
      <c r="J360" s="15">
        <v>10102.01</v>
      </c>
    </row>
    <row r="361" spans="1:10" x14ac:dyDescent="0.25">
      <c r="A361" s="13" t="s">
        <v>15</v>
      </c>
      <c r="B361" s="13" t="s">
        <v>967</v>
      </c>
      <c r="C361" s="13" t="s">
        <v>178</v>
      </c>
      <c r="D361" s="13" t="s">
        <v>765</v>
      </c>
      <c r="E361" s="14" t="s">
        <v>968</v>
      </c>
      <c r="F361" s="14" t="s">
        <v>19</v>
      </c>
      <c r="G361" s="15">
        <v>8825.9700000000012</v>
      </c>
      <c r="I361" s="15">
        <v>994.11000000000013</v>
      </c>
      <c r="J361" s="15">
        <v>9820.0800000000017</v>
      </c>
    </row>
    <row r="362" spans="1:10" x14ac:dyDescent="0.25">
      <c r="A362" s="13" t="s">
        <v>9</v>
      </c>
      <c r="B362" s="13" t="s">
        <v>969</v>
      </c>
      <c r="C362" s="13" t="s">
        <v>38</v>
      </c>
      <c r="D362" s="13" t="s">
        <v>489</v>
      </c>
      <c r="E362" s="14" t="s">
        <v>970</v>
      </c>
      <c r="F362" s="14" t="s">
        <v>971</v>
      </c>
      <c r="G362" s="15">
        <v>7248.5300000000007</v>
      </c>
      <c r="H362" s="15">
        <v>98.87</v>
      </c>
      <c r="I362" s="15">
        <v>2068.61</v>
      </c>
      <c r="J362" s="15">
        <v>9416.01</v>
      </c>
    </row>
    <row r="363" spans="1:10" x14ac:dyDescent="0.25">
      <c r="A363" s="13" t="s">
        <v>9</v>
      </c>
      <c r="B363" s="13" t="s">
        <v>972</v>
      </c>
      <c r="C363" s="13" t="s">
        <v>43</v>
      </c>
      <c r="D363" s="13" t="s">
        <v>137</v>
      </c>
      <c r="E363" s="14" t="s">
        <v>973</v>
      </c>
      <c r="F363" s="14" t="s">
        <v>974</v>
      </c>
      <c r="G363" s="15">
        <v>8751.73</v>
      </c>
      <c r="I363" s="15">
        <v>0</v>
      </c>
      <c r="J363" s="15">
        <v>8751.73</v>
      </c>
    </row>
    <row r="364" spans="1:10" x14ac:dyDescent="0.25">
      <c r="A364" s="13" t="s">
        <v>15</v>
      </c>
      <c r="B364" s="13" t="s">
        <v>975</v>
      </c>
      <c r="C364" s="13" t="s">
        <v>21</v>
      </c>
      <c r="D364" s="13" t="s">
        <v>875</v>
      </c>
      <c r="E364" s="14" t="s">
        <v>970</v>
      </c>
      <c r="F364" s="14" t="s">
        <v>19</v>
      </c>
      <c r="G364" s="15">
        <v>6918.55</v>
      </c>
      <c r="H364" s="15">
        <v>576.96999999999991</v>
      </c>
      <c r="I364" s="15">
        <v>220.37</v>
      </c>
      <c r="J364" s="15">
        <v>7715.89</v>
      </c>
    </row>
    <row r="365" spans="1:10" x14ac:dyDescent="0.25">
      <c r="A365" s="13" t="s">
        <v>9</v>
      </c>
      <c r="B365" s="13" t="s">
        <v>976</v>
      </c>
      <c r="C365" s="13" t="s">
        <v>340</v>
      </c>
      <c r="D365" s="13" t="s">
        <v>727</v>
      </c>
      <c r="E365" s="14" t="s">
        <v>977</v>
      </c>
      <c r="F365" s="14" t="s">
        <v>978</v>
      </c>
      <c r="G365" s="15">
        <v>7256.27</v>
      </c>
      <c r="H365" s="15">
        <v>82.399999999999991</v>
      </c>
      <c r="I365" s="15">
        <v>324.87</v>
      </c>
      <c r="J365" s="15">
        <v>7663.5400000000009</v>
      </c>
    </row>
    <row r="366" spans="1:10" x14ac:dyDescent="0.25">
      <c r="A366" s="13" t="s">
        <v>9</v>
      </c>
      <c r="B366" s="13" t="s">
        <v>979</v>
      </c>
      <c r="C366" s="13" t="s">
        <v>178</v>
      </c>
      <c r="D366" s="13" t="s">
        <v>980</v>
      </c>
      <c r="E366" s="14" t="s">
        <v>871</v>
      </c>
      <c r="F366" s="14" t="s">
        <v>981</v>
      </c>
      <c r="G366" s="15">
        <v>6555.42</v>
      </c>
      <c r="I366" s="15">
        <v>497.38000000000005</v>
      </c>
      <c r="J366" s="15">
        <v>7052.8</v>
      </c>
    </row>
    <row r="367" spans="1:10" x14ac:dyDescent="0.25">
      <c r="A367" s="13" t="s">
        <v>9</v>
      </c>
      <c r="B367" s="13" t="s">
        <v>982</v>
      </c>
      <c r="C367" s="13" t="s">
        <v>206</v>
      </c>
      <c r="D367" s="13" t="s">
        <v>833</v>
      </c>
      <c r="E367" s="14" t="s">
        <v>977</v>
      </c>
      <c r="F367" s="14" t="s">
        <v>983</v>
      </c>
      <c r="G367" s="15">
        <v>6365.7899999999991</v>
      </c>
      <c r="H367" s="15">
        <v>352.65000000000003</v>
      </c>
      <c r="I367" s="15">
        <v>300.79000000000002</v>
      </c>
      <c r="J367" s="15">
        <v>7019.23</v>
      </c>
    </row>
    <row r="368" spans="1:10" x14ac:dyDescent="0.25">
      <c r="A368" s="13" t="s">
        <v>9</v>
      </c>
      <c r="B368" s="13" t="s">
        <v>984</v>
      </c>
      <c r="C368" s="13" t="s">
        <v>543</v>
      </c>
      <c r="D368" s="13" t="s">
        <v>985</v>
      </c>
      <c r="E368" s="14" t="s">
        <v>986</v>
      </c>
      <c r="F368" s="14" t="s">
        <v>987</v>
      </c>
      <c r="G368" s="15">
        <v>6492.7599999999993</v>
      </c>
      <c r="H368" s="15">
        <v>174.91</v>
      </c>
      <c r="I368" s="15">
        <v>303.8</v>
      </c>
      <c r="J368" s="15">
        <v>6971.4699999999993</v>
      </c>
    </row>
    <row r="369" spans="1:10" x14ac:dyDescent="0.25">
      <c r="A369" s="13" t="s">
        <v>9</v>
      </c>
      <c r="B369" s="13" t="s">
        <v>988</v>
      </c>
      <c r="C369" s="13" t="s">
        <v>206</v>
      </c>
      <c r="D369" s="13" t="s">
        <v>914</v>
      </c>
      <c r="E369" s="14" t="s">
        <v>970</v>
      </c>
      <c r="F369" s="14" t="s">
        <v>989</v>
      </c>
      <c r="G369" s="15">
        <v>5986.16</v>
      </c>
      <c r="H369" s="15">
        <v>472.24000000000007</v>
      </c>
      <c r="I369" s="15">
        <v>358.72</v>
      </c>
      <c r="J369" s="15">
        <v>6817.119999999999</v>
      </c>
    </row>
    <row r="370" spans="1:10" x14ac:dyDescent="0.25">
      <c r="A370" s="13" t="s">
        <v>15</v>
      </c>
      <c r="B370" s="13" t="s">
        <v>990</v>
      </c>
      <c r="C370" s="13" t="s">
        <v>178</v>
      </c>
      <c r="D370" s="13" t="s">
        <v>765</v>
      </c>
      <c r="E370" s="14" t="s">
        <v>728</v>
      </c>
      <c r="F370" s="14" t="s">
        <v>19</v>
      </c>
      <c r="G370" s="15">
        <v>5641.9100000000017</v>
      </c>
      <c r="I370" s="15">
        <v>514.72</v>
      </c>
      <c r="J370" s="15">
        <v>6156.630000000001</v>
      </c>
    </row>
    <row r="371" spans="1:10" x14ac:dyDescent="0.25">
      <c r="A371" s="13" t="s">
        <v>9</v>
      </c>
      <c r="B371" s="13" t="s">
        <v>991</v>
      </c>
      <c r="C371" s="13" t="s">
        <v>43</v>
      </c>
      <c r="D371" s="13" t="s">
        <v>299</v>
      </c>
      <c r="E371" s="14" t="s">
        <v>883</v>
      </c>
      <c r="F371" s="14" t="s">
        <v>992</v>
      </c>
      <c r="G371" s="15">
        <v>5128.53</v>
      </c>
      <c r="H371" s="15">
        <v>288.10000000000002</v>
      </c>
      <c r="I371" s="15">
        <v>674.13000000000011</v>
      </c>
      <c r="J371" s="15">
        <v>6090.76</v>
      </c>
    </row>
    <row r="372" spans="1:10" x14ac:dyDescent="0.25">
      <c r="A372" s="13" t="s">
        <v>9</v>
      </c>
      <c r="B372" s="13" t="s">
        <v>993</v>
      </c>
      <c r="C372" s="13" t="s">
        <v>206</v>
      </c>
      <c r="D372" s="13" t="s">
        <v>994</v>
      </c>
      <c r="E372" s="14" t="s">
        <v>709</v>
      </c>
      <c r="F372" s="14" t="s">
        <v>995</v>
      </c>
      <c r="G372" s="15">
        <v>5711.93</v>
      </c>
      <c r="H372" s="15">
        <v>243.39</v>
      </c>
      <c r="I372" s="15">
        <v>0</v>
      </c>
      <c r="J372" s="15">
        <v>5955.32</v>
      </c>
    </row>
    <row r="373" spans="1:10" x14ac:dyDescent="0.25">
      <c r="A373" s="13" t="s">
        <v>9</v>
      </c>
      <c r="B373" s="13" t="s">
        <v>996</v>
      </c>
      <c r="C373" s="13" t="s">
        <v>43</v>
      </c>
      <c r="D373" s="13" t="s">
        <v>299</v>
      </c>
      <c r="E373" s="14" t="s">
        <v>473</v>
      </c>
      <c r="F373" s="14" t="s">
        <v>997</v>
      </c>
      <c r="G373" s="15">
        <v>5814.89</v>
      </c>
      <c r="I373" s="15">
        <v>0</v>
      </c>
      <c r="J373" s="15">
        <v>5814.89</v>
      </c>
    </row>
    <row r="374" spans="1:10" x14ac:dyDescent="0.25">
      <c r="A374" s="13" t="s">
        <v>9</v>
      </c>
      <c r="B374" s="13" t="s">
        <v>998</v>
      </c>
      <c r="C374" s="13" t="s">
        <v>21</v>
      </c>
      <c r="D374" s="13" t="s">
        <v>962</v>
      </c>
      <c r="E374" s="14" t="s">
        <v>999</v>
      </c>
      <c r="F374" s="14" t="s">
        <v>1000</v>
      </c>
      <c r="G374" s="15">
        <v>3206.36</v>
      </c>
      <c r="H374" s="15">
        <v>806.56999999999994</v>
      </c>
      <c r="I374" s="15">
        <v>1791.5300000000002</v>
      </c>
      <c r="J374" s="15">
        <v>5804.46</v>
      </c>
    </row>
    <row r="375" spans="1:10" x14ac:dyDescent="0.25">
      <c r="A375" s="13" t="s">
        <v>9</v>
      </c>
      <c r="B375" s="13" t="s">
        <v>1001</v>
      </c>
      <c r="C375" s="13" t="s">
        <v>21</v>
      </c>
      <c r="D375" s="13" t="s">
        <v>957</v>
      </c>
      <c r="E375" s="14" t="s">
        <v>294</v>
      </c>
      <c r="F375" s="14" t="s">
        <v>1002</v>
      </c>
      <c r="G375" s="15">
        <v>2995.2000000000003</v>
      </c>
      <c r="I375" s="15">
        <v>2613</v>
      </c>
      <c r="J375" s="15">
        <v>5608.1999999999989</v>
      </c>
    </row>
    <row r="376" spans="1:10" x14ac:dyDescent="0.25">
      <c r="A376" s="13" t="s">
        <v>9</v>
      </c>
      <c r="B376" s="13" t="s">
        <v>1003</v>
      </c>
      <c r="C376" s="13" t="s">
        <v>1004</v>
      </c>
      <c r="D376" s="13" t="s">
        <v>1005</v>
      </c>
      <c r="E376" s="14" t="s">
        <v>1006</v>
      </c>
      <c r="F376" s="14" t="s">
        <v>1007</v>
      </c>
      <c r="G376" s="15">
        <v>3571.33</v>
      </c>
      <c r="I376" s="15">
        <v>1685.18</v>
      </c>
      <c r="J376" s="15">
        <v>5256.51</v>
      </c>
    </row>
    <row r="377" spans="1:10" x14ac:dyDescent="0.25">
      <c r="A377" s="13" t="s">
        <v>9</v>
      </c>
      <c r="B377" s="13" t="s">
        <v>1008</v>
      </c>
      <c r="C377" s="13" t="s">
        <v>241</v>
      </c>
      <c r="D377" s="13" t="s">
        <v>734</v>
      </c>
      <c r="E377" s="14" t="s">
        <v>1009</v>
      </c>
      <c r="F377" s="14" t="s">
        <v>628</v>
      </c>
      <c r="G377" s="15">
        <v>4964.88</v>
      </c>
      <c r="H377" s="15">
        <v>14.44</v>
      </c>
      <c r="I377" s="15">
        <v>243.28999999999996</v>
      </c>
      <c r="J377" s="15">
        <v>5222.6099999999997</v>
      </c>
    </row>
    <row r="378" spans="1:10" x14ac:dyDescent="0.25">
      <c r="A378" s="13" t="s">
        <v>9</v>
      </c>
      <c r="B378" s="13" t="s">
        <v>1010</v>
      </c>
      <c r="C378" s="13" t="s">
        <v>21</v>
      </c>
      <c r="D378" s="13" t="s">
        <v>962</v>
      </c>
      <c r="E378" s="14" t="s">
        <v>868</v>
      </c>
      <c r="F378" s="14" t="s">
        <v>1011</v>
      </c>
      <c r="G378" s="15">
        <v>4124.82</v>
      </c>
      <c r="H378" s="15">
        <v>95.1</v>
      </c>
      <c r="I378" s="15">
        <v>903.31000000000006</v>
      </c>
      <c r="J378" s="15">
        <v>5123.2299999999996</v>
      </c>
    </row>
    <row r="379" spans="1:10" x14ac:dyDescent="0.25">
      <c r="A379" s="13" t="s">
        <v>15</v>
      </c>
      <c r="B379" s="13" t="s">
        <v>1012</v>
      </c>
      <c r="C379" s="13" t="s">
        <v>178</v>
      </c>
      <c r="D379" s="13" t="s">
        <v>765</v>
      </c>
      <c r="E379" s="14" t="s">
        <v>1013</v>
      </c>
      <c r="F379" s="14" t="s">
        <v>19</v>
      </c>
      <c r="G379" s="15">
        <v>4364.05</v>
      </c>
      <c r="I379" s="15">
        <v>367.56</v>
      </c>
      <c r="J379" s="15">
        <v>4731.6100000000006</v>
      </c>
    </row>
    <row r="380" spans="1:10" x14ac:dyDescent="0.25">
      <c r="A380" s="13" t="s">
        <v>9</v>
      </c>
      <c r="B380" s="13" t="s">
        <v>1014</v>
      </c>
      <c r="C380" s="13" t="s">
        <v>523</v>
      </c>
      <c r="D380" s="13" t="s">
        <v>856</v>
      </c>
      <c r="E380" s="14" t="s">
        <v>1009</v>
      </c>
      <c r="F380" s="14" t="s">
        <v>1015</v>
      </c>
      <c r="G380" s="15">
        <v>4470.37</v>
      </c>
      <c r="H380" s="15">
        <v>23.62</v>
      </c>
      <c r="I380" s="15">
        <v>104.08</v>
      </c>
      <c r="J380" s="15">
        <v>4598.07</v>
      </c>
    </row>
    <row r="381" spans="1:10" x14ac:dyDescent="0.25">
      <c r="A381" s="13" t="s">
        <v>9</v>
      </c>
      <c r="B381" s="13" t="s">
        <v>1016</v>
      </c>
      <c r="C381" s="13" t="s">
        <v>43</v>
      </c>
      <c r="D381" s="13" t="s">
        <v>299</v>
      </c>
      <c r="E381" s="14" t="s">
        <v>273</v>
      </c>
      <c r="F381" s="14" t="s">
        <v>1017</v>
      </c>
      <c r="G381" s="15">
        <v>4465.7599999999993</v>
      </c>
      <c r="I381" s="15">
        <v>0</v>
      </c>
      <c r="J381" s="15">
        <v>4465.7599999999993</v>
      </c>
    </row>
    <row r="382" spans="1:10" x14ac:dyDescent="0.25">
      <c r="A382" s="13" t="s">
        <v>9</v>
      </c>
      <c r="B382" s="13" t="s">
        <v>1018</v>
      </c>
      <c r="C382" s="13" t="s">
        <v>21</v>
      </c>
      <c r="D382" s="13" t="s">
        <v>484</v>
      </c>
      <c r="E382" s="14" t="s">
        <v>89</v>
      </c>
      <c r="F382" s="14" t="s">
        <v>1019</v>
      </c>
      <c r="G382" s="15">
        <v>3454.79</v>
      </c>
      <c r="H382" s="15">
        <v>62.25</v>
      </c>
      <c r="I382" s="15">
        <v>826.05</v>
      </c>
      <c r="J382" s="15">
        <v>4343.09</v>
      </c>
    </row>
    <row r="383" spans="1:10" x14ac:dyDescent="0.25">
      <c r="A383" s="13" t="s">
        <v>9</v>
      </c>
      <c r="B383" s="13" t="s">
        <v>1020</v>
      </c>
      <c r="C383" s="13" t="s">
        <v>241</v>
      </c>
      <c r="D383" s="13" t="s">
        <v>734</v>
      </c>
      <c r="E383" s="14" t="s">
        <v>404</v>
      </c>
      <c r="F383" s="14" t="s">
        <v>1021</v>
      </c>
      <c r="G383" s="15">
        <v>3953.87</v>
      </c>
      <c r="H383" s="15">
        <v>14.05</v>
      </c>
      <c r="I383" s="15">
        <v>208.16</v>
      </c>
      <c r="J383" s="15">
        <v>4176.08</v>
      </c>
    </row>
    <row r="384" spans="1:10" x14ac:dyDescent="0.25">
      <c r="A384" s="13" t="s">
        <v>15</v>
      </c>
      <c r="B384" s="13" t="s">
        <v>1022</v>
      </c>
      <c r="C384" s="13" t="s">
        <v>21</v>
      </c>
      <c r="D384" s="13" t="s">
        <v>153</v>
      </c>
      <c r="E384" s="14" t="s">
        <v>1023</v>
      </c>
      <c r="F384" s="14" t="s">
        <v>19</v>
      </c>
      <c r="I384" s="15">
        <v>4130</v>
      </c>
      <c r="J384" s="15">
        <v>4130</v>
      </c>
    </row>
    <row r="385" spans="1:10" x14ac:dyDescent="0.25">
      <c r="A385" s="13" t="s">
        <v>9</v>
      </c>
      <c r="B385" s="13" t="s">
        <v>1024</v>
      </c>
      <c r="C385" s="13" t="s">
        <v>206</v>
      </c>
      <c r="D385" s="13" t="s">
        <v>994</v>
      </c>
      <c r="E385" s="14" t="s">
        <v>970</v>
      </c>
      <c r="F385" s="14" t="s">
        <v>995</v>
      </c>
      <c r="G385" s="15">
        <v>4108.8099999999995</v>
      </c>
      <c r="I385" s="15">
        <v>0</v>
      </c>
      <c r="J385" s="15">
        <v>4108.8099999999995</v>
      </c>
    </row>
    <row r="386" spans="1:10" x14ac:dyDescent="0.25">
      <c r="A386" s="13" t="s">
        <v>9</v>
      </c>
      <c r="B386" s="13" t="s">
        <v>1025</v>
      </c>
      <c r="C386" s="13" t="s">
        <v>43</v>
      </c>
      <c r="D386" s="13" t="s">
        <v>134</v>
      </c>
      <c r="E386" s="14" t="s">
        <v>300</v>
      </c>
      <c r="F386" s="14" t="s">
        <v>1026</v>
      </c>
      <c r="G386" s="15">
        <v>3897.5600000000004</v>
      </c>
      <c r="I386" s="15">
        <v>0</v>
      </c>
      <c r="J386" s="15">
        <v>3897.5600000000004</v>
      </c>
    </row>
    <row r="387" spans="1:10" x14ac:dyDescent="0.25">
      <c r="A387" s="13" t="s">
        <v>15</v>
      </c>
      <c r="B387" s="13" t="s">
        <v>1027</v>
      </c>
      <c r="C387" s="13" t="s">
        <v>21</v>
      </c>
      <c r="D387" s="13" t="s">
        <v>957</v>
      </c>
      <c r="E387" s="14" t="s">
        <v>288</v>
      </c>
      <c r="F387" s="14" t="s">
        <v>19</v>
      </c>
      <c r="G387" s="15">
        <v>1950</v>
      </c>
      <c r="I387" s="15">
        <v>1770.6</v>
      </c>
      <c r="J387" s="15">
        <v>3720.6000000000008</v>
      </c>
    </row>
    <row r="388" spans="1:10" x14ac:dyDescent="0.25">
      <c r="A388" s="13" t="s">
        <v>9</v>
      </c>
      <c r="B388" s="13" t="s">
        <v>1028</v>
      </c>
      <c r="C388" s="13" t="s">
        <v>206</v>
      </c>
      <c r="D388" s="13" t="s">
        <v>833</v>
      </c>
      <c r="E388" s="14" t="s">
        <v>641</v>
      </c>
      <c r="F388" s="14" t="s">
        <v>1029</v>
      </c>
      <c r="G388" s="15">
        <v>3352.0400000000004</v>
      </c>
      <c r="I388" s="15">
        <v>357.86</v>
      </c>
      <c r="J388" s="15">
        <v>3709.9</v>
      </c>
    </row>
    <row r="389" spans="1:10" x14ac:dyDescent="0.25">
      <c r="A389" s="13" t="s">
        <v>9</v>
      </c>
      <c r="B389" s="13" t="s">
        <v>1030</v>
      </c>
      <c r="C389" s="13" t="s">
        <v>21</v>
      </c>
      <c r="D389" s="13" t="s">
        <v>957</v>
      </c>
      <c r="E389" s="14" t="s">
        <v>1031</v>
      </c>
      <c r="F389" s="14" t="s">
        <v>1032</v>
      </c>
      <c r="G389" s="15">
        <v>1934.3999999999999</v>
      </c>
      <c r="I389" s="15">
        <v>1739.4</v>
      </c>
      <c r="J389" s="15">
        <v>3673.8000000000006</v>
      </c>
    </row>
    <row r="390" spans="1:10" x14ac:dyDescent="0.25">
      <c r="A390" s="13" t="s">
        <v>9</v>
      </c>
      <c r="B390" s="13" t="s">
        <v>1033</v>
      </c>
      <c r="C390" s="13" t="s">
        <v>550</v>
      </c>
      <c r="D390" s="13" t="s">
        <v>1034</v>
      </c>
      <c r="E390" s="14" t="s">
        <v>1035</v>
      </c>
      <c r="F390" s="14" t="s">
        <v>1036</v>
      </c>
      <c r="G390" s="15">
        <v>3207.45</v>
      </c>
      <c r="I390" s="15">
        <v>447.39000000000004</v>
      </c>
      <c r="J390" s="15">
        <v>3654.8399999999992</v>
      </c>
    </row>
    <row r="391" spans="1:10" x14ac:dyDescent="0.25">
      <c r="A391" s="13" t="s">
        <v>9</v>
      </c>
      <c r="B391" s="13" t="s">
        <v>1037</v>
      </c>
      <c r="C391" s="13" t="s">
        <v>43</v>
      </c>
      <c r="D391" s="13" t="s">
        <v>299</v>
      </c>
      <c r="E391" s="14" t="s">
        <v>1038</v>
      </c>
      <c r="F391" s="14" t="s">
        <v>1039</v>
      </c>
      <c r="G391" s="15">
        <v>2986.57</v>
      </c>
      <c r="I391" s="15">
        <v>375.71</v>
      </c>
      <c r="J391" s="15">
        <v>3362.2799999999997</v>
      </c>
    </row>
    <row r="392" spans="1:10" x14ac:dyDescent="0.25">
      <c r="A392" s="13" t="s">
        <v>9</v>
      </c>
      <c r="B392" s="13" t="s">
        <v>1040</v>
      </c>
      <c r="C392" s="13" t="s">
        <v>43</v>
      </c>
      <c r="D392" s="13" t="s">
        <v>299</v>
      </c>
      <c r="E392" s="14" t="s">
        <v>1041</v>
      </c>
      <c r="F392" s="14" t="s">
        <v>1042</v>
      </c>
      <c r="G392" s="15">
        <v>3334.2699999999995</v>
      </c>
      <c r="I392" s="15">
        <v>0</v>
      </c>
      <c r="J392" s="15">
        <v>3334.2699999999995</v>
      </c>
    </row>
    <row r="393" spans="1:10" x14ac:dyDescent="0.25">
      <c r="A393" s="13" t="s">
        <v>9</v>
      </c>
      <c r="B393" s="13" t="s">
        <v>1043</v>
      </c>
      <c r="C393" s="13" t="s">
        <v>1004</v>
      </c>
      <c r="D393" s="13" t="s">
        <v>1044</v>
      </c>
      <c r="E393" s="14" t="s">
        <v>1006</v>
      </c>
      <c r="F393" s="14" t="s">
        <v>1045</v>
      </c>
      <c r="G393" s="15">
        <v>2367.4699999999993</v>
      </c>
      <c r="I393" s="15">
        <v>845.18000000000006</v>
      </c>
      <c r="J393" s="15">
        <v>3212.6499999999996</v>
      </c>
    </row>
    <row r="394" spans="1:10" x14ac:dyDescent="0.25">
      <c r="A394" s="13" t="s">
        <v>9</v>
      </c>
      <c r="B394" s="13" t="s">
        <v>1046</v>
      </c>
      <c r="C394" s="13" t="s">
        <v>1004</v>
      </c>
      <c r="D394" s="13" t="s">
        <v>1044</v>
      </c>
      <c r="E394" s="14" t="s">
        <v>1047</v>
      </c>
      <c r="F394" s="14" t="s">
        <v>1048</v>
      </c>
      <c r="G394" s="15">
        <v>2367.4699999999993</v>
      </c>
      <c r="I394" s="15">
        <v>845.18000000000006</v>
      </c>
      <c r="J394" s="15">
        <v>3212.6499999999996</v>
      </c>
    </row>
    <row r="395" spans="1:10" x14ac:dyDescent="0.25">
      <c r="A395" s="13" t="s">
        <v>9</v>
      </c>
      <c r="B395" s="13" t="s">
        <v>1049</v>
      </c>
      <c r="C395" s="13" t="s">
        <v>1004</v>
      </c>
      <c r="D395" s="13" t="s">
        <v>1044</v>
      </c>
      <c r="E395" s="14" t="s">
        <v>1050</v>
      </c>
      <c r="F395" s="14" t="s">
        <v>1048</v>
      </c>
      <c r="G395" s="15">
        <v>2367.4699999999993</v>
      </c>
      <c r="I395" s="15">
        <v>845.18000000000006</v>
      </c>
      <c r="J395" s="15">
        <v>3212.6499999999996</v>
      </c>
    </row>
    <row r="396" spans="1:10" x14ac:dyDescent="0.25">
      <c r="A396" s="13" t="s">
        <v>487</v>
      </c>
      <c r="B396" s="13" t="s">
        <v>1051</v>
      </c>
      <c r="C396" s="13" t="s">
        <v>1004</v>
      </c>
      <c r="D396" s="13" t="s">
        <v>1044</v>
      </c>
      <c r="E396" s="14" t="s">
        <v>1052</v>
      </c>
      <c r="F396" s="14" t="s">
        <v>1053</v>
      </c>
      <c r="G396" s="15">
        <v>2367.4699999999993</v>
      </c>
      <c r="I396" s="15">
        <v>845.18000000000006</v>
      </c>
      <c r="J396" s="15">
        <v>3212.6499999999996</v>
      </c>
    </row>
    <row r="397" spans="1:10" x14ac:dyDescent="0.25">
      <c r="A397" s="13" t="s">
        <v>15</v>
      </c>
      <c r="B397" s="13" t="s">
        <v>1054</v>
      </c>
      <c r="C397" s="13" t="s">
        <v>1004</v>
      </c>
      <c r="D397" s="13" t="s">
        <v>1044</v>
      </c>
      <c r="E397" s="14" t="s">
        <v>1006</v>
      </c>
      <c r="F397" s="14" t="s">
        <v>19</v>
      </c>
      <c r="G397" s="15">
        <v>2367.4699999999993</v>
      </c>
      <c r="I397" s="15">
        <v>845.18000000000006</v>
      </c>
      <c r="J397" s="15">
        <v>3212.6499999999996</v>
      </c>
    </row>
    <row r="398" spans="1:10" x14ac:dyDescent="0.25">
      <c r="A398" s="13" t="s">
        <v>15</v>
      </c>
      <c r="B398" s="13" t="s">
        <v>1055</v>
      </c>
      <c r="C398" s="13" t="s">
        <v>1004</v>
      </c>
      <c r="D398" s="13" t="s">
        <v>1044</v>
      </c>
      <c r="E398" s="14" t="s">
        <v>1052</v>
      </c>
      <c r="F398" s="14" t="s">
        <v>19</v>
      </c>
      <c r="G398" s="15">
        <v>2367.4699999999993</v>
      </c>
      <c r="I398" s="15">
        <v>845.18000000000006</v>
      </c>
      <c r="J398" s="15">
        <v>3212.6499999999996</v>
      </c>
    </row>
    <row r="399" spans="1:10" x14ac:dyDescent="0.25">
      <c r="A399" s="13" t="s">
        <v>9</v>
      </c>
      <c r="B399" s="13" t="s">
        <v>1056</v>
      </c>
      <c r="C399" s="13" t="s">
        <v>1004</v>
      </c>
      <c r="D399" s="13" t="s">
        <v>1044</v>
      </c>
      <c r="E399" s="14" t="s">
        <v>1047</v>
      </c>
      <c r="F399" s="14" t="s">
        <v>1057</v>
      </c>
      <c r="G399" s="15">
        <v>2367.4699999999989</v>
      </c>
      <c r="I399" s="15">
        <v>845.18</v>
      </c>
      <c r="J399" s="15">
        <v>3212.6499999999987</v>
      </c>
    </row>
    <row r="400" spans="1:10" x14ac:dyDescent="0.25">
      <c r="A400" s="13" t="s">
        <v>15</v>
      </c>
      <c r="B400" s="13" t="s">
        <v>1058</v>
      </c>
      <c r="C400" s="13" t="s">
        <v>21</v>
      </c>
      <c r="D400" s="13" t="s">
        <v>957</v>
      </c>
      <c r="E400" s="14" t="s">
        <v>1059</v>
      </c>
      <c r="F400" s="14" t="s">
        <v>19</v>
      </c>
      <c r="G400" s="15">
        <v>1591.2</v>
      </c>
      <c r="I400" s="15">
        <v>1349.4</v>
      </c>
      <c r="J400" s="15">
        <v>2940.6</v>
      </c>
    </row>
    <row r="401" spans="1:10" x14ac:dyDescent="0.25">
      <c r="A401" s="13" t="s">
        <v>15</v>
      </c>
      <c r="B401" s="13" t="s">
        <v>1060</v>
      </c>
      <c r="C401" s="13" t="s">
        <v>43</v>
      </c>
      <c r="D401" s="13" t="s">
        <v>134</v>
      </c>
      <c r="E401" s="14" t="s">
        <v>329</v>
      </c>
      <c r="F401" s="14" t="s">
        <v>19</v>
      </c>
      <c r="G401" s="15">
        <v>2560.3099999999995</v>
      </c>
      <c r="I401" s="15">
        <v>349.27</v>
      </c>
      <c r="J401" s="15">
        <v>2909.58</v>
      </c>
    </row>
    <row r="402" spans="1:10" x14ac:dyDescent="0.25">
      <c r="A402" s="13" t="s">
        <v>15</v>
      </c>
      <c r="B402" s="13" t="s">
        <v>1061</v>
      </c>
      <c r="C402" s="13" t="s">
        <v>21</v>
      </c>
      <c r="D402" s="13" t="s">
        <v>957</v>
      </c>
      <c r="E402" s="14" t="s">
        <v>641</v>
      </c>
      <c r="F402" s="14" t="s">
        <v>19</v>
      </c>
      <c r="G402" s="15">
        <v>1450.8000000000002</v>
      </c>
      <c r="I402" s="15">
        <v>1349.4</v>
      </c>
      <c r="J402" s="15">
        <v>2800.2</v>
      </c>
    </row>
    <row r="403" spans="1:10" x14ac:dyDescent="0.25">
      <c r="A403" s="13" t="s">
        <v>15</v>
      </c>
      <c r="B403" s="13" t="s">
        <v>1062</v>
      </c>
      <c r="C403" s="13" t="s">
        <v>21</v>
      </c>
      <c r="D403" s="13" t="s">
        <v>957</v>
      </c>
      <c r="E403" s="14" t="s">
        <v>288</v>
      </c>
      <c r="F403" s="14" t="s">
        <v>19</v>
      </c>
      <c r="G403" s="15">
        <v>1443</v>
      </c>
      <c r="I403" s="15">
        <v>1341.6</v>
      </c>
      <c r="J403" s="15">
        <v>2784.6</v>
      </c>
    </row>
    <row r="404" spans="1:10" x14ac:dyDescent="0.25">
      <c r="A404" s="13" t="s">
        <v>9</v>
      </c>
      <c r="B404" s="13" t="s">
        <v>1063</v>
      </c>
      <c r="C404" s="13" t="s">
        <v>21</v>
      </c>
      <c r="D404" s="13" t="s">
        <v>957</v>
      </c>
      <c r="E404" s="14" t="s">
        <v>1064</v>
      </c>
      <c r="F404" s="14" t="s">
        <v>1065</v>
      </c>
      <c r="G404" s="15">
        <v>1450.8000000000002</v>
      </c>
      <c r="I404" s="15">
        <v>1302.5999999999999</v>
      </c>
      <c r="J404" s="15">
        <v>2753.3999999999996</v>
      </c>
    </row>
    <row r="405" spans="1:10" x14ac:dyDescent="0.25">
      <c r="A405" s="13" t="s">
        <v>15</v>
      </c>
      <c r="B405" s="13" t="s">
        <v>1066</v>
      </c>
      <c r="C405" s="13" t="s">
        <v>21</v>
      </c>
      <c r="D405" s="13" t="s">
        <v>957</v>
      </c>
      <c r="E405" s="14" t="s">
        <v>196</v>
      </c>
      <c r="F405" s="14" t="s">
        <v>19</v>
      </c>
      <c r="G405" s="15">
        <v>1439.1000000000001</v>
      </c>
      <c r="I405" s="15">
        <v>1287</v>
      </c>
      <c r="J405" s="15">
        <v>2726.1</v>
      </c>
    </row>
    <row r="406" spans="1:10" x14ac:dyDescent="0.25">
      <c r="A406" s="13" t="s">
        <v>9</v>
      </c>
      <c r="B406" s="13" t="s">
        <v>1067</v>
      </c>
      <c r="C406" s="13" t="s">
        <v>21</v>
      </c>
      <c r="D406" s="13" t="s">
        <v>957</v>
      </c>
      <c r="E406" s="14" t="s">
        <v>353</v>
      </c>
      <c r="F406" s="14" t="s">
        <v>1068</v>
      </c>
      <c r="G406" s="15">
        <v>1310.4000000000001</v>
      </c>
      <c r="I406" s="15">
        <v>1357.2</v>
      </c>
      <c r="J406" s="15">
        <v>2667.6</v>
      </c>
    </row>
    <row r="407" spans="1:10" x14ac:dyDescent="0.25">
      <c r="A407" s="13" t="s">
        <v>9</v>
      </c>
      <c r="B407" s="13" t="s">
        <v>1069</v>
      </c>
      <c r="C407" s="13" t="s">
        <v>21</v>
      </c>
      <c r="D407" s="13" t="s">
        <v>957</v>
      </c>
      <c r="E407" s="14" t="s">
        <v>1070</v>
      </c>
      <c r="F407" s="14" t="s">
        <v>1068</v>
      </c>
      <c r="G407" s="15">
        <v>1310.4000000000001</v>
      </c>
      <c r="I407" s="15">
        <v>1357.2</v>
      </c>
      <c r="J407" s="15">
        <v>2667.6</v>
      </c>
    </row>
    <row r="408" spans="1:10" x14ac:dyDescent="0.25">
      <c r="A408" s="13" t="s">
        <v>9</v>
      </c>
      <c r="B408" s="13" t="s">
        <v>1071</v>
      </c>
      <c r="C408" s="13" t="s">
        <v>178</v>
      </c>
      <c r="D408" s="13" t="s">
        <v>1072</v>
      </c>
      <c r="E408" s="14" t="s">
        <v>511</v>
      </c>
      <c r="F408" s="14" t="s">
        <v>1073</v>
      </c>
      <c r="G408" s="15">
        <v>2225.8499999999995</v>
      </c>
      <c r="I408" s="15">
        <v>300.01000000000005</v>
      </c>
      <c r="J408" s="15">
        <v>2525.8599999999997</v>
      </c>
    </row>
    <row r="409" spans="1:10" x14ac:dyDescent="0.25">
      <c r="A409" s="13" t="s">
        <v>9</v>
      </c>
      <c r="B409" s="13" t="s">
        <v>1074</v>
      </c>
      <c r="C409" s="13" t="s">
        <v>340</v>
      </c>
      <c r="D409" s="13" t="s">
        <v>1075</v>
      </c>
      <c r="E409" s="14" t="s">
        <v>1076</v>
      </c>
      <c r="F409" s="14" t="s">
        <v>1077</v>
      </c>
      <c r="G409" s="15">
        <v>862.8</v>
      </c>
      <c r="I409" s="15">
        <v>1654.06</v>
      </c>
      <c r="J409" s="15">
        <v>2516.8599999999997</v>
      </c>
    </row>
    <row r="410" spans="1:10" x14ac:dyDescent="0.25">
      <c r="A410" s="13" t="s">
        <v>9</v>
      </c>
      <c r="B410" s="13" t="s">
        <v>1078</v>
      </c>
      <c r="C410" s="13" t="s">
        <v>523</v>
      </c>
      <c r="D410" s="13" t="s">
        <v>609</v>
      </c>
      <c r="E410" s="14" t="s">
        <v>694</v>
      </c>
      <c r="F410" s="14" t="s">
        <v>1079</v>
      </c>
      <c r="G410" s="15">
        <v>1973.32</v>
      </c>
      <c r="H410" s="15">
        <v>49.730000000000004</v>
      </c>
      <c r="I410" s="15">
        <v>102</v>
      </c>
      <c r="J410" s="15">
        <v>2125.0500000000002</v>
      </c>
    </row>
    <row r="411" spans="1:10" x14ac:dyDescent="0.25">
      <c r="A411" s="13" t="s">
        <v>9</v>
      </c>
      <c r="B411" s="13" t="s">
        <v>1080</v>
      </c>
      <c r="C411" s="13" t="s">
        <v>21</v>
      </c>
      <c r="D411" s="13" t="s">
        <v>957</v>
      </c>
      <c r="E411" s="14" t="s">
        <v>826</v>
      </c>
      <c r="F411" s="14" t="s">
        <v>1081</v>
      </c>
      <c r="G411" s="15">
        <v>705.89999999999986</v>
      </c>
      <c r="I411" s="15">
        <v>1411.8000000000002</v>
      </c>
      <c r="J411" s="15">
        <v>2117.7000000000003</v>
      </c>
    </row>
    <row r="412" spans="1:10" x14ac:dyDescent="0.25">
      <c r="A412" s="13" t="s">
        <v>9</v>
      </c>
      <c r="B412" s="13" t="s">
        <v>1082</v>
      </c>
      <c r="C412" s="13" t="s">
        <v>68</v>
      </c>
      <c r="D412" s="13" t="s">
        <v>1083</v>
      </c>
      <c r="E412" s="14" t="s">
        <v>260</v>
      </c>
      <c r="F412" s="14" t="s">
        <v>1084</v>
      </c>
      <c r="G412" s="15">
        <v>290.49</v>
      </c>
      <c r="I412" s="15">
        <v>1827.19</v>
      </c>
      <c r="J412" s="15">
        <v>2117.6799999999998</v>
      </c>
    </row>
    <row r="413" spans="1:10" x14ac:dyDescent="0.25">
      <c r="A413" s="13" t="s">
        <v>9</v>
      </c>
      <c r="B413" s="13" t="s">
        <v>1085</v>
      </c>
      <c r="C413" s="13" t="s">
        <v>21</v>
      </c>
      <c r="D413" s="13" t="s">
        <v>957</v>
      </c>
      <c r="E413" s="14" t="s">
        <v>502</v>
      </c>
      <c r="F413" s="14" t="s">
        <v>1086</v>
      </c>
      <c r="G413" s="15">
        <v>733.19999999999993</v>
      </c>
      <c r="I413" s="15">
        <v>1341.6</v>
      </c>
      <c r="J413" s="15">
        <v>2074.7999999999997</v>
      </c>
    </row>
    <row r="414" spans="1:10" x14ac:dyDescent="0.25">
      <c r="A414" s="13" t="s">
        <v>9</v>
      </c>
      <c r="B414" s="13" t="s">
        <v>1087</v>
      </c>
      <c r="C414" s="13" t="s">
        <v>21</v>
      </c>
      <c r="D414" s="13" t="s">
        <v>957</v>
      </c>
      <c r="E414" s="14" t="s">
        <v>826</v>
      </c>
      <c r="F414" s="14" t="s">
        <v>191</v>
      </c>
      <c r="G414" s="15">
        <v>670.8</v>
      </c>
      <c r="I414" s="15">
        <v>1263.5999999999999</v>
      </c>
      <c r="J414" s="15">
        <v>1934.3999999999999</v>
      </c>
    </row>
    <row r="415" spans="1:10" x14ac:dyDescent="0.25">
      <c r="A415" s="13" t="s">
        <v>9</v>
      </c>
      <c r="B415" s="13" t="s">
        <v>1088</v>
      </c>
      <c r="C415" s="13" t="s">
        <v>43</v>
      </c>
      <c r="D415" s="13" t="s">
        <v>299</v>
      </c>
      <c r="E415" s="14" t="s">
        <v>1089</v>
      </c>
      <c r="F415" s="14" t="s">
        <v>1090</v>
      </c>
      <c r="G415" s="15">
        <v>1761.57</v>
      </c>
      <c r="I415" s="15">
        <v>0</v>
      </c>
      <c r="J415" s="15">
        <v>1761.57</v>
      </c>
    </row>
    <row r="416" spans="1:10" x14ac:dyDescent="0.25">
      <c r="A416" s="13" t="s">
        <v>9</v>
      </c>
      <c r="B416" s="13" t="s">
        <v>1091</v>
      </c>
      <c r="C416" s="13" t="s">
        <v>11</v>
      </c>
      <c r="D416" s="13" t="s">
        <v>558</v>
      </c>
      <c r="E416" s="14" t="s">
        <v>1092</v>
      </c>
      <c r="F416" s="14" t="s">
        <v>1093</v>
      </c>
      <c r="G416" s="15">
        <v>1271.97</v>
      </c>
      <c r="H416" s="15">
        <v>3.17</v>
      </c>
      <c r="I416" s="15">
        <v>140.88</v>
      </c>
      <c r="J416" s="15">
        <v>1416.02</v>
      </c>
    </row>
    <row r="417" spans="1:10" x14ac:dyDescent="0.25">
      <c r="A417" s="13" t="s">
        <v>9</v>
      </c>
      <c r="B417" s="13" t="s">
        <v>1094</v>
      </c>
      <c r="C417" s="13" t="s">
        <v>43</v>
      </c>
      <c r="D417" s="13" t="s">
        <v>299</v>
      </c>
      <c r="E417" s="14" t="s">
        <v>35</v>
      </c>
      <c r="F417" s="14" t="s">
        <v>1095</v>
      </c>
      <c r="G417" s="15">
        <v>1327.83</v>
      </c>
      <c r="I417" s="15">
        <v>0</v>
      </c>
      <c r="J417" s="15">
        <v>1327.83</v>
      </c>
    </row>
    <row r="418" spans="1:10" x14ac:dyDescent="0.25">
      <c r="A418" s="13" t="s">
        <v>9</v>
      </c>
      <c r="B418" s="13" t="s">
        <v>1096</v>
      </c>
      <c r="C418" s="13" t="s">
        <v>523</v>
      </c>
      <c r="D418" s="13" t="s">
        <v>856</v>
      </c>
      <c r="E418" s="14" t="s">
        <v>861</v>
      </c>
      <c r="F418" s="14" t="s">
        <v>1097</v>
      </c>
      <c r="G418" s="15">
        <v>1199.7</v>
      </c>
      <c r="I418" s="15">
        <v>21.78</v>
      </c>
      <c r="J418" s="15">
        <v>1221.48</v>
      </c>
    </row>
    <row r="419" spans="1:10" x14ac:dyDescent="0.25">
      <c r="A419" s="13" t="s">
        <v>9</v>
      </c>
      <c r="B419" s="13" t="s">
        <v>1098</v>
      </c>
      <c r="C419" s="13" t="s">
        <v>43</v>
      </c>
      <c r="D419" s="13" t="s">
        <v>1099</v>
      </c>
      <c r="E419" s="14" t="s">
        <v>694</v>
      </c>
      <c r="F419" s="14" t="s">
        <v>1100</v>
      </c>
      <c r="G419" s="15">
        <v>1054.5899999999999</v>
      </c>
      <c r="I419" s="15">
        <v>52.04</v>
      </c>
      <c r="J419" s="15">
        <v>1106.6300000000001</v>
      </c>
    </row>
    <row r="420" spans="1:10" x14ac:dyDescent="0.25">
      <c r="A420" s="13" t="s">
        <v>9</v>
      </c>
      <c r="B420" s="13" t="s">
        <v>1101</v>
      </c>
      <c r="C420" s="13" t="s">
        <v>523</v>
      </c>
      <c r="D420" s="13" t="s">
        <v>856</v>
      </c>
      <c r="E420" s="14" t="s">
        <v>1092</v>
      </c>
      <c r="F420" s="14" t="s">
        <v>1102</v>
      </c>
      <c r="G420" s="15">
        <v>919.31</v>
      </c>
      <c r="H420" s="15">
        <v>2.48</v>
      </c>
      <c r="I420" s="15">
        <v>101.68</v>
      </c>
      <c r="J420" s="15">
        <v>1023.47</v>
      </c>
    </row>
    <row r="421" spans="1:10" x14ac:dyDescent="0.25">
      <c r="A421" s="13" t="s">
        <v>9</v>
      </c>
      <c r="B421" s="13" t="s">
        <v>1103</v>
      </c>
      <c r="C421" s="13" t="s">
        <v>1004</v>
      </c>
      <c r="D421" s="13" t="s">
        <v>1005</v>
      </c>
      <c r="E421" s="14" t="s">
        <v>1104</v>
      </c>
      <c r="F421" s="14" t="s">
        <v>1047</v>
      </c>
      <c r="G421" s="15">
        <v>575.23</v>
      </c>
      <c r="I421" s="15">
        <v>164.36</v>
      </c>
      <c r="J421" s="15">
        <v>739.59</v>
      </c>
    </row>
    <row r="422" spans="1:10" x14ac:dyDescent="0.25">
      <c r="A422" s="13" t="s">
        <v>9</v>
      </c>
      <c r="B422" s="13" t="s">
        <v>1105</v>
      </c>
      <c r="C422" s="13" t="s">
        <v>94</v>
      </c>
      <c r="D422" s="13" t="s">
        <v>678</v>
      </c>
      <c r="E422" s="14" t="s">
        <v>1106</v>
      </c>
      <c r="F422" s="14" t="s">
        <v>1107</v>
      </c>
      <c r="G422" s="15">
        <v>663.96</v>
      </c>
      <c r="I422" s="15">
        <v>0</v>
      </c>
      <c r="J422" s="15">
        <v>663.96</v>
      </c>
    </row>
    <row r="423" spans="1:10" x14ac:dyDescent="0.25">
      <c r="A423" s="13" t="s">
        <v>9</v>
      </c>
      <c r="B423" s="13" t="s">
        <v>1108</v>
      </c>
      <c r="C423" s="13" t="s">
        <v>43</v>
      </c>
      <c r="D423" s="13" t="s">
        <v>299</v>
      </c>
      <c r="E423" s="14" t="s">
        <v>1109</v>
      </c>
      <c r="F423" s="14" t="s">
        <v>1110</v>
      </c>
      <c r="G423" s="15">
        <v>621.04999999999995</v>
      </c>
      <c r="I423" s="15">
        <v>0</v>
      </c>
      <c r="J423" s="15">
        <v>621.04999999999995</v>
      </c>
    </row>
    <row r="424" spans="1:10" x14ac:dyDescent="0.25">
      <c r="A424" s="13" t="s">
        <v>9</v>
      </c>
      <c r="B424" s="13" t="s">
        <v>1111</v>
      </c>
      <c r="C424" s="13" t="s">
        <v>1004</v>
      </c>
      <c r="D424" s="13" t="s">
        <v>1044</v>
      </c>
      <c r="E424" s="14" t="s">
        <v>1112</v>
      </c>
      <c r="F424" s="14" t="s">
        <v>1047</v>
      </c>
      <c r="G424" s="15">
        <v>479.40999999999997</v>
      </c>
      <c r="I424" s="15">
        <v>123.27000000000001</v>
      </c>
      <c r="J424" s="15">
        <v>602.67999999999995</v>
      </c>
    </row>
    <row r="425" spans="1:10" x14ac:dyDescent="0.25">
      <c r="A425" s="13" t="s">
        <v>9</v>
      </c>
      <c r="B425" s="13" t="s">
        <v>1113</v>
      </c>
      <c r="C425" s="13" t="s">
        <v>94</v>
      </c>
      <c r="D425" s="13" t="s">
        <v>678</v>
      </c>
      <c r="E425" s="14" t="s">
        <v>1114</v>
      </c>
      <c r="F425" s="14" t="s">
        <v>1115</v>
      </c>
      <c r="G425" s="15">
        <v>570.33000000000004</v>
      </c>
      <c r="I425" s="15">
        <v>0</v>
      </c>
      <c r="J425" s="15">
        <v>570.33000000000004</v>
      </c>
    </row>
    <row r="426" spans="1:10" x14ac:dyDescent="0.25">
      <c r="A426" s="13" t="s">
        <v>15</v>
      </c>
      <c r="B426" s="13" t="s">
        <v>1116</v>
      </c>
      <c r="C426" s="13" t="s">
        <v>21</v>
      </c>
      <c r="D426" s="13" t="s">
        <v>957</v>
      </c>
      <c r="E426" s="14" t="s">
        <v>1092</v>
      </c>
      <c r="F426" s="14" t="s">
        <v>19</v>
      </c>
      <c r="G426" s="15">
        <v>331.5</v>
      </c>
      <c r="I426" s="15">
        <v>0</v>
      </c>
      <c r="J426" s="15">
        <v>331.5</v>
      </c>
    </row>
    <row r="427" spans="1:10" x14ac:dyDescent="0.25">
      <c r="A427" s="13" t="s">
        <v>15</v>
      </c>
      <c r="B427" s="13" t="s">
        <v>1117</v>
      </c>
      <c r="C427" s="13" t="s">
        <v>21</v>
      </c>
      <c r="D427" s="13" t="s">
        <v>957</v>
      </c>
      <c r="E427" s="14" t="s">
        <v>1092</v>
      </c>
      <c r="F427" s="14" t="s">
        <v>19</v>
      </c>
      <c r="G427" s="15">
        <v>202.8</v>
      </c>
      <c r="I427" s="15">
        <v>0</v>
      </c>
      <c r="J427" s="15">
        <v>202.8</v>
      </c>
    </row>
    <row r="428" spans="1:10" x14ac:dyDescent="0.25">
      <c r="A428" s="13" t="s">
        <v>9</v>
      </c>
      <c r="B428" s="13" t="s">
        <v>1118</v>
      </c>
      <c r="C428" s="13" t="s">
        <v>21</v>
      </c>
      <c r="D428" s="13" t="s">
        <v>957</v>
      </c>
      <c r="E428" s="14" t="s">
        <v>1119</v>
      </c>
      <c r="F428" s="14" t="s">
        <v>1120</v>
      </c>
      <c r="G428" s="15">
        <v>124.8</v>
      </c>
      <c r="I428" s="15">
        <v>0</v>
      </c>
      <c r="J428" s="15">
        <v>124.8</v>
      </c>
    </row>
    <row r="430" spans="1:10" x14ac:dyDescent="0.25">
      <c r="J430" s="15">
        <f t="shared" ref="J430" si="0">SUM(J385:J429)</f>
        <v>101326.35000000003</v>
      </c>
    </row>
  </sheetData>
  <printOptions gridLines="1"/>
  <pageMargins left="0.18" right="0.2" top="0.85" bottom="0.41" header="0.3" footer="0.21"/>
  <pageSetup scale="60" fitToHeight="0" orientation="landscape" r:id="rId1"/>
  <headerFooter>
    <oddHeader>&amp;C&amp;"Calibri,Bold"&amp;12City of Schertz
FY20 Earnings&amp;"Calibri,Regular"&amp;11
(only includes Dec 2019 - Sept 2020)</oddHeader>
    <oddFooter>&amp;C&amp;X1&amp;XAdditional Earnings include things such as certification pay, education pay, holiday pay, etc.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F364-4136-4D1F-AE59-F4AF89390A65}">
  <sheetPr>
    <pageSetUpPr fitToPage="1"/>
  </sheetPr>
  <dimension ref="A1:L432"/>
  <sheetViews>
    <sheetView tabSelected="1" topLeftCell="B1" workbookViewId="0">
      <pane ySplit="1" topLeftCell="A399" activePane="bottomLeft" state="frozen"/>
      <selection activeCell="B1" sqref="B1"/>
      <selection pane="bottomLeft" activeCell="B433" sqref="B433"/>
    </sheetView>
  </sheetViews>
  <sheetFormatPr baseColWidth="10" defaultColWidth="8.83203125" defaultRowHeight="21" x14ac:dyDescent="0.25"/>
  <cols>
    <col min="1" max="1" width="13.1640625" style="13" hidden="1" customWidth="1"/>
    <col min="2" max="2" width="35.1640625" style="13" bestFit="1" customWidth="1"/>
    <col min="3" max="3" width="32.33203125" style="13" bestFit="1" customWidth="1"/>
    <col min="4" max="4" width="55.1640625" style="13" bestFit="1" customWidth="1"/>
    <col min="5" max="5" width="13.83203125" style="14" bestFit="1" customWidth="1"/>
    <col min="6" max="6" width="24.5" style="14" bestFit="1" customWidth="1"/>
    <col min="7" max="7" width="25.1640625" style="15" bestFit="1" customWidth="1"/>
    <col min="8" max="8" width="26.6640625" style="15" bestFit="1" customWidth="1"/>
    <col min="9" max="9" width="30" style="15" bestFit="1" customWidth="1"/>
    <col min="10" max="10" width="22" style="15" bestFit="1" customWidth="1"/>
    <col min="11" max="11" width="14.5" style="13" bestFit="1" customWidth="1"/>
    <col min="12" max="16384" width="8.83203125" style="13"/>
  </cols>
  <sheetData>
    <row r="1" spans="1:12" s="10" customFormat="1" ht="24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2" t="s">
        <v>1122</v>
      </c>
      <c r="J1" s="12" t="s">
        <v>8</v>
      </c>
      <c r="K1" s="10" t="s">
        <v>1123</v>
      </c>
      <c r="L1" s="10" t="s">
        <v>1124</v>
      </c>
    </row>
    <row r="2" spans="1:12" x14ac:dyDescent="0.25">
      <c r="A2" s="13" t="s">
        <v>9</v>
      </c>
      <c r="B2" s="13" t="s">
        <v>10</v>
      </c>
      <c r="C2" s="13" t="s">
        <v>11</v>
      </c>
      <c r="D2" s="13" t="s">
        <v>12</v>
      </c>
      <c r="E2" s="14" t="s">
        <v>13</v>
      </c>
      <c r="F2" s="14" t="s">
        <v>14</v>
      </c>
      <c r="G2" s="15">
        <v>147460.73999999996</v>
      </c>
      <c r="I2" s="15">
        <v>0</v>
      </c>
      <c r="J2" s="15">
        <v>147460.73999999996</v>
      </c>
      <c r="K2" s="16">
        <f>SUM(G2:I2)</f>
        <v>147460.73999999996</v>
      </c>
      <c r="L2" s="16">
        <f>SUM(J2-K2)</f>
        <v>0</v>
      </c>
    </row>
    <row r="3" spans="1:12" x14ac:dyDescent="0.25">
      <c r="A3" s="13" t="s">
        <v>15</v>
      </c>
      <c r="B3" s="13" t="s">
        <v>16</v>
      </c>
      <c r="C3" s="13" t="s">
        <v>11</v>
      </c>
      <c r="D3" s="13" t="s">
        <v>17</v>
      </c>
      <c r="E3" s="14" t="s">
        <v>18</v>
      </c>
      <c r="F3" s="14" t="s">
        <v>19</v>
      </c>
      <c r="G3" s="15">
        <v>117085.74999999994</v>
      </c>
      <c r="I3" s="15">
        <v>5815.5300000000007</v>
      </c>
      <c r="J3" s="15">
        <v>122901.28000000001</v>
      </c>
      <c r="K3" s="16">
        <f t="shared" ref="K3:K66" si="0">SUM(G3:I3)</f>
        <v>122901.27999999994</v>
      </c>
      <c r="L3" s="16">
        <f t="shared" ref="L3:L66" si="1">SUM(J3-K3)</f>
        <v>7.2759576141834259E-11</v>
      </c>
    </row>
    <row r="4" spans="1:12" x14ac:dyDescent="0.25">
      <c r="A4" s="13" t="s">
        <v>9</v>
      </c>
      <c r="B4" s="13" t="s">
        <v>20</v>
      </c>
      <c r="C4" s="13" t="s">
        <v>21</v>
      </c>
      <c r="D4" s="13" t="s">
        <v>22</v>
      </c>
      <c r="E4" s="14" t="s">
        <v>23</v>
      </c>
      <c r="F4" s="14" t="s">
        <v>24</v>
      </c>
      <c r="G4" s="15">
        <v>118406.39999999995</v>
      </c>
      <c r="I4" s="15">
        <v>4401.96</v>
      </c>
      <c r="J4" s="15">
        <v>122808.35999999994</v>
      </c>
      <c r="K4" s="16">
        <f t="shared" si="0"/>
        <v>122808.35999999996</v>
      </c>
      <c r="L4" s="16">
        <f t="shared" si="1"/>
        <v>-1.4551915228366852E-11</v>
      </c>
    </row>
    <row r="5" spans="1:12" x14ac:dyDescent="0.25">
      <c r="A5" s="13" t="s">
        <v>9</v>
      </c>
      <c r="B5" s="13" t="s">
        <v>25</v>
      </c>
      <c r="C5" s="13" t="s">
        <v>11</v>
      </c>
      <c r="D5" s="13" t="s">
        <v>26</v>
      </c>
      <c r="E5" s="14" t="s">
        <v>27</v>
      </c>
      <c r="F5" s="14" t="s">
        <v>28</v>
      </c>
      <c r="G5" s="15">
        <v>112514.15000000004</v>
      </c>
      <c r="I5" s="15">
        <v>0</v>
      </c>
      <c r="J5" s="15">
        <v>112514.15000000004</v>
      </c>
      <c r="K5" s="16">
        <f t="shared" si="0"/>
        <v>112514.15000000004</v>
      </c>
      <c r="L5" s="16">
        <f t="shared" si="1"/>
        <v>0</v>
      </c>
    </row>
    <row r="6" spans="1:12" x14ac:dyDescent="0.25">
      <c r="A6" s="13" t="s">
        <v>15</v>
      </c>
      <c r="B6" s="13" t="s">
        <v>29</v>
      </c>
      <c r="C6" s="13" t="s">
        <v>30</v>
      </c>
      <c r="D6" s="13" t="s">
        <v>31</v>
      </c>
      <c r="E6" s="14" t="s">
        <v>32</v>
      </c>
      <c r="F6" s="14" t="s">
        <v>19</v>
      </c>
      <c r="G6" s="15">
        <v>71380.31</v>
      </c>
      <c r="I6" s="15">
        <v>28925.570000000003</v>
      </c>
      <c r="J6" s="15">
        <v>100305.88</v>
      </c>
      <c r="K6" s="16">
        <f t="shared" si="0"/>
        <v>100305.88</v>
      </c>
      <c r="L6" s="16">
        <f t="shared" si="1"/>
        <v>0</v>
      </c>
    </row>
    <row r="7" spans="1:12" x14ac:dyDescent="0.25">
      <c r="A7" s="13" t="s">
        <v>9</v>
      </c>
      <c r="B7" s="13" t="s">
        <v>33</v>
      </c>
      <c r="C7" s="13" t="s">
        <v>30</v>
      </c>
      <c r="D7" s="13" t="s">
        <v>34</v>
      </c>
      <c r="E7" s="14" t="s">
        <v>35</v>
      </c>
      <c r="F7" s="14" t="s">
        <v>36</v>
      </c>
      <c r="G7" s="15">
        <v>94268.48000000001</v>
      </c>
      <c r="H7" s="15">
        <v>1339.11</v>
      </c>
      <c r="I7" s="15">
        <v>2821.12</v>
      </c>
      <c r="J7" s="15">
        <v>98428.710000000021</v>
      </c>
      <c r="K7" s="16">
        <f t="shared" si="0"/>
        <v>98428.71</v>
      </c>
      <c r="L7" s="16">
        <f t="shared" si="1"/>
        <v>1.4551915228366852E-11</v>
      </c>
    </row>
    <row r="8" spans="1:12" x14ac:dyDescent="0.25">
      <c r="A8" s="13" t="s">
        <v>9</v>
      </c>
      <c r="B8" s="13" t="s">
        <v>37</v>
      </c>
      <c r="C8" s="13" t="s">
        <v>38</v>
      </c>
      <c r="D8" s="13" t="s">
        <v>39</v>
      </c>
      <c r="E8" s="14" t="s">
        <v>40</v>
      </c>
      <c r="F8" s="14" t="s">
        <v>41</v>
      </c>
      <c r="G8" s="15">
        <v>97830.000000000015</v>
      </c>
      <c r="I8" s="15">
        <v>0</v>
      </c>
      <c r="J8" s="15">
        <v>97830.000000000015</v>
      </c>
      <c r="K8" s="16">
        <f t="shared" si="0"/>
        <v>97830.000000000015</v>
      </c>
      <c r="L8" s="16">
        <f t="shared" si="1"/>
        <v>0</v>
      </c>
    </row>
    <row r="9" spans="1:12" x14ac:dyDescent="0.25">
      <c r="A9" s="13" t="s">
        <v>15</v>
      </c>
      <c r="B9" s="13" t="s">
        <v>42</v>
      </c>
      <c r="C9" s="13" t="s">
        <v>43</v>
      </c>
      <c r="D9" s="13" t="s">
        <v>44</v>
      </c>
      <c r="E9" s="14" t="s">
        <v>45</v>
      </c>
      <c r="F9" s="14" t="s">
        <v>19</v>
      </c>
      <c r="G9" s="15">
        <v>93867.200000000041</v>
      </c>
      <c r="I9" s="15">
        <v>3464.2</v>
      </c>
      <c r="J9" s="15">
        <v>97331.400000000038</v>
      </c>
      <c r="K9" s="16">
        <f t="shared" si="0"/>
        <v>97331.400000000038</v>
      </c>
      <c r="L9" s="16">
        <f t="shared" si="1"/>
        <v>0</v>
      </c>
    </row>
    <row r="10" spans="1:12" x14ac:dyDescent="0.25">
      <c r="A10" s="13" t="s">
        <v>15</v>
      </c>
      <c r="B10" s="13" t="s">
        <v>46</v>
      </c>
      <c r="C10" s="13" t="s">
        <v>30</v>
      </c>
      <c r="D10" s="13" t="s">
        <v>47</v>
      </c>
      <c r="E10" s="14" t="s">
        <v>48</v>
      </c>
      <c r="F10" s="14" t="s">
        <v>19</v>
      </c>
      <c r="G10" s="15">
        <v>68954.509999999995</v>
      </c>
      <c r="H10" s="15">
        <v>489.2</v>
      </c>
      <c r="I10" s="15">
        <v>23726.76</v>
      </c>
      <c r="J10" s="15">
        <v>93170.47</v>
      </c>
      <c r="K10" s="16">
        <f t="shared" si="0"/>
        <v>93170.469999999987</v>
      </c>
      <c r="L10" s="16">
        <f t="shared" si="1"/>
        <v>1.4551915228366852E-11</v>
      </c>
    </row>
    <row r="11" spans="1:12" x14ac:dyDescent="0.25">
      <c r="A11" s="13" t="s">
        <v>15</v>
      </c>
      <c r="B11" s="13" t="s">
        <v>49</v>
      </c>
      <c r="C11" s="13" t="s">
        <v>30</v>
      </c>
      <c r="D11" s="13" t="s">
        <v>50</v>
      </c>
      <c r="E11" s="14" t="s">
        <v>51</v>
      </c>
      <c r="F11" s="14" t="s">
        <v>19</v>
      </c>
      <c r="G11" s="15">
        <v>68421.63</v>
      </c>
      <c r="H11" s="15">
        <v>916.69999999999993</v>
      </c>
      <c r="I11" s="15">
        <v>22764.480000000003</v>
      </c>
      <c r="J11" s="15">
        <v>92102.810000000027</v>
      </c>
      <c r="K11" s="16">
        <f t="shared" si="0"/>
        <v>92102.81</v>
      </c>
      <c r="L11" s="16">
        <f t="shared" si="1"/>
        <v>2.9103830456733704E-11</v>
      </c>
    </row>
    <row r="12" spans="1:12" x14ac:dyDescent="0.25">
      <c r="A12" s="13" t="s">
        <v>9</v>
      </c>
      <c r="B12" s="13" t="s">
        <v>52</v>
      </c>
      <c r="C12" s="13" t="s">
        <v>30</v>
      </c>
      <c r="D12" s="13" t="s">
        <v>53</v>
      </c>
      <c r="E12" s="14" t="s">
        <v>54</v>
      </c>
      <c r="F12" s="14" t="s">
        <v>55</v>
      </c>
      <c r="G12" s="15">
        <v>71514.97</v>
      </c>
      <c r="H12" s="15">
        <v>626.63</v>
      </c>
      <c r="I12" s="15">
        <v>19438.330000000002</v>
      </c>
      <c r="J12" s="15">
        <v>91579.93</v>
      </c>
      <c r="K12" s="16">
        <f t="shared" si="0"/>
        <v>91579.930000000008</v>
      </c>
      <c r="L12" s="16">
        <f t="shared" si="1"/>
        <v>-1.4551915228366852E-11</v>
      </c>
    </row>
    <row r="13" spans="1:12" x14ac:dyDescent="0.25">
      <c r="A13" s="13" t="s">
        <v>15</v>
      </c>
      <c r="B13" s="13" t="s">
        <v>56</v>
      </c>
      <c r="C13" s="13" t="s">
        <v>21</v>
      </c>
      <c r="D13" s="13" t="s">
        <v>57</v>
      </c>
      <c r="E13" s="14" t="s">
        <v>58</v>
      </c>
      <c r="F13" s="14" t="s">
        <v>19</v>
      </c>
      <c r="G13" s="15">
        <v>54318.650000000009</v>
      </c>
      <c r="H13" s="15">
        <v>25646.66</v>
      </c>
      <c r="I13" s="15">
        <v>10456.620000000001</v>
      </c>
      <c r="J13" s="15">
        <v>90421.930000000008</v>
      </c>
      <c r="K13" s="16">
        <f t="shared" si="0"/>
        <v>90421.930000000008</v>
      </c>
      <c r="L13" s="16">
        <f t="shared" si="1"/>
        <v>0</v>
      </c>
    </row>
    <row r="14" spans="1:12" x14ac:dyDescent="0.25">
      <c r="A14" s="13" t="s">
        <v>9</v>
      </c>
      <c r="B14" s="13" t="s">
        <v>59</v>
      </c>
      <c r="C14" s="13" t="s">
        <v>30</v>
      </c>
      <c r="D14" s="13" t="s">
        <v>60</v>
      </c>
      <c r="E14" s="14" t="s">
        <v>61</v>
      </c>
      <c r="F14" s="14" t="s">
        <v>62</v>
      </c>
      <c r="G14" s="15">
        <v>76736.180000000008</v>
      </c>
      <c r="H14" s="15">
        <v>528.1</v>
      </c>
      <c r="I14" s="15">
        <v>13114.199999999999</v>
      </c>
      <c r="J14" s="15">
        <v>90378.48</v>
      </c>
      <c r="K14" s="16">
        <f t="shared" si="0"/>
        <v>90378.48000000001</v>
      </c>
      <c r="L14" s="16">
        <f t="shared" si="1"/>
        <v>-1.4551915228366852E-11</v>
      </c>
    </row>
    <row r="15" spans="1:12" x14ac:dyDescent="0.25">
      <c r="A15" s="13" t="s">
        <v>9</v>
      </c>
      <c r="B15" s="13" t="s">
        <v>63</v>
      </c>
      <c r="C15" s="13" t="s">
        <v>21</v>
      </c>
      <c r="D15" s="13" t="s">
        <v>64</v>
      </c>
      <c r="E15" s="14" t="s">
        <v>65</v>
      </c>
      <c r="F15" s="14" t="s">
        <v>66</v>
      </c>
      <c r="G15" s="15">
        <v>87907.199999999997</v>
      </c>
      <c r="I15" s="15">
        <v>1540</v>
      </c>
      <c r="J15" s="15">
        <v>89447.2</v>
      </c>
      <c r="K15" s="16">
        <f t="shared" si="0"/>
        <v>89447.2</v>
      </c>
      <c r="L15" s="16">
        <f t="shared" si="1"/>
        <v>0</v>
      </c>
    </row>
    <row r="16" spans="1:12" x14ac:dyDescent="0.25">
      <c r="A16" s="13" t="s">
        <v>9</v>
      </c>
      <c r="B16" s="13" t="s">
        <v>67</v>
      </c>
      <c r="C16" s="13" t="s">
        <v>68</v>
      </c>
      <c r="D16" s="13" t="s">
        <v>69</v>
      </c>
      <c r="E16" s="14" t="s">
        <v>70</v>
      </c>
      <c r="F16" s="14" t="s">
        <v>71</v>
      </c>
      <c r="G16" s="15">
        <v>88263.649999999965</v>
      </c>
      <c r="I16" s="15">
        <v>623.9</v>
      </c>
      <c r="J16" s="15">
        <v>88887.550000000017</v>
      </c>
      <c r="K16" s="16">
        <f t="shared" si="0"/>
        <v>88887.549999999959</v>
      </c>
      <c r="L16" s="16">
        <f t="shared" si="1"/>
        <v>5.8207660913467407E-11</v>
      </c>
    </row>
    <row r="17" spans="1:12" x14ac:dyDescent="0.25">
      <c r="A17" s="13" t="s">
        <v>15</v>
      </c>
      <c r="B17" s="13" t="s">
        <v>72</v>
      </c>
      <c r="C17" s="13" t="s">
        <v>30</v>
      </c>
      <c r="D17" s="13" t="s">
        <v>34</v>
      </c>
      <c r="E17" s="14" t="s">
        <v>73</v>
      </c>
      <c r="F17" s="14" t="s">
        <v>19</v>
      </c>
      <c r="G17" s="15">
        <v>84210.960000000021</v>
      </c>
      <c r="I17" s="15">
        <v>4652.6400000000003</v>
      </c>
      <c r="J17" s="15">
        <v>88863.60000000002</v>
      </c>
      <c r="K17" s="16">
        <f t="shared" si="0"/>
        <v>88863.60000000002</v>
      </c>
      <c r="L17" s="16">
        <f t="shared" si="1"/>
        <v>0</v>
      </c>
    </row>
    <row r="18" spans="1:12" x14ac:dyDescent="0.25">
      <c r="A18" s="13" t="s">
        <v>9</v>
      </c>
      <c r="B18" s="13" t="s">
        <v>74</v>
      </c>
      <c r="C18" s="13" t="s">
        <v>43</v>
      </c>
      <c r="D18" s="13" t="s">
        <v>75</v>
      </c>
      <c r="E18" s="14" t="s">
        <v>76</v>
      </c>
      <c r="F18" s="14" t="s">
        <v>77</v>
      </c>
      <c r="G18" s="15">
        <v>45832.69</v>
      </c>
      <c r="H18" s="15">
        <v>27747.230000000003</v>
      </c>
      <c r="I18" s="15">
        <v>14115.32</v>
      </c>
      <c r="J18" s="15">
        <v>87695.24</v>
      </c>
      <c r="K18" s="16">
        <f t="shared" si="0"/>
        <v>87695.24000000002</v>
      </c>
      <c r="L18" s="16">
        <f t="shared" si="1"/>
        <v>-1.4551915228366852E-11</v>
      </c>
    </row>
    <row r="19" spans="1:12" x14ac:dyDescent="0.25">
      <c r="A19" s="13" t="s">
        <v>9</v>
      </c>
      <c r="B19" s="13" t="s">
        <v>78</v>
      </c>
      <c r="C19" s="13" t="s">
        <v>43</v>
      </c>
      <c r="D19" s="13" t="s">
        <v>79</v>
      </c>
      <c r="E19" s="14" t="s">
        <v>80</v>
      </c>
      <c r="F19" s="14" t="s">
        <v>81</v>
      </c>
      <c r="G19" s="15">
        <v>44095.9</v>
      </c>
      <c r="H19" s="15">
        <v>39039.769999999997</v>
      </c>
      <c r="I19" s="15">
        <v>4396.7499999999991</v>
      </c>
      <c r="J19" s="15">
        <v>87532.419999999984</v>
      </c>
      <c r="K19" s="16">
        <f t="shared" si="0"/>
        <v>87532.42</v>
      </c>
      <c r="L19" s="16">
        <f t="shared" si="1"/>
        <v>-1.4551915228366852E-11</v>
      </c>
    </row>
    <row r="20" spans="1:12" x14ac:dyDescent="0.25">
      <c r="A20" s="13" t="s">
        <v>9</v>
      </c>
      <c r="B20" s="13" t="s">
        <v>82</v>
      </c>
      <c r="C20" s="13" t="s">
        <v>83</v>
      </c>
      <c r="D20" s="13" t="s">
        <v>84</v>
      </c>
      <c r="E20" s="14" t="s">
        <v>85</v>
      </c>
      <c r="F20" s="14" t="s">
        <v>86</v>
      </c>
      <c r="G20" s="15">
        <v>84922.24000000002</v>
      </c>
      <c r="H20" s="15">
        <v>0</v>
      </c>
      <c r="I20" s="15">
        <v>981.76</v>
      </c>
      <c r="J20" s="15">
        <v>85904.000000000029</v>
      </c>
      <c r="K20" s="16">
        <f t="shared" si="0"/>
        <v>85904.000000000015</v>
      </c>
      <c r="L20" s="16">
        <f t="shared" si="1"/>
        <v>1.4551915228366852E-11</v>
      </c>
    </row>
    <row r="21" spans="1:12" x14ac:dyDescent="0.25">
      <c r="A21" s="13" t="s">
        <v>9</v>
      </c>
      <c r="B21" s="13" t="s">
        <v>87</v>
      </c>
      <c r="C21" s="13" t="s">
        <v>68</v>
      </c>
      <c r="D21" s="13" t="s">
        <v>88</v>
      </c>
      <c r="E21" s="14" t="s">
        <v>89</v>
      </c>
      <c r="F21" s="14" t="s">
        <v>90</v>
      </c>
      <c r="G21" s="15">
        <v>84821.069999999992</v>
      </c>
      <c r="I21" s="15">
        <v>805.28</v>
      </c>
      <c r="J21" s="15">
        <v>85626.349999999991</v>
      </c>
      <c r="K21" s="16">
        <f t="shared" si="0"/>
        <v>85626.349999999991</v>
      </c>
      <c r="L21" s="16">
        <f t="shared" si="1"/>
        <v>0</v>
      </c>
    </row>
    <row r="22" spans="1:12" x14ac:dyDescent="0.25">
      <c r="A22" s="13" t="s">
        <v>15</v>
      </c>
      <c r="B22" s="13" t="s">
        <v>91</v>
      </c>
      <c r="C22" s="13" t="s">
        <v>30</v>
      </c>
      <c r="D22" s="13" t="s">
        <v>53</v>
      </c>
      <c r="E22" s="14" t="s">
        <v>92</v>
      </c>
      <c r="F22" s="14" t="s">
        <v>19</v>
      </c>
      <c r="G22" s="15">
        <v>63177.160000000011</v>
      </c>
      <c r="H22" s="15">
        <v>423.28</v>
      </c>
      <c r="I22" s="15">
        <v>21284.939999999995</v>
      </c>
      <c r="J22" s="15">
        <v>84885.379999999976</v>
      </c>
      <c r="K22" s="16">
        <f t="shared" si="0"/>
        <v>84885.38</v>
      </c>
      <c r="L22" s="16">
        <f t="shared" si="1"/>
        <v>-2.9103830456733704E-11</v>
      </c>
    </row>
    <row r="23" spans="1:12" x14ac:dyDescent="0.25">
      <c r="A23" s="13" t="s">
        <v>15</v>
      </c>
      <c r="B23" s="13" t="s">
        <v>93</v>
      </c>
      <c r="C23" s="13" t="s">
        <v>94</v>
      </c>
      <c r="D23" s="13" t="s">
        <v>95</v>
      </c>
      <c r="E23" s="14" t="s">
        <v>96</v>
      </c>
      <c r="F23" s="14" t="s">
        <v>19</v>
      </c>
      <c r="G23" s="15">
        <v>82620.149999999994</v>
      </c>
      <c r="I23" s="15">
        <v>0</v>
      </c>
      <c r="J23" s="15">
        <v>82620.149999999994</v>
      </c>
      <c r="K23" s="16">
        <f t="shared" si="0"/>
        <v>82620.149999999994</v>
      </c>
      <c r="L23" s="16">
        <f t="shared" si="1"/>
        <v>0</v>
      </c>
    </row>
    <row r="24" spans="1:12" x14ac:dyDescent="0.25">
      <c r="A24" s="13" t="s">
        <v>15</v>
      </c>
      <c r="B24" s="13" t="s">
        <v>97</v>
      </c>
      <c r="C24" s="13" t="s">
        <v>98</v>
      </c>
      <c r="D24" s="13" t="s">
        <v>99</v>
      </c>
      <c r="E24" s="14" t="s">
        <v>100</v>
      </c>
      <c r="F24" s="14" t="s">
        <v>19</v>
      </c>
      <c r="G24" s="15">
        <v>82294.700000000012</v>
      </c>
      <c r="I24" s="15">
        <v>0</v>
      </c>
      <c r="J24" s="15">
        <v>82294.700000000012</v>
      </c>
      <c r="K24" s="16">
        <f t="shared" si="0"/>
        <v>82294.700000000012</v>
      </c>
      <c r="L24" s="16">
        <f t="shared" si="1"/>
        <v>0</v>
      </c>
    </row>
    <row r="25" spans="1:12" x14ac:dyDescent="0.25">
      <c r="A25" s="13" t="s">
        <v>15</v>
      </c>
      <c r="B25" s="13" t="s">
        <v>101</v>
      </c>
      <c r="C25" s="13" t="s">
        <v>102</v>
      </c>
      <c r="D25" s="13" t="s">
        <v>103</v>
      </c>
      <c r="E25" s="14" t="s">
        <v>104</v>
      </c>
      <c r="F25" s="14" t="s">
        <v>19</v>
      </c>
      <c r="G25" s="15">
        <v>80180.550000000017</v>
      </c>
      <c r="I25" s="15">
        <v>0</v>
      </c>
      <c r="J25" s="15">
        <v>80180.550000000017</v>
      </c>
      <c r="K25" s="16">
        <f t="shared" si="0"/>
        <v>80180.550000000017</v>
      </c>
      <c r="L25" s="16">
        <f t="shared" si="1"/>
        <v>0</v>
      </c>
    </row>
    <row r="26" spans="1:12" x14ac:dyDescent="0.25">
      <c r="A26" s="13" t="s">
        <v>15</v>
      </c>
      <c r="B26" s="13" t="s">
        <v>105</v>
      </c>
      <c r="C26" s="13" t="s">
        <v>30</v>
      </c>
      <c r="D26" s="13" t="s">
        <v>106</v>
      </c>
      <c r="E26" s="14" t="s">
        <v>107</v>
      </c>
      <c r="F26" s="14" t="s">
        <v>19</v>
      </c>
      <c r="G26" s="15">
        <v>60701.87999999999</v>
      </c>
      <c r="H26" s="15">
        <v>797.13</v>
      </c>
      <c r="I26" s="15">
        <v>17862.250000000004</v>
      </c>
      <c r="J26" s="15">
        <v>79361.259999999995</v>
      </c>
      <c r="K26" s="16">
        <f t="shared" si="0"/>
        <v>79361.259999999995</v>
      </c>
      <c r="L26" s="16">
        <f t="shared" si="1"/>
        <v>0</v>
      </c>
    </row>
    <row r="27" spans="1:12" x14ac:dyDescent="0.25">
      <c r="A27" s="13" t="s">
        <v>15</v>
      </c>
      <c r="B27" s="13" t="s">
        <v>108</v>
      </c>
      <c r="C27" s="13" t="s">
        <v>30</v>
      </c>
      <c r="D27" s="13" t="s">
        <v>53</v>
      </c>
      <c r="E27" s="14" t="s">
        <v>109</v>
      </c>
      <c r="F27" s="14" t="s">
        <v>19</v>
      </c>
      <c r="G27" s="15">
        <v>62093.159999999996</v>
      </c>
      <c r="H27" s="15">
        <v>546.13</v>
      </c>
      <c r="I27" s="15">
        <v>16289.869999999999</v>
      </c>
      <c r="J27" s="15">
        <v>78929.159999999989</v>
      </c>
      <c r="K27" s="16">
        <f t="shared" si="0"/>
        <v>78929.159999999989</v>
      </c>
      <c r="L27" s="16">
        <f t="shared" si="1"/>
        <v>0</v>
      </c>
    </row>
    <row r="28" spans="1:12" x14ac:dyDescent="0.25">
      <c r="A28" s="13" t="s">
        <v>9</v>
      </c>
      <c r="B28" s="13" t="s">
        <v>110</v>
      </c>
      <c r="C28" s="13" t="s">
        <v>68</v>
      </c>
      <c r="D28" s="13" t="s">
        <v>111</v>
      </c>
      <c r="E28" s="14" t="s">
        <v>112</v>
      </c>
      <c r="F28" s="14" t="s">
        <v>113</v>
      </c>
      <c r="G28" s="15">
        <v>75807.999999999985</v>
      </c>
      <c r="I28" s="15">
        <v>2988.7200000000003</v>
      </c>
      <c r="J28" s="15">
        <v>78796.72</v>
      </c>
      <c r="K28" s="16">
        <f t="shared" si="0"/>
        <v>78796.719999999987</v>
      </c>
      <c r="L28" s="16">
        <f t="shared" si="1"/>
        <v>1.4551915228366852E-11</v>
      </c>
    </row>
    <row r="29" spans="1:12" x14ac:dyDescent="0.25">
      <c r="A29" s="13" t="s">
        <v>15</v>
      </c>
      <c r="B29" s="13" t="s">
        <v>114</v>
      </c>
      <c r="C29" s="13" t="s">
        <v>21</v>
      </c>
      <c r="D29" s="13" t="s">
        <v>57</v>
      </c>
      <c r="E29" s="14" t="s">
        <v>115</v>
      </c>
      <c r="F29" s="14" t="s">
        <v>19</v>
      </c>
      <c r="G29" s="15">
        <v>51669.750000000007</v>
      </c>
      <c r="H29" s="15">
        <v>1137.6400000000001</v>
      </c>
      <c r="I29" s="15">
        <v>22798.020000000004</v>
      </c>
      <c r="J29" s="15">
        <v>75605.409999999989</v>
      </c>
      <c r="K29" s="16">
        <f t="shared" si="0"/>
        <v>75605.41</v>
      </c>
      <c r="L29" s="16">
        <f t="shared" si="1"/>
        <v>-1.4551915228366852E-11</v>
      </c>
    </row>
    <row r="30" spans="1:12" x14ac:dyDescent="0.25">
      <c r="A30" s="13" t="s">
        <v>15</v>
      </c>
      <c r="B30" s="13" t="s">
        <v>116</v>
      </c>
      <c r="C30" s="13" t="s">
        <v>21</v>
      </c>
      <c r="D30" s="13" t="s">
        <v>57</v>
      </c>
      <c r="E30" s="14" t="s">
        <v>117</v>
      </c>
      <c r="F30" s="14" t="s">
        <v>19</v>
      </c>
      <c r="G30" s="15">
        <v>58273.279999999992</v>
      </c>
      <c r="H30" s="15">
        <v>3999.4099999999994</v>
      </c>
      <c r="I30" s="15">
        <v>13209.929999999998</v>
      </c>
      <c r="J30" s="15">
        <v>75482.62000000001</v>
      </c>
      <c r="K30" s="16">
        <f t="shared" si="0"/>
        <v>75482.619999999981</v>
      </c>
      <c r="L30" s="16">
        <f t="shared" si="1"/>
        <v>2.9103830456733704E-11</v>
      </c>
    </row>
    <row r="31" spans="1:12" x14ac:dyDescent="0.25">
      <c r="A31" s="13" t="s">
        <v>9</v>
      </c>
      <c r="B31" s="13" t="s">
        <v>118</v>
      </c>
      <c r="C31" s="13" t="s">
        <v>119</v>
      </c>
      <c r="D31" s="13" t="s">
        <v>120</v>
      </c>
      <c r="E31" s="14" t="s">
        <v>121</v>
      </c>
      <c r="F31" s="14" t="s">
        <v>122</v>
      </c>
      <c r="G31" s="15">
        <v>75360.320000000007</v>
      </c>
      <c r="I31" s="15">
        <v>10.92</v>
      </c>
      <c r="J31" s="15">
        <v>75371.240000000005</v>
      </c>
      <c r="K31" s="16">
        <f t="shared" si="0"/>
        <v>75371.240000000005</v>
      </c>
      <c r="L31" s="16">
        <f t="shared" si="1"/>
        <v>0</v>
      </c>
    </row>
    <row r="32" spans="1:12" x14ac:dyDescent="0.25">
      <c r="A32" s="13" t="s">
        <v>9</v>
      </c>
      <c r="B32" s="13" t="s">
        <v>123</v>
      </c>
      <c r="C32" s="13" t="s">
        <v>21</v>
      </c>
      <c r="D32" s="13" t="s">
        <v>124</v>
      </c>
      <c r="E32" s="14" t="s">
        <v>125</v>
      </c>
      <c r="F32" s="14" t="s">
        <v>126</v>
      </c>
      <c r="G32" s="15">
        <v>72791.520000000004</v>
      </c>
      <c r="I32" s="15">
        <v>2404.8399999999997</v>
      </c>
      <c r="J32" s="15">
        <v>75196.360000000015</v>
      </c>
      <c r="K32" s="16">
        <f t="shared" si="0"/>
        <v>75196.36</v>
      </c>
      <c r="L32" s="16">
        <f t="shared" si="1"/>
        <v>1.4551915228366852E-11</v>
      </c>
    </row>
    <row r="33" spans="1:12" x14ac:dyDescent="0.25">
      <c r="A33" s="13" t="s">
        <v>15</v>
      </c>
      <c r="B33" s="13" t="s">
        <v>127</v>
      </c>
      <c r="C33" s="13" t="s">
        <v>43</v>
      </c>
      <c r="D33" s="13" t="s">
        <v>128</v>
      </c>
      <c r="E33" s="14" t="s">
        <v>129</v>
      </c>
      <c r="F33" s="14" t="s">
        <v>19</v>
      </c>
      <c r="G33" s="15">
        <v>72173.440000000017</v>
      </c>
      <c r="I33" s="15">
        <v>2934.36</v>
      </c>
      <c r="J33" s="15">
        <v>75107.800000000017</v>
      </c>
      <c r="K33" s="16">
        <f t="shared" si="0"/>
        <v>75107.800000000017</v>
      </c>
      <c r="L33" s="16">
        <f t="shared" si="1"/>
        <v>0</v>
      </c>
    </row>
    <row r="34" spans="1:12" x14ac:dyDescent="0.25">
      <c r="A34" s="13" t="s">
        <v>15</v>
      </c>
      <c r="B34" s="13" t="s">
        <v>130</v>
      </c>
      <c r="C34" s="13" t="s">
        <v>30</v>
      </c>
      <c r="D34" s="13" t="s">
        <v>131</v>
      </c>
      <c r="E34" s="14" t="s">
        <v>132</v>
      </c>
      <c r="F34" s="14" t="s">
        <v>19</v>
      </c>
      <c r="G34" s="15">
        <v>58387.73</v>
      </c>
      <c r="H34" s="15">
        <v>21.38</v>
      </c>
      <c r="I34" s="15">
        <v>16665.879999999997</v>
      </c>
      <c r="J34" s="15">
        <v>75074.990000000005</v>
      </c>
      <c r="K34" s="16">
        <f t="shared" si="0"/>
        <v>75074.989999999991</v>
      </c>
      <c r="L34" s="16">
        <f t="shared" si="1"/>
        <v>1.4551915228366852E-11</v>
      </c>
    </row>
    <row r="35" spans="1:12" x14ac:dyDescent="0.25">
      <c r="A35" s="13" t="s">
        <v>15</v>
      </c>
      <c r="B35" s="13" t="s">
        <v>133</v>
      </c>
      <c r="C35" s="13" t="s">
        <v>43</v>
      </c>
      <c r="D35" s="13" t="s">
        <v>134</v>
      </c>
      <c r="E35" s="14" t="s">
        <v>135</v>
      </c>
      <c r="F35" s="14" t="s">
        <v>19</v>
      </c>
      <c r="G35" s="15">
        <v>32372.799999999999</v>
      </c>
      <c r="H35" s="15">
        <v>35480.699999999997</v>
      </c>
      <c r="I35" s="15">
        <v>7070.8899999999994</v>
      </c>
      <c r="J35" s="15">
        <v>74924.39</v>
      </c>
      <c r="K35" s="16">
        <f t="shared" si="0"/>
        <v>74924.39</v>
      </c>
      <c r="L35" s="16">
        <f t="shared" si="1"/>
        <v>0</v>
      </c>
    </row>
    <row r="36" spans="1:12" x14ac:dyDescent="0.25">
      <c r="A36" s="13" t="s">
        <v>15</v>
      </c>
      <c r="B36" s="13" t="s">
        <v>136</v>
      </c>
      <c r="C36" s="13" t="s">
        <v>43</v>
      </c>
      <c r="D36" s="13" t="s">
        <v>137</v>
      </c>
      <c r="E36" s="14" t="s">
        <v>138</v>
      </c>
      <c r="F36" s="14" t="s">
        <v>19</v>
      </c>
      <c r="G36" s="15">
        <v>37478.200000000012</v>
      </c>
      <c r="H36" s="15">
        <v>27738.720000000001</v>
      </c>
      <c r="I36" s="15">
        <v>9124.4600000000009</v>
      </c>
      <c r="J36" s="15">
        <v>74341.37999999999</v>
      </c>
      <c r="K36" s="16">
        <f t="shared" si="0"/>
        <v>74341.380000000019</v>
      </c>
      <c r="L36" s="16">
        <f t="shared" si="1"/>
        <v>-2.9103830456733704E-11</v>
      </c>
    </row>
    <row r="37" spans="1:12" x14ac:dyDescent="0.25">
      <c r="A37" s="13" t="s">
        <v>15</v>
      </c>
      <c r="B37" s="13" t="s">
        <v>139</v>
      </c>
      <c r="C37" s="13" t="s">
        <v>140</v>
      </c>
      <c r="D37" s="13" t="s">
        <v>141</v>
      </c>
      <c r="E37" s="14" t="s">
        <v>142</v>
      </c>
      <c r="F37" s="14" t="s">
        <v>19</v>
      </c>
      <c r="G37" s="15">
        <v>74171.250000000015</v>
      </c>
      <c r="I37" s="15">
        <v>0</v>
      </c>
      <c r="J37" s="15">
        <v>74171.250000000015</v>
      </c>
      <c r="K37" s="16">
        <f t="shared" si="0"/>
        <v>74171.250000000015</v>
      </c>
      <c r="L37" s="16">
        <f t="shared" si="1"/>
        <v>0</v>
      </c>
    </row>
    <row r="38" spans="1:12" x14ac:dyDescent="0.25">
      <c r="A38" s="13" t="s">
        <v>9</v>
      </c>
      <c r="B38" s="13" t="s">
        <v>143</v>
      </c>
      <c r="C38" s="13" t="s">
        <v>43</v>
      </c>
      <c r="D38" s="13" t="s">
        <v>134</v>
      </c>
      <c r="E38" s="14" t="s">
        <v>144</v>
      </c>
      <c r="F38" s="14" t="s">
        <v>145</v>
      </c>
      <c r="G38" s="15">
        <v>37247.750000000007</v>
      </c>
      <c r="H38" s="15">
        <v>28599.5</v>
      </c>
      <c r="I38" s="15">
        <v>7838.9100000000008</v>
      </c>
      <c r="J38" s="15">
        <v>73686.159999999989</v>
      </c>
      <c r="K38" s="16">
        <f t="shared" si="0"/>
        <v>73686.16</v>
      </c>
      <c r="L38" s="16">
        <f t="shared" si="1"/>
        <v>-1.4551915228366852E-11</v>
      </c>
    </row>
    <row r="39" spans="1:12" x14ac:dyDescent="0.25">
      <c r="A39" s="13" t="s">
        <v>15</v>
      </c>
      <c r="B39" s="13" t="s">
        <v>146</v>
      </c>
      <c r="C39" s="13" t="s">
        <v>98</v>
      </c>
      <c r="D39" s="13" t="s">
        <v>147</v>
      </c>
      <c r="E39" s="14" t="s">
        <v>148</v>
      </c>
      <c r="F39" s="14" t="s">
        <v>19</v>
      </c>
      <c r="G39" s="15">
        <v>73592.250000000015</v>
      </c>
      <c r="I39" s="15">
        <v>0</v>
      </c>
      <c r="J39" s="15">
        <v>73592.250000000015</v>
      </c>
      <c r="K39" s="16">
        <f t="shared" si="0"/>
        <v>73592.250000000015</v>
      </c>
      <c r="L39" s="16">
        <f t="shared" si="1"/>
        <v>0</v>
      </c>
    </row>
    <row r="40" spans="1:12" x14ac:dyDescent="0.25">
      <c r="A40" s="13" t="s">
        <v>15</v>
      </c>
      <c r="B40" s="13" t="s">
        <v>149</v>
      </c>
      <c r="C40" s="13" t="s">
        <v>43</v>
      </c>
      <c r="D40" s="13" t="s">
        <v>150</v>
      </c>
      <c r="E40" s="14" t="s">
        <v>151</v>
      </c>
      <c r="F40" s="14" t="s">
        <v>19</v>
      </c>
      <c r="G40" s="15">
        <v>72877.440000000002</v>
      </c>
      <c r="I40" s="15">
        <v>687.36</v>
      </c>
      <c r="J40" s="15">
        <v>73564.800000000017</v>
      </c>
      <c r="K40" s="16">
        <f t="shared" si="0"/>
        <v>73564.800000000003</v>
      </c>
      <c r="L40" s="16">
        <f t="shared" si="1"/>
        <v>1.4551915228366852E-11</v>
      </c>
    </row>
    <row r="41" spans="1:12" x14ac:dyDescent="0.25">
      <c r="A41" s="13" t="s">
        <v>15</v>
      </c>
      <c r="B41" s="13" t="s">
        <v>152</v>
      </c>
      <c r="C41" s="13" t="s">
        <v>21</v>
      </c>
      <c r="D41" s="13" t="s">
        <v>153</v>
      </c>
      <c r="E41" s="14" t="s">
        <v>154</v>
      </c>
      <c r="F41" s="14" t="s">
        <v>19</v>
      </c>
      <c r="G41" s="15">
        <v>61044.66</v>
      </c>
      <c r="H41" s="15">
        <v>3870.7</v>
      </c>
      <c r="I41" s="15">
        <v>8556.24</v>
      </c>
      <c r="J41" s="15">
        <v>73471.60000000002</v>
      </c>
      <c r="K41" s="16">
        <f t="shared" si="0"/>
        <v>73471.600000000006</v>
      </c>
      <c r="L41" s="16">
        <f t="shared" si="1"/>
        <v>1.4551915228366852E-11</v>
      </c>
    </row>
    <row r="42" spans="1:12" x14ac:dyDescent="0.25">
      <c r="A42" s="13" t="s">
        <v>15</v>
      </c>
      <c r="B42" s="13" t="s">
        <v>155</v>
      </c>
      <c r="C42" s="13" t="s">
        <v>43</v>
      </c>
      <c r="D42" s="13" t="s">
        <v>79</v>
      </c>
      <c r="E42" s="14" t="s">
        <v>156</v>
      </c>
      <c r="F42" s="14" t="s">
        <v>19</v>
      </c>
      <c r="G42" s="15">
        <v>38124.710000000014</v>
      </c>
      <c r="H42" s="15">
        <v>19247.370000000003</v>
      </c>
      <c r="I42" s="15">
        <v>15584.420000000002</v>
      </c>
      <c r="J42" s="15">
        <v>72956.5</v>
      </c>
      <c r="K42" s="16">
        <f t="shared" si="0"/>
        <v>72956.500000000015</v>
      </c>
      <c r="L42" s="16">
        <f t="shared" si="1"/>
        <v>-1.4551915228366852E-11</v>
      </c>
    </row>
    <row r="43" spans="1:12" x14ac:dyDescent="0.25">
      <c r="A43" s="13" t="s">
        <v>15</v>
      </c>
      <c r="B43" s="13" t="s">
        <v>157</v>
      </c>
      <c r="C43" s="13" t="s">
        <v>21</v>
      </c>
      <c r="D43" s="13" t="s">
        <v>57</v>
      </c>
      <c r="E43" s="14" t="s">
        <v>158</v>
      </c>
      <c r="F43" s="14" t="s">
        <v>19</v>
      </c>
      <c r="G43" s="15">
        <v>49852.54</v>
      </c>
      <c r="H43" s="15">
        <v>14748.390000000003</v>
      </c>
      <c r="I43" s="15">
        <v>8034.619999999999</v>
      </c>
      <c r="J43" s="15">
        <v>72635.55</v>
      </c>
      <c r="K43" s="16">
        <f t="shared" si="0"/>
        <v>72635.55</v>
      </c>
      <c r="L43" s="16">
        <f t="shared" si="1"/>
        <v>0</v>
      </c>
    </row>
    <row r="44" spans="1:12" x14ac:dyDescent="0.25">
      <c r="A44" s="13" t="s">
        <v>9</v>
      </c>
      <c r="B44" s="13" t="s">
        <v>159</v>
      </c>
      <c r="C44" s="13" t="s">
        <v>21</v>
      </c>
      <c r="D44" s="13" t="s">
        <v>57</v>
      </c>
      <c r="E44" s="14" t="s">
        <v>160</v>
      </c>
      <c r="F44" s="14" t="s">
        <v>161</v>
      </c>
      <c r="G44" s="15">
        <v>57871.1</v>
      </c>
      <c r="H44" s="15">
        <v>3169.14</v>
      </c>
      <c r="I44" s="15">
        <v>11540.590000000002</v>
      </c>
      <c r="J44" s="15">
        <v>72580.829999999987</v>
      </c>
      <c r="K44" s="16">
        <f t="shared" si="0"/>
        <v>72580.83</v>
      </c>
      <c r="L44" s="16">
        <f t="shared" si="1"/>
        <v>-1.4551915228366852E-11</v>
      </c>
    </row>
    <row r="45" spans="1:12" x14ac:dyDescent="0.25">
      <c r="A45" s="13" t="s">
        <v>15</v>
      </c>
      <c r="B45" s="13" t="s">
        <v>162</v>
      </c>
      <c r="C45" s="13" t="s">
        <v>21</v>
      </c>
      <c r="D45" s="13" t="s">
        <v>153</v>
      </c>
      <c r="E45" s="14" t="s">
        <v>163</v>
      </c>
      <c r="F45" s="14" t="s">
        <v>19</v>
      </c>
      <c r="G45" s="15">
        <v>50297.729999999996</v>
      </c>
      <c r="H45" s="15">
        <v>6362.64</v>
      </c>
      <c r="I45" s="15">
        <v>15729.890000000001</v>
      </c>
      <c r="J45" s="15">
        <v>72390.260000000024</v>
      </c>
      <c r="K45" s="16">
        <f t="shared" si="0"/>
        <v>72390.259999999995</v>
      </c>
      <c r="L45" s="16">
        <f t="shared" si="1"/>
        <v>2.9103830456733704E-11</v>
      </c>
    </row>
    <row r="46" spans="1:12" x14ac:dyDescent="0.25">
      <c r="A46" s="13" t="s">
        <v>9</v>
      </c>
      <c r="B46" s="13" t="s">
        <v>164</v>
      </c>
      <c r="C46" s="13" t="s">
        <v>30</v>
      </c>
      <c r="D46" s="13" t="s">
        <v>47</v>
      </c>
      <c r="E46" s="14" t="s">
        <v>165</v>
      </c>
      <c r="F46" s="14" t="s">
        <v>166</v>
      </c>
      <c r="G46" s="15">
        <v>54208.44999999999</v>
      </c>
      <c r="I46" s="15">
        <v>16576.519999999997</v>
      </c>
      <c r="J46" s="15">
        <v>70784.97</v>
      </c>
      <c r="K46" s="16">
        <f t="shared" si="0"/>
        <v>70784.969999999987</v>
      </c>
      <c r="L46" s="16">
        <f t="shared" si="1"/>
        <v>1.4551915228366852E-11</v>
      </c>
    </row>
    <row r="47" spans="1:12" x14ac:dyDescent="0.25">
      <c r="A47" s="13" t="s">
        <v>9</v>
      </c>
      <c r="B47" s="13" t="s">
        <v>167</v>
      </c>
      <c r="C47" s="13" t="s">
        <v>21</v>
      </c>
      <c r="D47" s="13" t="s">
        <v>168</v>
      </c>
      <c r="E47" s="14" t="s">
        <v>169</v>
      </c>
      <c r="F47" s="14" t="s">
        <v>170</v>
      </c>
      <c r="G47" s="15">
        <v>47557.69000000001</v>
      </c>
      <c r="H47" s="15">
        <v>7720.16</v>
      </c>
      <c r="I47" s="15">
        <v>15170.32</v>
      </c>
      <c r="J47" s="15">
        <v>70448.170000000013</v>
      </c>
      <c r="K47" s="16">
        <f t="shared" si="0"/>
        <v>70448.170000000013</v>
      </c>
      <c r="L47" s="16">
        <f t="shared" si="1"/>
        <v>0</v>
      </c>
    </row>
    <row r="48" spans="1:12" x14ac:dyDescent="0.25">
      <c r="A48" s="13" t="s">
        <v>9</v>
      </c>
      <c r="B48" s="13" t="s">
        <v>171</v>
      </c>
      <c r="C48" s="13" t="s">
        <v>30</v>
      </c>
      <c r="D48" s="13" t="s">
        <v>172</v>
      </c>
      <c r="E48" s="14" t="s">
        <v>173</v>
      </c>
      <c r="F48" s="14" t="s">
        <v>174</v>
      </c>
      <c r="G48" s="15">
        <v>51843.540000000008</v>
      </c>
      <c r="H48" s="15">
        <v>861.95</v>
      </c>
      <c r="I48" s="15">
        <v>17716.13</v>
      </c>
      <c r="J48" s="15">
        <v>70421.619999999981</v>
      </c>
      <c r="K48" s="16">
        <f t="shared" si="0"/>
        <v>70421.62000000001</v>
      </c>
      <c r="L48" s="16">
        <f t="shared" si="1"/>
        <v>-2.9103830456733704E-11</v>
      </c>
    </row>
    <row r="49" spans="1:12" x14ac:dyDescent="0.25">
      <c r="A49" s="13" t="s">
        <v>15</v>
      </c>
      <c r="B49" s="13" t="s">
        <v>175</v>
      </c>
      <c r="C49" s="13" t="s">
        <v>11</v>
      </c>
      <c r="D49" s="13" t="s">
        <v>26</v>
      </c>
      <c r="E49" s="14" t="s">
        <v>176</v>
      </c>
      <c r="F49" s="14" t="s">
        <v>19</v>
      </c>
      <c r="G49" s="15">
        <v>70322.60000000002</v>
      </c>
      <c r="I49" s="15">
        <v>0</v>
      </c>
      <c r="J49" s="15">
        <v>70322.60000000002</v>
      </c>
      <c r="K49" s="16">
        <f t="shared" si="0"/>
        <v>70322.60000000002</v>
      </c>
      <c r="L49" s="16">
        <f t="shared" si="1"/>
        <v>0</v>
      </c>
    </row>
    <row r="50" spans="1:12" x14ac:dyDescent="0.25">
      <c r="A50" s="13" t="s">
        <v>9</v>
      </c>
      <c r="B50" s="13" t="s">
        <v>177</v>
      </c>
      <c r="C50" s="13" t="s">
        <v>178</v>
      </c>
      <c r="D50" s="13" t="s">
        <v>179</v>
      </c>
      <c r="E50" s="14" t="s">
        <v>180</v>
      </c>
      <c r="F50" s="14" t="s">
        <v>181</v>
      </c>
      <c r="G50" s="15">
        <v>70238.400000000009</v>
      </c>
      <c r="I50" s="15">
        <v>0</v>
      </c>
      <c r="J50" s="15">
        <v>70238.400000000009</v>
      </c>
      <c r="K50" s="16">
        <f t="shared" si="0"/>
        <v>70238.400000000009</v>
      </c>
      <c r="L50" s="16">
        <f t="shared" si="1"/>
        <v>0</v>
      </c>
    </row>
    <row r="51" spans="1:12" x14ac:dyDescent="0.25">
      <c r="A51" s="13" t="s">
        <v>15</v>
      </c>
      <c r="B51" s="13" t="s">
        <v>182</v>
      </c>
      <c r="C51" s="13" t="s">
        <v>30</v>
      </c>
      <c r="D51" s="13" t="s">
        <v>47</v>
      </c>
      <c r="E51" s="14" t="s">
        <v>183</v>
      </c>
      <c r="F51" s="14" t="s">
        <v>19</v>
      </c>
      <c r="G51" s="15">
        <v>54615.500000000007</v>
      </c>
      <c r="H51" s="15">
        <v>680.13</v>
      </c>
      <c r="I51" s="15">
        <v>14889.71</v>
      </c>
      <c r="J51" s="15">
        <v>70185.34</v>
      </c>
      <c r="K51" s="16">
        <f t="shared" si="0"/>
        <v>70185.34</v>
      </c>
      <c r="L51" s="16">
        <f t="shared" si="1"/>
        <v>0</v>
      </c>
    </row>
    <row r="52" spans="1:12" x14ac:dyDescent="0.25">
      <c r="A52" s="13" t="s">
        <v>9</v>
      </c>
      <c r="B52" s="13" t="s">
        <v>184</v>
      </c>
      <c r="C52" s="13" t="s">
        <v>21</v>
      </c>
      <c r="D52" s="13" t="s">
        <v>153</v>
      </c>
      <c r="E52" s="14" t="s">
        <v>185</v>
      </c>
      <c r="F52" s="14" t="s">
        <v>186</v>
      </c>
      <c r="G52" s="15">
        <v>55294.079999999994</v>
      </c>
      <c r="I52" s="15">
        <v>14174.85</v>
      </c>
      <c r="J52" s="15">
        <v>69468.929999999993</v>
      </c>
      <c r="K52" s="16">
        <f t="shared" si="0"/>
        <v>69468.929999999993</v>
      </c>
      <c r="L52" s="16">
        <f t="shared" si="1"/>
        <v>0</v>
      </c>
    </row>
    <row r="53" spans="1:12" x14ac:dyDescent="0.25">
      <c r="A53" s="13" t="s">
        <v>9</v>
      </c>
      <c r="B53" s="13" t="s">
        <v>187</v>
      </c>
      <c r="C53" s="13" t="s">
        <v>188</v>
      </c>
      <c r="D53" s="13" t="s">
        <v>189</v>
      </c>
      <c r="E53" s="14" t="s">
        <v>190</v>
      </c>
      <c r="F53" s="14" t="s">
        <v>191</v>
      </c>
      <c r="G53" s="15">
        <v>69240.60000000002</v>
      </c>
      <c r="I53" s="15">
        <v>0</v>
      </c>
      <c r="J53" s="15">
        <v>69240.60000000002</v>
      </c>
      <c r="K53" s="16">
        <f t="shared" si="0"/>
        <v>69240.60000000002</v>
      </c>
      <c r="L53" s="16">
        <f t="shared" si="1"/>
        <v>0</v>
      </c>
    </row>
    <row r="54" spans="1:12" x14ac:dyDescent="0.25">
      <c r="A54" s="13" t="s">
        <v>9</v>
      </c>
      <c r="B54" s="13" t="s">
        <v>192</v>
      </c>
      <c r="C54" s="13" t="s">
        <v>21</v>
      </c>
      <c r="D54" s="13" t="s">
        <v>57</v>
      </c>
      <c r="E54" s="14" t="s">
        <v>193</v>
      </c>
      <c r="F54" s="14" t="s">
        <v>194</v>
      </c>
      <c r="G54" s="15">
        <v>51084.95</v>
      </c>
      <c r="H54" s="15">
        <v>6735.3799999999992</v>
      </c>
      <c r="I54" s="15">
        <v>11261.080000000002</v>
      </c>
      <c r="J54" s="15">
        <v>69081.41</v>
      </c>
      <c r="K54" s="16">
        <f t="shared" si="0"/>
        <v>69081.41</v>
      </c>
      <c r="L54" s="16">
        <f t="shared" si="1"/>
        <v>0</v>
      </c>
    </row>
    <row r="55" spans="1:12" x14ac:dyDescent="0.25">
      <c r="A55" s="13" t="s">
        <v>15</v>
      </c>
      <c r="B55" s="13" t="s">
        <v>195</v>
      </c>
      <c r="C55" s="13" t="s">
        <v>30</v>
      </c>
      <c r="D55" s="13" t="s">
        <v>53</v>
      </c>
      <c r="E55" s="14" t="s">
        <v>196</v>
      </c>
      <c r="F55" s="14" t="s">
        <v>19</v>
      </c>
      <c r="G55" s="15">
        <v>51912.420000000006</v>
      </c>
      <c r="H55" s="15">
        <v>629.81000000000006</v>
      </c>
      <c r="I55" s="15">
        <v>16464.039999999994</v>
      </c>
      <c r="J55" s="15">
        <v>69006.26999999999</v>
      </c>
      <c r="K55" s="16">
        <f t="shared" si="0"/>
        <v>69006.26999999999</v>
      </c>
      <c r="L55" s="16">
        <f t="shared" si="1"/>
        <v>0</v>
      </c>
    </row>
    <row r="56" spans="1:12" x14ac:dyDescent="0.25">
      <c r="A56" s="13" t="s">
        <v>9</v>
      </c>
      <c r="B56" s="13" t="s">
        <v>197</v>
      </c>
      <c r="C56" s="13" t="s">
        <v>43</v>
      </c>
      <c r="D56" s="13" t="s">
        <v>128</v>
      </c>
      <c r="E56" s="14" t="s">
        <v>80</v>
      </c>
      <c r="F56" s="14" t="s">
        <v>198</v>
      </c>
      <c r="G56" s="15">
        <v>65370.239999999983</v>
      </c>
      <c r="H56" s="15">
        <v>1488.31</v>
      </c>
      <c r="I56" s="15">
        <v>2029.56</v>
      </c>
      <c r="J56" s="15">
        <v>68888.109999999986</v>
      </c>
      <c r="K56" s="16">
        <f t="shared" si="0"/>
        <v>68888.109999999986</v>
      </c>
      <c r="L56" s="16">
        <f t="shared" si="1"/>
        <v>0</v>
      </c>
    </row>
    <row r="57" spans="1:12" x14ac:dyDescent="0.25">
      <c r="A57" s="13" t="s">
        <v>15</v>
      </c>
      <c r="B57" s="13" t="s">
        <v>199</v>
      </c>
      <c r="C57" s="13" t="s">
        <v>43</v>
      </c>
      <c r="D57" s="13" t="s">
        <v>79</v>
      </c>
      <c r="E57" s="14" t="s">
        <v>200</v>
      </c>
      <c r="F57" s="14" t="s">
        <v>19</v>
      </c>
      <c r="G57" s="15">
        <v>33938.750000000007</v>
      </c>
      <c r="H57" s="15">
        <v>23202.709999999995</v>
      </c>
      <c r="I57" s="15">
        <v>11460.9</v>
      </c>
      <c r="J57" s="15">
        <v>68602.360000000015</v>
      </c>
      <c r="K57" s="16">
        <f t="shared" si="0"/>
        <v>68602.36</v>
      </c>
      <c r="L57" s="16">
        <f t="shared" si="1"/>
        <v>1.4551915228366852E-11</v>
      </c>
    </row>
    <row r="58" spans="1:12" x14ac:dyDescent="0.25">
      <c r="A58" s="13" t="s">
        <v>9</v>
      </c>
      <c r="B58" s="13" t="s">
        <v>201</v>
      </c>
      <c r="C58" s="13" t="s">
        <v>30</v>
      </c>
      <c r="D58" s="13" t="s">
        <v>202</v>
      </c>
      <c r="E58" s="14" t="s">
        <v>203</v>
      </c>
      <c r="F58" s="14" t="s">
        <v>204</v>
      </c>
      <c r="G58" s="15">
        <v>58863.429999999993</v>
      </c>
      <c r="H58" s="15">
        <v>884.08999999999992</v>
      </c>
      <c r="I58" s="15">
        <v>8670.0499999999993</v>
      </c>
      <c r="J58" s="15">
        <v>68417.569999999992</v>
      </c>
      <c r="K58" s="16">
        <f t="shared" si="0"/>
        <v>68417.569999999992</v>
      </c>
      <c r="L58" s="16">
        <f t="shared" si="1"/>
        <v>0</v>
      </c>
    </row>
    <row r="59" spans="1:12" x14ac:dyDescent="0.25">
      <c r="A59" s="13" t="s">
        <v>15</v>
      </c>
      <c r="B59" s="13" t="s">
        <v>205</v>
      </c>
      <c r="C59" s="13" t="s">
        <v>206</v>
      </c>
      <c r="D59" s="13" t="s">
        <v>207</v>
      </c>
      <c r="E59" s="14" t="s">
        <v>208</v>
      </c>
      <c r="F59" s="14" t="s">
        <v>19</v>
      </c>
      <c r="G59" s="15">
        <v>68361.799999999974</v>
      </c>
      <c r="I59" s="15">
        <v>0</v>
      </c>
      <c r="J59" s="15">
        <v>68361.799999999974</v>
      </c>
      <c r="K59" s="16">
        <f t="shared" si="0"/>
        <v>68361.799999999974</v>
      </c>
      <c r="L59" s="16">
        <f t="shared" si="1"/>
        <v>0</v>
      </c>
    </row>
    <row r="60" spans="1:12" x14ac:dyDescent="0.25">
      <c r="A60" s="13" t="s">
        <v>9</v>
      </c>
      <c r="B60" s="13" t="s">
        <v>209</v>
      </c>
      <c r="C60" s="13" t="s">
        <v>21</v>
      </c>
      <c r="D60" s="13" t="s">
        <v>210</v>
      </c>
      <c r="E60" s="14" t="s">
        <v>211</v>
      </c>
      <c r="F60" s="14" t="s">
        <v>212</v>
      </c>
      <c r="G60" s="15">
        <v>40544.950000000012</v>
      </c>
      <c r="H60" s="15">
        <v>17050.860000000004</v>
      </c>
      <c r="I60" s="15">
        <v>10461.530000000001</v>
      </c>
      <c r="J60" s="15">
        <v>68057.340000000011</v>
      </c>
      <c r="K60" s="16">
        <f t="shared" si="0"/>
        <v>68057.340000000011</v>
      </c>
      <c r="L60" s="16">
        <f t="shared" si="1"/>
        <v>0</v>
      </c>
    </row>
    <row r="61" spans="1:12" x14ac:dyDescent="0.25">
      <c r="A61" s="13" t="s">
        <v>15</v>
      </c>
      <c r="B61" s="13" t="s">
        <v>213</v>
      </c>
      <c r="C61" s="13" t="s">
        <v>30</v>
      </c>
      <c r="D61" s="13" t="s">
        <v>47</v>
      </c>
      <c r="E61" s="14" t="s">
        <v>214</v>
      </c>
      <c r="F61" s="14" t="s">
        <v>19</v>
      </c>
      <c r="G61" s="15">
        <v>50982.310000000012</v>
      </c>
      <c r="H61" s="15">
        <v>363.1</v>
      </c>
      <c r="I61" s="15">
        <v>16341.199999999999</v>
      </c>
      <c r="J61" s="15">
        <v>67686.61</v>
      </c>
      <c r="K61" s="16">
        <f t="shared" si="0"/>
        <v>67686.610000000015</v>
      </c>
      <c r="L61" s="16">
        <f t="shared" si="1"/>
        <v>-1.4551915228366852E-11</v>
      </c>
    </row>
    <row r="62" spans="1:12" x14ac:dyDescent="0.25">
      <c r="A62" s="13" t="s">
        <v>9</v>
      </c>
      <c r="B62" s="13" t="s">
        <v>215</v>
      </c>
      <c r="C62" s="13" t="s">
        <v>216</v>
      </c>
      <c r="D62" s="13" t="s">
        <v>217</v>
      </c>
      <c r="E62" s="14" t="s">
        <v>218</v>
      </c>
      <c r="F62" s="14" t="s">
        <v>219</v>
      </c>
      <c r="G62" s="15">
        <v>66528</v>
      </c>
      <c r="I62" s="15">
        <v>1050</v>
      </c>
      <c r="J62" s="15">
        <v>67578</v>
      </c>
      <c r="K62" s="16">
        <f t="shared" si="0"/>
        <v>67578</v>
      </c>
      <c r="L62" s="16">
        <f t="shared" si="1"/>
        <v>0</v>
      </c>
    </row>
    <row r="63" spans="1:12" x14ac:dyDescent="0.25">
      <c r="A63" s="13" t="s">
        <v>9</v>
      </c>
      <c r="B63" s="13" t="s">
        <v>220</v>
      </c>
      <c r="C63" s="13" t="s">
        <v>43</v>
      </c>
      <c r="D63" s="13" t="s">
        <v>134</v>
      </c>
      <c r="E63" s="14" t="s">
        <v>65</v>
      </c>
      <c r="F63" s="14" t="s">
        <v>221</v>
      </c>
      <c r="G63" s="15">
        <v>46675.090000000004</v>
      </c>
      <c r="H63" s="15">
        <v>12306.550000000001</v>
      </c>
      <c r="I63" s="15">
        <v>8078.8399999999992</v>
      </c>
      <c r="J63" s="15">
        <v>67060.479999999996</v>
      </c>
      <c r="K63" s="16">
        <f t="shared" si="0"/>
        <v>67060.48000000001</v>
      </c>
      <c r="L63" s="16">
        <f t="shared" si="1"/>
        <v>-1.4551915228366852E-11</v>
      </c>
    </row>
    <row r="64" spans="1:12" x14ac:dyDescent="0.25">
      <c r="A64" s="13" t="s">
        <v>9</v>
      </c>
      <c r="B64" s="13" t="s">
        <v>222</v>
      </c>
      <c r="C64" s="13" t="s">
        <v>68</v>
      </c>
      <c r="D64" s="13" t="s">
        <v>223</v>
      </c>
      <c r="E64" s="14" t="s">
        <v>224</v>
      </c>
      <c r="F64" s="14" t="s">
        <v>113</v>
      </c>
      <c r="G64" s="15">
        <v>63824.299999999996</v>
      </c>
      <c r="I64" s="15">
        <v>3009.8799999999983</v>
      </c>
      <c r="J64" s="15">
        <v>66834.179999999978</v>
      </c>
      <c r="K64" s="16">
        <f t="shared" si="0"/>
        <v>66834.179999999993</v>
      </c>
      <c r="L64" s="16">
        <f t="shared" si="1"/>
        <v>-1.4551915228366852E-11</v>
      </c>
    </row>
    <row r="65" spans="1:12" x14ac:dyDescent="0.25">
      <c r="A65" s="13" t="s">
        <v>15</v>
      </c>
      <c r="B65" s="13" t="s">
        <v>225</v>
      </c>
      <c r="C65" s="13" t="s">
        <v>30</v>
      </c>
      <c r="D65" s="13" t="s">
        <v>47</v>
      </c>
      <c r="E65" s="14" t="s">
        <v>226</v>
      </c>
      <c r="F65" s="14" t="s">
        <v>19</v>
      </c>
      <c r="G65" s="15">
        <v>52798.89</v>
      </c>
      <c r="H65" s="15">
        <v>653.13</v>
      </c>
      <c r="I65" s="15">
        <v>13289</v>
      </c>
      <c r="J65" s="15">
        <v>66741.02</v>
      </c>
      <c r="K65" s="16">
        <f t="shared" si="0"/>
        <v>66741.01999999999</v>
      </c>
      <c r="L65" s="16">
        <f t="shared" si="1"/>
        <v>1.4551915228366852E-11</v>
      </c>
    </row>
    <row r="66" spans="1:12" x14ac:dyDescent="0.25">
      <c r="A66" s="13" t="s">
        <v>15</v>
      </c>
      <c r="B66" s="13" t="s">
        <v>227</v>
      </c>
      <c r="C66" s="13" t="s">
        <v>43</v>
      </c>
      <c r="D66" s="13" t="s">
        <v>79</v>
      </c>
      <c r="E66" s="14" t="s">
        <v>228</v>
      </c>
      <c r="F66" s="14" t="s">
        <v>19</v>
      </c>
      <c r="G66" s="15">
        <v>34361.040000000001</v>
      </c>
      <c r="H66" s="15">
        <v>24808.670000000002</v>
      </c>
      <c r="I66" s="15">
        <v>7514.7599999999993</v>
      </c>
      <c r="J66" s="15">
        <v>66684.47</v>
      </c>
      <c r="K66" s="16">
        <f t="shared" si="0"/>
        <v>66684.47</v>
      </c>
      <c r="L66" s="16">
        <f t="shared" si="1"/>
        <v>0</v>
      </c>
    </row>
    <row r="67" spans="1:12" x14ac:dyDescent="0.25">
      <c r="A67" s="13" t="s">
        <v>15</v>
      </c>
      <c r="B67" s="13" t="s">
        <v>229</v>
      </c>
      <c r="C67" s="13" t="s">
        <v>43</v>
      </c>
      <c r="D67" s="13" t="s">
        <v>128</v>
      </c>
      <c r="E67" s="14" t="s">
        <v>230</v>
      </c>
      <c r="F67" s="14" t="s">
        <v>19</v>
      </c>
      <c r="G67" s="15">
        <v>43244.840000000018</v>
      </c>
      <c r="H67" s="15">
        <v>13511.590000000002</v>
      </c>
      <c r="I67" s="15">
        <v>9595.74</v>
      </c>
      <c r="J67" s="15">
        <v>66352.17</v>
      </c>
      <c r="K67" s="16">
        <f t="shared" ref="K67:K130" si="2">SUM(G67:I67)</f>
        <v>66352.170000000027</v>
      </c>
      <c r="L67" s="16">
        <f t="shared" ref="L67:L130" si="3">SUM(J67-K67)</f>
        <v>-2.9103830456733704E-11</v>
      </c>
    </row>
    <row r="68" spans="1:12" x14ac:dyDescent="0.25">
      <c r="A68" s="13" t="s">
        <v>9</v>
      </c>
      <c r="B68" s="13" t="s">
        <v>231</v>
      </c>
      <c r="C68" s="13" t="s">
        <v>21</v>
      </c>
      <c r="D68" s="13" t="s">
        <v>57</v>
      </c>
      <c r="E68" s="14" t="s">
        <v>232</v>
      </c>
      <c r="F68" s="14" t="s">
        <v>233</v>
      </c>
      <c r="G68" s="15">
        <v>51992.359999999993</v>
      </c>
      <c r="H68" s="15">
        <v>3433.2400000000002</v>
      </c>
      <c r="I68" s="15">
        <v>10804.729999999998</v>
      </c>
      <c r="J68" s="15">
        <v>66230.33</v>
      </c>
      <c r="K68" s="16">
        <f t="shared" si="2"/>
        <v>66230.329999999987</v>
      </c>
      <c r="L68" s="16">
        <f t="shared" si="3"/>
        <v>1.4551915228366852E-11</v>
      </c>
    </row>
    <row r="69" spans="1:12" x14ac:dyDescent="0.25">
      <c r="A69" s="13" t="s">
        <v>15</v>
      </c>
      <c r="B69" s="13" t="s">
        <v>234</v>
      </c>
      <c r="C69" s="13" t="s">
        <v>30</v>
      </c>
      <c r="D69" s="13" t="s">
        <v>202</v>
      </c>
      <c r="E69" s="14" t="s">
        <v>235</v>
      </c>
      <c r="F69" s="14" t="s">
        <v>19</v>
      </c>
      <c r="G69" s="15">
        <v>54256.060000000005</v>
      </c>
      <c r="H69" s="15">
        <v>648.63</v>
      </c>
      <c r="I69" s="15">
        <v>10127.560000000001</v>
      </c>
      <c r="J69" s="15">
        <v>65032.25</v>
      </c>
      <c r="K69" s="16">
        <f t="shared" si="2"/>
        <v>65032.25</v>
      </c>
      <c r="L69" s="16">
        <f t="shared" si="3"/>
        <v>0</v>
      </c>
    </row>
    <row r="70" spans="1:12" x14ac:dyDescent="0.25">
      <c r="A70" s="13" t="s">
        <v>15</v>
      </c>
      <c r="B70" s="13" t="s">
        <v>236</v>
      </c>
      <c r="C70" s="13" t="s">
        <v>30</v>
      </c>
      <c r="D70" s="13" t="s">
        <v>47</v>
      </c>
      <c r="E70" s="14" t="s">
        <v>237</v>
      </c>
      <c r="F70" s="14" t="s">
        <v>19</v>
      </c>
      <c r="G70" s="15">
        <v>52051.909999999996</v>
      </c>
      <c r="H70" s="15">
        <v>372.15000000000003</v>
      </c>
      <c r="I70" s="15">
        <v>12457.96</v>
      </c>
      <c r="J70" s="15">
        <v>64882.01999999999</v>
      </c>
      <c r="K70" s="16">
        <f t="shared" si="2"/>
        <v>64882.02</v>
      </c>
      <c r="L70" s="16">
        <f t="shared" si="3"/>
        <v>-7.2759576141834259E-12</v>
      </c>
    </row>
    <row r="71" spans="1:12" x14ac:dyDescent="0.25">
      <c r="A71" s="13" t="s">
        <v>15</v>
      </c>
      <c r="B71" s="13" t="s">
        <v>238</v>
      </c>
      <c r="C71" s="13" t="s">
        <v>21</v>
      </c>
      <c r="D71" s="13" t="s">
        <v>57</v>
      </c>
      <c r="E71" s="14" t="s">
        <v>239</v>
      </c>
      <c r="F71" s="14" t="s">
        <v>19</v>
      </c>
      <c r="G71" s="15">
        <v>44711.59</v>
      </c>
      <c r="H71" s="15">
        <v>2535.87</v>
      </c>
      <c r="I71" s="15">
        <v>17600.28</v>
      </c>
      <c r="J71" s="15">
        <v>64847.740000000005</v>
      </c>
      <c r="K71" s="16">
        <f t="shared" si="2"/>
        <v>64847.74</v>
      </c>
      <c r="L71" s="16">
        <f t="shared" si="3"/>
        <v>7.2759576141834259E-12</v>
      </c>
    </row>
    <row r="72" spans="1:12" x14ac:dyDescent="0.25">
      <c r="A72" s="13" t="s">
        <v>9</v>
      </c>
      <c r="B72" s="13" t="s">
        <v>240</v>
      </c>
      <c r="C72" s="13" t="s">
        <v>241</v>
      </c>
      <c r="D72" s="13" t="s">
        <v>242</v>
      </c>
      <c r="E72" s="14" t="s">
        <v>243</v>
      </c>
      <c r="F72" s="14" t="s">
        <v>244</v>
      </c>
      <c r="G72" s="15">
        <v>64700.000000000015</v>
      </c>
      <c r="I72" s="15">
        <v>0</v>
      </c>
      <c r="J72" s="15">
        <v>64700.000000000015</v>
      </c>
      <c r="K72" s="16">
        <f t="shared" si="2"/>
        <v>64700.000000000015</v>
      </c>
      <c r="L72" s="16">
        <f t="shared" si="3"/>
        <v>0</v>
      </c>
    </row>
    <row r="73" spans="1:12" x14ac:dyDescent="0.25">
      <c r="A73" s="13" t="s">
        <v>15</v>
      </c>
      <c r="B73" s="13" t="s">
        <v>245</v>
      </c>
      <c r="C73" s="13" t="s">
        <v>30</v>
      </c>
      <c r="D73" s="13" t="s">
        <v>131</v>
      </c>
      <c r="E73" s="14" t="s">
        <v>246</v>
      </c>
      <c r="F73" s="14" t="s">
        <v>19</v>
      </c>
      <c r="G73" s="15">
        <v>47770.359999999993</v>
      </c>
      <c r="H73" s="15">
        <v>418.84</v>
      </c>
      <c r="I73" s="15">
        <v>16148.149999999998</v>
      </c>
      <c r="J73" s="15">
        <v>64337.349999999984</v>
      </c>
      <c r="K73" s="16">
        <f t="shared" si="2"/>
        <v>64337.349999999991</v>
      </c>
      <c r="L73" s="16">
        <f t="shared" si="3"/>
        <v>-7.2759576141834259E-12</v>
      </c>
    </row>
    <row r="74" spans="1:12" x14ac:dyDescent="0.25">
      <c r="A74" s="13" t="s">
        <v>9</v>
      </c>
      <c r="B74" s="13" t="s">
        <v>247</v>
      </c>
      <c r="C74" s="13" t="s">
        <v>30</v>
      </c>
      <c r="D74" s="13" t="s">
        <v>248</v>
      </c>
      <c r="E74" s="14" t="s">
        <v>249</v>
      </c>
      <c r="F74" s="14" t="s">
        <v>250</v>
      </c>
      <c r="G74" s="15">
        <v>47279.66</v>
      </c>
      <c r="I74" s="15">
        <v>16929.97</v>
      </c>
      <c r="J74" s="15">
        <v>64209.63</v>
      </c>
      <c r="K74" s="16">
        <f t="shared" si="2"/>
        <v>64209.630000000005</v>
      </c>
      <c r="L74" s="16">
        <f t="shared" si="3"/>
        <v>-7.2759576141834259E-12</v>
      </c>
    </row>
    <row r="75" spans="1:12" x14ac:dyDescent="0.25">
      <c r="A75" s="13" t="s">
        <v>15</v>
      </c>
      <c r="B75" s="13" t="s">
        <v>251</v>
      </c>
      <c r="C75" s="13" t="s">
        <v>21</v>
      </c>
      <c r="D75" s="13" t="s">
        <v>153</v>
      </c>
      <c r="E75" s="14" t="s">
        <v>158</v>
      </c>
      <c r="F75" s="14" t="s">
        <v>19</v>
      </c>
      <c r="G75" s="15">
        <v>61118.299999999996</v>
      </c>
      <c r="I75" s="15">
        <v>2585.6099999999992</v>
      </c>
      <c r="J75" s="15">
        <v>63703.909999999989</v>
      </c>
      <c r="K75" s="16">
        <f t="shared" si="2"/>
        <v>63703.909999999996</v>
      </c>
      <c r="L75" s="16">
        <f t="shared" si="3"/>
        <v>-7.2759576141834259E-12</v>
      </c>
    </row>
    <row r="76" spans="1:12" x14ac:dyDescent="0.25">
      <c r="A76" s="13" t="s">
        <v>15</v>
      </c>
      <c r="B76" s="13" t="s">
        <v>252</v>
      </c>
      <c r="C76" s="13" t="s">
        <v>30</v>
      </c>
      <c r="D76" s="13" t="s">
        <v>131</v>
      </c>
      <c r="E76" s="14" t="s">
        <v>253</v>
      </c>
      <c r="F76" s="14" t="s">
        <v>19</v>
      </c>
      <c r="G76" s="15">
        <v>51186.859999999993</v>
      </c>
      <c r="H76" s="15">
        <v>409.57</v>
      </c>
      <c r="I76" s="15">
        <v>11595.400000000001</v>
      </c>
      <c r="J76" s="15">
        <v>63191.83</v>
      </c>
      <c r="K76" s="16">
        <f t="shared" si="2"/>
        <v>63191.829999999994</v>
      </c>
      <c r="L76" s="16">
        <f t="shared" si="3"/>
        <v>7.2759576141834259E-12</v>
      </c>
    </row>
    <row r="77" spans="1:12" x14ac:dyDescent="0.25">
      <c r="A77" s="13" t="s">
        <v>9</v>
      </c>
      <c r="B77" s="13" t="s">
        <v>254</v>
      </c>
      <c r="C77" s="13" t="s">
        <v>94</v>
      </c>
      <c r="D77" s="13" t="s">
        <v>255</v>
      </c>
      <c r="E77" s="14" t="s">
        <v>256</v>
      </c>
      <c r="F77" s="14" t="s">
        <v>257</v>
      </c>
      <c r="G77" s="15">
        <v>63175.150000000016</v>
      </c>
      <c r="I77" s="15">
        <v>0</v>
      </c>
      <c r="J77" s="15">
        <v>63175.150000000016</v>
      </c>
      <c r="K77" s="16">
        <f t="shared" si="2"/>
        <v>63175.150000000016</v>
      </c>
      <c r="L77" s="16">
        <f t="shared" si="3"/>
        <v>0</v>
      </c>
    </row>
    <row r="78" spans="1:12" x14ac:dyDescent="0.25">
      <c r="A78" s="13" t="s">
        <v>15</v>
      </c>
      <c r="B78" s="13" t="s">
        <v>258</v>
      </c>
      <c r="C78" s="13" t="s">
        <v>38</v>
      </c>
      <c r="D78" s="13" t="s">
        <v>259</v>
      </c>
      <c r="E78" s="14" t="s">
        <v>260</v>
      </c>
      <c r="F78" s="14" t="s">
        <v>19</v>
      </c>
      <c r="G78" s="15">
        <v>42764.359999999993</v>
      </c>
      <c r="H78" s="15">
        <v>13808.92</v>
      </c>
      <c r="I78" s="15">
        <v>5576.4699999999993</v>
      </c>
      <c r="J78" s="15">
        <v>62149.750000000007</v>
      </c>
      <c r="K78" s="16">
        <f t="shared" si="2"/>
        <v>62149.749999999993</v>
      </c>
      <c r="L78" s="16">
        <f t="shared" si="3"/>
        <v>1.4551915228366852E-11</v>
      </c>
    </row>
    <row r="79" spans="1:12" x14ac:dyDescent="0.25">
      <c r="A79" s="13" t="s">
        <v>15</v>
      </c>
      <c r="B79" s="13" t="s">
        <v>261</v>
      </c>
      <c r="C79" s="13" t="s">
        <v>30</v>
      </c>
      <c r="D79" s="13" t="s">
        <v>47</v>
      </c>
      <c r="E79" s="14" t="s">
        <v>262</v>
      </c>
      <c r="F79" s="14" t="s">
        <v>19</v>
      </c>
      <c r="G79" s="15">
        <v>48867.80000000001</v>
      </c>
      <c r="H79" s="15">
        <v>24.8</v>
      </c>
      <c r="I79" s="15">
        <v>13212.470000000001</v>
      </c>
      <c r="J79" s="15">
        <v>62105.070000000007</v>
      </c>
      <c r="K79" s="16">
        <f t="shared" si="2"/>
        <v>62105.070000000014</v>
      </c>
      <c r="L79" s="16">
        <f t="shared" si="3"/>
        <v>-7.2759576141834259E-12</v>
      </c>
    </row>
    <row r="80" spans="1:12" x14ac:dyDescent="0.25">
      <c r="A80" s="13" t="s">
        <v>15</v>
      </c>
      <c r="B80" s="13" t="s">
        <v>263</v>
      </c>
      <c r="C80" s="13" t="s">
        <v>30</v>
      </c>
      <c r="D80" s="13" t="s">
        <v>47</v>
      </c>
      <c r="E80" s="14" t="s">
        <v>264</v>
      </c>
      <c r="F80" s="14" t="s">
        <v>19</v>
      </c>
      <c r="G80" s="15">
        <v>48598.799999999996</v>
      </c>
      <c r="H80" s="15">
        <v>420.31</v>
      </c>
      <c r="I80" s="15">
        <v>13015.439999999999</v>
      </c>
      <c r="J80" s="15">
        <v>62034.55</v>
      </c>
      <c r="K80" s="16">
        <f t="shared" si="2"/>
        <v>62034.549999999988</v>
      </c>
      <c r="L80" s="16">
        <f t="shared" si="3"/>
        <v>1.4551915228366852E-11</v>
      </c>
    </row>
    <row r="81" spans="1:12" x14ac:dyDescent="0.25">
      <c r="A81" s="13" t="s">
        <v>15</v>
      </c>
      <c r="B81" s="13" t="s">
        <v>265</v>
      </c>
      <c r="C81" s="13" t="s">
        <v>21</v>
      </c>
      <c r="D81" s="13" t="s">
        <v>168</v>
      </c>
      <c r="E81" s="14" t="s">
        <v>266</v>
      </c>
      <c r="F81" s="14" t="s">
        <v>19</v>
      </c>
      <c r="G81" s="15">
        <v>46317.360000000008</v>
      </c>
      <c r="H81" s="15">
        <v>4259.4900000000007</v>
      </c>
      <c r="I81" s="15">
        <v>11436.199999999999</v>
      </c>
      <c r="J81" s="15">
        <v>62013.05</v>
      </c>
      <c r="K81" s="16">
        <f t="shared" si="2"/>
        <v>62013.05</v>
      </c>
      <c r="L81" s="16">
        <f t="shared" si="3"/>
        <v>0</v>
      </c>
    </row>
    <row r="82" spans="1:12" x14ac:dyDescent="0.25">
      <c r="A82" s="13" t="s">
        <v>15</v>
      </c>
      <c r="B82" s="13" t="s">
        <v>267</v>
      </c>
      <c r="C82" s="13" t="s">
        <v>21</v>
      </c>
      <c r="D82" s="13" t="s">
        <v>168</v>
      </c>
      <c r="E82" s="14" t="s">
        <v>268</v>
      </c>
      <c r="F82" s="14" t="s">
        <v>19</v>
      </c>
      <c r="G82" s="15">
        <v>46271.229999999996</v>
      </c>
      <c r="H82" s="15">
        <v>6424.23</v>
      </c>
      <c r="I82" s="15">
        <v>8227.1200000000008</v>
      </c>
      <c r="J82" s="15">
        <v>60922.579999999994</v>
      </c>
      <c r="K82" s="16">
        <f t="shared" si="2"/>
        <v>60922.579999999994</v>
      </c>
      <c r="L82" s="16">
        <f t="shared" si="3"/>
        <v>0</v>
      </c>
    </row>
    <row r="83" spans="1:12" x14ac:dyDescent="0.25">
      <c r="A83" s="13" t="s">
        <v>15</v>
      </c>
      <c r="B83" s="13" t="s">
        <v>269</v>
      </c>
      <c r="C83" s="13" t="s">
        <v>21</v>
      </c>
      <c r="D83" s="13" t="s">
        <v>57</v>
      </c>
      <c r="E83" s="14" t="s">
        <v>270</v>
      </c>
      <c r="F83" s="14" t="s">
        <v>19</v>
      </c>
      <c r="G83" s="15">
        <v>46957.43</v>
      </c>
      <c r="H83" s="15">
        <v>4875.99</v>
      </c>
      <c r="I83" s="15">
        <v>8844.9499999999971</v>
      </c>
      <c r="J83" s="15">
        <v>60678.37000000001</v>
      </c>
      <c r="K83" s="16">
        <f t="shared" si="2"/>
        <v>60678.369999999995</v>
      </c>
      <c r="L83" s="16">
        <f t="shared" si="3"/>
        <v>1.4551915228366852E-11</v>
      </c>
    </row>
    <row r="84" spans="1:12" x14ac:dyDescent="0.25">
      <c r="A84" s="13" t="s">
        <v>9</v>
      </c>
      <c r="B84" s="13" t="s">
        <v>271</v>
      </c>
      <c r="C84" s="13" t="s">
        <v>43</v>
      </c>
      <c r="D84" s="13" t="s">
        <v>272</v>
      </c>
      <c r="E84" s="14" t="s">
        <v>273</v>
      </c>
      <c r="F84" s="14" t="s">
        <v>274</v>
      </c>
      <c r="G84" s="15">
        <v>28771.050000000007</v>
      </c>
      <c r="H84" s="15">
        <v>25084.539999999994</v>
      </c>
      <c r="I84" s="15">
        <v>6375.3300000000008</v>
      </c>
      <c r="J84" s="15">
        <v>60230.919999999991</v>
      </c>
      <c r="K84" s="16">
        <f t="shared" si="2"/>
        <v>60230.92</v>
      </c>
      <c r="L84" s="16">
        <f t="shared" si="3"/>
        <v>-7.2759576141834259E-12</v>
      </c>
    </row>
    <row r="85" spans="1:12" x14ac:dyDescent="0.25">
      <c r="A85" s="13" t="s">
        <v>9</v>
      </c>
      <c r="B85" s="13" t="s">
        <v>275</v>
      </c>
      <c r="C85" s="13" t="s">
        <v>21</v>
      </c>
      <c r="D85" s="13" t="s">
        <v>168</v>
      </c>
      <c r="E85" s="14" t="s">
        <v>276</v>
      </c>
      <c r="F85" s="14" t="s">
        <v>24</v>
      </c>
      <c r="G85" s="15">
        <v>45997.15</v>
      </c>
      <c r="H85" s="15">
        <v>808.59</v>
      </c>
      <c r="I85" s="15">
        <v>13394.550000000003</v>
      </c>
      <c r="J85" s="15">
        <v>60200.29</v>
      </c>
      <c r="K85" s="16">
        <f t="shared" si="2"/>
        <v>60200.29</v>
      </c>
      <c r="L85" s="16">
        <f t="shared" si="3"/>
        <v>0</v>
      </c>
    </row>
    <row r="86" spans="1:12" x14ac:dyDescent="0.25">
      <c r="A86" s="13" t="s">
        <v>15</v>
      </c>
      <c r="B86" s="13" t="s">
        <v>277</v>
      </c>
      <c r="C86" s="13" t="s">
        <v>30</v>
      </c>
      <c r="D86" s="13" t="s">
        <v>248</v>
      </c>
      <c r="E86" s="14" t="s">
        <v>235</v>
      </c>
      <c r="F86" s="14" t="s">
        <v>19</v>
      </c>
      <c r="G86" s="15">
        <v>42567.710000000014</v>
      </c>
      <c r="H86" s="15">
        <v>18.59</v>
      </c>
      <c r="I86" s="15">
        <v>16813.13</v>
      </c>
      <c r="J86" s="15">
        <v>59399.430000000015</v>
      </c>
      <c r="K86" s="16">
        <f t="shared" si="2"/>
        <v>59399.430000000008</v>
      </c>
      <c r="L86" s="16">
        <f t="shared" si="3"/>
        <v>7.2759576141834259E-12</v>
      </c>
    </row>
    <row r="87" spans="1:12" x14ac:dyDescent="0.25">
      <c r="A87" s="13" t="s">
        <v>15</v>
      </c>
      <c r="B87" s="13" t="s">
        <v>278</v>
      </c>
      <c r="C87" s="13" t="s">
        <v>21</v>
      </c>
      <c r="D87" s="13" t="s">
        <v>124</v>
      </c>
      <c r="E87" s="14" t="s">
        <v>279</v>
      </c>
      <c r="F87" s="14" t="s">
        <v>19</v>
      </c>
      <c r="G87" s="15">
        <v>43672.909999999996</v>
      </c>
      <c r="H87" s="15">
        <v>2286.15</v>
      </c>
      <c r="I87" s="15">
        <v>13438.109999999999</v>
      </c>
      <c r="J87" s="15">
        <v>59397.169999999991</v>
      </c>
      <c r="K87" s="16">
        <f t="shared" si="2"/>
        <v>59397.17</v>
      </c>
      <c r="L87" s="16">
        <f t="shared" si="3"/>
        <v>-7.2759576141834259E-12</v>
      </c>
    </row>
    <row r="88" spans="1:12" x14ac:dyDescent="0.25">
      <c r="A88" s="13" t="s">
        <v>15</v>
      </c>
      <c r="B88" s="13" t="s">
        <v>280</v>
      </c>
      <c r="C88" s="13" t="s">
        <v>43</v>
      </c>
      <c r="D88" s="13" t="s">
        <v>134</v>
      </c>
      <c r="E88" s="14" t="s">
        <v>281</v>
      </c>
      <c r="F88" s="14" t="s">
        <v>19</v>
      </c>
      <c r="G88" s="15">
        <v>27492.579999999998</v>
      </c>
      <c r="H88" s="15">
        <v>25844.03</v>
      </c>
      <c r="I88" s="15">
        <v>5028.9500000000007</v>
      </c>
      <c r="J88" s="15">
        <v>58365.560000000005</v>
      </c>
      <c r="K88" s="16">
        <f t="shared" si="2"/>
        <v>58365.56</v>
      </c>
      <c r="L88" s="16">
        <f t="shared" si="3"/>
        <v>7.2759576141834259E-12</v>
      </c>
    </row>
    <row r="89" spans="1:12" x14ac:dyDescent="0.25">
      <c r="A89" s="13" t="s">
        <v>15</v>
      </c>
      <c r="B89" s="13" t="s">
        <v>282</v>
      </c>
      <c r="C89" s="13" t="s">
        <v>21</v>
      </c>
      <c r="D89" s="13" t="s">
        <v>57</v>
      </c>
      <c r="E89" s="14" t="s">
        <v>283</v>
      </c>
      <c r="F89" s="14" t="s">
        <v>19</v>
      </c>
      <c r="G89" s="15">
        <v>45143.409999999996</v>
      </c>
      <c r="H89" s="15">
        <v>807.31</v>
      </c>
      <c r="I89" s="15">
        <v>12411.659999999998</v>
      </c>
      <c r="J89" s="15">
        <v>58362.37999999999</v>
      </c>
      <c r="K89" s="16">
        <f t="shared" si="2"/>
        <v>58362.37999999999</v>
      </c>
      <c r="L89" s="16">
        <f t="shared" si="3"/>
        <v>0</v>
      </c>
    </row>
    <row r="90" spans="1:12" x14ac:dyDescent="0.25">
      <c r="A90" s="13" t="s">
        <v>15</v>
      </c>
      <c r="B90" s="13" t="s">
        <v>284</v>
      </c>
      <c r="C90" s="13" t="s">
        <v>30</v>
      </c>
      <c r="D90" s="13" t="s">
        <v>248</v>
      </c>
      <c r="E90" s="14" t="s">
        <v>285</v>
      </c>
      <c r="F90" s="14" t="s">
        <v>19</v>
      </c>
      <c r="G90" s="15">
        <v>47059.710000000006</v>
      </c>
      <c r="H90" s="15">
        <v>298.22999999999996</v>
      </c>
      <c r="I90" s="15">
        <v>10729.53</v>
      </c>
      <c r="J90" s="15">
        <v>58087.469999999994</v>
      </c>
      <c r="K90" s="16">
        <f t="shared" si="2"/>
        <v>58087.470000000008</v>
      </c>
      <c r="L90" s="16">
        <f t="shared" si="3"/>
        <v>-1.4551915228366852E-11</v>
      </c>
    </row>
    <row r="91" spans="1:12" x14ac:dyDescent="0.25">
      <c r="A91" s="13" t="s">
        <v>9</v>
      </c>
      <c r="B91" s="13" t="s">
        <v>286</v>
      </c>
      <c r="C91" s="13" t="s">
        <v>140</v>
      </c>
      <c r="D91" s="13" t="s">
        <v>287</v>
      </c>
      <c r="E91" s="14" t="s">
        <v>288</v>
      </c>
      <c r="F91" s="14" t="s">
        <v>289</v>
      </c>
      <c r="G91" s="15">
        <v>58035.849999999977</v>
      </c>
      <c r="I91" s="15">
        <v>0</v>
      </c>
      <c r="J91" s="15">
        <v>58035.849999999977</v>
      </c>
      <c r="K91" s="16">
        <f t="shared" si="2"/>
        <v>58035.849999999977</v>
      </c>
      <c r="L91" s="16">
        <f t="shared" si="3"/>
        <v>0</v>
      </c>
    </row>
    <row r="92" spans="1:12" x14ac:dyDescent="0.25">
      <c r="A92" s="13" t="s">
        <v>9</v>
      </c>
      <c r="B92" s="13" t="s">
        <v>290</v>
      </c>
      <c r="C92" s="13" t="s">
        <v>21</v>
      </c>
      <c r="D92" s="13" t="s">
        <v>153</v>
      </c>
      <c r="E92" s="14" t="s">
        <v>291</v>
      </c>
      <c r="F92" s="14" t="s">
        <v>292</v>
      </c>
      <c r="G92" s="15">
        <v>43078.12000000001</v>
      </c>
      <c r="H92" s="15">
        <v>1700.74</v>
      </c>
      <c r="I92" s="15">
        <v>12861.179999999995</v>
      </c>
      <c r="J92" s="15">
        <v>57640.04</v>
      </c>
      <c r="K92" s="16">
        <f t="shared" si="2"/>
        <v>57640.04</v>
      </c>
      <c r="L92" s="16">
        <f t="shared" si="3"/>
        <v>0</v>
      </c>
    </row>
    <row r="93" spans="1:12" x14ac:dyDescent="0.25">
      <c r="A93" s="13" t="s">
        <v>15</v>
      </c>
      <c r="B93" s="13" t="s">
        <v>293</v>
      </c>
      <c r="C93" s="13" t="s">
        <v>30</v>
      </c>
      <c r="D93" s="13" t="s">
        <v>47</v>
      </c>
      <c r="E93" s="14" t="s">
        <v>294</v>
      </c>
      <c r="F93" s="14" t="s">
        <v>19</v>
      </c>
      <c r="G93" s="15">
        <v>47584.739999999991</v>
      </c>
      <c r="H93" s="15">
        <v>368.01</v>
      </c>
      <c r="I93" s="15">
        <v>9624.98</v>
      </c>
      <c r="J93" s="15">
        <v>57577.729999999996</v>
      </c>
      <c r="K93" s="16">
        <f t="shared" si="2"/>
        <v>57577.729999999996</v>
      </c>
      <c r="L93" s="16">
        <f t="shared" si="3"/>
        <v>0</v>
      </c>
    </row>
    <row r="94" spans="1:12" x14ac:dyDescent="0.25">
      <c r="A94" s="13" t="s">
        <v>15</v>
      </c>
      <c r="B94" s="13" t="s">
        <v>295</v>
      </c>
      <c r="C94" s="13" t="s">
        <v>43</v>
      </c>
      <c r="D94" s="13" t="s">
        <v>296</v>
      </c>
      <c r="E94" s="14" t="s">
        <v>297</v>
      </c>
      <c r="F94" s="14" t="s">
        <v>19</v>
      </c>
      <c r="G94" s="15">
        <v>49760.249999999993</v>
      </c>
      <c r="H94" s="15">
        <v>3864.09</v>
      </c>
      <c r="I94" s="15">
        <v>3799.3600000000006</v>
      </c>
      <c r="J94" s="15">
        <v>57423.700000000012</v>
      </c>
      <c r="K94" s="16">
        <f t="shared" si="2"/>
        <v>57423.7</v>
      </c>
      <c r="L94" s="16">
        <f t="shared" si="3"/>
        <v>1.4551915228366852E-11</v>
      </c>
    </row>
    <row r="95" spans="1:12" x14ac:dyDescent="0.25">
      <c r="A95" s="13" t="s">
        <v>9</v>
      </c>
      <c r="B95" s="13" t="s">
        <v>298</v>
      </c>
      <c r="C95" s="13" t="s">
        <v>43</v>
      </c>
      <c r="D95" s="13" t="s">
        <v>299</v>
      </c>
      <c r="E95" s="14" t="s">
        <v>300</v>
      </c>
      <c r="F95" s="14" t="s">
        <v>301</v>
      </c>
      <c r="G95" s="15">
        <v>26561.43</v>
      </c>
      <c r="H95" s="15">
        <v>25752.720000000008</v>
      </c>
      <c r="I95" s="15">
        <v>4670.3500000000004</v>
      </c>
      <c r="J95" s="15">
        <v>56984.499999999993</v>
      </c>
      <c r="K95" s="16">
        <f t="shared" si="2"/>
        <v>56984.500000000007</v>
      </c>
      <c r="L95" s="16">
        <f t="shared" si="3"/>
        <v>-1.4551915228366852E-11</v>
      </c>
    </row>
    <row r="96" spans="1:12" x14ac:dyDescent="0.25">
      <c r="A96" s="13" t="s">
        <v>15</v>
      </c>
      <c r="B96" s="13" t="s">
        <v>302</v>
      </c>
      <c r="C96" s="13" t="s">
        <v>21</v>
      </c>
      <c r="D96" s="13" t="s">
        <v>168</v>
      </c>
      <c r="E96" s="14" t="s">
        <v>303</v>
      </c>
      <c r="F96" s="14" t="s">
        <v>19</v>
      </c>
      <c r="G96" s="15">
        <v>42730</v>
      </c>
      <c r="H96" s="15">
        <v>5299.9900000000016</v>
      </c>
      <c r="I96" s="15">
        <v>8893.0800000000017</v>
      </c>
      <c r="J96" s="15">
        <v>56923.070000000007</v>
      </c>
      <c r="K96" s="16">
        <f t="shared" si="2"/>
        <v>56923.070000000007</v>
      </c>
      <c r="L96" s="16">
        <f t="shared" si="3"/>
        <v>0</v>
      </c>
    </row>
    <row r="97" spans="1:12" x14ac:dyDescent="0.25">
      <c r="A97" s="13" t="s">
        <v>9</v>
      </c>
      <c r="B97" s="13" t="s">
        <v>304</v>
      </c>
      <c r="C97" s="13" t="s">
        <v>38</v>
      </c>
      <c r="D97" s="13" t="s">
        <v>305</v>
      </c>
      <c r="E97" s="14" t="s">
        <v>306</v>
      </c>
      <c r="F97" s="14" t="s">
        <v>307</v>
      </c>
      <c r="G97" s="15">
        <v>56882.549999999988</v>
      </c>
      <c r="I97" s="15">
        <v>0</v>
      </c>
      <c r="J97" s="15">
        <v>56882.549999999988</v>
      </c>
      <c r="K97" s="16">
        <f t="shared" si="2"/>
        <v>56882.549999999988</v>
      </c>
      <c r="L97" s="16">
        <f t="shared" si="3"/>
        <v>0</v>
      </c>
    </row>
    <row r="98" spans="1:12" x14ac:dyDescent="0.25">
      <c r="A98" s="13" t="s">
        <v>15</v>
      </c>
      <c r="B98" s="13" t="s">
        <v>308</v>
      </c>
      <c r="C98" s="13" t="s">
        <v>21</v>
      </c>
      <c r="D98" s="13" t="s">
        <v>57</v>
      </c>
      <c r="E98" s="14" t="s">
        <v>309</v>
      </c>
      <c r="F98" s="14" t="s">
        <v>19</v>
      </c>
      <c r="G98" s="15">
        <v>42865.630000000005</v>
      </c>
      <c r="H98" s="15">
        <v>4833.1399999999985</v>
      </c>
      <c r="I98" s="15">
        <v>8502.81</v>
      </c>
      <c r="J98" s="15">
        <v>56201.579999999994</v>
      </c>
      <c r="K98" s="16">
        <f t="shared" si="2"/>
        <v>56201.58</v>
      </c>
      <c r="L98" s="16">
        <f t="shared" si="3"/>
        <v>-7.2759576141834259E-12</v>
      </c>
    </row>
    <row r="99" spans="1:12" x14ac:dyDescent="0.25">
      <c r="A99" s="13" t="s">
        <v>15</v>
      </c>
      <c r="B99" s="13" t="s">
        <v>310</v>
      </c>
      <c r="C99" s="13" t="s">
        <v>30</v>
      </c>
      <c r="D99" s="13" t="s">
        <v>131</v>
      </c>
      <c r="E99" s="14" t="s">
        <v>237</v>
      </c>
      <c r="F99" s="14" t="s">
        <v>19</v>
      </c>
      <c r="G99" s="15">
        <v>43484.85</v>
      </c>
      <c r="H99" s="15">
        <v>372.98999999999995</v>
      </c>
      <c r="I99" s="15">
        <v>12303.549999999997</v>
      </c>
      <c r="J99" s="15">
        <v>56161.39</v>
      </c>
      <c r="K99" s="16">
        <f t="shared" si="2"/>
        <v>56161.389999999992</v>
      </c>
      <c r="L99" s="16">
        <f t="shared" si="3"/>
        <v>7.2759576141834259E-12</v>
      </c>
    </row>
    <row r="100" spans="1:12" x14ac:dyDescent="0.25">
      <c r="A100" s="13" t="s">
        <v>15</v>
      </c>
      <c r="B100" s="13" t="s">
        <v>311</v>
      </c>
      <c r="C100" s="13" t="s">
        <v>21</v>
      </c>
      <c r="D100" s="13" t="s">
        <v>168</v>
      </c>
      <c r="E100" s="14" t="s">
        <v>312</v>
      </c>
      <c r="F100" s="14" t="s">
        <v>19</v>
      </c>
      <c r="G100" s="15">
        <v>44812.380000000005</v>
      </c>
      <c r="H100" s="15">
        <v>3905.0400000000004</v>
      </c>
      <c r="I100" s="15">
        <v>6374.8800000000019</v>
      </c>
      <c r="J100" s="15">
        <v>55092.299999999988</v>
      </c>
      <c r="K100" s="16">
        <f t="shared" si="2"/>
        <v>55092.30000000001</v>
      </c>
      <c r="L100" s="16">
        <f t="shared" si="3"/>
        <v>-2.1827872842550278E-11</v>
      </c>
    </row>
    <row r="101" spans="1:12" x14ac:dyDescent="0.25">
      <c r="A101" s="13" t="s">
        <v>15</v>
      </c>
      <c r="B101" s="13" t="s">
        <v>313</v>
      </c>
      <c r="C101" s="13" t="s">
        <v>314</v>
      </c>
      <c r="D101" s="13" t="s">
        <v>315</v>
      </c>
      <c r="E101" s="14" t="s">
        <v>316</v>
      </c>
      <c r="F101" s="14" t="s">
        <v>19</v>
      </c>
      <c r="G101" s="15">
        <v>54425.599999999999</v>
      </c>
      <c r="I101" s="15">
        <v>484.67999999999978</v>
      </c>
      <c r="J101" s="15">
        <v>54910.280000000013</v>
      </c>
      <c r="K101" s="16">
        <f t="shared" si="2"/>
        <v>54910.28</v>
      </c>
      <c r="L101" s="16">
        <f t="shared" si="3"/>
        <v>1.4551915228366852E-11</v>
      </c>
    </row>
    <row r="102" spans="1:12" x14ac:dyDescent="0.25">
      <c r="A102" s="13" t="s">
        <v>15</v>
      </c>
      <c r="B102" s="13" t="s">
        <v>317</v>
      </c>
      <c r="C102" s="13" t="s">
        <v>68</v>
      </c>
      <c r="D102" s="13" t="s">
        <v>88</v>
      </c>
      <c r="E102" s="14" t="s">
        <v>318</v>
      </c>
      <c r="F102" s="14" t="s">
        <v>19</v>
      </c>
      <c r="G102" s="15">
        <v>54137.600000000006</v>
      </c>
      <c r="I102" s="15">
        <v>727.02</v>
      </c>
      <c r="J102" s="15">
        <v>54864.619999999995</v>
      </c>
      <c r="K102" s="16">
        <f t="shared" si="2"/>
        <v>54864.62</v>
      </c>
      <c r="L102" s="16">
        <f t="shared" si="3"/>
        <v>-7.2759576141834259E-12</v>
      </c>
    </row>
    <row r="103" spans="1:12" x14ac:dyDescent="0.25">
      <c r="A103" s="13" t="s">
        <v>15</v>
      </c>
      <c r="B103" s="13" t="s">
        <v>319</v>
      </c>
      <c r="C103" s="13" t="s">
        <v>21</v>
      </c>
      <c r="D103" s="13" t="s">
        <v>168</v>
      </c>
      <c r="E103" s="14" t="s">
        <v>320</v>
      </c>
      <c r="F103" s="14" t="s">
        <v>19</v>
      </c>
      <c r="G103" s="15">
        <v>41723.949999999997</v>
      </c>
      <c r="H103" s="15">
        <v>2329.12</v>
      </c>
      <c r="I103" s="15">
        <v>10751.529999999999</v>
      </c>
      <c r="J103" s="15">
        <v>54804.599999999991</v>
      </c>
      <c r="K103" s="16">
        <f t="shared" si="2"/>
        <v>54804.6</v>
      </c>
      <c r="L103" s="16">
        <f t="shared" si="3"/>
        <v>-7.2759576141834259E-12</v>
      </c>
    </row>
    <row r="104" spans="1:12" x14ac:dyDescent="0.25">
      <c r="A104" s="13" t="s">
        <v>9</v>
      </c>
      <c r="B104" s="13" t="s">
        <v>321</v>
      </c>
      <c r="C104" s="13" t="s">
        <v>21</v>
      </c>
      <c r="D104" s="13" t="s">
        <v>168</v>
      </c>
      <c r="E104" s="14" t="s">
        <v>322</v>
      </c>
      <c r="F104" s="14" t="s">
        <v>323</v>
      </c>
      <c r="G104" s="15">
        <v>40323.399999999994</v>
      </c>
      <c r="H104" s="15">
        <v>6408.7300000000014</v>
      </c>
      <c r="I104" s="15">
        <v>8059.33</v>
      </c>
      <c r="J104" s="15">
        <v>54791.459999999992</v>
      </c>
      <c r="K104" s="16">
        <f t="shared" si="2"/>
        <v>54791.46</v>
      </c>
      <c r="L104" s="16">
        <f t="shared" si="3"/>
        <v>-7.2759576141834259E-12</v>
      </c>
    </row>
    <row r="105" spans="1:12" x14ac:dyDescent="0.25">
      <c r="A105" s="13" t="s">
        <v>9</v>
      </c>
      <c r="B105" s="13" t="s">
        <v>324</v>
      </c>
      <c r="C105" s="13" t="s">
        <v>140</v>
      </c>
      <c r="D105" s="13" t="s">
        <v>325</v>
      </c>
      <c r="E105" s="14" t="s">
        <v>326</v>
      </c>
      <c r="F105" s="14" t="s">
        <v>327</v>
      </c>
      <c r="G105" s="15">
        <v>53735.799999999981</v>
      </c>
      <c r="I105" s="15">
        <v>1050</v>
      </c>
      <c r="J105" s="15">
        <v>54785.799999999981</v>
      </c>
      <c r="K105" s="16">
        <f t="shared" si="2"/>
        <v>54785.799999999981</v>
      </c>
      <c r="L105" s="16">
        <f t="shared" si="3"/>
        <v>0</v>
      </c>
    </row>
    <row r="106" spans="1:12" x14ac:dyDescent="0.25">
      <c r="A106" s="13" t="s">
        <v>15</v>
      </c>
      <c r="B106" s="13" t="s">
        <v>328</v>
      </c>
      <c r="C106" s="13" t="s">
        <v>43</v>
      </c>
      <c r="D106" s="13" t="s">
        <v>137</v>
      </c>
      <c r="E106" s="14" t="s">
        <v>329</v>
      </c>
      <c r="F106" s="14" t="s">
        <v>19</v>
      </c>
      <c r="G106" s="15">
        <v>25959.95</v>
      </c>
      <c r="H106" s="15">
        <v>24024.920000000006</v>
      </c>
      <c r="I106" s="15">
        <v>4794.4500000000007</v>
      </c>
      <c r="J106" s="15">
        <v>54779.319999999992</v>
      </c>
      <c r="K106" s="16">
        <f t="shared" si="2"/>
        <v>54779.320000000007</v>
      </c>
      <c r="L106" s="16">
        <f t="shared" si="3"/>
        <v>-1.4551915228366852E-11</v>
      </c>
    </row>
    <row r="107" spans="1:12" x14ac:dyDescent="0.25">
      <c r="A107" s="13" t="s">
        <v>15</v>
      </c>
      <c r="B107" s="13" t="s">
        <v>330</v>
      </c>
      <c r="C107" s="13" t="s">
        <v>21</v>
      </c>
      <c r="D107" s="13" t="s">
        <v>168</v>
      </c>
      <c r="E107" s="14" t="s">
        <v>331</v>
      </c>
      <c r="F107" s="14" t="s">
        <v>19</v>
      </c>
      <c r="G107" s="15">
        <v>30030.140000000003</v>
      </c>
      <c r="H107" s="15">
        <v>3138.1699999999996</v>
      </c>
      <c r="I107" s="15">
        <v>21588.789999999994</v>
      </c>
      <c r="J107" s="15">
        <v>54757.100000000013</v>
      </c>
      <c r="K107" s="16">
        <f t="shared" si="2"/>
        <v>54757.1</v>
      </c>
      <c r="L107" s="16">
        <f t="shared" si="3"/>
        <v>1.4551915228366852E-11</v>
      </c>
    </row>
    <row r="108" spans="1:12" x14ac:dyDescent="0.25">
      <c r="A108" s="13" t="s">
        <v>15</v>
      </c>
      <c r="B108" s="13" t="s">
        <v>332</v>
      </c>
      <c r="C108" s="13" t="s">
        <v>21</v>
      </c>
      <c r="D108" s="13" t="s">
        <v>57</v>
      </c>
      <c r="E108" s="14" t="s">
        <v>333</v>
      </c>
      <c r="F108" s="14" t="s">
        <v>19</v>
      </c>
      <c r="G108" s="15">
        <v>37315.89</v>
      </c>
      <c r="H108" s="15">
        <v>4150.82</v>
      </c>
      <c r="I108" s="15">
        <v>13213.89</v>
      </c>
      <c r="J108" s="15">
        <v>54680.600000000006</v>
      </c>
      <c r="K108" s="16">
        <f t="shared" si="2"/>
        <v>54680.6</v>
      </c>
      <c r="L108" s="16">
        <f t="shared" si="3"/>
        <v>7.2759576141834259E-12</v>
      </c>
    </row>
    <row r="109" spans="1:12" x14ac:dyDescent="0.25">
      <c r="A109" s="13" t="s">
        <v>9</v>
      </c>
      <c r="B109" s="13" t="s">
        <v>334</v>
      </c>
      <c r="C109" s="13" t="s">
        <v>21</v>
      </c>
      <c r="D109" s="13" t="s">
        <v>210</v>
      </c>
      <c r="E109" s="14" t="s">
        <v>335</v>
      </c>
      <c r="F109" s="14" t="s">
        <v>336</v>
      </c>
      <c r="G109" s="15">
        <v>42971.329999999994</v>
      </c>
      <c r="H109" s="15">
        <v>2672.65</v>
      </c>
      <c r="I109" s="15">
        <v>8842.3300000000017</v>
      </c>
      <c r="J109" s="15">
        <v>54486.31</v>
      </c>
      <c r="K109" s="16">
        <f t="shared" si="2"/>
        <v>54486.31</v>
      </c>
      <c r="L109" s="16">
        <f t="shared" si="3"/>
        <v>0</v>
      </c>
    </row>
    <row r="110" spans="1:12" x14ac:dyDescent="0.25">
      <c r="A110" s="13" t="s">
        <v>15</v>
      </c>
      <c r="B110" s="13" t="s">
        <v>337</v>
      </c>
      <c r="C110" s="13" t="s">
        <v>30</v>
      </c>
      <c r="D110" s="13" t="s">
        <v>131</v>
      </c>
      <c r="E110" s="14" t="s">
        <v>338</v>
      </c>
      <c r="F110" s="14" t="s">
        <v>19</v>
      </c>
      <c r="G110" s="15">
        <v>42275.92</v>
      </c>
      <c r="H110" s="15">
        <v>401.3</v>
      </c>
      <c r="I110" s="15">
        <v>11791.36</v>
      </c>
      <c r="J110" s="15">
        <v>54468.580000000009</v>
      </c>
      <c r="K110" s="16">
        <f t="shared" si="2"/>
        <v>54468.58</v>
      </c>
      <c r="L110" s="16">
        <f t="shared" si="3"/>
        <v>7.2759576141834259E-12</v>
      </c>
    </row>
    <row r="111" spans="1:12" x14ac:dyDescent="0.25">
      <c r="A111" s="13" t="s">
        <v>9</v>
      </c>
      <c r="B111" s="13" t="s">
        <v>339</v>
      </c>
      <c r="C111" s="13" t="s">
        <v>340</v>
      </c>
      <c r="D111" s="13" t="s">
        <v>341</v>
      </c>
      <c r="E111" s="14" t="s">
        <v>342</v>
      </c>
      <c r="F111" s="14" t="s">
        <v>343</v>
      </c>
      <c r="G111" s="15">
        <v>52629.499999999993</v>
      </c>
      <c r="H111" s="15">
        <v>0</v>
      </c>
      <c r="I111" s="15">
        <v>1496.6399999999999</v>
      </c>
      <c r="J111" s="15">
        <v>54126.139999999985</v>
      </c>
      <c r="K111" s="16">
        <f t="shared" si="2"/>
        <v>54126.139999999992</v>
      </c>
      <c r="L111" s="16">
        <f t="shared" si="3"/>
        <v>-7.2759576141834259E-12</v>
      </c>
    </row>
    <row r="112" spans="1:12" x14ac:dyDescent="0.25">
      <c r="A112" s="13" t="s">
        <v>9</v>
      </c>
      <c r="B112" s="13" t="s">
        <v>344</v>
      </c>
      <c r="C112" s="13" t="s">
        <v>30</v>
      </c>
      <c r="D112" s="13" t="s">
        <v>248</v>
      </c>
      <c r="E112" s="14" t="s">
        <v>345</v>
      </c>
      <c r="F112" s="14" t="s">
        <v>346</v>
      </c>
      <c r="G112" s="15">
        <v>40894.369999999995</v>
      </c>
      <c r="H112" s="15">
        <v>296.12</v>
      </c>
      <c r="I112" s="15">
        <v>12703.779999999997</v>
      </c>
      <c r="J112" s="15">
        <v>53894.27</v>
      </c>
      <c r="K112" s="16">
        <f t="shared" si="2"/>
        <v>53894.27</v>
      </c>
      <c r="L112" s="16">
        <f t="shared" si="3"/>
        <v>0</v>
      </c>
    </row>
    <row r="113" spans="1:12" x14ac:dyDescent="0.25">
      <c r="A113" s="13" t="s">
        <v>15</v>
      </c>
      <c r="B113" s="13" t="s">
        <v>347</v>
      </c>
      <c r="C113" s="13" t="s">
        <v>21</v>
      </c>
      <c r="D113" s="13" t="s">
        <v>168</v>
      </c>
      <c r="E113" s="14" t="s">
        <v>348</v>
      </c>
      <c r="F113" s="14" t="s">
        <v>19</v>
      </c>
      <c r="G113" s="15">
        <v>43510.319999999992</v>
      </c>
      <c r="H113" s="15">
        <v>2018.9900000000002</v>
      </c>
      <c r="I113" s="15">
        <v>8275.9700000000012</v>
      </c>
      <c r="J113" s="15">
        <v>53805.280000000006</v>
      </c>
      <c r="K113" s="16">
        <f t="shared" si="2"/>
        <v>53805.279999999992</v>
      </c>
      <c r="L113" s="16">
        <f t="shared" si="3"/>
        <v>1.4551915228366852E-11</v>
      </c>
    </row>
    <row r="114" spans="1:12" x14ac:dyDescent="0.25">
      <c r="A114" s="13" t="s">
        <v>9</v>
      </c>
      <c r="B114" s="13" t="s">
        <v>349</v>
      </c>
      <c r="C114" s="13" t="s">
        <v>43</v>
      </c>
      <c r="D114" s="13" t="s">
        <v>134</v>
      </c>
      <c r="E114" s="14" t="s">
        <v>35</v>
      </c>
      <c r="F114" s="14" t="s">
        <v>350</v>
      </c>
      <c r="G114" s="15">
        <v>26644.209999999995</v>
      </c>
      <c r="H114" s="15">
        <v>22230.11</v>
      </c>
      <c r="I114" s="15">
        <v>4913.8</v>
      </c>
      <c r="J114" s="15">
        <v>53788.12</v>
      </c>
      <c r="K114" s="16">
        <f t="shared" si="2"/>
        <v>53788.119999999995</v>
      </c>
      <c r="L114" s="16">
        <f t="shared" si="3"/>
        <v>7.2759576141834259E-12</v>
      </c>
    </row>
    <row r="115" spans="1:12" x14ac:dyDescent="0.25">
      <c r="A115" s="13" t="s">
        <v>9</v>
      </c>
      <c r="B115" s="13" t="s">
        <v>351</v>
      </c>
      <c r="C115" s="13" t="s">
        <v>102</v>
      </c>
      <c r="D115" s="13" t="s">
        <v>352</v>
      </c>
      <c r="E115" s="14" t="s">
        <v>353</v>
      </c>
      <c r="F115" s="14" t="s">
        <v>354</v>
      </c>
      <c r="G115" s="15">
        <v>53686.5</v>
      </c>
      <c r="I115" s="15">
        <v>0</v>
      </c>
      <c r="J115" s="15">
        <v>53686.5</v>
      </c>
      <c r="K115" s="16">
        <f t="shared" si="2"/>
        <v>53686.5</v>
      </c>
      <c r="L115" s="16">
        <f t="shared" si="3"/>
        <v>0</v>
      </c>
    </row>
    <row r="116" spans="1:12" x14ac:dyDescent="0.25">
      <c r="A116" s="13" t="s">
        <v>15</v>
      </c>
      <c r="B116" s="13" t="s">
        <v>355</v>
      </c>
      <c r="C116" s="13" t="s">
        <v>21</v>
      </c>
      <c r="D116" s="13" t="s">
        <v>57</v>
      </c>
      <c r="E116" s="14" t="s">
        <v>356</v>
      </c>
      <c r="F116" s="14" t="s">
        <v>19</v>
      </c>
      <c r="G116" s="15">
        <v>38296.71</v>
      </c>
      <c r="H116" s="15">
        <v>1985.5900000000001</v>
      </c>
      <c r="I116" s="15">
        <v>12361.780000000002</v>
      </c>
      <c r="J116" s="15">
        <v>52644.08</v>
      </c>
      <c r="K116" s="16">
        <f t="shared" si="2"/>
        <v>52644.08</v>
      </c>
      <c r="L116" s="16">
        <f t="shared" si="3"/>
        <v>0</v>
      </c>
    </row>
    <row r="117" spans="1:12" x14ac:dyDescent="0.25">
      <c r="A117" s="13" t="s">
        <v>9</v>
      </c>
      <c r="B117" s="13" t="s">
        <v>357</v>
      </c>
      <c r="C117" s="13" t="s">
        <v>358</v>
      </c>
      <c r="D117" s="13" t="s">
        <v>359</v>
      </c>
      <c r="E117" s="14" t="s">
        <v>360</v>
      </c>
      <c r="F117" s="14" t="s">
        <v>361</v>
      </c>
      <c r="G117" s="15">
        <v>52638.400000000016</v>
      </c>
      <c r="I117" s="15">
        <v>0</v>
      </c>
      <c r="J117" s="15">
        <v>52638.400000000016</v>
      </c>
      <c r="K117" s="16">
        <f t="shared" si="2"/>
        <v>52638.400000000016</v>
      </c>
      <c r="L117" s="16">
        <f t="shared" si="3"/>
        <v>0</v>
      </c>
    </row>
    <row r="118" spans="1:12" x14ac:dyDescent="0.25">
      <c r="A118" s="13" t="s">
        <v>9</v>
      </c>
      <c r="B118" s="13" t="s">
        <v>362</v>
      </c>
      <c r="C118" s="13" t="s">
        <v>21</v>
      </c>
      <c r="D118" s="13" t="s">
        <v>168</v>
      </c>
      <c r="E118" s="14" t="s">
        <v>363</v>
      </c>
      <c r="F118" s="14" t="s">
        <v>364</v>
      </c>
      <c r="G118" s="15">
        <v>41262.629999999997</v>
      </c>
      <c r="H118" s="15">
        <v>1319.5400000000002</v>
      </c>
      <c r="I118" s="15">
        <v>9707.67</v>
      </c>
      <c r="J118" s="15">
        <v>52289.840000000011</v>
      </c>
      <c r="K118" s="16">
        <f t="shared" si="2"/>
        <v>52289.84</v>
      </c>
      <c r="L118" s="16">
        <f t="shared" si="3"/>
        <v>1.4551915228366852E-11</v>
      </c>
    </row>
    <row r="119" spans="1:12" x14ac:dyDescent="0.25">
      <c r="A119" s="13" t="s">
        <v>9</v>
      </c>
      <c r="B119" s="13" t="s">
        <v>365</v>
      </c>
      <c r="C119" s="13" t="s">
        <v>30</v>
      </c>
      <c r="D119" s="13" t="s">
        <v>248</v>
      </c>
      <c r="E119" s="14" t="s">
        <v>366</v>
      </c>
      <c r="F119" s="14" t="s">
        <v>367</v>
      </c>
      <c r="G119" s="15">
        <v>39215.550000000003</v>
      </c>
      <c r="H119" s="15">
        <v>22.35</v>
      </c>
      <c r="I119" s="15">
        <v>12993.48</v>
      </c>
      <c r="J119" s="15">
        <v>52231.380000000005</v>
      </c>
      <c r="K119" s="16">
        <f t="shared" si="2"/>
        <v>52231.380000000005</v>
      </c>
      <c r="L119" s="16">
        <f t="shared" si="3"/>
        <v>0</v>
      </c>
    </row>
    <row r="120" spans="1:12" x14ac:dyDescent="0.25">
      <c r="A120" s="13" t="s">
        <v>9</v>
      </c>
      <c r="B120" s="13" t="s">
        <v>368</v>
      </c>
      <c r="C120" s="13" t="s">
        <v>38</v>
      </c>
      <c r="D120" s="13" t="s">
        <v>259</v>
      </c>
      <c r="E120" s="14" t="s">
        <v>369</v>
      </c>
      <c r="F120" s="14" t="s">
        <v>370</v>
      </c>
      <c r="G120" s="15">
        <v>42898.950000000004</v>
      </c>
      <c r="H120" s="15">
        <v>2303.11</v>
      </c>
      <c r="I120" s="15">
        <v>6614.4100000000008</v>
      </c>
      <c r="J120" s="15">
        <v>51816.469999999994</v>
      </c>
      <c r="K120" s="16">
        <f t="shared" si="2"/>
        <v>51816.470000000008</v>
      </c>
      <c r="L120" s="16">
        <f t="shared" si="3"/>
        <v>-1.4551915228366852E-11</v>
      </c>
    </row>
    <row r="121" spans="1:12" x14ac:dyDescent="0.25">
      <c r="A121" s="13" t="s">
        <v>9</v>
      </c>
      <c r="B121" s="13" t="s">
        <v>371</v>
      </c>
      <c r="C121" s="13" t="s">
        <v>21</v>
      </c>
      <c r="D121" s="13" t="s">
        <v>57</v>
      </c>
      <c r="E121" s="14" t="s">
        <v>356</v>
      </c>
      <c r="F121" s="14" t="s">
        <v>372</v>
      </c>
      <c r="G121" s="15">
        <v>39029.269999999997</v>
      </c>
      <c r="H121" s="15">
        <v>2538.8099999999995</v>
      </c>
      <c r="I121" s="15">
        <v>10042.509999999998</v>
      </c>
      <c r="J121" s="15">
        <v>51610.590000000004</v>
      </c>
      <c r="K121" s="16">
        <f t="shared" si="2"/>
        <v>51610.59</v>
      </c>
      <c r="L121" s="16">
        <f t="shared" si="3"/>
        <v>7.2759576141834259E-12</v>
      </c>
    </row>
    <row r="122" spans="1:12" x14ac:dyDescent="0.25">
      <c r="A122" s="13" t="s">
        <v>15</v>
      </c>
      <c r="B122" s="13" t="s">
        <v>373</v>
      </c>
      <c r="C122" s="13" t="s">
        <v>43</v>
      </c>
      <c r="D122" s="13" t="s">
        <v>134</v>
      </c>
      <c r="E122" s="14" t="s">
        <v>374</v>
      </c>
      <c r="F122" s="14" t="s">
        <v>19</v>
      </c>
      <c r="G122" s="15">
        <v>27823.69</v>
      </c>
      <c r="H122" s="15">
        <v>18204.5</v>
      </c>
      <c r="I122" s="15">
        <v>5524.64</v>
      </c>
      <c r="J122" s="15">
        <v>51552.830000000009</v>
      </c>
      <c r="K122" s="16">
        <f t="shared" si="2"/>
        <v>51552.83</v>
      </c>
      <c r="L122" s="16">
        <f t="shared" si="3"/>
        <v>7.2759576141834259E-12</v>
      </c>
    </row>
    <row r="123" spans="1:12" x14ac:dyDescent="0.25">
      <c r="A123" s="13" t="s">
        <v>9</v>
      </c>
      <c r="B123" s="13" t="s">
        <v>375</v>
      </c>
      <c r="C123" s="13" t="s">
        <v>241</v>
      </c>
      <c r="D123" s="13" t="s">
        <v>376</v>
      </c>
      <c r="E123" s="14" t="s">
        <v>377</v>
      </c>
      <c r="F123" s="14" t="s">
        <v>378</v>
      </c>
      <c r="G123" s="15">
        <v>32515.33</v>
      </c>
      <c r="H123" s="15">
        <v>320.91999999999996</v>
      </c>
      <c r="I123" s="15">
        <v>18660.629999999997</v>
      </c>
      <c r="J123" s="15">
        <v>51496.880000000005</v>
      </c>
      <c r="K123" s="16">
        <f t="shared" si="2"/>
        <v>51496.88</v>
      </c>
      <c r="L123" s="16">
        <f t="shared" si="3"/>
        <v>7.2759576141834259E-12</v>
      </c>
    </row>
    <row r="124" spans="1:12" x14ac:dyDescent="0.25">
      <c r="A124" s="13" t="s">
        <v>15</v>
      </c>
      <c r="B124" s="13" t="s">
        <v>379</v>
      </c>
      <c r="C124" s="13" t="s">
        <v>21</v>
      </c>
      <c r="D124" s="13" t="s">
        <v>168</v>
      </c>
      <c r="E124" s="14" t="s">
        <v>322</v>
      </c>
      <c r="F124" s="14" t="s">
        <v>19</v>
      </c>
      <c r="G124" s="15">
        <v>37816.15</v>
      </c>
      <c r="H124" s="15">
        <v>3591.7</v>
      </c>
      <c r="I124" s="15">
        <v>9962.83</v>
      </c>
      <c r="J124" s="15">
        <v>51370.68</v>
      </c>
      <c r="K124" s="16">
        <f t="shared" si="2"/>
        <v>51370.68</v>
      </c>
      <c r="L124" s="16">
        <f t="shared" si="3"/>
        <v>0</v>
      </c>
    </row>
    <row r="125" spans="1:12" x14ac:dyDescent="0.25">
      <c r="A125" s="13" t="s">
        <v>15</v>
      </c>
      <c r="B125" s="13" t="s">
        <v>380</v>
      </c>
      <c r="C125" s="13" t="s">
        <v>30</v>
      </c>
      <c r="D125" s="13" t="s">
        <v>131</v>
      </c>
      <c r="E125" s="14" t="s">
        <v>381</v>
      </c>
      <c r="F125" s="14" t="s">
        <v>19</v>
      </c>
      <c r="G125" s="15">
        <v>40757.539999999994</v>
      </c>
      <c r="H125" s="15">
        <v>344.73</v>
      </c>
      <c r="I125" s="15">
        <v>10259.76</v>
      </c>
      <c r="J125" s="15">
        <v>51362.029999999992</v>
      </c>
      <c r="K125" s="16">
        <f t="shared" si="2"/>
        <v>51362.03</v>
      </c>
      <c r="L125" s="16">
        <f t="shared" si="3"/>
        <v>-7.2759576141834259E-12</v>
      </c>
    </row>
    <row r="126" spans="1:12" x14ac:dyDescent="0.25">
      <c r="A126" s="13" t="s">
        <v>15</v>
      </c>
      <c r="B126" s="13" t="s">
        <v>382</v>
      </c>
      <c r="C126" s="13" t="s">
        <v>21</v>
      </c>
      <c r="D126" s="13" t="s">
        <v>383</v>
      </c>
      <c r="E126" s="14" t="s">
        <v>384</v>
      </c>
      <c r="F126" s="14" t="s">
        <v>19</v>
      </c>
      <c r="G126" s="15">
        <v>34314.380000000005</v>
      </c>
      <c r="H126" s="15">
        <v>3192.2</v>
      </c>
      <c r="I126" s="15">
        <v>13806.320000000002</v>
      </c>
      <c r="J126" s="15">
        <v>51312.9</v>
      </c>
      <c r="K126" s="16">
        <f t="shared" si="2"/>
        <v>51312.9</v>
      </c>
      <c r="L126" s="16">
        <f t="shared" si="3"/>
        <v>0</v>
      </c>
    </row>
    <row r="127" spans="1:12" x14ac:dyDescent="0.25">
      <c r="A127" s="13" t="s">
        <v>9</v>
      </c>
      <c r="B127" s="13" t="s">
        <v>385</v>
      </c>
      <c r="C127" s="13" t="s">
        <v>21</v>
      </c>
      <c r="D127" s="13" t="s">
        <v>168</v>
      </c>
      <c r="E127" s="14" t="s">
        <v>386</v>
      </c>
      <c r="F127" s="14" t="s">
        <v>387</v>
      </c>
      <c r="G127" s="15">
        <v>39280.289999999994</v>
      </c>
      <c r="H127" s="15">
        <v>1938.8899999999996</v>
      </c>
      <c r="I127" s="15">
        <v>10045.780000000001</v>
      </c>
      <c r="J127" s="15">
        <v>51264.959999999999</v>
      </c>
      <c r="K127" s="16">
        <f t="shared" si="2"/>
        <v>51264.959999999992</v>
      </c>
      <c r="L127" s="16">
        <f t="shared" si="3"/>
        <v>7.2759576141834259E-12</v>
      </c>
    </row>
    <row r="128" spans="1:12" x14ac:dyDescent="0.25">
      <c r="A128" s="13" t="s">
        <v>15</v>
      </c>
      <c r="B128" s="13" t="s">
        <v>388</v>
      </c>
      <c r="C128" s="13" t="s">
        <v>30</v>
      </c>
      <c r="D128" s="13" t="s">
        <v>248</v>
      </c>
      <c r="E128" s="14" t="s">
        <v>285</v>
      </c>
      <c r="F128" s="14" t="s">
        <v>19</v>
      </c>
      <c r="G128" s="15">
        <v>40977.090000000004</v>
      </c>
      <c r="H128" s="15">
        <v>833.96</v>
      </c>
      <c r="I128" s="15">
        <v>9433.4700000000012</v>
      </c>
      <c r="J128" s="15">
        <v>51244.520000000004</v>
      </c>
      <c r="K128" s="16">
        <f t="shared" si="2"/>
        <v>51244.520000000004</v>
      </c>
      <c r="L128" s="16">
        <f t="shared" si="3"/>
        <v>0</v>
      </c>
    </row>
    <row r="129" spans="1:12" x14ac:dyDescent="0.25">
      <c r="A129" s="13" t="s">
        <v>9</v>
      </c>
      <c r="B129" s="13" t="s">
        <v>389</v>
      </c>
      <c r="C129" s="13" t="s">
        <v>43</v>
      </c>
      <c r="D129" s="13" t="s">
        <v>134</v>
      </c>
      <c r="E129" s="14" t="s">
        <v>35</v>
      </c>
      <c r="F129" s="14" t="s">
        <v>390</v>
      </c>
      <c r="G129" s="15">
        <v>36835.80999999999</v>
      </c>
      <c r="H129" s="15">
        <v>5982.58</v>
      </c>
      <c r="I129" s="15">
        <v>8269.6600000000017</v>
      </c>
      <c r="J129" s="15">
        <v>51088.05</v>
      </c>
      <c r="K129" s="16">
        <f t="shared" si="2"/>
        <v>51088.049999999996</v>
      </c>
      <c r="L129" s="16">
        <f t="shared" si="3"/>
        <v>7.2759576141834259E-12</v>
      </c>
    </row>
    <row r="130" spans="1:12" x14ac:dyDescent="0.25">
      <c r="A130" s="13" t="s">
        <v>9</v>
      </c>
      <c r="B130" s="13" t="s">
        <v>391</v>
      </c>
      <c r="C130" s="13" t="s">
        <v>43</v>
      </c>
      <c r="D130" s="13" t="s">
        <v>134</v>
      </c>
      <c r="E130" s="14" t="s">
        <v>392</v>
      </c>
      <c r="F130" s="14" t="s">
        <v>393</v>
      </c>
      <c r="G130" s="15">
        <v>37201.910000000003</v>
      </c>
      <c r="H130" s="15">
        <v>7261.6400000000012</v>
      </c>
      <c r="I130" s="15">
        <v>6618.24</v>
      </c>
      <c r="J130" s="15">
        <v>51081.79</v>
      </c>
      <c r="K130" s="16">
        <f t="shared" si="2"/>
        <v>51081.79</v>
      </c>
      <c r="L130" s="16">
        <f t="shared" si="3"/>
        <v>0</v>
      </c>
    </row>
    <row r="131" spans="1:12" x14ac:dyDescent="0.25">
      <c r="A131" s="13" t="s">
        <v>15</v>
      </c>
      <c r="B131" s="13" t="s">
        <v>394</v>
      </c>
      <c r="C131" s="13" t="s">
        <v>188</v>
      </c>
      <c r="D131" s="13" t="s">
        <v>395</v>
      </c>
      <c r="E131" s="14" t="s">
        <v>396</v>
      </c>
      <c r="F131" s="14" t="s">
        <v>19</v>
      </c>
      <c r="G131" s="15">
        <v>39835.220000000008</v>
      </c>
      <c r="H131" s="15">
        <v>974.74</v>
      </c>
      <c r="I131" s="15">
        <v>10236.030000000001</v>
      </c>
      <c r="J131" s="15">
        <v>51045.99</v>
      </c>
      <c r="K131" s="16">
        <f t="shared" ref="K131:K194" si="4">SUM(G131:I131)</f>
        <v>51045.990000000005</v>
      </c>
      <c r="L131" s="16">
        <f t="shared" ref="L131:L194" si="5">SUM(J131-K131)</f>
        <v>-7.2759576141834259E-12</v>
      </c>
    </row>
    <row r="132" spans="1:12" x14ac:dyDescent="0.25">
      <c r="A132" s="13" t="s">
        <v>15</v>
      </c>
      <c r="B132" s="13" t="s">
        <v>397</v>
      </c>
      <c r="C132" s="13" t="s">
        <v>30</v>
      </c>
      <c r="D132" s="13" t="s">
        <v>131</v>
      </c>
      <c r="E132" s="14" t="s">
        <v>398</v>
      </c>
      <c r="F132" s="14" t="s">
        <v>19</v>
      </c>
      <c r="G132" s="15">
        <v>41573.939999999995</v>
      </c>
      <c r="H132" s="15">
        <v>325.20999999999998</v>
      </c>
      <c r="I132" s="15">
        <v>9131.9499999999989</v>
      </c>
      <c r="J132" s="15">
        <v>51031.099999999991</v>
      </c>
      <c r="K132" s="16">
        <f t="shared" si="4"/>
        <v>51031.099999999991</v>
      </c>
      <c r="L132" s="16">
        <f t="shared" si="5"/>
        <v>0</v>
      </c>
    </row>
    <row r="133" spans="1:12" x14ac:dyDescent="0.25">
      <c r="A133" s="13" t="s">
        <v>15</v>
      </c>
      <c r="B133" s="13" t="s">
        <v>399</v>
      </c>
      <c r="C133" s="13" t="s">
        <v>43</v>
      </c>
      <c r="D133" s="13" t="s">
        <v>79</v>
      </c>
      <c r="E133" s="14" t="s">
        <v>400</v>
      </c>
      <c r="F133" s="14" t="s">
        <v>19</v>
      </c>
      <c r="G133" s="15">
        <v>25711.48</v>
      </c>
      <c r="H133" s="15">
        <v>21623.87</v>
      </c>
      <c r="I133" s="15">
        <v>3540.4700000000003</v>
      </c>
      <c r="J133" s="15">
        <v>50875.82</v>
      </c>
      <c r="K133" s="16">
        <f t="shared" si="4"/>
        <v>50875.82</v>
      </c>
      <c r="L133" s="16">
        <f t="shared" si="5"/>
        <v>0</v>
      </c>
    </row>
    <row r="134" spans="1:12" x14ac:dyDescent="0.25">
      <c r="A134" s="13" t="s">
        <v>15</v>
      </c>
      <c r="B134" s="13" t="s">
        <v>401</v>
      </c>
      <c r="C134" s="13" t="s">
        <v>30</v>
      </c>
      <c r="D134" s="13" t="s">
        <v>131</v>
      </c>
      <c r="E134" s="14" t="s">
        <v>402</v>
      </c>
      <c r="F134" s="14" t="s">
        <v>19</v>
      </c>
      <c r="G134" s="15">
        <v>43155.900000000009</v>
      </c>
      <c r="H134" s="15">
        <v>301.79000000000002</v>
      </c>
      <c r="I134" s="15">
        <v>6758.21</v>
      </c>
      <c r="J134" s="15">
        <v>50215.899999999994</v>
      </c>
      <c r="K134" s="16">
        <f t="shared" si="4"/>
        <v>50215.900000000009</v>
      </c>
      <c r="L134" s="16">
        <f t="shared" si="5"/>
        <v>-1.4551915228366852E-11</v>
      </c>
    </row>
    <row r="135" spans="1:12" x14ac:dyDescent="0.25">
      <c r="A135" s="13" t="s">
        <v>9</v>
      </c>
      <c r="B135" s="13" t="s">
        <v>403</v>
      </c>
      <c r="C135" s="13" t="s">
        <v>43</v>
      </c>
      <c r="D135" s="13" t="s">
        <v>134</v>
      </c>
      <c r="E135" s="14" t="s">
        <v>228</v>
      </c>
      <c r="F135" s="14" t="s">
        <v>404</v>
      </c>
      <c r="G135" s="15">
        <v>22073.620000000003</v>
      </c>
      <c r="H135" s="15">
        <v>16213.04</v>
      </c>
      <c r="I135" s="15">
        <v>11846.25</v>
      </c>
      <c r="J135" s="15">
        <v>50132.909999999996</v>
      </c>
      <c r="K135" s="16">
        <f t="shared" si="4"/>
        <v>50132.91</v>
      </c>
      <c r="L135" s="16">
        <f t="shared" si="5"/>
        <v>-7.2759576141834259E-12</v>
      </c>
    </row>
    <row r="136" spans="1:12" x14ac:dyDescent="0.25">
      <c r="A136" s="13" t="s">
        <v>15</v>
      </c>
      <c r="B136" s="13" t="s">
        <v>405</v>
      </c>
      <c r="C136" s="13" t="s">
        <v>43</v>
      </c>
      <c r="D136" s="13" t="s">
        <v>134</v>
      </c>
      <c r="E136" s="14" t="s">
        <v>281</v>
      </c>
      <c r="F136" s="14" t="s">
        <v>19</v>
      </c>
      <c r="G136" s="15">
        <v>32603.430000000004</v>
      </c>
      <c r="H136" s="15">
        <v>6073.32</v>
      </c>
      <c r="I136" s="15">
        <v>11453.45</v>
      </c>
      <c r="J136" s="15">
        <v>50130.200000000004</v>
      </c>
      <c r="K136" s="16">
        <f t="shared" si="4"/>
        <v>50130.2</v>
      </c>
      <c r="L136" s="16">
        <f t="shared" si="5"/>
        <v>7.2759576141834259E-12</v>
      </c>
    </row>
    <row r="137" spans="1:12" x14ac:dyDescent="0.25">
      <c r="A137" s="13" t="s">
        <v>15</v>
      </c>
      <c r="B137" s="13" t="s">
        <v>406</v>
      </c>
      <c r="C137" s="13" t="s">
        <v>178</v>
      </c>
      <c r="D137" s="13" t="s">
        <v>179</v>
      </c>
      <c r="E137" s="14" t="s">
        <v>407</v>
      </c>
      <c r="F137" s="14" t="s">
        <v>19</v>
      </c>
      <c r="G137" s="15">
        <v>49504.800000000003</v>
      </c>
      <c r="I137" s="15">
        <v>0</v>
      </c>
      <c r="J137" s="15">
        <v>49504.800000000003</v>
      </c>
      <c r="K137" s="16">
        <f t="shared" si="4"/>
        <v>49504.800000000003</v>
      </c>
      <c r="L137" s="16">
        <f t="shared" si="5"/>
        <v>0</v>
      </c>
    </row>
    <row r="138" spans="1:12" x14ac:dyDescent="0.25">
      <c r="A138" s="13" t="s">
        <v>15</v>
      </c>
      <c r="B138" s="13" t="s">
        <v>408</v>
      </c>
      <c r="C138" s="13" t="s">
        <v>30</v>
      </c>
      <c r="D138" s="13" t="s">
        <v>131</v>
      </c>
      <c r="E138" s="14" t="s">
        <v>409</v>
      </c>
      <c r="F138" s="14" t="s">
        <v>19</v>
      </c>
      <c r="G138" s="15">
        <v>40625.15</v>
      </c>
      <c r="H138" s="15">
        <v>318.99</v>
      </c>
      <c r="I138" s="15">
        <v>8354.48</v>
      </c>
      <c r="J138" s="15">
        <v>49298.62000000001</v>
      </c>
      <c r="K138" s="16">
        <f t="shared" si="4"/>
        <v>49298.619999999995</v>
      </c>
      <c r="L138" s="16">
        <f t="shared" si="5"/>
        <v>1.4551915228366852E-11</v>
      </c>
    </row>
    <row r="139" spans="1:12" x14ac:dyDescent="0.25">
      <c r="A139" s="13" t="s">
        <v>15</v>
      </c>
      <c r="B139" s="13" t="s">
        <v>410</v>
      </c>
      <c r="C139" s="13" t="s">
        <v>102</v>
      </c>
      <c r="D139" s="13" t="s">
        <v>411</v>
      </c>
      <c r="E139" s="14" t="s">
        <v>412</v>
      </c>
      <c r="F139" s="14" t="s">
        <v>19</v>
      </c>
      <c r="G139" s="15">
        <v>42225.899999999994</v>
      </c>
      <c r="H139" s="15">
        <v>199.49</v>
      </c>
      <c r="I139" s="15">
        <v>6789.21</v>
      </c>
      <c r="J139" s="15">
        <v>49214.6</v>
      </c>
      <c r="K139" s="16">
        <f t="shared" si="4"/>
        <v>49214.599999999991</v>
      </c>
      <c r="L139" s="16">
        <f t="shared" si="5"/>
        <v>7.2759576141834259E-12</v>
      </c>
    </row>
    <row r="140" spans="1:12" x14ac:dyDescent="0.25">
      <c r="A140" s="13" t="s">
        <v>15</v>
      </c>
      <c r="B140" s="13" t="s">
        <v>413</v>
      </c>
      <c r="C140" s="13" t="s">
        <v>241</v>
      </c>
      <c r="D140" s="13" t="s">
        <v>414</v>
      </c>
      <c r="E140" s="14" t="s">
        <v>415</v>
      </c>
      <c r="F140" s="14" t="s">
        <v>19</v>
      </c>
      <c r="G140" s="15">
        <v>48067.200000000019</v>
      </c>
      <c r="I140" s="15">
        <v>969.35999999999967</v>
      </c>
      <c r="J140" s="15">
        <v>49036.560000000005</v>
      </c>
      <c r="K140" s="16">
        <f t="shared" si="4"/>
        <v>49036.560000000019</v>
      </c>
      <c r="L140" s="16">
        <f t="shared" si="5"/>
        <v>-1.4551915228366852E-11</v>
      </c>
    </row>
    <row r="141" spans="1:12" x14ac:dyDescent="0.25">
      <c r="A141" s="13" t="s">
        <v>9</v>
      </c>
      <c r="B141" s="13" t="s">
        <v>416</v>
      </c>
      <c r="C141" s="13" t="s">
        <v>21</v>
      </c>
      <c r="D141" s="13" t="s">
        <v>168</v>
      </c>
      <c r="E141" s="14" t="s">
        <v>80</v>
      </c>
      <c r="F141" s="14" t="s">
        <v>417</v>
      </c>
      <c r="G141" s="15">
        <v>36179.31</v>
      </c>
      <c r="H141" s="15">
        <v>564.24</v>
      </c>
      <c r="I141" s="15">
        <v>12237.960000000003</v>
      </c>
      <c r="J141" s="15">
        <v>48981.51</v>
      </c>
      <c r="K141" s="16">
        <f t="shared" si="4"/>
        <v>48981.509999999995</v>
      </c>
      <c r="L141" s="16">
        <f t="shared" si="5"/>
        <v>7.2759576141834259E-12</v>
      </c>
    </row>
    <row r="142" spans="1:12" x14ac:dyDescent="0.25">
      <c r="A142" s="13" t="s">
        <v>15</v>
      </c>
      <c r="B142" s="13" t="s">
        <v>418</v>
      </c>
      <c r="C142" s="13" t="s">
        <v>30</v>
      </c>
      <c r="D142" s="13" t="s">
        <v>131</v>
      </c>
      <c r="E142" s="14" t="s">
        <v>285</v>
      </c>
      <c r="F142" s="14" t="s">
        <v>19</v>
      </c>
      <c r="G142" s="15">
        <v>38485.270000000004</v>
      </c>
      <c r="H142" s="15">
        <v>307.8</v>
      </c>
      <c r="I142" s="15">
        <v>9996.989999999998</v>
      </c>
      <c r="J142" s="15">
        <v>48790.060000000005</v>
      </c>
      <c r="K142" s="16">
        <f t="shared" si="4"/>
        <v>48790.060000000005</v>
      </c>
      <c r="L142" s="16">
        <f t="shared" si="5"/>
        <v>0</v>
      </c>
    </row>
    <row r="143" spans="1:12" x14ac:dyDescent="0.25">
      <c r="A143" s="13" t="s">
        <v>15</v>
      </c>
      <c r="B143" s="13" t="s">
        <v>419</v>
      </c>
      <c r="C143" s="13" t="s">
        <v>188</v>
      </c>
      <c r="D143" s="13" t="s">
        <v>420</v>
      </c>
      <c r="E143" s="14" t="s">
        <v>421</v>
      </c>
      <c r="F143" s="14" t="s">
        <v>19</v>
      </c>
      <c r="G143" s="15">
        <v>48067.200000000019</v>
      </c>
      <c r="I143" s="15">
        <v>600.07999999999993</v>
      </c>
      <c r="J143" s="15">
        <v>48667.279999999984</v>
      </c>
      <c r="K143" s="16">
        <f t="shared" si="4"/>
        <v>48667.280000000021</v>
      </c>
      <c r="L143" s="16">
        <f t="shared" si="5"/>
        <v>-3.637978807091713E-11</v>
      </c>
    </row>
    <row r="144" spans="1:12" x14ac:dyDescent="0.25">
      <c r="A144" s="13" t="s">
        <v>15</v>
      </c>
      <c r="B144" s="13" t="s">
        <v>422</v>
      </c>
      <c r="C144" s="13" t="s">
        <v>30</v>
      </c>
      <c r="D144" s="13" t="s">
        <v>47</v>
      </c>
      <c r="E144" s="14" t="s">
        <v>423</v>
      </c>
      <c r="F144" s="14" t="s">
        <v>19</v>
      </c>
      <c r="G144" s="15">
        <v>39300.86</v>
      </c>
      <c r="H144" s="15">
        <v>328.21999999999997</v>
      </c>
      <c r="I144" s="15">
        <v>9023.8499999999985</v>
      </c>
      <c r="J144" s="15">
        <v>48652.929999999993</v>
      </c>
      <c r="K144" s="16">
        <f t="shared" si="4"/>
        <v>48652.93</v>
      </c>
      <c r="L144" s="16">
        <f t="shared" si="5"/>
        <v>-7.2759576141834259E-12</v>
      </c>
    </row>
    <row r="145" spans="1:12" x14ac:dyDescent="0.25">
      <c r="A145" s="13" t="s">
        <v>15</v>
      </c>
      <c r="B145" s="13" t="s">
        <v>424</v>
      </c>
      <c r="C145" s="13" t="s">
        <v>21</v>
      </c>
      <c r="D145" s="13" t="s">
        <v>168</v>
      </c>
      <c r="E145" s="14" t="s">
        <v>360</v>
      </c>
      <c r="F145" s="14" t="s">
        <v>19</v>
      </c>
      <c r="G145" s="15">
        <v>40070.30000000001</v>
      </c>
      <c r="H145" s="15">
        <v>3460.6699999999996</v>
      </c>
      <c r="I145" s="15">
        <v>4961.0099999999993</v>
      </c>
      <c r="J145" s="15">
        <v>48491.98</v>
      </c>
      <c r="K145" s="16">
        <f t="shared" si="4"/>
        <v>48491.98000000001</v>
      </c>
      <c r="L145" s="16">
        <f t="shared" si="5"/>
        <v>-7.2759576141834259E-12</v>
      </c>
    </row>
    <row r="146" spans="1:12" x14ac:dyDescent="0.25">
      <c r="A146" s="13" t="s">
        <v>9</v>
      </c>
      <c r="B146" s="13" t="s">
        <v>425</v>
      </c>
      <c r="C146" s="13" t="s">
        <v>21</v>
      </c>
      <c r="D146" s="13" t="s">
        <v>168</v>
      </c>
      <c r="E146" s="14" t="s">
        <v>426</v>
      </c>
      <c r="F146" s="14" t="s">
        <v>41</v>
      </c>
      <c r="G146" s="15">
        <v>38374.1</v>
      </c>
      <c r="H146" s="15">
        <v>3962.42</v>
      </c>
      <c r="I146" s="15">
        <v>6119.0000000000009</v>
      </c>
      <c r="J146" s="15">
        <v>48455.520000000004</v>
      </c>
      <c r="K146" s="16">
        <f t="shared" si="4"/>
        <v>48455.519999999997</v>
      </c>
      <c r="L146" s="16">
        <f t="shared" si="5"/>
        <v>7.2759576141834259E-12</v>
      </c>
    </row>
    <row r="147" spans="1:12" x14ac:dyDescent="0.25">
      <c r="A147" s="13" t="s">
        <v>9</v>
      </c>
      <c r="B147" s="13" t="s">
        <v>427</v>
      </c>
      <c r="C147" s="13" t="s">
        <v>21</v>
      </c>
      <c r="D147" s="13" t="s">
        <v>168</v>
      </c>
      <c r="E147" s="14" t="s">
        <v>428</v>
      </c>
      <c r="F147" s="14" t="s">
        <v>429</v>
      </c>
      <c r="G147" s="15">
        <v>38631.479999999996</v>
      </c>
      <c r="H147" s="15">
        <v>3523.0800000000004</v>
      </c>
      <c r="I147" s="15">
        <v>6049.3600000000006</v>
      </c>
      <c r="J147" s="15">
        <v>48203.92</v>
      </c>
      <c r="K147" s="16">
        <f t="shared" si="4"/>
        <v>48203.92</v>
      </c>
      <c r="L147" s="16">
        <f t="shared" si="5"/>
        <v>0</v>
      </c>
    </row>
    <row r="148" spans="1:12" x14ac:dyDescent="0.25">
      <c r="A148" s="13" t="s">
        <v>9</v>
      </c>
      <c r="B148" s="13" t="s">
        <v>430</v>
      </c>
      <c r="C148" s="13" t="s">
        <v>21</v>
      </c>
      <c r="D148" s="13" t="s">
        <v>210</v>
      </c>
      <c r="E148" s="14" t="s">
        <v>431</v>
      </c>
      <c r="F148" s="14" t="s">
        <v>432</v>
      </c>
      <c r="G148" s="15">
        <v>34586.18</v>
      </c>
      <c r="H148" s="15">
        <v>2538.4500000000003</v>
      </c>
      <c r="I148" s="15">
        <v>11064</v>
      </c>
      <c r="J148" s="15">
        <v>48188.62999999999</v>
      </c>
      <c r="K148" s="16">
        <f t="shared" si="4"/>
        <v>48188.63</v>
      </c>
      <c r="L148" s="16">
        <f t="shared" si="5"/>
        <v>-7.2759576141834259E-12</v>
      </c>
    </row>
    <row r="149" spans="1:12" x14ac:dyDescent="0.25">
      <c r="A149" s="13" t="s">
        <v>15</v>
      </c>
      <c r="B149" s="13" t="s">
        <v>433</v>
      </c>
      <c r="C149" s="13" t="s">
        <v>178</v>
      </c>
      <c r="D149" s="13" t="s">
        <v>434</v>
      </c>
      <c r="E149" s="14" t="s">
        <v>291</v>
      </c>
      <c r="F149" s="14" t="s">
        <v>19</v>
      </c>
      <c r="G149" s="15">
        <v>48067.200000000019</v>
      </c>
      <c r="I149" s="15">
        <v>0</v>
      </c>
      <c r="J149" s="15">
        <v>48067.200000000019</v>
      </c>
      <c r="K149" s="16">
        <f t="shared" si="4"/>
        <v>48067.200000000019</v>
      </c>
      <c r="L149" s="16">
        <f t="shared" si="5"/>
        <v>0</v>
      </c>
    </row>
    <row r="150" spans="1:12" x14ac:dyDescent="0.25">
      <c r="A150" s="13" t="s">
        <v>15</v>
      </c>
      <c r="B150" s="13" t="s">
        <v>435</v>
      </c>
      <c r="C150" s="13" t="s">
        <v>68</v>
      </c>
      <c r="D150" s="13" t="s">
        <v>436</v>
      </c>
      <c r="E150" s="14" t="s">
        <v>437</v>
      </c>
      <c r="F150" s="14" t="s">
        <v>19</v>
      </c>
      <c r="G150" s="15">
        <v>36935.379999999997</v>
      </c>
      <c r="H150" s="15">
        <v>3084.92</v>
      </c>
      <c r="I150" s="15">
        <v>8014.5500000000011</v>
      </c>
      <c r="J150" s="15">
        <v>48034.849999999991</v>
      </c>
      <c r="K150" s="16">
        <f t="shared" si="4"/>
        <v>48034.85</v>
      </c>
      <c r="L150" s="16">
        <f t="shared" si="5"/>
        <v>-7.2759576141834259E-12</v>
      </c>
    </row>
    <row r="151" spans="1:12" x14ac:dyDescent="0.25">
      <c r="A151" s="13" t="s">
        <v>15</v>
      </c>
      <c r="B151" s="13" t="s">
        <v>438</v>
      </c>
      <c r="C151" s="13" t="s">
        <v>21</v>
      </c>
      <c r="D151" s="13" t="s">
        <v>439</v>
      </c>
      <c r="E151" s="14" t="s">
        <v>276</v>
      </c>
      <c r="F151" s="14" t="s">
        <v>19</v>
      </c>
      <c r="G151" s="15">
        <v>35790.999999999993</v>
      </c>
      <c r="H151" s="15">
        <v>2066.19</v>
      </c>
      <c r="I151" s="15">
        <v>10139.599999999999</v>
      </c>
      <c r="J151" s="15">
        <v>47996.789999999994</v>
      </c>
      <c r="K151" s="16">
        <f t="shared" si="4"/>
        <v>47996.789999999994</v>
      </c>
      <c r="L151" s="16">
        <f t="shared" si="5"/>
        <v>0</v>
      </c>
    </row>
    <row r="152" spans="1:12" x14ac:dyDescent="0.25">
      <c r="A152" s="13" t="s">
        <v>9</v>
      </c>
      <c r="B152" s="13" t="s">
        <v>440</v>
      </c>
      <c r="C152" s="13" t="s">
        <v>21</v>
      </c>
      <c r="D152" s="13" t="s">
        <v>168</v>
      </c>
      <c r="E152" s="14" t="s">
        <v>441</v>
      </c>
      <c r="F152" s="14" t="s">
        <v>212</v>
      </c>
      <c r="G152" s="15">
        <v>37080.990000000005</v>
      </c>
      <c r="H152" s="15">
        <v>557.5</v>
      </c>
      <c r="I152" s="15">
        <v>10286.049999999999</v>
      </c>
      <c r="J152" s="15">
        <v>47924.54</v>
      </c>
      <c r="K152" s="16">
        <f t="shared" si="4"/>
        <v>47924.540000000008</v>
      </c>
      <c r="L152" s="16">
        <f t="shared" si="5"/>
        <v>-7.2759576141834259E-12</v>
      </c>
    </row>
    <row r="153" spans="1:12" x14ac:dyDescent="0.25">
      <c r="A153" s="13" t="s">
        <v>9</v>
      </c>
      <c r="B153" s="13" t="s">
        <v>442</v>
      </c>
      <c r="C153" s="13" t="s">
        <v>21</v>
      </c>
      <c r="D153" s="13" t="s">
        <v>443</v>
      </c>
      <c r="E153" s="14" t="s">
        <v>312</v>
      </c>
      <c r="F153" s="14" t="s">
        <v>55</v>
      </c>
      <c r="G153" s="15">
        <v>40551.42</v>
      </c>
      <c r="H153" s="15">
        <v>1273.95</v>
      </c>
      <c r="I153" s="15">
        <v>6087.53</v>
      </c>
      <c r="J153" s="15">
        <v>47912.899999999987</v>
      </c>
      <c r="K153" s="16">
        <f t="shared" si="4"/>
        <v>47912.899999999994</v>
      </c>
      <c r="L153" s="16">
        <f t="shared" si="5"/>
        <v>-7.2759576141834259E-12</v>
      </c>
    </row>
    <row r="154" spans="1:12" x14ac:dyDescent="0.25">
      <c r="A154" s="13" t="s">
        <v>15</v>
      </c>
      <c r="B154" s="13" t="s">
        <v>444</v>
      </c>
      <c r="C154" s="13" t="s">
        <v>21</v>
      </c>
      <c r="D154" s="13" t="s">
        <v>445</v>
      </c>
      <c r="E154" s="14" t="s">
        <v>446</v>
      </c>
      <c r="F154" s="14" t="s">
        <v>19</v>
      </c>
      <c r="G154" s="15">
        <v>36040.29</v>
      </c>
      <c r="H154" s="15">
        <v>3987.04</v>
      </c>
      <c r="I154" s="15">
        <v>7883.0599999999995</v>
      </c>
      <c r="J154" s="15">
        <v>47910.39</v>
      </c>
      <c r="K154" s="16">
        <f t="shared" si="4"/>
        <v>47910.39</v>
      </c>
      <c r="L154" s="16">
        <f t="shared" si="5"/>
        <v>0</v>
      </c>
    </row>
    <row r="155" spans="1:12" x14ac:dyDescent="0.25">
      <c r="A155" s="13" t="s">
        <v>15</v>
      </c>
      <c r="B155" s="13" t="s">
        <v>447</v>
      </c>
      <c r="C155" s="13" t="s">
        <v>30</v>
      </c>
      <c r="D155" s="13" t="s">
        <v>248</v>
      </c>
      <c r="E155" s="14" t="s">
        <v>448</v>
      </c>
      <c r="F155" s="14" t="s">
        <v>19</v>
      </c>
      <c r="G155" s="15">
        <v>39714.889999999992</v>
      </c>
      <c r="H155" s="15">
        <v>289.98</v>
      </c>
      <c r="I155" s="15">
        <v>7805.31</v>
      </c>
      <c r="J155" s="15">
        <v>47810.179999999993</v>
      </c>
      <c r="K155" s="16">
        <f t="shared" si="4"/>
        <v>47810.179999999993</v>
      </c>
      <c r="L155" s="16">
        <f t="shared" si="5"/>
        <v>0</v>
      </c>
    </row>
    <row r="156" spans="1:12" x14ac:dyDescent="0.25">
      <c r="A156" s="13" t="s">
        <v>15</v>
      </c>
      <c r="B156" s="13" t="s">
        <v>449</v>
      </c>
      <c r="C156" s="13" t="s">
        <v>21</v>
      </c>
      <c r="D156" s="13" t="s">
        <v>168</v>
      </c>
      <c r="E156" s="14" t="s">
        <v>450</v>
      </c>
      <c r="F156" s="14" t="s">
        <v>19</v>
      </c>
      <c r="G156" s="15">
        <v>36746.529999999992</v>
      </c>
      <c r="H156" s="15">
        <v>4672.17</v>
      </c>
      <c r="I156" s="15">
        <v>6269.4100000000017</v>
      </c>
      <c r="J156" s="15">
        <v>47688.11</v>
      </c>
      <c r="K156" s="16">
        <f t="shared" si="4"/>
        <v>47688.109999999993</v>
      </c>
      <c r="L156" s="16">
        <f t="shared" si="5"/>
        <v>7.2759576141834259E-12</v>
      </c>
    </row>
    <row r="157" spans="1:12" x14ac:dyDescent="0.25">
      <c r="A157" s="13" t="s">
        <v>9</v>
      </c>
      <c r="B157" s="13" t="s">
        <v>451</v>
      </c>
      <c r="C157" s="13" t="s">
        <v>83</v>
      </c>
      <c r="D157" s="13" t="s">
        <v>452</v>
      </c>
      <c r="E157" s="14" t="s">
        <v>453</v>
      </c>
      <c r="F157" s="14" t="s">
        <v>454</v>
      </c>
      <c r="G157" s="15">
        <v>47583.200000000019</v>
      </c>
      <c r="I157" s="15">
        <v>0</v>
      </c>
      <c r="J157" s="15">
        <v>47583.200000000019</v>
      </c>
      <c r="K157" s="16">
        <f t="shared" si="4"/>
        <v>47583.200000000019</v>
      </c>
      <c r="L157" s="16">
        <f t="shared" si="5"/>
        <v>0</v>
      </c>
    </row>
    <row r="158" spans="1:12" x14ac:dyDescent="0.25">
      <c r="A158" s="13" t="s">
        <v>15</v>
      </c>
      <c r="B158" s="13" t="s">
        <v>455</v>
      </c>
      <c r="C158" s="13" t="s">
        <v>43</v>
      </c>
      <c r="D158" s="13" t="s">
        <v>134</v>
      </c>
      <c r="E158" s="14" t="s">
        <v>456</v>
      </c>
      <c r="F158" s="14" t="s">
        <v>19</v>
      </c>
      <c r="G158" s="15">
        <v>33604.259999999995</v>
      </c>
      <c r="H158" s="15">
        <v>7630.85</v>
      </c>
      <c r="I158" s="15">
        <v>6252.369999999999</v>
      </c>
      <c r="J158" s="15">
        <v>47487.48000000001</v>
      </c>
      <c r="K158" s="16">
        <f t="shared" si="4"/>
        <v>47487.479999999996</v>
      </c>
      <c r="L158" s="16">
        <f t="shared" si="5"/>
        <v>1.4551915228366852E-11</v>
      </c>
    </row>
    <row r="159" spans="1:12" x14ac:dyDescent="0.25">
      <c r="A159" s="13" t="s">
        <v>15</v>
      </c>
      <c r="B159" s="13" t="s">
        <v>457</v>
      </c>
      <c r="C159" s="13" t="s">
        <v>21</v>
      </c>
      <c r="D159" s="13" t="s">
        <v>168</v>
      </c>
      <c r="E159" s="14" t="s">
        <v>356</v>
      </c>
      <c r="F159" s="14" t="s">
        <v>19</v>
      </c>
      <c r="G159" s="15">
        <v>36720.87999999999</v>
      </c>
      <c r="H159" s="15">
        <v>3667.5099999999998</v>
      </c>
      <c r="I159" s="15">
        <v>6654.800000000002</v>
      </c>
      <c r="J159" s="15">
        <v>47043.189999999995</v>
      </c>
      <c r="K159" s="16">
        <f t="shared" si="4"/>
        <v>47043.189999999995</v>
      </c>
      <c r="L159" s="16">
        <f t="shared" si="5"/>
        <v>0</v>
      </c>
    </row>
    <row r="160" spans="1:12" x14ac:dyDescent="0.25">
      <c r="A160" s="13" t="s">
        <v>15</v>
      </c>
      <c r="B160" s="13" t="s">
        <v>458</v>
      </c>
      <c r="C160" s="13" t="s">
        <v>43</v>
      </c>
      <c r="D160" s="13" t="s">
        <v>137</v>
      </c>
      <c r="E160" s="14" t="s">
        <v>400</v>
      </c>
      <c r="F160" s="14" t="s">
        <v>19</v>
      </c>
      <c r="G160" s="15">
        <v>25285.57</v>
      </c>
      <c r="H160" s="15">
        <v>18502.53</v>
      </c>
      <c r="I160" s="15">
        <v>3087.77</v>
      </c>
      <c r="J160" s="15">
        <v>46875.87</v>
      </c>
      <c r="K160" s="16">
        <f t="shared" si="4"/>
        <v>46875.869999999995</v>
      </c>
      <c r="L160" s="16">
        <f t="shared" si="5"/>
        <v>7.2759576141834259E-12</v>
      </c>
    </row>
    <row r="161" spans="1:12" x14ac:dyDescent="0.25">
      <c r="A161" s="13" t="s">
        <v>9</v>
      </c>
      <c r="B161" s="13" t="s">
        <v>459</v>
      </c>
      <c r="C161" s="13" t="s">
        <v>21</v>
      </c>
      <c r="D161" s="13" t="s">
        <v>460</v>
      </c>
      <c r="E161" s="14" t="s">
        <v>461</v>
      </c>
      <c r="F161" s="14" t="s">
        <v>462</v>
      </c>
      <c r="G161" s="15">
        <v>36744.51</v>
      </c>
      <c r="H161" s="15">
        <v>1554.2199999999998</v>
      </c>
      <c r="I161" s="15">
        <v>8456.52</v>
      </c>
      <c r="J161" s="15">
        <v>46755.250000000007</v>
      </c>
      <c r="K161" s="16">
        <f t="shared" si="4"/>
        <v>46755.25</v>
      </c>
      <c r="L161" s="16">
        <f t="shared" si="5"/>
        <v>7.2759576141834259E-12</v>
      </c>
    </row>
    <row r="162" spans="1:12" x14ac:dyDescent="0.25">
      <c r="A162" s="13" t="s">
        <v>15</v>
      </c>
      <c r="B162" s="13" t="s">
        <v>463</v>
      </c>
      <c r="C162" s="13" t="s">
        <v>206</v>
      </c>
      <c r="D162" s="13" t="s">
        <v>464</v>
      </c>
      <c r="E162" s="14" t="s">
        <v>353</v>
      </c>
      <c r="F162" s="14" t="s">
        <v>19</v>
      </c>
      <c r="G162" s="15">
        <v>45309.439999999981</v>
      </c>
      <c r="I162" s="15">
        <v>1439.5599999999995</v>
      </c>
      <c r="J162" s="15">
        <v>46749</v>
      </c>
      <c r="K162" s="16">
        <f t="shared" si="4"/>
        <v>46748.999999999978</v>
      </c>
      <c r="L162" s="16">
        <f t="shared" si="5"/>
        <v>2.1827872842550278E-11</v>
      </c>
    </row>
    <row r="163" spans="1:12" x14ac:dyDescent="0.25">
      <c r="A163" s="13" t="s">
        <v>9</v>
      </c>
      <c r="B163" s="13" t="s">
        <v>465</v>
      </c>
      <c r="C163" s="13" t="s">
        <v>83</v>
      </c>
      <c r="D163" s="13" t="s">
        <v>466</v>
      </c>
      <c r="E163" s="14" t="s">
        <v>148</v>
      </c>
      <c r="F163" s="14" t="s">
        <v>467</v>
      </c>
      <c r="G163" s="15">
        <v>46687.19999999999</v>
      </c>
      <c r="I163" s="15">
        <v>0</v>
      </c>
      <c r="J163" s="15">
        <v>46687.19999999999</v>
      </c>
      <c r="K163" s="16">
        <f t="shared" si="4"/>
        <v>46687.19999999999</v>
      </c>
      <c r="L163" s="16">
        <f t="shared" si="5"/>
        <v>0</v>
      </c>
    </row>
    <row r="164" spans="1:12" x14ac:dyDescent="0.25">
      <c r="A164" s="13" t="s">
        <v>15</v>
      </c>
      <c r="B164" s="13" t="s">
        <v>468</v>
      </c>
      <c r="C164" s="13" t="s">
        <v>21</v>
      </c>
      <c r="D164" s="13" t="s">
        <v>168</v>
      </c>
      <c r="E164" s="14" t="s">
        <v>288</v>
      </c>
      <c r="F164" s="14" t="s">
        <v>19</v>
      </c>
      <c r="G164" s="15">
        <v>36637.760000000002</v>
      </c>
      <c r="H164" s="15">
        <v>2875.1000000000004</v>
      </c>
      <c r="I164" s="15">
        <v>6509.36</v>
      </c>
      <c r="J164" s="15">
        <v>46022.220000000008</v>
      </c>
      <c r="K164" s="16">
        <f t="shared" si="4"/>
        <v>46022.22</v>
      </c>
      <c r="L164" s="16">
        <f t="shared" si="5"/>
        <v>7.2759576141834259E-12</v>
      </c>
    </row>
    <row r="165" spans="1:12" x14ac:dyDescent="0.25">
      <c r="A165" s="13" t="s">
        <v>15</v>
      </c>
      <c r="B165" s="13" t="s">
        <v>469</v>
      </c>
      <c r="C165" s="13" t="s">
        <v>358</v>
      </c>
      <c r="D165" s="13" t="s">
        <v>470</v>
      </c>
      <c r="E165" s="14" t="s">
        <v>193</v>
      </c>
      <c r="F165" s="14" t="s">
        <v>19</v>
      </c>
      <c r="G165" s="15">
        <v>38239.31</v>
      </c>
      <c r="I165" s="15">
        <v>7710.6200000000008</v>
      </c>
      <c r="J165" s="15">
        <v>45949.93</v>
      </c>
      <c r="K165" s="16">
        <f t="shared" si="4"/>
        <v>45949.93</v>
      </c>
      <c r="L165" s="16">
        <f t="shared" si="5"/>
        <v>0</v>
      </c>
    </row>
    <row r="166" spans="1:12" x14ac:dyDescent="0.25">
      <c r="A166" s="13" t="s">
        <v>15</v>
      </c>
      <c r="B166" s="13" t="s">
        <v>471</v>
      </c>
      <c r="C166" s="13" t="s">
        <v>43</v>
      </c>
      <c r="D166" s="13" t="s">
        <v>472</v>
      </c>
      <c r="E166" s="14" t="s">
        <v>473</v>
      </c>
      <c r="F166" s="14" t="s">
        <v>19</v>
      </c>
      <c r="G166" s="15">
        <v>30885.499999999993</v>
      </c>
      <c r="H166" s="15">
        <v>7854.22</v>
      </c>
      <c r="I166" s="15">
        <v>7189.21</v>
      </c>
      <c r="J166" s="15">
        <v>45928.93</v>
      </c>
      <c r="K166" s="16">
        <f t="shared" si="4"/>
        <v>45928.929999999993</v>
      </c>
      <c r="L166" s="16">
        <f t="shared" si="5"/>
        <v>7.2759576141834259E-12</v>
      </c>
    </row>
    <row r="167" spans="1:12" x14ac:dyDescent="0.25">
      <c r="A167" s="13" t="s">
        <v>15</v>
      </c>
      <c r="B167" s="13" t="s">
        <v>474</v>
      </c>
      <c r="C167" s="13" t="s">
        <v>21</v>
      </c>
      <c r="D167" s="13" t="s">
        <v>168</v>
      </c>
      <c r="E167" s="14" t="s">
        <v>475</v>
      </c>
      <c r="F167" s="14" t="s">
        <v>19</v>
      </c>
      <c r="G167" s="15">
        <v>36859.719999999994</v>
      </c>
      <c r="H167" s="15">
        <v>1420.3</v>
      </c>
      <c r="I167" s="15">
        <v>7608.6599999999989</v>
      </c>
      <c r="J167" s="15">
        <v>45888.680000000008</v>
      </c>
      <c r="K167" s="16">
        <f t="shared" si="4"/>
        <v>45888.679999999993</v>
      </c>
      <c r="L167" s="16">
        <f t="shared" si="5"/>
        <v>1.4551915228366852E-11</v>
      </c>
    </row>
    <row r="168" spans="1:12" x14ac:dyDescent="0.25">
      <c r="A168" s="13" t="s">
        <v>9</v>
      </c>
      <c r="B168" s="13" t="s">
        <v>476</v>
      </c>
      <c r="C168" s="13" t="s">
        <v>477</v>
      </c>
      <c r="D168" s="13" t="s">
        <v>478</v>
      </c>
      <c r="E168" s="14" t="s">
        <v>479</v>
      </c>
      <c r="F168" s="14" t="s">
        <v>480</v>
      </c>
      <c r="G168" s="15">
        <v>45787.19999999999</v>
      </c>
      <c r="I168" s="15">
        <v>0</v>
      </c>
      <c r="J168" s="15">
        <v>45787.19999999999</v>
      </c>
      <c r="K168" s="16">
        <f t="shared" si="4"/>
        <v>45787.19999999999</v>
      </c>
      <c r="L168" s="16">
        <f t="shared" si="5"/>
        <v>0</v>
      </c>
    </row>
    <row r="169" spans="1:12" x14ac:dyDescent="0.25">
      <c r="A169" s="13" t="s">
        <v>15</v>
      </c>
      <c r="B169" s="13" t="s">
        <v>481</v>
      </c>
      <c r="C169" s="13" t="s">
        <v>21</v>
      </c>
      <c r="D169" s="13" t="s">
        <v>168</v>
      </c>
      <c r="E169" s="14" t="s">
        <v>482</v>
      </c>
      <c r="F169" s="14" t="s">
        <v>19</v>
      </c>
      <c r="G169" s="15">
        <v>36236.810000000005</v>
      </c>
      <c r="H169" s="15">
        <v>1890.7399999999998</v>
      </c>
      <c r="I169" s="15">
        <v>7594.86</v>
      </c>
      <c r="J169" s="15">
        <v>45722.409999999996</v>
      </c>
      <c r="K169" s="16">
        <f t="shared" si="4"/>
        <v>45722.41</v>
      </c>
      <c r="L169" s="16">
        <f t="shared" si="5"/>
        <v>-7.2759576141834259E-12</v>
      </c>
    </row>
    <row r="170" spans="1:12" x14ac:dyDescent="0.25">
      <c r="A170" s="13" t="s">
        <v>9</v>
      </c>
      <c r="B170" s="13" t="s">
        <v>483</v>
      </c>
      <c r="C170" s="13" t="s">
        <v>21</v>
      </c>
      <c r="D170" s="13" t="s">
        <v>484</v>
      </c>
      <c r="E170" s="14" t="s">
        <v>485</v>
      </c>
      <c r="F170" s="14" t="s">
        <v>486</v>
      </c>
      <c r="G170" s="15">
        <v>45296.799999999981</v>
      </c>
      <c r="I170" s="15">
        <v>336</v>
      </c>
      <c r="J170" s="15">
        <v>45632.799999999981</v>
      </c>
      <c r="K170" s="16">
        <f t="shared" si="4"/>
        <v>45632.799999999981</v>
      </c>
      <c r="L170" s="16">
        <f t="shared" si="5"/>
        <v>0</v>
      </c>
    </row>
    <row r="171" spans="1:12" x14ac:dyDescent="0.25">
      <c r="A171" s="13" t="s">
        <v>487</v>
      </c>
      <c r="B171" s="13" t="s">
        <v>488</v>
      </c>
      <c r="C171" s="13" t="s">
        <v>38</v>
      </c>
      <c r="D171" s="13" t="s">
        <v>489</v>
      </c>
      <c r="E171" s="14" t="s">
        <v>490</v>
      </c>
      <c r="F171" s="14" t="s">
        <v>491</v>
      </c>
      <c r="G171" s="15">
        <v>26376.450000000004</v>
      </c>
      <c r="H171" s="15">
        <v>8714.26</v>
      </c>
      <c r="I171" s="15">
        <v>10318.700000000001</v>
      </c>
      <c r="J171" s="15">
        <v>45409.41</v>
      </c>
      <c r="K171" s="16">
        <f t="shared" si="4"/>
        <v>45409.41</v>
      </c>
      <c r="L171" s="16">
        <f t="shared" si="5"/>
        <v>0</v>
      </c>
    </row>
    <row r="172" spans="1:12" x14ac:dyDescent="0.25">
      <c r="A172" s="13" t="s">
        <v>15</v>
      </c>
      <c r="B172" s="13" t="s">
        <v>492</v>
      </c>
      <c r="C172" s="13" t="s">
        <v>21</v>
      </c>
      <c r="D172" s="13" t="s">
        <v>168</v>
      </c>
      <c r="E172" s="14" t="s">
        <v>493</v>
      </c>
      <c r="F172" s="14" t="s">
        <v>19</v>
      </c>
      <c r="G172" s="15">
        <v>35283.950000000004</v>
      </c>
      <c r="H172" s="15">
        <v>3016.1499999999996</v>
      </c>
      <c r="I172" s="15">
        <v>7105.88</v>
      </c>
      <c r="J172" s="15">
        <v>45405.98000000001</v>
      </c>
      <c r="K172" s="16">
        <f t="shared" si="4"/>
        <v>45405.98</v>
      </c>
      <c r="L172" s="16">
        <f t="shared" si="5"/>
        <v>7.2759576141834259E-12</v>
      </c>
    </row>
    <row r="173" spans="1:12" x14ac:dyDescent="0.25">
      <c r="A173" s="13" t="s">
        <v>15</v>
      </c>
      <c r="B173" s="13" t="s">
        <v>494</v>
      </c>
      <c r="C173" s="13" t="s">
        <v>43</v>
      </c>
      <c r="D173" s="13" t="s">
        <v>134</v>
      </c>
      <c r="E173" s="14" t="s">
        <v>473</v>
      </c>
      <c r="F173" s="14" t="s">
        <v>19</v>
      </c>
      <c r="G173" s="15">
        <v>24818.959999999995</v>
      </c>
      <c r="H173" s="15">
        <v>14791.31</v>
      </c>
      <c r="I173" s="15">
        <v>5635.18</v>
      </c>
      <c r="J173" s="15">
        <v>45245.450000000012</v>
      </c>
      <c r="K173" s="16">
        <f t="shared" si="4"/>
        <v>45245.45</v>
      </c>
      <c r="L173" s="16">
        <f t="shared" si="5"/>
        <v>1.4551915228366852E-11</v>
      </c>
    </row>
    <row r="174" spans="1:12" x14ac:dyDescent="0.25">
      <c r="A174" s="13" t="s">
        <v>15</v>
      </c>
      <c r="B174" s="13" t="s">
        <v>495</v>
      </c>
      <c r="C174" s="13" t="s">
        <v>38</v>
      </c>
      <c r="D174" s="13" t="s">
        <v>496</v>
      </c>
      <c r="E174" s="14" t="s">
        <v>497</v>
      </c>
      <c r="F174" s="14" t="s">
        <v>19</v>
      </c>
      <c r="G174" s="15">
        <v>40393.12999999999</v>
      </c>
      <c r="H174" s="15">
        <v>292.77000000000004</v>
      </c>
      <c r="I174" s="15">
        <v>4500.74</v>
      </c>
      <c r="J174" s="15">
        <v>45186.64</v>
      </c>
      <c r="K174" s="16">
        <f t="shared" si="4"/>
        <v>45186.639999999985</v>
      </c>
      <c r="L174" s="16">
        <f t="shared" si="5"/>
        <v>1.4551915228366852E-11</v>
      </c>
    </row>
    <row r="175" spans="1:12" x14ac:dyDescent="0.25">
      <c r="A175" s="13" t="s">
        <v>15</v>
      </c>
      <c r="B175" s="13" t="s">
        <v>498</v>
      </c>
      <c r="C175" s="13" t="s">
        <v>68</v>
      </c>
      <c r="D175" s="13" t="s">
        <v>499</v>
      </c>
      <c r="E175" s="14" t="s">
        <v>500</v>
      </c>
      <c r="F175" s="14" t="s">
        <v>19</v>
      </c>
      <c r="G175" s="15">
        <v>37912.679999999986</v>
      </c>
      <c r="H175" s="15">
        <v>2182.9699999999998</v>
      </c>
      <c r="I175" s="15">
        <v>5084.5899999999992</v>
      </c>
      <c r="J175" s="15">
        <v>45180.24</v>
      </c>
      <c r="K175" s="16">
        <f t="shared" si="4"/>
        <v>45180.239999999983</v>
      </c>
      <c r="L175" s="16">
        <f t="shared" si="5"/>
        <v>1.4551915228366852E-11</v>
      </c>
    </row>
    <row r="176" spans="1:12" x14ac:dyDescent="0.25">
      <c r="A176" s="13" t="s">
        <v>15</v>
      </c>
      <c r="B176" s="13" t="s">
        <v>501</v>
      </c>
      <c r="C176" s="13" t="s">
        <v>30</v>
      </c>
      <c r="D176" s="13" t="s">
        <v>248</v>
      </c>
      <c r="E176" s="14" t="s">
        <v>502</v>
      </c>
      <c r="F176" s="14" t="s">
        <v>19</v>
      </c>
      <c r="G176" s="15">
        <v>37648.46</v>
      </c>
      <c r="H176" s="15">
        <v>10.41</v>
      </c>
      <c r="I176" s="15">
        <v>7422.3900000000012</v>
      </c>
      <c r="J176" s="15">
        <v>45081.260000000009</v>
      </c>
      <c r="K176" s="16">
        <f t="shared" si="4"/>
        <v>45081.26</v>
      </c>
      <c r="L176" s="16">
        <f t="shared" si="5"/>
        <v>7.2759576141834259E-12</v>
      </c>
    </row>
    <row r="177" spans="1:12" x14ac:dyDescent="0.25">
      <c r="A177" s="13" t="s">
        <v>15</v>
      </c>
      <c r="B177" s="13" t="s">
        <v>503</v>
      </c>
      <c r="C177" s="13" t="s">
        <v>30</v>
      </c>
      <c r="D177" s="13" t="s">
        <v>131</v>
      </c>
      <c r="E177" s="14" t="s">
        <v>504</v>
      </c>
      <c r="F177" s="14" t="s">
        <v>19</v>
      </c>
      <c r="G177" s="15">
        <v>36360.460000000006</v>
      </c>
      <c r="I177" s="15">
        <v>8698.99</v>
      </c>
      <c r="J177" s="15">
        <v>45059.450000000004</v>
      </c>
      <c r="K177" s="16">
        <f t="shared" si="4"/>
        <v>45059.450000000004</v>
      </c>
      <c r="L177" s="16">
        <f t="shared" si="5"/>
        <v>0</v>
      </c>
    </row>
    <row r="178" spans="1:12" x14ac:dyDescent="0.25">
      <c r="A178" s="13" t="s">
        <v>15</v>
      </c>
      <c r="B178" s="13" t="s">
        <v>505</v>
      </c>
      <c r="C178" s="13" t="s">
        <v>30</v>
      </c>
      <c r="D178" s="13" t="s">
        <v>248</v>
      </c>
      <c r="E178" s="14" t="s">
        <v>450</v>
      </c>
      <c r="F178" s="14" t="s">
        <v>19</v>
      </c>
      <c r="G178" s="15">
        <v>37944.51</v>
      </c>
      <c r="H178" s="15">
        <v>297.07</v>
      </c>
      <c r="I178" s="15">
        <v>6627.0899999999992</v>
      </c>
      <c r="J178" s="15">
        <v>44868.67</v>
      </c>
      <c r="K178" s="16">
        <f t="shared" si="4"/>
        <v>44868.67</v>
      </c>
      <c r="L178" s="16">
        <f t="shared" si="5"/>
        <v>0</v>
      </c>
    </row>
    <row r="179" spans="1:12" x14ac:dyDescent="0.25">
      <c r="A179" s="13" t="s">
        <v>9</v>
      </c>
      <c r="B179" s="13" t="s">
        <v>506</v>
      </c>
      <c r="C179" s="13" t="s">
        <v>206</v>
      </c>
      <c r="D179" s="13" t="s">
        <v>507</v>
      </c>
      <c r="E179" s="14" t="s">
        <v>508</v>
      </c>
      <c r="F179" s="14" t="s">
        <v>509</v>
      </c>
      <c r="G179" s="15">
        <v>44406.400000000023</v>
      </c>
      <c r="I179" s="15">
        <v>0</v>
      </c>
      <c r="J179" s="15">
        <v>44406.400000000023</v>
      </c>
      <c r="K179" s="16">
        <f t="shared" si="4"/>
        <v>44406.400000000023</v>
      </c>
      <c r="L179" s="16">
        <f t="shared" si="5"/>
        <v>0</v>
      </c>
    </row>
    <row r="180" spans="1:12" x14ac:dyDescent="0.25">
      <c r="A180" s="13" t="s">
        <v>9</v>
      </c>
      <c r="B180" s="13" t="s">
        <v>510</v>
      </c>
      <c r="C180" s="13" t="s">
        <v>43</v>
      </c>
      <c r="D180" s="13" t="s">
        <v>134</v>
      </c>
      <c r="E180" s="14" t="s">
        <v>511</v>
      </c>
      <c r="F180" s="14" t="s">
        <v>512</v>
      </c>
      <c r="G180" s="15">
        <v>19607.010000000002</v>
      </c>
      <c r="H180" s="15">
        <v>13203.050000000001</v>
      </c>
      <c r="I180" s="15">
        <v>11529.300000000001</v>
      </c>
      <c r="J180" s="15">
        <v>44339.359999999993</v>
      </c>
      <c r="K180" s="16">
        <f t="shared" si="4"/>
        <v>44339.360000000008</v>
      </c>
      <c r="L180" s="16">
        <f t="shared" si="5"/>
        <v>-1.4551915228366852E-11</v>
      </c>
    </row>
    <row r="181" spans="1:12" x14ac:dyDescent="0.25">
      <c r="A181" s="13" t="s">
        <v>15</v>
      </c>
      <c r="B181" s="13" t="s">
        <v>513</v>
      </c>
      <c r="C181" s="13" t="s">
        <v>140</v>
      </c>
      <c r="D181" s="13" t="s">
        <v>514</v>
      </c>
      <c r="E181" s="14" t="s">
        <v>515</v>
      </c>
      <c r="F181" s="14" t="s">
        <v>19</v>
      </c>
      <c r="G181" s="15">
        <v>37305.15</v>
      </c>
      <c r="H181" s="15">
        <v>528.69000000000005</v>
      </c>
      <c r="I181" s="15">
        <v>5938.5400000000009</v>
      </c>
      <c r="J181" s="15">
        <v>43772.380000000005</v>
      </c>
      <c r="K181" s="16">
        <f t="shared" si="4"/>
        <v>43772.380000000005</v>
      </c>
      <c r="L181" s="16">
        <f t="shared" si="5"/>
        <v>0</v>
      </c>
    </row>
    <row r="182" spans="1:12" x14ac:dyDescent="0.25">
      <c r="A182" s="13" t="s">
        <v>15</v>
      </c>
      <c r="B182" s="13" t="s">
        <v>516</v>
      </c>
      <c r="C182" s="13" t="s">
        <v>188</v>
      </c>
      <c r="D182" s="13" t="s">
        <v>517</v>
      </c>
      <c r="E182" s="14" t="s">
        <v>518</v>
      </c>
      <c r="F182" s="14" t="s">
        <v>19</v>
      </c>
      <c r="G182" s="15">
        <v>37164.329999999994</v>
      </c>
      <c r="H182" s="15">
        <v>1249.1300000000003</v>
      </c>
      <c r="I182" s="15">
        <v>5323.2200000000012</v>
      </c>
      <c r="J182" s="15">
        <v>43736.680000000008</v>
      </c>
      <c r="K182" s="16">
        <f t="shared" si="4"/>
        <v>43736.679999999993</v>
      </c>
      <c r="L182" s="16">
        <f t="shared" si="5"/>
        <v>1.4551915228366852E-11</v>
      </c>
    </row>
    <row r="183" spans="1:12" x14ac:dyDescent="0.25">
      <c r="A183" s="13" t="s">
        <v>15</v>
      </c>
      <c r="B183" s="13" t="s">
        <v>519</v>
      </c>
      <c r="C183" s="13" t="s">
        <v>520</v>
      </c>
      <c r="D183" s="13" t="s">
        <v>521</v>
      </c>
      <c r="E183" s="14" t="s">
        <v>402</v>
      </c>
      <c r="F183" s="14" t="s">
        <v>19</v>
      </c>
      <c r="G183" s="15">
        <v>43533.599999999999</v>
      </c>
      <c r="I183" s="15">
        <v>0</v>
      </c>
      <c r="J183" s="15">
        <v>43533.599999999999</v>
      </c>
      <c r="K183" s="16">
        <f t="shared" si="4"/>
        <v>43533.599999999999</v>
      </c>
      <c r="L183" s="16">
        <f t="shared" si="5"/>
        <v>0</v>
      </c>
    </row>
    <row r="184" spans="1:12" x14ac:dyDescent="0.25">
      <c r="A184" s="13" t="s">
        <v>15</v>
      </c>
      <c r="B184" s="13" t="s">
        <v>522</v>
      </c>
      <c r="C184" s="13" t="s">
        <v>523</v>
      </c>
      <c r="D184" s="13" t="s">
        <v>524</v>
      </c>
      <c r="E184" s="14" t="s">
        <v>525</v>
      </c>
      <c r="F184" s="14" t="s">
        <v>19</v>
      </c>
      <c r="G184" s="15">
        <v>35396.870000000003</v>
      </c>
      <c r="H184" s="15">
        <v>1858.5500000000004</v>
      </c>
      <c r="I184" s="15">
        <v>6141.58</v>
      </c>
      <c r="J184" s="15">
        <v>43396.999999999993</v>
      </c>
      <c r="K184" s="16">
        <f t="shared" si="4"/>
        <v>43397.000000000007</v>
      </c>
      <c r="L184" s="16">
        <f t="shared" si="5"/>
        <v>-1.4551915228366852E-11</v>
      </c>
    </row>
    <row r="185" spans="1:12" x14ac:dyDescent="0.25">
      <c r="A185" s="13" t="s">
        <v>9</v>
      </c>
      <c r="B185" s="13" t="s">
        <v>526</v>
      </c>
      <c r="C185" s="13" t="s">
        <v>94</v>
      </c>
      <c r="D185" s="13" t="s">
        <v>527</v>
      </c>
      <c r="E185" s="14" t="s">
        <v>528</v>
      </c>
      <c r="F185" s="14" t="s">
        <v>529</v>
      </c>
      <c r="G185" s="15">
        <v>36091.089999999997</v>
      </c>
      <c r="H185" s="15">
        <v>2365.7700000000004</v>
      </c>
      <c r="I185" s="15">
        <v>4573.54</v>
      </c>
      <c r="J185" s="15">
        <v>43030.400000000001</v>
      </c>
      <c r="K185" s="16">
        <f t="shared" si="4"/>
        <v>43030.400000000001</v>
      </c>
      <c r="L185" s="16">
        <f t="shared" si="5"/>
        <v>0</v>
      </c>
    </row>
    <row r="186" spans="1:12" x14ac:dyDescent="0.25">
      <c r="A186" s="13" t="s">
        <v>9</v>
      </c>
      <c r="B186" s="13" t="s">
        <v>530</v>
      </c>
      <c r="C186" s="13" t="s">
        <v>21</v>
      </c>
      <c r="D186" s="13" t="s">
        <v>168</v>
      </c>
      <c r="E186" s="14" t="s">
        <v>502</v>
      </c>
      <c r="F186" s="14" t="s">
        <v>531</v>
      </c>
      <c r="G186" s="15">
        <v>32010.06</v>
      </c>
      <c r="H186" s="15">
        <v>2230.6299999999997</v>
      </c>
      <c r="I186" s="15">
        <v>8784.510000000002</v>
      </c>
      <c r="J186" s="15">
        <v>43025.19999999999</v>
      </c>
      <c r="K186" s="16">
        <f t="shared" si="4"/>
        <v>43025.200000000004</v>
      </c>
      <c r="L186" s="16">
        <f t="shared" si="5"/>
        <v>-1.4551915228366852E-11</v>
      </c>
    </row>
    <row r="187" spans="1:12" x14ac:dyDescent="0.25">
      <c r="A187" s="13" t="s">
        <v>15</v>
      </c>
      <c r="B187" s="13" t="s">
        <v>532</v>
      </c>
      <c r="C187" s="13" t="s">
        <v>30</v>
      </c>
      <c r="D187" s="13" t="s">
        <v>248</v>
      </c>
      <c r="E187" s="14" t="s">
        <v>502</v>
      </c>
      <c r="F187" s="14" t="s">
        <v>19</v>
      </c>
      <c r="G187" s="15">
        <v>34592.21</v>
      </c>
      <c r="H187" s="15">
        <v>284.54000000000002</v>
      </c>
      <c r="I187" s="15">
        <v>8040.8700000000008</v>
      </c>
      <c r="J187" s="15">
        <v>42917.62</v>
      </c>
      <c r="K187" s="16">
        <f t="shared" si="4"/>
        <v>42917.62</v>
      </c>
      <c r="L187" s="16">
        <f t="shared" si="5"/>
        <v>0</v>
      </c>
    </row>
    <row r="188" spans="1:12" x14ac:dyDescent="0.25">
      <c r="A188" s="13" t="s">
        <v>9</v>
      </c>
      <c r="B188" s="13" t="s">
        <v>533</v>
      </c>
      <c r="C188" s="13" t="s">
        <v>534</v>
      </c>
      <c r="D188" s="13" t="s">
        <v>535</v>
      </c>
      <c r="E188" s="14" t="s">
        <v>536</v>
      </c>
      <c r="F188" s="14" t="s">
        <v>537</v>
      </c>
      <c r="G188" s="15">
        <v>41077.439999999995</v>
      </c>
      <c r="H188" s="15">
        <v>0</v>
      </c>
      <c r="I188" s="15">
        <v>1661.7599999999995</v>
      </c>
      <c r="J188" s="15">
        <v>42739.19999999999</v>
      </c>
      <c r="K188" s="16">
        <f t="shared" si="4"/>
        <v>42739.199999999997</v>
      </c>
      <c r="L188" s="16">
        <f t="shared" si="5"/>
        <v>-7.2759576141834259E-12</v>
      </c>
    </row>
    <row r="189" spans="1:12" x14ac:dyDescent="0.25">
      <c r="A189" s="13" t="s">
        <v>9</v>
      </c>
      <c r="B189" s="13" t="s">
        <v>538</v>
      </c>
      <c r="C189" s="13" t="s">
        <v>340</v>
      </c>
      <c r="D189" s="13" t="s">
        <v>539</v>
      </c>
      <c r="E189" s="14" t="s">
        <v>540</v>
      </c>
      <c r="F189" s="14" t="s">
        <v>541</v>
      </c>
      <c r="G189" s="15">
        <v>34942.25</v>
      </c>
      <c r="H189" s="15">
        <v>2251.1999999999998</v>
      </c>
      <c r="I189" s="15">
        <v>5387.68</v>
      </c>
      <c r="J189" s="15">
        <v>42581.130000000005</v>
      </c>
      <c r="K189" s="16">
        <f t="shared" si="4"/>
        <v>42581.13</v>
      </c>
      <c r="L189" s="16">
        <f t="shared" si="5"/>
        <v>7.2759576141834259E-12</v>
      </c>
    </row>
    <row r="190" spans="1:12" x14ac:dyDescent="0.25">
      <c r="A190" s="13" t="s">
        <v>15</v>
      </c>
      <c r="B190" s="13" t="s">
        <v>542</v>
      </c>
      <c r="C190" s="13" t="s">
        <v>543</v>
      </c>
      <c r="D190" s="13" t="s">
        <v>544</v>
      </c>
      <c r="E190" s="14" t="s">
        <v>228</v>
      </c>
      <c r="F190" s="14" t="s">
        <v>19</v>
      </c>
      <c r="G190" s="15">
        <v>42026.679999999993</v>
      </c>
      <c r="I190" s="15">
        <v>402.72</v>
      </c>
      <c r="J190" s="15">
        <v>42429.399999999994</v>
      </c>
      <c r="K190" s="16">
        <f t="shared" si="4"/>
        <v>42429.399999999994</v>
      </c>
      <c r="L190" s="16">
        <f t="shared" si="5"/>
        <v>0</v>
      </c>
    </row>
    <row r="191" spans="1:12" x14ac:dyDescent="0.25">
      <c r="A191" s="13" t="s">
        <v>9</v>
      </c>
      <c r="B191" s="13" t="s">
        <v>545</v>
      </c>
      <c r="C191" s="13" t="s">
        <v>178</v>
      </c>
      <c r="D191" s="13" t="s">
        <v>546</v>
      </c>
      <c r="E191" s="14" t="s">
        <v>547</v>
      </c>
      <c r="F191" s="14" t="s">
        <v>548</v>
      </c>
      <c r="G191" s="15">
        <v>42257.599999999991</v>
      </c>
      <c r="I191" s="15">
        <v>0</v>
      </c>
      <c r="J191" s="15">
        <v>42257.599999999991</v>
      </c>
      <c r="K191" s="16">
        <f t="shared" si="4"/>
        <v>42257.599999999991</v>
      </c>
      <c r="L191" s="16">
        <f t="shared" si="5"/>
        <v>0</v>
      </c>
    </row>
    <row r="192" spans="1:12" x14ac:dyDescent="0.25">
      <c r="A192" s="13" t="s">
        <v>9</v>
      </c>
      <c r="B192" s="13" t="s">
        <v>549</v>
      </c>
      <c r="C192" s="13" t="s">
        <v>550</v>
      </c>
      <c r="D192" s="13" t="s">
        <v>551</v>
      </c>
      <c r="E192" s="14" t="s">
        <v>552</v>
      </c>
      <c r="F192" s="14" t="s">
        <v>553</v>
      </c>
      <c r="G192" s="15">
        <v>41850.87999999999</v>
      </c>
      <c r="H192" s="15">
        <v>0</v>
      </c>
      <c r="I192" s="15">
        <v>394.72</v>
      </c>
      <c r="J192" s="15">
        <v>42245.599999999984</v>
      </c>
      <c r="K192" s="16">
        <f t="shared" si="4"/>
        <v>42245.599999999991</v>
      </c>
      <c r="L192" s="16">
        <f t="shared" si="5"/>
        <v>-7.2759576141834259E-12</v>
      </c>
    </row>
    <row r="193" spans="1:12" x14ac:dyDescent="0.25">
      <c r="A193" s="13" t="s">
        <v>9</v>
      </c>
      <c r="B193" s="13" t="s">
        <v>554</v>
      </c>
      <c r="C193" s="13" t="s">
        <v>83</v>
      </c>
      <c r="D193" s="13" t="s">
        <v>452</v>
      </c>
      <c r="E193" s="14" t="s">
        <v>555</v>
      </c>
      <c r="F193" s="14" t="s">
        <v>556</v>
      </c>
      <c r="G193" s="15">
        <v>35866.299999999996</v>
      </c>
      <c r="H193" s="15">
        <v>611.53</v>
      </c>
      <c r="I193" s="15">
        <v>5613.66</v>
      </c>
      <c r="J193" s="15">
        <v>42091.490000000005</v>
      </c>
      <c r="K193" s="16">
        <f t="shared" si="4"/>
        <v>42091.489999999991</v>
      </c>
      <c r="L193" s="16">
        <f t="shared" si="5"/>
        <v>1.4551915228366852E-11</v>
      </c>
    </row>
    <row r="194" spans="1:12" x14ac:dyDescent="0.25">
      <c r="A194" s="13" t="s">
        <v>9</v>
      </c>
      <c r="B194" s="13" t="s">
        <v>557</v>
      </c>
      <c r="C194" s="13" t="s">
        <v>94</v>
      </c>
      <c r="D194" s="13" t="s">
        <v>558</v>
      </c>
      <c r="E194" s="14" t="s">
        <v>559</v>
      </c>
      <c r="F194" s="14" t="s">
        <v>560</v>
      </c>
      <c r="G194" s="15">
        <v>34830.480000000003</v>
      </c>
      <c r="H194" s="15">
        <v>1287.3400000000001</v>
      </c>
      <c r="I194" s="15">
        <v>5515.55</v>
      </c>
      <c r="J194" s="15">
        <v>41633.369999999995</v>
      </c>
      <c r="K194" s="16">
        <f t="shared" si="4"/>
        <v>41633.37000000001</v>
      </c>
      <c r="L194" s="16">
        <f t="shared" si="5"/>
        <v>-1.4551915228366852E-11</v>
      </c>
    </row>
    <row r="195" spans="1:12" x14ac:dyDescent="0.25">
      <c r="A195" s="13" t="s">
        <v>15</v>
      </c>
      <c r="B195" s="13" t="s">
        <v>561</v>
      </c>
      <c r="C195" s="13" t="s">
        <v>43</v>
      </c>
      <c r="D195" s="13" t="s">
        <v>562</v>
      </c>
      <c r="E195" s="14" t="s">
        <v>563</v>
      </c>
      <c r="F195" s="14" t="s">
        <v>19</v>
      </c>
      <c r="G195" s="15">
        <v>23884.79</v>
      </c>
      <c r="H195" s="15">
        <v>12380.27</v>
      </c>
      <c r="I195" s="15">
        <v>5060.6899999999996</v>
      </c>
      <c r="J195" s="15">
        <v>41325.75</v>
      </c>
      <c r="K195" s="16">
        <f t="shared" ref="K195:K258" si="6">SUM(G195:I195)</f>
        <v>41325.75</v>
      </c>
      <c r="L195" s="16">
        <f t="shared" ref="L195:L258" si="7">SUM(J195-K195)</f>
        <v>0</v>
      </c>
    </row>
    <row r="196" spans="1:12" x14ac:dyDescent="0.25">
      <c r="A196" s="13" t="s">
        <v>15</v>
      </c>
      <c r="B196" s="13" t="s">
        <v>564</v>
      </c>
      <c r="C196" s="13" t="s">
        <v>94</v>
      </c>
      <c r="D196" s="13" t="s">
        <v>565</v>
      </c>
      <c r="E196" s="14" t="s">
        <v>493</v>
      </c>
      <c r="F196" s="14" t="s">
        <v>19</v>
      </c>
      <c r="G196" s="15">
        <v>36687.96</v>
      </c>
      <c r="H196" s="15">
        <v>206.46</v>
      </c>
      <c r="I196" s="15">
        <v>4418.17</v>
      </c>
      <c r="J196" s="15">
        <v>41312.590000000004</v>
      </c>
      <c r="K196" s="16">
        <f t="shared" si="6"/>
        <v>41312.589999999997</v>
      </c>
      <c r="L196" s="16">
        <f t="shared" si="7"/>
        <v>7.2759576141834259E-12</v>
      </c>
    </row>
    <row r="197" spans="1:12" x14ac:dyDescent="0.25">
      <c r="A197" s="13" t="s">
        <v>15</v>
      </c>
      <c r="B197" s="13" t="s">
        <v>566</v>
      </c>
      <c r="C197" s="13" t="s">
        <v>38</v>
      </c>
      <c r="D197" s="13" t="s">
        <v>567</v>
      </c>
      <c r="E197" s="14" t="s">
        <v>360</v>
      </c>
      <c r="F197" s="14" t="s">
        <v>19</v>
      </c>
      <c r="G197" s="15">
        <v>30067.06</v>
      </c>
      <c r="H197" s="15">
        <v>5136.84</v>
      </c>
      <c r="I197" s="15">
        <v>5404.92</v>
      </c>
      <c r="J197" s="15">
        <v>40608.82</v>
      </c>
      <c r="K197" s="16">
        <f t="shared" si="6"/>
        <v>40608.82</v>
      </c>
      <c r="L197" s="16">
        <f t="shared" si="7"/>
        <v>0</v>
      </c>
    </row>
    <row r="198" spans="1:12" x14ac:dyDescent="0.25">
      <c r="A198" s="13" t="s">
        <v>15</v>
      </c>
      <c r="B198" s="13" t="s">
        <v>568</v>
      </c>
      <c r="C198" s="13" t="s">
        <v>21</v>
      </c>
      <c r="D198" s="13" t="s">
        <v>439</v>
      </c>
      <c r="E198" s="14" t="s">
        <v>264</v>
      </c>
      <c r="F198" s="14" t="s">
        <v>19</v>
      </c>
      <c r="G198" s="15">
        <v>31537.33</v>
      </c>
      <c r="H198" s="15">
        <v>2349.1200000000003</v>
      </c>
      <c r="I198" s="15">
        <v>6530.66</v>
      </c>
      <c r="J198" s="15">
        <v>40417.109999999993</v>
      </c>
      <c r="K198" s="16">
        <f t="shared" si="6"/>
        <v>40417.11</v>
      </c>
      <c r="L198" s="16">
        <f t="shared" si="7"/>
        <v>-7.2759576141834259E-12</v>
      </c>
    </row>
    <row r="199" spans="1:12" x14ac:dyDescent="0.25">
      <c r="A199" s="13" t="s">
        <v>15</v>
      </c>
      <c r="B199" s="13" t="s">
        <v>569</v>
      </c>
      <c r="C199" s="13" t="s">
        <v>188</v>
      </c>
      <c r="D199" s="13" t="s">
        <v>570</v>
      </c>
      <c r="E199" s="14" t="s">
        <v>571</v>
      </c>
      <c r="F199" s="14" t="s">
        <v>19</v>
      </c>
      <c r="G199" s="15">
        <v>31424.2</v>
      </c>
      <c r="H199" s="15">
        <v>858.91</v>
      </c>
      <c r="I199" s="15">
        <v>7793.6900000000014</v>
      </c>
      <c r="J199" s="15">
        <v>40076.799999999988</v>
      </c>
      <c r="K199" s="16">
        <f t="shared" si="6"/>
        <v>40076.800000000003</v>
      </c>
      <c r="L199" s="16">
        <f t="shared" si="7"/>
        <v>-1.4551915228366852E-11</v>
      </c>
    </row>
    <row r="200" spans="1:12" x14ac:dyDescent="0.25">
      <c r="A200" s="13" t="s">
        <v>9</v>
      </c>
      <c r="B200" s="13" t="s">
        <v>572</v>
      </c>
      <c r="C200" s="13" t="s">
        <v>98</v>
      </c>
      <c r="D200" s="13" t="s">
        <v>573</v>
      </c>
      <c r="E200" s="14" t="s">
        <v>574</v>
      </c>
      <c r="F200" s="14" t="s">
        <v>575</v>
      </c>
      <c r="G200" s="15">
        <v>31416.53</v>
      </c>
      <c r="H200" s="15">
        <v>142.42000000000002</v>
      </c>
      <c r="I200" s="15">
        <v>8428.77</v>
      </c>
      <c r="J200" s="15">
        <v>39987.720000000008</v>
      </c>
      <c r="K200" s="16">
        <f t="shared" si="6"/>
        <v>39987.72</v>
      </c>
      <c r="L200" s="16">
        <f t="shared" si="7"/>
        <v>7.2759576141834259E-12</v>
      </c>
    </row>
    <row r="201" spans="1:12" x14ac:dyDescent="0.25">
      <c r="A201" s="13" t="s">
        <v>15</v>
      </c>
      <c r="B201" s="13" t="s">
        <v>576</v>
      </c>
      <c r="C201" s="13" t="s">
        <v>43</v>
      </c>
      <c r="D201" s="13" t="s">
        <v>134</v>
      </c>
      <c r="E201" s="14" t="s">
        <v>563</v>
      </c>
      <c r="F201" s="14" t="s">
        <v>19</v>
      </c>
      <c r="G201" s="15">
        <v>18816.690000000002</v>
      </c>
      <c r="H201" s="15">
        <v>18635.929999999997</v>
      </c>
      <c r="I201" s="15">
        <v>2510.61</v>
      </c>
      <c r="J201" s="15">
        <v>39963.23000000001</v>
      </c>
      <c r="K201" s="16">
        <f t="shared" si="6"/>
        <v>39963.229999999996</v>
      </c>
      <c r="L201" s="16">
        <f t="shared" si="7"/>
        <v>1.4551915228366852E-11</v>
      </c>
    </row>
    <row r="202" spans="1:12" x14ac:dyDescent="0.25">
      <c r="A202" s="13" t="s">
        <v>15</v>
      </c>
      <c r="B202" s="13" t="s">
        <v>577</v>
      </c>
      <c r="C202" s="13" t="s">
        <v>216</v>
      </c>
      <c r="D202" s="13" t="s">
        <v>578</v>
      </c>
      <c r="E202" s="14" t="s">
        <v>579</v>
      </c>
      <c r="F202" s="14" t="s">
        <v>19</v>
      </c>
      <c r="G202" s="15">
        <v>39031.259999999987</v>
      </c>
      <c r="H202" s="15">
        <v>0</v>
      </c>
      <c r="I202" s="15">
        <v>918.33999999999992</v>
      </c>
      <c r="J202" s="15">
        <v>39949.599999999984</v>
      </c>
      <c r="K202" s="16">
        <f t="shared" si="6"/>
        <v>39949.599999999984</v>
      </c>
      <c r="L202" s="16">
        <f t="shared" si="7"/>
        <v>0</v>
      </c>
    </row>
    <row r="203" spans="1:12" x14ac:dyDescent="0.25">
      <c r="A203" s="13" t="s">
        <v>15</v>
      </c>
      <c r="B203" s="13" t="s">
        <v>580</v>
      </c>
      <c r="C203" s="13" t="s">
        <v>581</v>
      </c>
      <c r="D203" s="13" t="s">
        <v>582</v>
      </c>
      <c r="E203" s="14" t="s">
        <v>583</v>
      </c>
      <c r="F203" s="14" t="s">
        <v>19</v>
      </c>
      <c r="G203" s="15">
        <v>34949.399999999994</v>
      </c>
      <c r="H203" s="15">
        <v>1105.5800000000002</v>
      </c>
      <c r="I203" s="15">
        <v>3275.73</v>
      </c>
      <c r="J203" s="15">
        <v>39330.709999999992</v>
      </c>
      <c r="K203" s="16">
        <f t="shared" si="6"/>
        <v>39330.71</v>
      </c>
      <c r="L203" s="16">
        <f t="shared" si="7"/>
        <v>-7.2759576141834259E-12</v>
      </c>
    </row>
    <row r="204" spans="1:12" x14ac:dyDescent="0.25">
      <c r="A204" s="13" t="s">
        <v>9</v>
      </c>
      <c r="B204" s="13" t="s">
        <v>584</v>
      </c>
      <c r="C204" s="13" t="s">
        <v>98</v>
      </c>
      <c r="D204" s="13" t="s">
        <v>573</v>
      </c>
      <c r="E204" s="14" t="s">
        <v>585</v>
      </c>
      <c r="F204" s="14" t="s">
        <v>586</v>
      </c>
      <c r="G204" s="15">
        <v>31104.889999999996</v>
      </c>
      <c r="H204" s="15">
        <v>67.37</v>
      </c>
      <c r="I204" s="15">
        <v>8060.22</v>
      </c>
      <c r="J204" s="15">
        <v>39232.479999999996</v>
      </c>
      <c r="K204" s="16">
        <f t="shared" si="6"/>
        <v>39232.479999999996</v>
      </c>
      <c r="L204" s="16">
        <f t="shared" si="7"/>
        <v>0</v>
      </c>
    </row>
    <row r="205" spans="1:12" x14ac:dyDescent="0.25">
      <c r="A205" s="13" t="s">
        <v>9</v>
      </c>
      <c r="B205" s="13" t="s">
        <v>587</v>
      </c>
      <c r="C205" s="13" t="s">
        <v>30</v>
      </c>
      <c r="D205" s="13" t="s">
        <v>558</v>
      </c>
      <c r="E205" s="14" t="s">
        <v>588</v>
      </c>
      <c r="F205" s="14" t="s">
        <v>589</v>
      </c>
      <c r="G205" s="15">
        <v>33885.990000000005</v>
      </c>
      <c r="H205" s="15">
        <v>58.039999999999992</v>
      </c>
      <c r="I205" s="15">
        <v>5142.55</v>
      </c>
      <c r="J205" s="15">
        <v>39086.580000000009</v>
      </c>
      <c r="K205" s="16">
        <f t="shared" si="6"/>
        <v>39086.580000000009</v>
      </c>
      <c r="L205" s="16">
        <f t="shared" si="7"/>
        <v>0</v>
      </c>
    </row>
    <row r="206" spans="1:12" x14ac:dyDescent="0.25">
      <c r="A206" s="13" t="s">
        <v>9</v>
      </c>
      <c r="B206" s="13" t="s">
        <v>590</v>
      </c>
      <c r="C206" s="13" t="s">
        <v>68</v>
      </c>
      <c r="D206" s="13" t="s">
        <v>591</v>
      </c>
      <c r="E206" s="14" t="s">
        <v>592</v>
      </c>
      <c r="F206" s="14" t="s">
        <v>593</v>
      </c>
      <c r="G206" s="15">
        <v>39039.999999999993</v>
      </c>
      <c r="I206" s="15">
        <v>0</v>
      </c>
      <c r="J206" s="15">
        <v>39039.999999999993</v>
      </c>
      <c r="K206" s="16">
        <f t="shared" si="6"/>
        <v>39039.999999999993</v>
      </c>
      <c r="L206" s="16">
        <f t="shared" si="7"/>
        <v>0</v>
      </c>
    </row>
    <row r="207" spans="1:12" x14ac:dyDescent="0.25">
      <c r="A207" s="13" t="s">
        <v>15</v>
      </c>
      <c r="B207" s="13" t="s">
        <v>594</v>
      </c>
      <c r="C207" s="13" t="s">
        <v>98</v>
      </c>
      <c r="D207" s="13" t="s">
        <v>573</v>
      </c>
      <c r="E207" s="14" t="s">
        <v>595</v>
      </c>
      <c r="F207" s="14" t="s">
        <v>19</v>
      </c>
      <c r="G207" s="15">
        <v>30137.820000000003</v>
      </c>
      <c r="H207" s="15">
        <v>1341.8400000000001</v>
      </c>
      <c r="I207" s="15">
        <v>7367.29</v>
      </c>
      <c r="J207" s="15">
        <v>38846.950000000004</v>
      </c>
      <c r="K207" s="16">
        <f t="shared" si="6"/>
        <v>38846.950000000004</v>
      </c>
      <c r="L207" s="16">
        <f t="shared" si="7"/>
        <v>0</v>
      </c>
    </row>
    <row r="208" spans="1:12" x14ac:dyDescent="0.25">
      <c r="A208" s="13" t="s">
        <v>15</v>
      </c>
      <c r="B208" s="13" t="s">
        <v>596</v>
      </c>
      <c r="C208" s="13" t="s">
        <v>43</v>
      </c>
      <c r="D208" s="13" t="s">
        <v>134</v>
      </c>
      <c r="E208" s="14" t="s">
        <v>300</v>
      </c>
      <c r="F208" s="14" t="s">
        <v>19</v>
      </c>
      <c r="G208" s="15">
        <v>19237.089999999997</v>
      </c>
      <c r="H208" s="15">
        <v>14427.309999999998</v>
      </c>
      <c r="I208" s="15">
        <v>5032.45</v>
      </c>
      <c r="J208" s="15">
        <v>38696.849999999991</v>
      </c>
      <c r="K208" s="16">
        <f t="shared" si="6"/>
        <v>38696.849999999991</v>
      </c>
      <c r="L208" s="16">
        <f t="shared" si="7"/>
        <v>0</v>
      </c>
    </row>
    <row r="209" spans="1:12" x14ac:dyDescent="0.25">
      <c r="A209" s="13" t="s">
        <v>15</v>
      </c>
      <c r="B209" s="13" t="s">
        <v>597</v>
      </c>
      <c r="C209" s="13" t="s">
        <v>21</v>
      </c>
      <c r="D209" s="13" t="s">
        <v>439</v>
      </c>
      <c r="E209" s="14" t="s">
        <v>598</v>
      </c>
      <c r="F209" s="14" t="s">
        <v>19</v>
      </c>
      <c r="G209" s="15">
        <v>30922.190000000002</v>
      </c>
      <c r="H209" s="15">
        <v>1969.6699999999996</v>
      </c>
      <c r="I209" s="15">
        <v>5717.49</v>
      </c>
      <c r="J209" s="15">
        <v>38609.35</v>
      </c>
      <c r="K209" s="16">
        <f t="shared" si="6"/>
        <v>38609.35</v>
      </c>
      <c r="L209" s="16">
        <f t="shared" si="7"/>
        <v>0</v>
      </c>
    </row>
    <row r="210" spans="1:12" x14ac:dyDescent="0.25">
      <c r="A210" s="13" t="s">
        <v>9</v>
      </c>
      <c r="B210" s="13" t="s">
        <v>599</v>
      </c>
      <c r="C210" s="13" t="s">
        <v>140</v>
      </c>
      <c r="D210" s="13" t="s">
        <v>600</v>
      </c>
      <c r="E210" s="14" t="s">
        <v>601</v>
      </c>
      <c r="F210" s="14" t="s">
        <v>602</v>
      </c>
      <c r="G210" s="15">
        <v>34736.020000000004</v>
      </c>
      <c r="H210" s="15">
        <v>896</v>
      </c>
      <c r="I210" s="15">
        <v>2969.3500000000004</v>
      </c>
      <c r="J210" s="15">
        <v>38601.37000000001</v>
      </c>
      <c r="K210" s="16">
        <f t="shared" si="6"/>
        <v>38601.370000000003</v>
      </c>
      <c r="L210" s="16">
        <f t="shared" si="7"/>
        <v>7.2759576141834259E-12</v>
      </c>
    </row>
    <row r="211" spans="1:12" x14ac:dyDescent="0.25">
      <c r="A211" s="13" t="s">
        <v>9</v>
      </c>
      <c r="B211" s="13" t="s">
        <v>603</v>
      </c>
      <c r="C211" s="13" t="s">
        <v>340</v>
      </c>
      <c r="D211" s="13" t="s">
        <v>604</v>
      </c>
      <c r="E211" s="14" t="s">
        <v>605</v>
      </c>
      <c r="F211" s="14" t="s">
        <v>364</v>
      </c>
      <c r="G211" s="15">
        <v>37630.99</v>
      </c>
      <c r="H211" s="15">
        <v>298.88</v>
      </c>
      <c r="I211" s="15">
        <v>0</v>
      </c>
      <c r="J211" s="15">
        <v>37929.870000000003</v>
      </c>
      <c r="K211" s="16">
        <f t="shared" si="6"/>
        <v>37929.869999999995</v>
      </c>
      <c r="L211" s="16">
        <f t="shared" si="7"/>
        <v>7.2759576141834259E-12</v>
      </c>
    </row>
    <row r="212" spans="1:12" x14ac:dyDescent="0.25">
      <c r="A212" s="13" t="s">
        <v>9</v>
      </c>
      <c r="B212" s="13" t="s">
        <v>606</v>
      </c>
      <c r="C212" s="13" t="s">
        <v>43</v>
      </c>
      <c r="D212" s="13" t="s">
        <v>562</v>
      </c>
      <c r="E212" s="14" t="s">
        <v>329</v>
      </c>
      <c r="F212" s="14" t="s">
        <v>607</v>
      </c>
      <c r="G212" s="15">
        <v>26535.93</v>
      </c>
      <c r="H212" s="15">
        <v>7484.4100000000008</v>
      </c>
      <c r="I212" s="15">
        <v>3847.48</v>
      </c>
      <c r="J212" s="15">
        <v>37867.82</v>
      </c>
      <c r="K212" s="16">
        <f t="shared" si="6"/>
        <v>37867.820000000007</v>
      </c>
      <c r="L212" s="16">
        <f t="shared" si="7"/>
        <v>-7.2759576141834259E-12</v>
      </c>
    </row>
    <row r="213" spans="1:12" x14ac:dyDescent="0.25">
      <c r="A213" s="13" t="s">
        <v>487</v>
      </c>
      <c r="B213" s="13" t="s">
        <v>608</v>
      </c>
      <c r="C213" s="13" t="s">
        <v>523</v>
      </c>
      <c r="D213" s="13" t="s">
        <v>609</v>
      </c>
      <c r="E213" s="14" t="s">
        <v>610</v>
      </c>
      <c r="F213" s="14" t="s">
        <v>611</v>
      </c>
      <c r="G213" s="15">
        <v>26270.84</v>
      </c>
      <c r="H213" s="15">
        <v>3035.43</v>
      </c>
      <c r="I213" s="15">
        <v>8466.119999999999</v>
      </c>
      <c r="J213" s="15">
        <v>37772.39</v>
      </c>
      <c r="K213" s="16">
        <f t="shared" si="6"/>
        <v>37772.39</v>
      </c>
      <c r="L213" s="16">
        <f t="shared" si="7"/>
        <v>0</v>
      </c>
    </row>
    <row r="214" spans="1:12" x14ac:dyDescent="0.25">
      <c r="A214" s="13" t="s">
        <v>9</v>
      </c>
      <c r="B214" s="13" t="s">
        <v>612</v>
      </c>
      <c r="C214" s="13" t="s">
        <v>94</v>
      </c>
      <c r="D214" s="13" t="s">
        <v>565</v>
      </c>
      <c r="E214" s="14" t="s">
        <v>613</v>
      </c>
      <c r="F214" s="14" t="s">
        <v>614</v>
      </c>
      <c r="G214" s="15">
        <v>31777.300000000003</v>
      </c>
      <c r="H214" s="15">
        <v>207.82</v>
      </c>
      <c r="I214" s="15">
        <v>5090.97</v>
      </c>
      <c r="J214" s="15">
        <v>37076.089999999989</v>
      </c>
      <c r="K214" s="16">
        <f t="shared" si="6"/>
        <v>37076.090000000004</v>
      </c>
      <c r="L214" s="16">
        <f t="shared" si="7"/>
        <v>-1.4551915228366852E-11</v>
      </c>
    </row>
    <row r="215" spans="1:12" x14ac:dyDescent="0.25">
      <c r="A215" s="13" t="s">
        <v>15</v>
      </c>
      <c r="B215" s="13" t="s">
        <v>615</v>
      </c>
      <c r="C215" s="13" t="s">
        <v>43</v>
      </c>
      <c r="D215" s="13" t="s">
        <v>134</v>
      </c>
      <c r="E215" s="14" t="s">
        <v>511</v>
      </c>
      <c r="F215" s="14" t="s">
        <v>19</v>
      </c>
      <c r="G215" s="15">
        <v>19194.2</v>
      </c>
      <c r="H215" s="15">
        <v>13588.250000000002</v>
      </c>
      <c r="I215" s="15">
        <v>3805.1299999999997</v>
      </c>
      <c r="J215" s="15">
        <v>36587.58</v>
      </c>
      <c r="K215" s="16">
        <f t="shared" si="6"/>
        <v>36587.58</v>
      </c>
      <c r="L215" s="16">
        <f t="shared" si="7"/>
        <v>0</v>
      </c>
    </row>
    <row r="216" spans="1:12" x14ac:dyDescent="0.25">
      <c r="A216" s="13" t="s">
        <v>9</v>
      </c>
      <c r="B216" s="13" t="s">
        <v>616</v>
      </c>
      <c r="C216" s="13" t="s">
        <v>68</v>
      </c>
      <c r="D216" s="13" t="s">
        <v>617</v>
      </c>
      <c r="E216" s="14" t="s">
        <v>300</v>
      </c>
      <c r="F216" s="14" t="s">
        <v>618</v>
      </c>
      <c r="G216" s="15">
        <v>27701.51</v>
      </c>
      <c r="H216" s="15">
        <v>5557.4299999999994</v>
      </c>
      <c r="I216" s="15">
        <v>2997.9900000000002</v>
      </c>
      <c r="J216" s="15">
        <v>36256.93</v>
      </c>
      <c r="K216" s="16">
        <f t="shared" si="6"/>
        <v>36256.929999999993</v>
      </c>
      <c r="L216" s="16">
        <f t="shared" si="7"/>
        <v>7.2759576141834259E-12</v>
      </c>
    </row>
    <row r="217" spans="1:12" x14ac:dyDescent="0.25">
      <c r="A217" s="13" t="s">
        <v>9</v>
      </c>
      <c r="B217" s="13" t="s">
        <v>619</v>
      </c>
      <c r="C217" s="13" t="s">
        <v>43</v>
      </c>
      <c r="D217" s="13" t="s">
        <v>134</v>
      </c>
      <c r="E217" s="14" t="s">
        <v>620</v>
      </c>
      <c r="F217" s="14" t="s">
        <v>621</v>
      </c>
      <c r="G217" s="15">
        <v>138.96</v>
      </c>
      <c r="I217" s="15">
        <v>36050.590000000004</v>
      </c>
      <c r="J217" s="15">
        <v>36189.550000000003</v>
      </c>
      <c r="K217" s="16">
        <f t="shared" si="6"/>
        <v>36189.550000000003</v>
      </c>
      <c r="L217" s="16">
        <f t="shared" si="7"/>
        <v>0</v>
      </c>
    </row>
    <row r="218" spans="1:12" x14ac:dyDescent="0.25">
      <c r="A218" s="13" t="s">
        <v>15</v>
      </c>
      <c r="B218" s="13" t="s">
        <v>622</v>
      </c>
      <c r="C218" s="13" t="s">
        <v>314</v>
      </c>
      <c r="D218" s="13" t="s">
        <v>623</v>
      </c>
      <c r="E218" s="14" t="s">
        <v>624</v>
      </c>
      <c r="F218" s="14" t="s">
        <v>19</v>
      </c>
      <c r="G218" s="15">
        <v>30886.850000000002</v>
      </c>
      <c r="H218" s="15">
        <v>17.029999999999998</v>
      </c>
      <c r="I218" s="15">
        <v>5271.2</v>
      </c>
      <c r="J218" s="15">
        <v>36175.08</v>
      </c>
      <c r="K218" s="16">
        <f t="shared" si="6"/>
        <v>36175.08</v>
      </c>
      <c r="L218" s="16">
        <f t="shared" si="7"/>
        <v>0</v>
      </c>
    </row>
    <row r="219" spans="1:12" x14ac:dyDescent="0.25">
      <c r="A219" s="13" t="s">
        <v>9</v>
      </c>
      <c r="B219" s="13" t="s">
        <v>625</v>
      </c>
      <c r="C219" s="13" t="s">
        <v>119</v>
      </c>
      <c r="D219" s="13" t="s">
        <v>626</v>
      </c>
      <c r="E219" s="14" t="s">
        <v>627</v>
      </c>
      <c r="F219" s="14" t="s">
        <v>628</v>
      </c>
      <c r="G219" s="15">
        <v>36060.799999999996</v>
      </c>
      <c r="I219" s="15">
        <v>0</v>
      </c>
      <c r="J219" s="15">
        <v>36060.799999999996</v>
      </c>
      <c r="K219" s="16">
        <f t="shared" si="6"/>
        <v>36060.799999999996</v>
      </c>
      <c r="L219" s="16">
        <f t="shared" si="7"/>
        <v>0</v>
      </c>
    </row>
    <row r="220" spans="1:12" x14ac:dyDescent="0.25">
      <c r="A220" s="13" t="s">
        <v>9</v>
      </c>
      <c r="B220" s="13" t="s">
        <v>629</v>
      </c>
      <c r="C220" s="13" t="s">
        <v>21</v>
      </c>
      <c r="D220" s="13" t="s">
        <v>484</v>
      </c>
      <c r="E220" s="14" t="s">
        <v>630</v>
      </c>
      <c r="F220" s="14" t="s">
        <v>631</v>
      </c>
      <c r="G220" s="15">
        <v>27354.410000000003</v>
      </c>
      <c r="H220" s="15">
        <v>649.06000000000006</v>
      </c>
      <c r="I220" s="15">
        <v>7792.68</v>
      </c>
      <c r="J220" s="15">
        <v>35796.15</v>
      </c>
      <c r="K220" s="16">
        <f t="shared" si="6"/>
        <v>35796.150000000009</v>
      </c>
      <c r="L220" s="16">
        <f t="shared" si="7"/>
        <v>-7.2759576141834259E-12</v>
      </c>
    </row>
    <row r="221" spans="1:12" x14ac:dyDescent="0.25">
      <c r="A221" s="13" t="s">
        <v>15</v>
      </c>
      <c r="B221" s="13" t="s">
        <v>632</v>
      </c>
      <c r="C221" s="13" t="s">
        <v>43</v>
      </c>
      <c r="D221" s="13" t="s">
        <v>134</v>
      </c>
      <c r="E221" s="14" t="s">
        <v>605</v>
      </c>
      <c r="F221" s="14" t="s">
        <v>19</v>
      </c>
      <c r="G221" s="15">
        <v>18087.8</v>
      </c>
      <c r="H221" s="15">
        <v>15070.550000000001</v>
      </c>
      <c r="I221" s="15">
        <v>2222.92</v>
      </c>
      <c r="J221" s="15">
        <v>35381.269999999997</v>
      </c>
      <c r="K221" s="16">
        <f t="shared" si="6"/>
        <v>35381.269999999997</v>
      </c>
      <c r="L221" s="16">
        <f t="shared" si="7"/>
        <v>0</v>
      </c>
    </row>
    <row r="222" spans="1:12" x14ac:dyDescent="0.25">
      <c r="A222" s="13" t="s">
        <v>9</v>
      </c>
      <c r="B222" s="13" t="s">
        <v>633</v>
      </c>
      <c r="C222" s="13" t="s">
        <v>21</v>
      </c>
      <c r="D222" s="13" t="s">
        <v>153</v>
      </c>
      <c r="E222" s="14" t="s">
        <v>144</v>
      </c>
      <c r="F222" s="14" t="s">
        <v>634</v>
      </c>
      <c r="G222" s="15">
        <v>15564</v>
      </c>
      <c r="I222" s="15">
        <v>18903.93</v>
      </c>
      <c r="J222" s="15">
        <v>34467.93</v>
      </c>
      <c r="K222" s="16">
        <f t="shared" si="6"/>
        <v>34467.93</v>
      </c>
      <c r="L222" s="16">
        <f t="shared" si="7"/>
        <v>0</v>
      </c>
    </row>
    <row r="223" spans="1:12" x14ac:dyDescent="0.25">
      <c r="A223" s="13" t="s">
        <v>15</v>
      </c>
      <c r="B223" s="13" t="s">
        <v>635</v>
      </c>
      <c r="C223" s="13" t="s">
        <v>21</v>
      </c>
      <c r="D223" s="13" t="s">
        <v>558</v>
      </c>
      <c r="E223" s="14" t="s">
        <v>583</v>
      </c>
      <c r="F223" s="14" t="s">
        <v>19</v>
      </c>
      <c r="G223" s="15">
        <v>27499.82</v>
      </c>
      <c r="H223" s="15">
        <v>366.03000000000003</v>
      </c>
      <c r="I223" s="15">
        <v>6375.65</v>
      </c>
      <c r="J223" s="15">
        <v>34241.5</v>
      </c>
      <c r="K223" s="16">
        <f t="shared" si="6"/>
        <v>34241.5</v>
      </c>
      <c r="L223" s="16">
        <f t="shared" si="7"/>
        <v>0</v>
      </c>
    </row>
    <row r="224" spans="1:12" x14ac:dyDescent="0.25">
      <c r="A224" s="13" t="s">
        <v>15</v>
      </c>
      <c r="B224" s="13" t="s">
        <v>636</v>
      </c>
      <c r="C224" s="13" t="s">
        <v>477</v>
      </c>
      <c r="D224" s="13" t="s">
        <v>637</v>
      </c>
      <c r="E224" s="14" t="s">
        <v>638</v>
      </c>
      <c r="F224" s="14" t="s">
        <v>19</v>
      </c>
      <c r="G224" s="15">
        <v>23342.86</v>
      </c>
      <c r="H224" s="15">
        <v>4313.7700000000004</v>
      </c>
      <c r="I224" s="15">
        <v>6579.24</v>
      </c>
      <c r="J224" s="15">
        <v>34235.869999999995</v>
      </c>
      <c r="K224" s="16">
        <f t="shared" si="6"/>
        <v>34235.870000000003</v>
      </c>
      <c r="L224" s="16">
        <f t="shared" si="7"/>
        <v>-7.2759576141834259E-12</v>
      </c>
    </row>
    <row r="225" spans="1:12" x14ac:dyDescent="0.25">
      <c r="A225" s="13" t="s">
        <v>15</v>
      </c>
      <c r="B225" s="13" t="s">
        <v>639</v>
      </c>
      <c r="C225" s="13" t="s">
        <v>21</v>
      </c>
      <c r="D225" s="13" t="s">
        <v>640</v>
      </c>
      <c r="E225" s="14" t="s">
        <v>641</v>
      </c>
      <c r="F225" s="14" t="s">
        <v>19</v>
      </c>
      <c r="G225" s="15">
        <v>28281.49</v>
      </c>
      <c r="H225" s="15">
        <v>915.88</v>
      </c>
      <c r="I225" s="15">
        <v>4952.33</v>
      </c>
      <c r="J225" s="15">
        <v>34149.699999999997</v>
      </c>
      <c r="K225" s="16">
        <f t="shared" si="6"/>
        <v>34149.700000000004</v>
      </c>
      <c r="L225" s="16">
        <f t="shared" si="7"/>
        <v>-7.2759576141834259E-12</v>
      </c>
    </row>
    <row r="226" spans="1:12" x14ac:dyDescent="0.25">
      <c r="A226" s="13" t="s">
        <v>15</v>
      </c>
      <c r="B226" s="13" t="s">
        <v>642</v>
      </c>
      <c r="C226" s="13" t="s">
        <v>140</v>
      </c>
      <c r="D226" s="13" t="s">
        <v>643</v>
      </c>
      <c r="E226" s="14" t="s">
        <v>482</v>
      </c>
      <c r="F226" s="14" t="s">
        <v>19</v>
      </c>
      <c r="G226" s="15">
        <v>32195.909999999996</v>
      </c>
      <c r="H226" s="15">
        <v>568.41</v>
      </c>
      <c r="I226" s="15">
        <v>1355.15</v>
      </c>
      <c r="J226" s="15">
        <v>34119.469999999994</v>
      </c>
      <c r="K226" s="16">
        <f t="shared" si="6"/>
        <v>34119.469999999994</v>
      </c>
      <c r="L226" s="16">
        <f t="shared" si="7"/>
        <v>0</v>
      </c>
    </row>
    <row r="227" spans="1:12" x14ac:dyDescent="0.25">
      <c r="A227" s="13" t="s">
        <v>15</v>
      </c>
      <c r="B227" s="13" t="s">
        <v>644</v>
      </c>
      <c r="C227" s="13" t="s">
        <v>102</v>
      </c>
      <c r="D227" s="13" t="s">
        <v>645</v>
      </c>
      <c r="E227" s="14" t="s">
        <v>646</v>
      </c>
      <c r="F227" s="14" t="s">
        <v>19</v>
      </c>
      <c r="G227" s="15">
        <v>30466.020000000004</v>
      </c>
      <c r="H227" s="15">
        <v>294.20000000000005</v>
      </c>
      <c r="I227" s="15">
        <v>3165.61</v>
      </c>
      <c r="J227" s="15">
        <v>33925.83</v>
      </c>
      <c r="K227" s="16">
        <f t="shared" si="6"/>
        <v>33925.83</v>
      </c>
      <c r="L227" s="16">
        <f t="shared" si="7"/>
        <v>0</v>
      </c>
    </row>
    <row r="228" spans="1:12" x14ac:dyDescent="0.25">
      <c r="A228" s="13" t="s">
        <v>9</v>
      </c>
      <c r="B228" s="13" t="s">
        <v>647</v>
      </c>
      <c r="C228" s="13" t="s">
        <v>21</v>
      </c>
      <c r="D228" s="13" t="s">
        <v>484</v>
      </c>
      <c r="E228" s="14" t="s">
        <v>648</v>
      </c>
      <c r="F228" s="14" t="s">
        <v>649</v>
      </c>
      <c r="G228" s="15">
        <v>27383.850000000002</v>
      </c>
      <c r="H228" s="15">
        <v>560.84</v>
      </c>
      <c r="I228" s="15">
        <v>5895.5400000000009</v>
      </c>
      <c r="J228" s="15">
        <v>33840.229999999996</v>
      </c>
      <c r="K228" s="16">
        <f t="shared" si="6"/>
        <v>33840.230000000003</v>
      </c>
      <c r="L228" s="16">
        <f t="shared" si="7"/>
        <v>-7.2759576141834259E-12</v>
      </c>
    </row>
    <row r="229" spans="1:12" x14ac:dyDescent="0.25">
      <c r="A229" s="13" t="s">
        <v>9</v>
      </c>
      <c r="B229" s="13" t="s">
        <v>650</v>
      </c>
      <c r="C229" s="13" t="s">
        <v>358</v>
      </c>
      <c r="D229" s="13" t="s">
        <v>651</v>
      </c>
      <c r="E229" s="14" t="s">
        <v>652</v>
      </c>
      <c r="F229" s="14" t="s">
        <v>653</v>
      </c>
      <c r="G229" s="15">
        <v>27809.160000000003</v>
      </c>
      <c r="H229" s="15">
        <v>5.46</v>
      </c>
      <c r="I229" s="15">
        <v>6002.18</v>
      </c>
      <c r="J229" s="15">
        <v>33816.800000000003</v>
      </c>
      <c r="K229" s="16">
        <f t="shared" si="6"/>
        <v>33816.800000000003</v>
      </c>
      <c r="L229" s="16">
        <f t="shared" si="7"/>
        <v>0</v>
      </c>
    </row>
    <row r="230" spans="1:12" x14ac:dyDescent="0.25">
      <c r="A230" s="13" t="s">
        <v>9</v>
      </c>
      <c r="B230" s="13" t="s">
        <v>654</v>
      </c>
      <c r="C230" s="13" t="s">
        <v>38</v>
      </c>
      <c r="D230" s="13" t="s">
        <v>558</v>
      </c>
      <c r="E230" s="14" t="s">
        <v>655</v>
      </c>
      <c r="F230" s="14" t="s">
        <v>656</v>
      </c>
      <c r="G230" s="15">
        <v>22597.07</v>
      </c>
      <c r="H230" s="15">
        <v>2784.61</v>
      </c>
      <c r="I230" s="15">
        <v>8269.32</v>
      </c>
      <c r="J230" s="15">
        <v>33651</v>
      </c>
      <c r="K230" s="16">
        <f t="shared" si="6"/>
        <v>33651</v>
      </c>
      <c r="L230" s="16">
        <f t="shared" si="7"/>
        <v>0</v>
      </c>
    </row>
    <row r="231" spans="1:12" x14ac:dyDescent="0.25">
      <c r="A231" s="13" t="s">
        <v>9</v>
      </c>
      <c r="B231" s="13" t="s">
        <v>657</v>
      </c>
      <c r="C231" s="13" t="s">
        <v>340</v>
      </c>
      <c r="D231" s="13" t="s">
        <v>658</v>
      </c>
      <c r="E231" s="14" t="s">
        <v>659</v>
      </c>
      <c r="F231" s="14" t="s">
        <v>660</v>
      </c>
      <c r="G231" s="15">
        <v>25389.509999999995</v>
      </c>
      <c r="H231" s="15">
        <v>4196.5600000000004</v>
      </c>
      <c r="I231" s="15">
        <v>4020.9600000000005</v>
      </c>
      <c r="J231" s="15">
        <v>33607.03</v>
      </c>
      <c r="K231" s="16">
        <f t="shared" si="6"/>
        <v>33607.03</v>
      </c>
      <c r="L231" s="16">
        <f t="shared" si="7"/>
        <v>0</v>
      </c>
    </row>
    <row r="232" spans="1:12" x14ac:dyDescent="0.25">
      <c r="A232" s="13" t="s">
        <v>15</v>
      </c>
      <c r="B232" s="13" t="s">
        <v>661</v>
      </c>
      <c r="C232" s="13" t="s">
        <v>94</v>
      </c>
      <c r="D232" s="13" t="s">
        <v>255</v>
      </c>
      <c r="E232" s="14" t="s">
        <v>300</v>
      </c>
      <c r="F232" s="14" t="s">
        <v>19</v>
      </c>
      <c r="G232" s="15">
        <v>30435.399999999991</v>
      </c>
      <c r="H232" s="15">
        <v>69.47</v>
      </c>
      <c r="I232" s="15">
        <v>2945.7900000000004</v>
      </c>
      <c r="J232" s="15">
        <v>33450.659999999996</v>
      </c>
      <c r="K232" s="16">
        <f t="shared" si="6"/>
        <v>33450.659999999989</v>
      </c>
      <c r="L232" s="16">
        <f t="shared" si="7"/>
        <v>7.2759576141834259E-12</v>
      </c>
    </row>
    <row r="233" spans="1:12" x14ac:dyDescent="0.25">
      <c r="A233" s="13" t="s">
        <v>9</v>
      </c>
      <c r="B233" s="13" t="s">
        <v>662</v>
      </c>
      <c r="C233" s="13" t="s">
        <v>38</v>
      </c>
      <c r="D233" s="13" t="s">
        <v>663</v>
      </c>
      <c r="E233" s="14" t="s">
        <v>664</v>
      </c>
      <c r="F233" s="14" t="s">
        <v>665</v>
      </c>
      <c r="G233" s="15">
        <v>20349.509999999998</v>
      </c>
      <c r="H233" s="15">
        <v>2187.1999999999998</v>
      </c>
      <c r="I233" s="15">
        <v>10817.98</v>
      </c>
      <c r="J233" s="15">
        <v>33354.69</v>
      </c>
      <c r="K233" s="16">
        <f t="shared" si="6"/>
        <v>33354.69</v>
      </c>
      <c r="L233" s="16">
        <f t="shared" si="7"/>
        <v>0</v>
      </c>
    </row>
    <row r="234" spans="1:12" x14ac:dyDescent="0.25">
      <c r="A234" s="13" t="s">
        <v>9</v>
      </c>
      <c r="B234" s="13" t="s">
        <v>666</v>
      </c>
      <c r="C234" s="13" t="s">
        <v>68</v>
      </c>
      <c r="D234" s="13" t="s">
        <v>667</v>
      </c>
      <c r="E234" s="14" t="s">
        <v>668</v>
      </c>
      <c r="F234" s="14" t="s">
        <v>669</v>
      </c>
      <c r="G234" s="15">
        <v>23972.910000000003</v>
      </c>
      <c r="H234" s="15">
        <v>1993.5099999999998</v>
      </c>
      <c r="I234" s="15">
        <v>7320.1900000000005</v>
      </c>
      <c r="J234" s="15">
        <v>33286.61</v>
      </c>
      <c r="K234" s="16">
        <f t="shared" si="6"/>
        <v>33286.61</v>
      </c>
      <c r="L234" s="16">
        <f t="shared" si="7"/>
        <v>0</v>
      </c>
    </row>
    <row r="235" spans="1:12" x14ac:dyDescent="0.25">
      <c r="A235" s="13" t="s">
        <v>9</v>
      </c>
      <c r="B235" s="13" t="s">
        <v>670</v>
      </c>
      <c r="C235" s="13" t="s">
        <v>43</v>
      </c>
      <c r="D235" s="13" t="s">
        <v>299</v>
      </c>
      <c r="E235" s="14" t="s">
        <v>273</v>
      </c>
      <c r="F235" s="14" t="s">
        <v>671</v>
      </c>
      <c r="G235" s="15">
        <v>18141.98</v>
      </c>
      <c r="H235" s="15">
        <v>9527.39</v>
      </c>
      <c r="I235" s="15">
        <v>5405.28</v>
      </c>
      <c r="J235" s="15">
        <v>33074.65</v>
      </c>
      <c r="K235" s="16">
        <f t="shared" si="6"/>
        <v>33074.65</v>
      </c>
      <c r="L235" s="16">
        <f t="shared" si="7"/>
        <v>0</v>
      </c>
    </row>
    <row r="236" spans="1:12" x14ac:dyDescent="0.25">
      <c r="A236" s="13" t="s">
        <v>15</v>
      </c>
      <c r="B236" s="13" t="s">
        <v>672</v>
      </c>
      <c r="C236" s="13" t="s">
        <v>523</v>
      </c>
      <c r="D236" s="13" t="s">
        <v>609</v>
      </c>
      <c r="E236" s="14" t="s">
        <v>673</v>
      </c>
      <c r="F236" s="14" t="s">
        <v>19</v>
      </c>
      <c r="G236" s="15">
        <v>27855.37</v>
      </c>
      <c r="H236" s="15">
        <v>200.34000000000003</v>
      </c>
      <c r="I236" s="15">
        <v>4830.3499999999995</v>
      </c>
      <c r="J236" s="15">
        <v>32886.06</v>
      </c>
      <c r="K236" s="16">
        <f t="shared" si="6"/>
        <v>32886.06</v>
      </c>
      <c r="L236" s="16">
        <f t="shared" si="7"/>
        <v>0</v>
      </c>
    </row>
    <row r="237" spans="1:12" x14ac:dyDescent="0.25">
      <c r="A237" s="13" t="s">
        <v>9</v>
      </c>
      <c r="B237" s="13" t="s">
        <v>674</v>
      </c>
      <c r="C237" s="13" t="s">
        <v>216</v>
      </c>
      <c r="D237" s="13" t="s">
        <v>675</v>
      </c>
      <c r="E237" s="14" t="s">
        <v>536</v>
      </c>
      <c r="F237" s="14" t="s">
        <v>676</v>
      </c>
      <c r="G237" s="15">
        <v>28567.07</v>
      </c>
      <c r="H237" s="15">
        <v>70.05</v>
      </c>
      <c r="I237" s="15">
        <v>4144.3999999999996</v>
      </c>
      <c r="J237" s="15">
        <v>32781.520000000004</v>
      </c>
      <c r="K237" s="16">
        <f t="shared" si="6"/>
        <v>32781.519999999997</v>
      </c>
      <c r="L237" s="16">
        <f t="shared" si="7"/>
        <v>7.2759576141834259E-12</v>
      </c>
    </row>
    <row r="238" spans="1:12" x14ac:dyDescent="0.25">
      <c r="A238" s="13" t="s">
        <v>9</v>
      </c>
      <c r="B238" s="13" t="s">
        <v>677</v>
      </c>
      <c r="C238" s="13" t="s">
        <v>94</v>
      </c>
      <c r="D238" s="13" t="s">
        <v>678</v>
      </c>
      <c r="E238" s="14" t="s">
        <v>679</v>
      </c>
      <c r="F238" s="14" t="s">
        <v>680</v>
      </c>
      <c r="G238" s="15">
        <v>22188.010000000002</v>
      </c>
      <c r="H238" s="15">
        <v>750.12999999999988</v>
      </c>
      <c r="I238" s="15">
        <v>9811.4600000000009</v>
      </c>
      <c r="J238" s="15">
        <v>32749.600000000002</v>
      </c>
      <c r="K238" s="16">
        <f t="shared" si="6"/>
        <v>32749.600000000006</v>
      </c>
      <c r="L238" s="16">
        <f t="shared" si="7"/>
        <v>-3.637978807091713E-12</v>
      </c>
    </row>
    <row r="239" spans="1:12" x14ac:dyDescent="0.25">
      <c r="A239" s="13" t="s">
        <v>15</v>
      </c>
      <c r="B239" s="13" t="s">
        <v>681</v>
      </c>
      <c r="C239" s="13" t="s">
        <v>68</v>
      </c>
      <c r="D239" s="13" t="s">
        <v>499</v>
      </c>
      <c r="E239" s="14" t="s">
        <v>682</v>
      </c>
      <c r="F239" s="14" t="s">
        <v>19</v>
      </c>
      <c r="G239" s="15">
        <v>24423.75</v>
      </c>
      <c r="H239" s="15">
        <v>2839.16</v>
      </c>
      <c r="I239" s="15">
        <v>5226.3099999999995</v>
      </c>
      <c r="J239" s="15">
        <v>32489.220000000005</v>
      </c>
      <c r="K239" s="16">
        <f t="shared" si="6"/>
        <v>32489.22</v>
      </c>
      <c r="L239" s="16">
        <f t="shared" si="7"/>
        <v>3.637978807091713E-12</v>
      </c>
    </row>
    <row r="240" spans="1:12" x14ac:dyDescent="0.25">
      <c r="A240" s="13" t="s">
        <v>9</v>
      </c>
      <c r="B240" s="13" t="s">
        <v>683</v>
      </c>
      <c r="C240" s="13" t="s">
        <v>188</v>
      </c>
      <c r="D240" s="13" t="s">
        <v>684</v>
      </c>
      <c r="E240" s="14" t="s">
        <v>685</v>
      </c>
      <c r="F240" s="14" t="s">
        <v>686</v>
      </c>
      <c r="G240" s="15">
        <v>24430.7</v>
      </c>
      <c r="H240" s="15">
        <v>3732.6700000000005</v>
      </c>
      <c r="I240" s="15">
        <v>4204.42</v>
      </c>
      <c r="J240" s="15">
        <v>32367.790000000005</v>
      </c>
      <c r="K240" s="16">
        <f t="shared" si="6"/>
        <v>32367.79</v>
      </c>
      <c r="L240" s="16">
        <f t="shared" si="7"/>
        <v>3.637978807091713E-12</v>
      </c>
    </row>
    <row r="241" spans="1:12" x14ac:dyDescent="0.25">
      <c r="A241" s="13" t="s">
        <v>9</v>
      </c>
      <c r="B241" s="13" t="s">
        <v>687</v>
      </c>
      <c r="C241" s="13" t="s">
        <v>21</v>
      </c>
      <c r="D241" s="13" t="s">
        <v>484</v>
      </c>
      <c r="E241" s="14" t="s">
        <v>431</v>
      </c>
      <c r="F241" s="14" t="s">
        <v>688</v>
      </c>
      <c r="G241" s="15">
        <v>24062.65</v>
      </c>
      <c r="H241" s="15">
        <v>1352.93</v>
      </c>
      <c r="I241" s="15">
        <v>6790.6500000000005</v>
      </c>
      <c r="J241" s="15">
        <v>32206.23</v>
      </c>
      <c r="K241" s="16">
        <f t="shared" si="6"/>
        <v>32206.230000000003</v>
      </c>
      <c r="L241" s="16">
        <f t="shared" si="7"/>
        <v>-3.637978807091713E-12</v>
      </c>
    </row>
    <row r="242" spans="1:12" x14ac:dyDescent="0.25">
      <c r="A242" s="13" t="s">
        <v>9</v>
      </c>
      <c r="B242" s="13" t="s">
        <v>689</v>
      </c>
      <c r="C242" s="13" t="s">
        <v>94</v>
      </c>
      <c r="D242" s="13" t="s">
        <v>565</v>
      </c>
      <c r="E242" s="14" t="s">
        <v>690</v>
      </c>
      <c r="F242" s="14" t="s">
        <v>691</v>
      </c>
      <c r="G242" s="15">
        <v>26218.649999999994</v>
      </c>
      <c r="H242" s="15">
        <v>96.259999999999991</v>
      </c>
      <c r="I242" s="15">
        <v>5889.08</v>
      </c>
      <c r="J242" s="15">
        <v>32203.99</v>
      </c>
      <c r="K242" s="16">
        <f t="shared" si="6"/>
        <v>32203.989999999991</v>
      </c>
      <c r="L242" s="16">
        <f t="shared" si="7"/>
        <v>1.0913936421275139E-11</v>
      </c>
    </row>
    <row r="243" spans="1:12" x14ac:dyDescent="0.25">
      <c r="A243" s="13" t="s">
        <v>9</v>
      </c>
      <c r="B243" s="13" t="s">
        <v>692</v>
      </c>
      <c r="C243" s="13" t="s">
        <v>477</v>
      </c>
      <c r="D243" s="13" t="s">
        <v>693</v>
      </c>
      <c r="E243" s="14" t="s">
        <v>482</v>
      </c>
      <c r="F243" s="14" t="s">
        <v>694</v>
      </c>
      <c r="G243" s="15">
        <v>25219.100000000006</v>
      </c>
      <c r="H243" s="15">
        <v>56</v>
      </c>
      <c r="I243" s="15">
        <v>6802.6699999999983</v>
      </c>
      <c r="J243" s="15">
        <v>32077.769999999997</v>
      </c>
      <c r="K243" s="16">
        <f t="shared" si="6"/>
        <v>32077.770000000004</v>
      </c>
      <c r="L243" s="16">
        <f t="shared" si="7"/>
        <v>-7.2759576141834259E-12</v>
      </c>
    </row>
    <row r="244" spans="1:12" x14ac:dyDescent="0.25">
      <c r="A244" s="13" t="s">
        <v>15</v>
      </c>
      <c r="B244" s="13" t="s">
        <v>695</v>
      </c>
      <c r="C244" s="13" t="s">
        <v>43</v>
      </c>
      <c r="D244" s="13" t="s">
        <v>696</v>
      </c>
      <c r="E244" s="14" t="s">
        <v>690</v>
      </c>
      <c r="F244" s="14" t="s">
        <v>19</v>
      </c>
      <c r="G244" s="15">
        <v>28977.280000000006</v>
      </c>
      <c r="H244" s="15">
        <v>670.99000000000012</v>
      </c>
      <c r="I244" s="15">
        <v>2267.4799999999996</v>
      </c>
      <c r="J244" s="15">
        <v>31915.749999999996</v>
      </c>
      <c r="K244" s="16">
        <f t="shared" si="6"/>
        <v>31915.750000000007</v>
      </c>
      <c r="L244" s="16">
        <f t="shared" si="7"/>
        <v>-1.0913936421275139E-11</v>
      </c>
    </row>
    <row r="245" spans="1:12" x14ac:dyDescent="0.25">
      <c r="A245" s="13" t="s">
        <v>15</v>
      </c>
      <c r="B245" s="13" t="s">
        <v>697</v>
      </c>
      <c r="C245" s="13" t="s">
        <v>68</v>
      </c>
      <c r="D245" s="13" t="s">
        <v>617</v>
      </c>
      <c r="E245" s="14" t="s">
        <v>92</v>
      </c>
      <c r="F245" s="14" t="s">
        <v>19</v>
      </c>
      <c r="G245" s="15">
        <v>25334.819999999996</v>
      </c>
      <c r="H245" s="15">
        <v>3302.62</v>
      </c>
      <c r="I245" s="15">
        <v>3243.72</v>
      </c>
      <c r="J245" s="15">
        <v>31881.16</v>
      </c>
      <c r="K245" s="16">
        <f t="shared" si="6"/>
        <v>31881.159999999996</v>
      </c>
      <c r="L245" s="16">
        <f t="shared" si="7"/>
        <v>3.637978807091713E-12</v>
      </c>
    </row>
    <row r="246" spans="1:12" x14ac:dyDescent="0.25">
      <c r="A246" s="13" t="s">
        <v>15</v>
      </c>
      <c r="B246" s="13" t="s">
        <v>698</v>
      </c>
      <c r="C246" s="13" t="s">
        <v>21</v>
      </c>
      <c r="D246" s="13" t="s">
        <v>484</v>
      </c>
      <c r="E246" s="14" t="s">
        <v>360</v>
      </c>
      <c r="F246" s="14" t="s">
        <v>19</v>
      </c>
      <c r="G246" s="15">
        <v>26654.799999999999</v>
      </c>
      <c r="H246" s="15">
        <v>502.54</v>
      </c>
      <c r="I246" s="15">
        <v>4672.1000000000004</v>
      </c>
      <c r="J246" s="15">
        <v>31829.439999999999</v>
      </c>
      <c r="K246" s="16">
        <f t="shared" si="6"/>
        <v>31829.440000000002</v>
      </c>
      <c r="L246" s="16">
        <f t="shared" si="7"/>
        <v>-3.637978807091713E-12</v>
      </c>
    </row>
    <row r="247" spans="1:12" x14ac:dyDescent="0.25">
      <c r="A247" s="13" t="s">
        <v>9</v>
      </c>
      <c r="B247" s="13" t="s">
        <v>699</v>
      </c>
      <c r="C247" s="13" t="s">
        <v>178</v>
      </c>
      <c r="D247" s="13" t="s">
        <v>700</v>
      </c>
      <c r="E247" s="14" t="s">
        <v>701</v>
      </c>
      <c r="F247" s="14" t="s">
        <v>364</v>
      </c>
      <c r="G247" s="15">
        <v>21105.439999999999</v>
      </c>
      <c r="H247" s="15">
        <v>6.91</v>
      </c>
      <c r="I247" s="15">
        <v>10622.130000000003</v>
      </c>
      <c r="J247" s="15">
        <v>31734.479999999996</v>
      </c>
      <c r="K247" s="16">
        <f t="shared" si="6"/>
        <v>31734.480000000003</v>
      </c>
      <c r="L247" s="16">
        <f t="shared" si="7"/>
        <v>-7.2759576141834259E-12</v>
      </c>
    </row>
    <row r="248" spans="1:12" x14ac:dyDescent="0.25">
      <c r="A248" s="13" t="s">
        <v>9</v>
      </c>
      <c r="B248" s="13" t="s">
        <v>702</v>
      </c>
      <c r="C248" s="13" t="s">
        <v>43</v>
      </c>
      <c r="D248" s="13" t="s">
        <v>558</v>
      </c>
      <c r="E248" s="14" t="s">
        <v>428</v>
      </c>
      <c r="F248" s="14" t="s">
        <v>703</v>
      </c>
      <c r="G248" s="15">
        <v>26078.830000000005</v>
      </c>
      <c r="H248" s="15">
        <v>159.26999999999998</v>
      </c>
      <c r="I248" s="15">
        <v>5430.8</v>
      </c>
      <c r="J248" s="15">
        <v>31668.9</v>
      </c>
      <c r="K248" s="16">
        <f t="shared" si="6"/>
        <v>31668.900000000005</v>
      </c>
      <c r="L248" s="16">
        <f t="shared" si="7"/>
        <v>-3.637978807091713E-12</v>
      </c>
    </row>
    <row r="249" spans="1:12" x14ac:dyDescent="0.25">
      <c r="A249" s="13" t="s">
        <v>15</v>
      </c>
      <c r="B249" s="13" t="s">
        <v>704</v>
      </c>
      <c r="C249" s="13" t="s">
        <v>21</v>
      </c>
      <c r="D249" s="13" t="s">
        <v>640</v>
      </c>
      <c r="E249" s="14" t="s">
        <v>504</v>
      </c>
      <c r="F249" s="14" t="s">
        <v>19</v>
      </c>
      <c r="G249" s="15">
        <v>26045.88</v>
      </c>
      <c r="H249" s="15">
        <v>423.7999999999999</v>
      </c>
      <c r="I249" s="15">
        <v>5107.6600000000017</v>
      </c>
      <c r="J249" s="15">
        <v>31577.34</v>
      </c>
      <c r="K249" s="16">
        <f t="shared" si="6"/>
        <v>31577.340000000004</v>
      </c>
      <c r="L249" s="16">
        <f t="shared" si="7"/>
        <v>-3.637978807091713E-12</v>
      </c>
    </row>
    <row r="250" spans="1:12" x14ac:dyDescent="0.25">
      <c r="A250" s="13" t="s">
        <v>9</v>
      </c>
      <c r="B250" s="13" t="s">
        <v>705</v>
      </c>
      <c r="C250" s="13" t="s">
        <v>21</v>
      </c>
      <c r="D250" s="13" t="s">
        <v>484</v>
      </c>
      <c r="E250" s="14" t="s">
        <v>504</v>
      </c>
      <c r="F250" s="14" t="s">
        <v>706</v>
      </c>
      <c r="G250" s="15">
        <v>23967.969999999998</v>
      </c>
      <c r="H250" s="15">
        <v>368.02</v>
      </c>
      <c r="I250" s="15">
        <v>6915.62</v>
      </c>
      <c r="J250" s="15">
        <v>31251.61</v>
      </c>
      <c r="K250" s="16">
        <f t="shared" si="6"/>
        <v>31251.609999999997</v>
      </c>
      <c r="L250" s="16">
        <f t="shared" si="7"/>
        <v>3.637978807091713E-12</v>
      </c>
    </row>
    <row r="251" spans="1:12" x14ac:dyDescent="0.25">
      <c r="A251" s="13" t="s">
        <v>15</v>
      </c>
      <c r="B251" s="13" t="s">
        <v>707</v>
      </c>
      <c r="C251" s="13" t="s">
        <v>241</v>
      </c>
      <c r="D251" s="13" t="s">
        <v>376</v>
      </c>
      <c r="E251" s="14" t="s">
        <v>243</v>
      </c>
      <c r="F251" s="14" t="s">
        <v>19</v>
      </c>
      <c r="G251" s="15">
        <v>25281.97</v>
      </c>
      <c r="H251" s="15">
        <v>251.14000000000001</v>
      </c>
      <c r="I251" s="15">
        <v>5701.3300000000008</v>
      </c>
      <c r="J251" s="15">
        <v>31234.440000000006</v>
      </c>
      <c r="K251" s="16">
        <f t="shared" si="6"/>
        <v>31234.440000000002</v>
      </c>
      <c r="L251" s="16">
        <f t="shared" si="7"/>
        <v>3.637978807091713E-12</v>
      </c>
    </row>
    <row r="252" spans="1:12" x14ac:dyDescent="0.25">
      <c r="A252" s="13" t="s">
        <v>9</v>
      </c>
      <c r="B252" s="13" t="s">
        <v>708</v>
      </c>
      <c r="C252" s="13" t="s">
        <v>206</v>
      </c>
      <c r="D252" s="13" t="s">
        <v>558</v>
      </c>
      <c r="E252" s="14" t="s">
        <v>709</v>
      </c>
      <c r="F252" s="14" t="s">
        <v>710</v>
      </c>
      <c r="G252" s="15">
        <v>24978.530000000002</v>
      </c>
      <c r="H252" s="15">
        <v>499.6</v>
      </c>
      <c r="I252" s="15">
        <v>5718.9000000000005</v>
      </c>
      <c r="J252" s="15">
        <v>31197.030000000002</v>
      </c>
      <c r="K252" s="16">
        <f t="shared" si="6"/>
        <v>31197.030000000002</v>
      </c>
      <c r="L252" s="16">
        <f t="shared" si="7"/>
        <v>0</v>
      </c>
    </row>
    <row r="253" spans="1:12" x14ac:dyDescent="0.25">
      <c r="A253" s="13" t="s">
        <v>9</v>
      </c>
      <c r="B253" s="13" t="s">
        <v>711</v>
      </c>
      <c r="C253" s="13" t="s">
        <v>43</v>
      </c>
      <c r="D253" s="13" t="s">
        <v>696</v>
      </c>
      <c r="E253" s="14" t="s">
        <v>712</v>
      </c>
      <c r="F253" s="14" t="s">
        <v>145</v>
      </c>
      <c r="G253" s="15">
        <v>26569.22</v>
      </c>
      <c r="H253" s="15">
        <v>317.26</v>
      </c>
      <c r="I253" s="15">
        <v>4288.0199999999995</v>
      </c>
      <c r="J253" s="15">
        <v>31174.500000000004</v>
      </c>
      <c r="K253" s="16">
        <f t="shared" si="6"/>
        <v>31174.5</v>
      </c>
      <c r="L253" s="16">
        <f t="shared" si="7"/>
        <v>3.637978807091713E-12</v>
      </c>
    </row>
    <row r="254" spans="1:12" x14ac:dyDescent="0.25">
      <c r="A254" s="13" t="s">
        <v>9</v>
      </c>
      <c r="B254" s="13" t="s">
        <v>713</v>
      </c>
      <c r="C254" s="13" t="s">
        <v>94</v>
      </c>
      <c r="D254" s="13" t="s">
        <v>714</v>
      </c>
      <c r="E254" s="14" t="s">
        <v>715</v>
      </c>
      <c r="F254" s="14" t="s">
        <v>716</v>
      </c>
      <c r="G254" s="15">
        <v>22158.510000000002</v>
      </c>
      <c r="H254" s="15">
        <v>272.57000000000005</v>
      </c>
      <c r="I254" s="15">
        <v>8454.2799999999988</v>
      </c>
      <c r="J254" s="15">
        <v>30885.360000000001</v>
      </c>
      <c r="K254" s="16">
        <f t="shared" si="6"/>
        <v>30885.360000000001</v>
      </c>
      <c r="L254" s="16">
        <f t="shared" si="7"/>
        <v>0</v>
      </c>
    </row>
    <row r="255" spans="1:12" x14ac:dyDescent="0.25">
      <c r="A255" s="13" t="s">
        <v>15</v>
      </c>
      <c r="B255" s="13" t="s">
        <v>717</v>
      </c>
      <c r="C255" s="13" t="s">
        <v>581</v>
      </c>
      <c r="D255" s="13" t="s">
        <v>718</v>
      </c>
      <c r="E255" s="14" t="s">
        <v>719</v>
      </c>
      <c r="F255" s="14" t="s">
        <v>19</v>
      </c>
      <c r="G255" s="15">
        <v>26493.940000000002</v>
      </c>
      <c r="H255" s="15">
        <v>361.71000000000009</v>
      </c>
      <c r="I255" s="15">
        <v>3910.15</v>
      </c>
      <c r="J255" s="15">
        <v>30765.8</v>
      </c>
      <c r="K255" s="16">
        <f t="shared" si="6"/>
        <v>30765.800000000003</v>
      </c>
      <c r="L255" s="16">
        <f t="shared" si="7"/>
        <v>-3.637978807091713E-12</v>
      </c>
    </row>
    <row r="256" spans="1:12" x14ac:dyDescent="0.25">
      <c r="A256" s="13" t="s">
        <v>9</v>
      </c>
      <c r="B256" s="13" t="s">
        <v>720</v>
      </c>
      <c r="C256" s="13" t="s">
        <v>477</v>
      </c>
      <c r="D256" s="13" t="s">
        <v>721</v>
      </c>
      <c r="E256" s="14" t="s">
        <v>722</v>
      </c>
      <c r="F256" s="14" t="s">
        <v>723</v>
      </c>
      <c r="G256" s="15">
        <v>24524.780000000006</v>
      </c>
      <c r="H256" s="15">
        <v>67.460000000000008</v>
      </c>
      <c r="I256" s="15">
        <v>6154.1799999999985</v>
      </c>
      <c r="J256" s="15">
        <v>30746.419999999991</v>
      </c>
      <c r="K256" s="16">
        <f t="shared" si="6"/>
        <v>30746.420000000006</v>
      </c>
      <c r="L256" s="16">
        <f t="shared" si="7"/>
        <v>-1.4551915228366852E-11</v>
      </c>
    </row>
    <row r="257" spans="1:12" x14ac:dyDescent="0.25">
      <c r="A257" s="13" t="s">
        <v>15</v>
      </c>
      <c r="B257" s="13" t="s">
        <v>724</v>
      </c>
      <c r="C257" s="13" t="s">
        <v>241</v>
      </c>
      <c r="D257" s="13" t="s">
        <v>725</v>
      </c>
      <c r="E257" s="14" t="s">
        <v>138</v>
      </c>
      <c r="F257" s="14" t="s">
        <v>19</v>
      </c>
      <c r="G257" s="15">
        <v>24078.19</v>
      </c>
      <c r="H257" s="15">
        <v>295.3</v>
      </c>
      <c r="I257" s="15">
        <v>6128.8199999999988</v>
      </c>
      <c r="J257" s="15">
        <v>30502.309999999998</v>
      </c>
      <c r="K257" s="16">
        <f t="shared" si="6"/>
        <v>30502.309999999998</v>
      </c>
      <c r="L257" s="16">
        <f t="shared" si="7"/>
        <v>0</v>
      </c>
    </row>
    <row r="258" spans="1:12" x14ac:dyDescent="0.25">
      <c r="A258" s="13" t="s">
        <v>9</v>
      </c>
      <c r="B258" s="13" t="s">
        <v>726</v>
      </c>
      <c r="C258" s="13" t="s">
        <v>340</v>
      </c>
      <c r="D258" s="13" t="s">
        <v>727</v>
      </c>
      <c r="E258" s="14" t="s">
        <v>728</v>
      </c>
      <c r="F258" s="14" t="s">
        <v>354</v>
      </c>
      <c r="G258" s="15">
        <v>24132.76</v>
      </c>
      <c r="H258" s="15">
        <v>2202.2899999999995</v>
      </c>
      <c r="I258" s="15">
        <v>4160.92</v>
      </c>
      <c r="J258" s="15">
        <v>30495.969999999998</v>
      </c>
      <c r="K258" s="16">
        <f t="shared" si="6"/>
        <v>30495.97</v>
      </c>
      <c r="L258" s="16">
        <f t="shared" si="7"/>
        <v>-3.637978807091713E-12</v>
      </c>
    </row>
    <row r="259" spans="1:12" x14ac:dyDescent="0.25">
      <c r="A259" s="13" t="s">
        <v>15</v>
      </c>
      <c r="B259" s="13" t="s">
        <v>729</v>
      </c>
      <c r="C259" s="13" t="s">
        <v>94</v>
      </c>
      <c r="D259" s="13" t="s">
        <v>565</v>
      </c>
      <c r="E259" s="14" t="s">
        <v>473</v>
      </c>
      <c r="F259" s="14" t="s">
        <v>19</v>
      </c>
      <c r="G259" s="15">
        <v>25077.170000000002</v>
      </c>
      <c r="H259" s="15">
        <v>1371.51</v>
      </c>
      <c r="I259" s="15">
        <v>4013.3399999999997</v>
      </c>
      <c r="J259" s="15">
        <v>30462.02</v>
      </c>
      <c r="K259" s="16">
        <f t="shared" ref="K259:K322" si="8">SUM(G259:I259)</f>
        <v>30462.02</v>
      </c>
      <c r="L259" s="16">
        <f t="shared" ref="L259:L322" si="9">SUM(J259-K259)</f>
        <v>0</v>
      </c>
    </row>
    <row r="260" spans="1:12" x14ac:dyDescent="0.25">
      <c r="A260" s="13" t="s">
        <v>15</v>
      </c>
      <c r="B260" s="13" t="s">
        <v>730</v>
      </c>
      <c r="C260" s="13" t="s">
        <v>94</v>
      </c>
      <c r="D260" s="13" t="s">
        <v>565</v>
      </c>
      <c r="E260" s="14" t="s">
        <v>456</v>
      </c>
      <c r="F260" s="14" t="s">
        <v>19</v>
      </c>
      <c r="G260" s="15">
        <v>23729.469999999998</v>
      </c>
      <c r="H260" s="15">
        <v>1241.7900000000002</v>
      </c>
      <c r="I260" s="15">
        <v>5355.9800000000005</v>
      </c>
      <c r="J260" s="15">
        <v>30327.239999999998</v>
      </c>
      <c r="K260" s="16">
        <f t="shared" si="8"/>
        <v>30327.239999999998</v>
      </c>
      <c r="L260" s="16">
        <f t="shared" si="9"/>
        <v>0</v>
      </c>
    </row>
    <row r="261" spans="1:12" x14ac:dyDescent="0.25">
      <c r="A261" s="13" t="s">
        <v>15</v>
      </c>
      <c r="B261" s="13" t="s">
        <v>731</v>
      </c>
      <c r="C261" s="13" t="s">
        <v>140</v>
      </c>
      <c r="D261" s="13" t="s">
        <v>558</v>
      </c>
      <c r="E261" s="14" t="s">
        <v>732</v>
      </c>
      <c r="F261" s="14" t="s">
        <v>19</v>
      </c>
      <c r="G261" s="15">
        <v>25940.30000000001</v>
      </c>
      <c r="H261" s="15">
        <v>73.98</v>
      </c>
      <c r="I261" s="15">
        <v>4009.85</v>
      </c>
      <c r="J261" s="15">
        <v>30024.129999999997</v>
      </c>
      <c r="K261" s="16">
        <f t="shared" si="8"/>
        <v>30024.130000000008</v>
      </c>
      <c r="L261" s="16">
        <f t="shared" si="9"/>
        <v>-1.0913936421275139E-11</v>
      </c>
    </row>
    <row r="262" spans="1:12" x14ac:dyDescent="0.25">
      <c r="A262" s="13" t="s">
        <v>15</v>
      </c>
      <c r="B262" s="13" t="s">
        <v>733</v>
      </c>
      <c r="C262" s="13" t="s">
        <v>241</v>
      </c>
      <c r="D262" s="13" t="s">
        <v>734</v>
      </c>
      <c r="E262" s="14" t="s">
        <v>407</v>
      </c>
      <c r="F262" s="14" t="s">
        <v>19</v>
      </c>
      <c r="G262" s="15">
        <v>21200.159999999996</v>
      </c>
      <c r="H262" s="15">
        <v>2868.6500000000005</v>
      </c>
      <c r="I262" s="15">
        <v>5849.4400000000005</v>
      </c>
      <c r="J262" s="15">
        <v>29918.25</v>
      </c>
      <c r="K262" s="16">
        <f t="shared" si="8"/>
        <v>29918.25</v>
      </c>
      <c r="L262" s="16">
        <f t="shared" si="9"/>
        <v>0</v>
      </c>
    </row>
    <row r="263" spans="1:12" x14ac:dyDescent="0.25">
      <c r="A263" s="13" t="s">
        <v>15</v>
      </c>
      <c r="B263" s="13" t="s">
        <v>735</v>
      </c>
      <c r="C263" s="13" t="s">
        <v>21</v>
      </c>
      <c r="D263" s="13" t="s">
        <v>484</v>
      </c>
      <c r="E263" s="14" t="s">
        <v>518</v>
      </c>
      <c r="F263" s="14" t="s">
        <v>19</v>
      </c>
      <c r="G263" s="15">
        <v>25407.610000000004</v>
      </c>
      <c r="H263" s="15">
        <v>1137.8900000000001</v>
      </c>
      <c r="I263" s="15">
        <v>3324.9100000000003</v>
      </c>
      <c r="J263" s="15">
        <v>29870.410000000003</v>
      </c>
      <c r="K263" s="16">
        <f t="shared" si="8"/>
        <v>29870.410000000003</v>
      </c>
      <c r="L263" s="16">
        <f t="shared" si="9"/>
        <v>0</v>
      </c>
    </row>
    <row r="264" spans="1:12" x14ac:dyDescent="0.25">
      <c r="A264" s="13" t="s">
        <v>15</v>
      </c>
      <c r="B264" s="13" t="s">
        <v>736</v>
      </c>
      <c r="C264" s="13" t="s">
        <v>68</v>
      </c>
      <c r="D264" s="13" t="s">
        <v>617</v>
      </c>
      <c r="E264" s="14" t="s">
        <v>579</v>
      </c>
      <c r="F264" s="14" t="s">
        <v>19</v>
      </c>
      <c r="G264" s="15">
        <v>22311.629999999997</v>
      </c>
      <c r="H264" s="15">
        <v>2555.52</v>
      </c>
      <c r="I264" s="15">
        <v>4777.5800000000008</v>
      </c>
      <c r="J264" s="15">
        <v>29644.73</v>
      </c>
      <c r="K264" s="16">
        <f t="shared" si="8"/>
        <v>29644.73</v>
      </c>
      <c r="L264" s="16">
        <f t="shared" si="9"/>
        <v>0</v>
      </c>
    </row>
    <row r="265" spans="1:12" x14ac:dyDescent="0.25">
      <c r="A265" s="13" t="s">
        <v>9</v>
      </c>
      <c r="B265" s="13" t="s">
        <v>737</v>
      </c>
      <c r="C265" s="13" t="s">
        <v>21</v>
      </c>
      <c r="D265" s="13" t="s">
        <v>484</v>
      </c>
      <c r="E265" s="14" t="s">
        <v>360</v>
      </c>
      <c r="F265" s="14" t="s">
        <v>738</v>
      </c>
      <c r="G265" s="15">
        <v>17908.330000000005</v>
      </c>
      <c r="H265" s="15">
        <v>377.57999999999993</v>
      </c>
      <c r="I265" s="15">
        <v>11116.960000000001</v>
      </c>
      <c r="J265" s="15">
        <v>29402.870000000003</v>
      </c>
      <c r="K265" s="16">
        <f t="shared" si="8"/>
        <v>29402.870000000003</v>
      </c>
      <c r="L265" s="16">
        <f t="shared" si="9"/>
        <v>0</v>
      </c>
    </row>
    <row r="266" spans="1:12" x14ac:dyDescent="0.25">
      <c r="A266" s="13" t="s">
        <v>15</v>
      </c>
      <c r="B266" s="13" t="s">
        <v>739</v>
      </c>
      <c r="C266" s="13" t="s">
        <v>241</v>
      </c>
      <c r="D266" s="13" t="s">
        <v>725</v>
      </c>
      <c r="E266" s="14" t="s">
        <v>668</v>
      </c>
      <c r="F266" s="14" t="s">
        <v>19</v>
      </c>
      <c r="G266" s="15">
        <v>23626.859999999997</v>
      </c>
      <c r="H266" s="15">
        <v>208.60000000000002</v>
      </c>
      <c r="I266" s="15">
        <v>5474.55</v>
      </c>
      <c r="J266" s="15">
        <v>29310.01</v>
      </c>
      <c r="K266" s="16">
        <f t="shared" si="8"/>
        <v>29310.009999999995</v>
      </c>
      <c r="L266" s="16">
        <f t="shared" si="9"/>
        <v>3.637978807091713E-12</v>
      </c>
    </row>
    <row r="267" spans="1:12" x14ac:dyDescent="0.25">
      <c r="A267" s="13" t="s">
        <v>15</v>
      </c>
      <c r="B267" s="13" t="s">
        <v>740</v>
      </c>
      <c r="C267" s="13" t="s">
        <v>314</v>
      </c>
      <c r="D267" s="13" t="s">
        <v>741</v>
      </c>
      <c r="E267" s="14" t="s">
        <v>742</v>
      </c>
      <c r="F267" s="14" t="s">
        <v>19</v>
      </c>
      <c r="G267" s="15">
        <v>23665.440000000002</v>
      </c>
      <c r="H267" s="15">
        <v>77.95</v>
      </c>
      <c r="I267" s="15">
        <v>5146.53</v>
      </c>
      <c r="J267" s="15">
        <v>28889.919999999998</v>
      </c>
      <c r="K267" s="16">
        <f t="shared" si="8"/>
        <v>28889.920000000002</v>
      </c>
      <c r="L267" s="16">
        <f t="shared" si="9"/>
        <v>-3.637978807091713E-12</v>
      </c>
    </row>
    <row r="268" spans="1:12" x14ac:dyDescent="0.25">
      <c r="A268" s="13" t="s">
        <v>15</v>
      </c>
      <c r="B268" s="13" t="s">
        <v>743</v>
      </c>
      <c r="C268" s="13" t="s">
        <v>21</v>
      </c>
      <c r="D268" s="13" t="s">
        <v>551</v>
      </c>
      <c r="E268" s="14" t="s">
        <v>453</v>
      </c>
      <c r="F268" s="14" t="s">
        <v>19</v>
      </c>
      <c r="G268" s="15">
        <v>22822.959999999999</v>
      </c>
      <c r="H268" s="15">
        <v>2076.77</v>
      </c>
      <c r="I268" s="15">
        <v>3761.2799999999997</v>
      </c>
      <c r="J268" s="15">
        <v>28661.01</v>
      </c>
      <c r="K268" s="16">
        <f t="shared" si="8"/>
        <v>28661.01</v>
      </c>
      <c r="L268" s="16">
        <f t="shared" si="9"/>
        <v>0</v>
      </c>
    </row>
    <row r="269" spans="1:12" x14ac:dyDescent="0.25">
      <c r="A269" s="13" t="s">
        <v>9</v>
      </c>
      <c r="B269" s="13" t="s">
        <v>744</v>
      </c>
      <c r="C269" s="13" t="s">
        <v>745</v>
      </c>
      <c r="D269" s="13" t="s">
        <v>746</v>
      </c>
      <c r="E269" s="14" t="s">
        <v>747</v>
      </c>
      <c r="F269" s="14" t="s">
        <v>748</v>
      </c>
      <c r="G269" s="15">
        <v>21433.089999999997</v>
      </c>
      <c r="H269" s="15">
        <v>124.23</v>
      </c>
      <c r="I269" s="15">
        <v>7099.1399999999985</v>
      </c>
      <c r="J269" s="15">
        <v>28656.460000000006</v>
      </c>
      <c r="K269" s="16">
        <f t="shared" si="8"/>
        <v>28656.459999999995</v>
      </c>
      <c r="L269" s="16">
        <f t="shared" si="9"/>
        <v>1.0913936421275139E-11</v>
      </c>
    </row>
    <row r="270" spans="1:12" x14ac:dyDescent="0.25">
      <c r="A270" s="13" t="s">
        <v>15</v>
      </c>
      <c r="B270" s="13" t="s">
        <v>749</v>
      </c>
      <c r="C270" s="13" t="s">
        <v>188</v>
      </c>
      <c r="D270" s="13" t="s">
        <v>684</v>
      </c>
      <c r="E270" s="14" t="s">
        <v>750</v>
      </c>
      <c r="F270" s="14" t="s">
        <v>19</v>
      </c>
      <c r="G270" s="15">
        <v>21238.81</v>
      </c>
      <c r="H270" s="15">
        <v>2594.8800000000006</v>
      </c>
      <c r="I270" s="15">
        <v>4794.3700000000008</v>
      </c>
      <c r="J270" s="15">
        <v>28628.059999999998</v>
      </c>
      <c r="K270" s="16">
        <f t="shared" si="8"/>
        <v>28628.060000000005</v>
      </c>
      <c r="L270" s="16">
        <f t="shared" si="9"/>
        <v>-7.2759576141834259E-12</v>
      </c>
    </row>
    <row r="271" spans="1:12" x14ac:dyDescent="0.25">
      <c r="A271" s="13" t="s">
        <v>9</v>
      </c>
      <c r="B271" s="13" t="s">
        <v>751</v>
      </c>
      <c r="C271" s="13" t="s">
        <v>188</v>
      </c>
      <c r="D271" s="13" t="s">
        <v>752</v>
      </c>
      <c r="E271" s="14" t="s">
        <v>423</v>
      </c>
      <c r="F271" s="14" t="s">
        <v>753</v>
      </c>
      <c r="G271" s="15">
        <v>21553.500000000004</v>
      </c>
      <c r="H271" s="15">
        <v>1353.0600000000002</v>
      </c>
      <c r="I271" s="15">
        <v>5588.1500000000005</v>
      </c>
      <c r="J271" s="15">
        <v>28494.709999999995</v>
      </c>
      <c r="K271" s="16">
        <f t="shared" si="8"/>
        <v>28494.710000000006</v>
      </c>
      <c r="L271" s="16">
        <f t="shared" si="9"/>
        <v>-1.0913936421275139E-11</v>
      </c>
    </row>
    <row r="272" spans="1:12" x14ac:dyDescent="0.25">
      <c r="A272" s="13" t="s">
        <v>9</v>
      </c>
      <c r="B272" s="13" t="s">
        <v>754</v>
      </c>
      <c r="C272" s="13" t="s">
        <v>43</v>
      </c>
      <c r="D272" s="13" t="s">
        <v>562</v>
      </c>
      <c r="E272" s="14" t="s">
        <v>563</v>
      </c>
      <c r="F272" s="14" t="s">
        <v>755</v>
      </c>
      <c r="G272" s="15">
        <v>16018.679999999997</v>
      </c>
      <c r="H272" s="15">
        <v>9729.89</v>
      </c>
      <c r="I272" s="15">
        <v>2723.24</v>
      </c>
      <c r="J272" s="15">
        <v>28471.81</v>
      </c>
      <c r="K272" s="16">
        <f t="shared" si="8"/>
        <v>28471.809999999998</v>
      </c>
      <c r="L272" s="16">
        <f t="shared" si="9"/>
        <v>3.637978807091713E-12</v>
      </c>
    </row>
    <row r="273" spans="1:12" x14ac:dyDescent="0.25">
      <c r="A273" s="13" t="s">
        <v>9</v>
      </c>
      <c r="B273" s="13" t="s">
        <v>756</v>
      </c>
      <c r="C273" s="13" t="s">
        <v>21</v>
      </c>
      <c r="D273" s="13" t="s">
        <v>757</v>
      </c>
      <c r="E273" s="14" t="s">
        <v>493</v>
      </c>
      <c r="F273" s="14" t="s">
        <v>758</v>
      </c>
      <c r="G273" s="15">
        <v>21633.620000000003</v>
      </c>
      <c r="H273" s="15">
        <v>2296.2600000000002</v>
      </c>
      <c r="I273" s="15">
        <v>4422.41</v>
      </c>
      <c r="J273" s="15">
        <v>28352.29</v>
      </c>
      <c r="K273" s="16">
        <f t="shared" si="8"/>
        <v>28352.290000000005</v>
      </c>
      <c r="L273" s="16">
        <f t="shared" si="9"/>
        <v>-3.637978807091713E-12</v>
      </c>
    </row>
    <row r="274" spans="1:12" x14ac:dyDescent="0.25">
      <c r="A274" s="13" t="s">
        <v>15</v>
      </c>
      <c r="B274" s="13" t="s">
        <v>759</v>
      </c>
      <c r="C274" s="13" t="s">
        <v>21</v>
      </c>
      <c r="D274" s="13" t="s">
        <v>757</v>
      </c>
      <c r="E274" s="14" t="s">
        <v>473</v>
      </c>
      <c r="F274" s="14" t="s">
        <v>19</v>
      </c>
      <c r="G274" s="15">
        <v>22389.520000000004</v>
      </c>
      <c r="H274" s="15">
        <v>2624.1800000000003</v>
      </c>
      <c r="I274" s="15">
        <v>3305.2</v>
      </c>
      <c r="J274" s="15">
        <v>28318.9</v>
      </c>
      <c r="K274" s="16">
        <f t="shared" si="8"/>
        <v>28318.900000000005</v>
      </c>
      <c r="L274" s="16">
        <f t="shared" si="9"/>
        <v>-3.637978807091713E-12</v>
      </c>
    </row>
    <row r="275" spans="1:12" x14ac:dyDescent="0.25">
      <c r="A275" s="13" t="s">
        <v>9</v>
      </c>
      <c r="B275" s="13" t="s">
        <v>760</v>
      </c>
      <c r="C275" s="13" t="s">
        <v>21</v>
      </c>
      <c r="D275" s="13" t="s">
        <v>757</v>
      </c>
      <c r="E275" s="14" t="s">
        <v>402</v>
      </c>
      <c r="F275" s="14" t="s">
        <v>761</v>
      </c>
      <c r="G275" s="15">
        <v>22584.099999999995</v>
      </c>
      <c r="H275" s="15">
        <v>1667.6599999999999</v>
      </c>
      <c r="I275" s="15">
        <v>4025.8499999999995</v>
      </c>
      <c r="J275" s="15">
        <v>28277.61</v>
      </c>
      <c r="K275" s="16">
        <f t="shared" si="8"/>
        <v>28277.609999999993</v>
      </c>
      <c r="L275" s="16">
        <f t="shared" si="9"/>
        <v>7.2759576141834259E-12</v>
      </c>
    </row>
    <row r="276" spans="1:12" x14ac:dyDescent="0.25">
      <c r="A276" s="13" t="s">
        <v>9</v>
      </c>
      <c r="B276" s="13" t="s">
        <v>762</v>
      </c>
      <c r="C276" s="13" t="s">
        <v>43</v>
      </c>
      <c r="D276" s="13" t="s">
        <v>134</v>
      </c>
      <c r="E276" s="14" t="s">
        <v>228</v>
      </c>
      <c r="F276" s="14" t="s">
        <v>763</v>
      </c>
      <c r="G276" s="15">
        <v>24074.819999999992</v>
      </c>
      <c r="H276" s="15">
        <v>2555.66</v>
      </c>
      <c r="I276" s="15">
        <v>1626.67</v>
      </c>
      <c r="J276" s="15">
        <v>28257.149999999994</v>
      </c>
      <c r="K276" s="16">
        <f t="shared" si="8"/>
        <v>28257.149999999994</v>
      </c>
      <c r="L276" s="16">
        <f t="shared" si="9"/>
        <v>0</v>
      </c>
    </row>
    <row r="277" spans="1:12" x14ac:dyDescent="0.25">
      <c r="A277" s="13" t="s">
        <v>15</v>
      </c>
      <c r="B277" s="13" t="s">
        <v>764</v>
      </c>
      <c r="C277" s="13" t="s">
        <v>178</v>
      </c>
      <c r="D277" s="13" t="s">
        <v>765</v>
      </c>
      <c r="E277" s="14" t="s">
        <v>766</v>
      </c>
      <c r="F277" s="14" t="s">
        <v>19</v>
      </c>
      <c r="G277" s="15">
        <v>23218.080000000005</v>
      </c>
      <c r="H277" s="15">
        <v>76.600000000000009</v>
      </c>
      <c r="I277" s="15">
        <v>4935.8200000000006</v>
      </c>
      <c r="J277" s="15">
        <v>28230.500000000004</v>
      </c>
      <c r="K277" s="16">
        <f t="shared" si="8"/>
        <v>28230.500000000004</v>
      </c>
      <c r="L277" s="16">
        <f t="shared" si="9"/>
        <v>0</v>
      </c>
    </row>
    <row r="278" spans="1:12" x14ac:dyDescent="0.25">
      <c r="A278" s="13" t="s">
        <v>15</v>
      </c>
      <c r="B278" s="13" t="s">
        <v>767</v>
      </c>
      <c r="C278" s="13" t="s">
        <v>68</v>
      </c>
      <c r="D278" s="13" t="s">
        <v>617</v>
      </c>
      <c r="E278" s="14" t="s">
        <v>300</v>
      </c>
      <c r="F278" s="14" t="s">
        <v>19</v>
      </c>
      <c r="G278" s="15">
        <v>21607.810000000005</v>
      </c>
      <c r="H278" s="15">
        <v>2548.87</v>
      </c>
      <c r="I278" s="15">
        <v>3882.72</v>
      </c>
      <c r="J278" s="15">
        <v>28039.4</v>
      </c>
      <c r="K278" s="16">
        <f t="shared" si="8"/>
        <v>28039.400000000005</v>
      </c>
      <c r="L278" s="16">
        <f t="shared" si="9"/>
        <v>-3.637978807091713E-12</v>
      </c>
    </row>
    <row r="279" spans="1:12" x14ac:dyDescent="0.25">
      <c r="A279" s="13" t="s">
        <v>15</v>
      </c>
      <c r="B279" s="13" t="s">
        <v>768</v>
      </c>
      <c r="C279" s="13" t="s">
        <v>43</v>
      </c>
      <c r="D279" s="13" t="s">
        <v>769</v>
      </c>
      <c r="E279" s="14" t="s">
        <v>605</v>
      </c>
      <c r="F279" s="14" t="s">
        <v>19</v>
      </c>
      <c r="G279" s="15">
        <v>16649.769999999997</v>
      </c>
      <c r="H279" s="15">
        <v>9012.7899999999991</v>
      </c>
      <c r="I279" s="15">
        <v>2220.1</v>
      </c>
      <c r="J279" s="15">
        <v>27882.66</v>
      </c>
      <c r="K279" s="16">
        <f t="shared" si="8"/>
        <v>27882.659999999996</v>
      </c>
      <c r="L279" s="16">
        <f t="shared" si="9"/>
        <v>3.637978807091713E-12</v>
      </c>
    </row>
    <row r="280" spans="1:12" x14ac:dyDescent="0.25">
      <c r="A280" s="13" t="s">
        <v>9</v>
      </c>
      <c r="B280" s="13" t="s">
        <v>770</v>
      </c>
      <c r="C280" s="13" t="s">
        <v>68</v>
      </c>
      <c r="D280" s="13" t="s">
        <v>771</v>
      </c>
      <c r="E280" s="14" t="s">
        <v>772</v>
      </c>
      <c r="F280" s="14" t="s">
        <v>773</v>
      </c>
      <c r="G280" s="15">
        <v>21827.79</v>
      </c>
      <c r="H280" s="15">
        <v>3408.9200000000005</v>
      </c>
      <c r="I280" s="15">
        <v>2445.2100000000005</v>
      </c>
      <c r="J280" s="15">
        <v>27681.919999999998</v>
      </c>
      <c r="K280" s="16">
        <f t="shared" si="8"/>
        <v>27681.920000000002</v>
      </c>
      <c r="L280" s="16">
        <f t="shared" si="9"/>
        <v>-3.637978807091713E-12</v>
      </c>
    </row>
    <row r="281" spans="1:12" x14ac:dyDescent="0.25">
      <c r="A281" s="13" t="s">
        <v>9</v>
      </c>
      <c r="B281" s="13" t="s">
        <v>774</v>
      </c>
      <c r="C281" s="13" t="s">
        <v>21</v>
      </c>
      <c r="D281" s="13" t="s">
        <v>558</v>
      </c>
      <c r="E281" s="14" t="s">
        <v>502</v>
      </c>
      <c r="F281" s="14" t="s">
        <v>775</v>
      </c>
      <c r="G281" s="15">
        <v>24292.570000000003</v>
      </c>
      <c r="H281" s="15">
        <v>447.72</v>
      </c>
      <c r="I281" s="15">
        <v>2860.46</v>
      </c>
      <c r="J281" s="15">
        <v>27600.75</v>
      </c>
      <c r="K281" s="16">
        <f t="shared" si="8"/>
        <v>27600.750000000004</v>
      </c>
      <c r="L281" s="16">
        <f t="shared" si="9"/>
        <v>-3.637978807091713E-12</v>
      </c>
    </row>
    <row r="282" spans="1:12" x14ac:dyDescent="0.25">
      <c r="A282" s="13" t="s">
        <v>9</v>
      </c>
      <c r="B282" s="13" t="s">
        <v>776</v>
      </c>
      <c r="C282" s="13" t="s">
        <v>68</v>
      </c>
      <c r="D282" s="13" t="s">
        <v>771</v>
      </c>
      <c r="E282" s="14" t="s">
        <v>641</v>
      </c>
      <c r="F282" s="14" t="s">
        <v>777</v>
      </c>
      <c r="G282" s="15">
        <v>21018.5</v>
      </c>
      <c r="H282" s="15">
        <v>2765.79</v>
      </c>
      <c r="I282" s="15">
        <v>3460.8999999999996</v>
      </c>
      <c r="J282" s="15">
        <v>27245.19</v>
      </c>
      <c r="K282" s="16">
        <f t="shared" si="8"/>
        <v>27245.190000000002</v>
      </c>
      <c r="L282" s="16">
        <f t="shared" si="9"/>
        <v>-3.637978807091713E-12</v>
      </c>
    </row>
    <row r="283" spans="1:12" x14ac:dyDescent="0.25">
      <c r="A283" s="13" t="s">
        <v>9</v>
      </c>
      <c r="B283" s="13" t="s">
        <v>778</v>
      </c>
      <c r="C283" s="13" t="s">
        <v>581</v>
      </c>
      <c r="D283" s="13" t="s">
        <v>718</v>
      </c>
      <c r="E283" s="14" t="s">
        <v>779</v>
      </c>
      <c r="F283" s="14" t="s">
        <v>780</v>
      </c>
      <c r="G283" s="15">
        <v>21514.610000000004</v>
      </c>
      <c r="H283" s="15">
        <v>2301.1600000000003</v>
      </c>
      <c r="I283" s="15">
        <v>3401.7500000000005</v>
      </c>
      <c r="J283" s="15">
        <v>27217.519999999997</v>
      </c>
      <c r="K283" s="16">
        <f t="shared" si="8"/>
        <v>27217.520000000004</v>
      </c>
      <c r="L283" s="16">
        <f t="shared" si="9"/>
        <v>-7.2759576141834259E-12</v>
      </c>
    </row>
    <row r="284" spans="1:12" x14ac:dyDescent="0.25">
      <c r="A284" s="13" t="s">
        <v>9</v>
      </c>
      <c r="B284" s="13" t="s">
        <v>781</v>
      </c>
      <c r="C284" s="13" t="s">
        <v>68</v>
      </c>
      <c r="D284" s="13" t="s">
        <v>782</v>
      </c>
      <c r="E284" s="14" t="s">
        <v>772</v>
      </c>
      <c r="F284" s="14" t="s">
        <v>783</v>
      </c>
      <c r="G284" s="15">
        <v>19778.28</v>
      </c>
      <c r="H284" s="15">
        <v>2709.5199999999995</v>
      </c>
      <c r="I284" s="15">
        <v>4440.57</v>
      </c>
      <c r="J284" s="15">
        <v>26928.37</v>
      </c>
      <c r="K284" s="16">
        <f t="shared" si="8"/>
        <v>26928.37</v>
      </c>
      <c r="L284" s="16">
        <f t="shared" si="9"/>
        <v>0</v>
      </c>
    </row>
    <row r="285" spans="1:12" x14ac:dyDescent="0.25">
      <c r="A285" s="13" t="s">
        <v>9</v>
      </c>
      <c r="B285" s="13" t="s">
        <v>784</v>
      </c>
      <c r="C285" s="13" t="s">
        <v>94</v>
      </c>
      <c r="D285" s="13" t="s">
        <v>678</v>
      </c>
      <c r="E285" s="14" t="s">
        <v>785</v>
      </c>
      <c r="F285" s="14" t="s">
        <v>669</v>
      </c>
      <c r="G285" s="15">
        <v>22816.74</v>
      </c>
      <c r="H285" s="15">
        <v>589.02</v>
      </c>
      <c r="I285" s="15">
        <v>3413.0299999999997</v>
      </c>
      <c r="J285" s="15">
        <v>26818.790000000005</v>
      </c>
      <c r="K285" s="16">
        <f t="shared" si="8"/>
        <v>26818.79</v>
      </c>
      <c r="L285" s="16">
        <f t="shared" si="9"/>
        <v>3.637978807091713E-12</v>
      </c>
    </row>
    <row r="286" spans="1:12" x14ac:dyDescent="0.25">
      <c r="A286" s="13" t="s">
        <v>15</v>
      </c>
      <c r="B286" s="13" t="s">
        <v>786</v>
      </c>
      <c r="C286" s="13" t="s">
        <v>43</v>
      </c>
      <c r="D286" s="13" t="s">
        <v>134</v>
      </c>
      <c r="E286" s="14" t="s">
        <v>787</v>
      </c>
      <c r="F286" s="14" t="s">
        <v>19</v>
      </c>
      <c r="G286" s="15">
        <v>19520.880000000005</v>
      </c>
      <c r="H286" s="15">
        <v>299.57</v>
      </c>
      <c r="I286" s="15">
        <v>6838.5599999999995</v>
      </c>
      <c r="J286" s="15">
        <v>26659.01</v>
      </c>
      <c r="K286" s="16">
        <f t="shared" si="8"/>
        <v>26659.010000000002</v>
      </c>
      <c r="L286" s="16">
        <f t="shared" si="9"/>
        <v>-3.637978807091713E-12</v>
      </c>
    </row>
    <row r="287" spans="1:12" x14ac:dyDescent="0.25">
      <c r="A287" s="13" t="s">
        <v>15</v>
      </c>
      <c r="B287" s="13" t="s">
        <v>788</v>
      </c>
      <c r="C287" s="13" t="s">
        <v>119</v>
      </c>
      <c r="D287" s="13" t="s">
        <v>789</v>
      </c>
      <c r="E287" s="14" t="s">
        <v>381</v>
      </c>
      <c r="F287" s="14" t="s">
        <v>19</v>
      </c>
      <c r="G287" s="15">
        <v>22133.19</v>
      </c>
      <c r="H287" s="15">
        <v>80.56</v>
      </c>
      <c r="I287" s="15">
        <v>4417.6299999999992</v>
      </c>
      <c r="J287" s="15">
        <v>26631.380000000005</v>
      </c>
      <c r="K287" s="16">
        <f t="shared" si="8"/>
        <v>26631.379999999997</v>
      </c>
      <c r="L287" s="16">
        <f t="shared" si="9"/>
        <v>7.2759576141834259E-12</v>
      </c>
    </row>
    <row r="288" spans="1:12" x14ac:dyDescent="0.25">
      <c r="A288" s="13" t="s">
        <v>9</v>
      </c>
      <c r="B288" s="13" t="s">
        <v>790</v>
      </c>
      <c r="C288" s="13" t="s">
        <v>581</v>
      </c>
      <c r="D288" s="13" t="s">
        <v>718</v>
      </c>
      <c r="E288" s="14" t="s">
        <v>409</v>
      </c>
      <c r="F288" s="14" t="s">
        <v>791</v>
      </c>
      <c r="G288" s="15">
        <v>22126.02</v>
      </c>
      <c r="H288" s="15">
        <v>633.03</v>
      </c>
      <c r="I288" s="15">
        <v>3715.3900000000003</v>
      </c>
      <c r="J288" s="15">
        <v>26474.44</v>
      </c>
      <c r="K288" s="16">
        <f t="shared" si="8"/>
        <v>26474.44</v>
      </c>
      <c r="L288" s="16">
        <f t="shared" si="9"/>
        <v>0</v>
      </c>
    </row>
    <row r="289" spans="1:12" x14ac:dyDescent="0.25">
      <c r="A289" s="13" t="s">
        <v>9</v>
      </c>
      <c r="B289" s="13" t="s">
        <v>792</v>
      </c>
      <c r="C289" s="13" t="s">
        <v>340</v>
      </c>
      <c r="D289" s="13" t="s">
        <v>727</v>
      </c>
      <c r="E289" s="14" t="s">
        <v>793</v>
      </c>
      <c r="F289" s="14" t="s">
        <v>694</v>
      </c>
      <c r="G289" s="15">
        <v>21209.500000000004</v>
      </c>
      <c r="H289" s="15">
        <v>1248.94</v>
      </c>
      <c r="I289" s="15">
        <v>3855.9399999999996</v>
      </c>
      <c r="J289" s="15">
        <v>26314.379999999994</v>
      </c>
      <c r="K289" s="16">
        <f t="shared" si="8"/>
        <v>26314.38</v>
      </c>
      <c r="L289" s="16">
        <f t="shared" si="9"/>
        <v>-7.2759576141834259E-12</v>
      </c>
    </row>
    <row r="290" spans="1:12" x14ac:dyDescent="0.25">
      <c r="A290" s="13" t="s">
        <v>9</v>
      </c>
      <c r="B290" s="13" t="s">
        <v>794</v>
      </c>
      <c r="C290" s="13" t="s">
        <v>68</v>
      </c>
      <c r="D290" s="13" t="s">
        <v>771</v>
      </c>
      <c r="E290" s="14" t="s">
        <v>772</v>
      </c>
      <c r="F290" s="14" t="s">
        <v>795</v>
      </c>
      <c r="G290" s="15">
        <v>20756.310000000001</v>
      </c>
      <c r="H290" s="15">
        <v>2410.21</v>
      </c>
      <c r="I290" s="15">
        <v>3137.38</v>
      </c>
      <c r="J290" s="15">
        <v>26303.9</v>
      </c>
      <c r="K290" s="16">
        <f t="shared" si="8"/>
        <v>26303.9</v>
      </c>
      <c r="L290" s="16">
        <f t="shared" si="9"/>
        <v>0</v>
      </c>
    </row>
    <row r="291" spans="1:12" x14ac:dyDescent="0.25">
      <c r="A291" s="13" t="s">
        <v>9</v>
      </c>
      <c r="B291" s="13" t="s">
        <v>796</v>
      </c>
      <c r="C291" s="13" t="s">
        <v>68</v>
      </c>
      <c r="D291" s="13" t="s">
        <v>771</v>
      </c>
      <c r="E291" s="14" t="s">
        <v>563</v>
      </c>
      <c r="F291" s="14" t="s">
        <v>797</v>
      </c>
      <c r="G291" s="15">
        <v>21965.550000000003</v>
      </c>
      <c r="H291" s="15">
        <v>2191.37</v>
      </c>
      <c r="I291" s="15">
        <v>2106.5500000000002</v>
      </c>
      <c r="J291" s="15">
        <v>26263.469999999998</v>
      </c>
      <c r="K291" s="16">
        <f t="shared" si="8"/>
        <v>26263.47</v>
      </c>
      <c r="L291" s="16">
        <f t="shared" si="9"/>
        <v>-3.637978807091713E-12</v>
      </c>
    </row>
    <row r="292" spans="1:12" x14ac:dyDescent="0.25">
      <c r="A292" s="13" t="s">
        <v>15</v>
      </c>
      <c r="B292" s="13" t="s">
        <v>798</v>
      </c>
      <c r="C292" s="13" t="s">
        <v>206</v>
      </c>
      <c r="D292" s="13" t="s">
        <v>799</v>
      </c>
      <c r="E292" s="14" t="s">
        <v>800</v>
      </c>
      <c r="F292" s="14" t="s">
        <v>19</v>
      </c>
      <c r="G292" s="15">
        <v>19793.29</v>
      </c>
      <c r="H292" s="15">
        <v>2108.2600000000002</v>
      </c>
      <c r="I292" s="15">
        <v>4357.96</v>
      </c>
      <c r="J292" s="15">
        <v>26259.510000000006</v>
      </c>
      <c r="K292" s="16">
        <f t="shared" si="8"/>
        <v>26259.510000000002</v>
      </c>
      <c r="L292" s="16">
        <f t="shared" si="9"/>
        <v>3.637978807091713E-12</v>
      </c>
    </row>
    <row r="293" spans="1:12" x14ac:dyDescent="0.25">
      <c r="A293" s="13" t="s">
        <v>9</v>
      </c>
      <c r="B293" s="13" t="s">
        <v>801</v>
      </c>
      <c r="C293" s="13" t="s">
        <v>43</v>
      </c>
      <c r="D293" s="13" t="s">
        <v>696</v>
      </c>
      <c r="E293" s="14" t="s">
        <v>802</v>
      </c>
      <c r="F293" s="14" t="s">
        <v>791</v>
      </c>
      <c r="G293" s="15">
        <v>23221.049999999992</v>
      </c>
      <c r="H293" s="15">
        <v>67.38</v>
      </c>
      <c r="I293" s="15">
        <v>2833.8399999999997</v>
      </c>
      <c r="J293" s="15">
        <v>26122.270000000004</v>
      </c>
      <c r="K293" s="16">
        <f t="shared" si="8"/>
        <v>26122.269999999993</v>
      </c>
      <c r="L293" s="16">
        <f t="shared" si="9"/>
        <v>1.0913936421275139E-11</v>
      </c>
    </row>
    <row r="294" spans="1:12" x14ac:dyDescent="0.25">
      <c r="A294" s="13" t="s">
        <v>15</v>
      </c>
      <c r="B294" s="13" t="s">
        <v>803</v>
      </c>
      <c r="C294" s="13" t="s">
        <v>102</v>
      </c>
      <c r="D294" s="13" t="s">
        <v>804</v>
      </c>
      <c r="E294" s="14" t="s">
        <v>536</v>
      </c>
      <c r="F294" s="14" t="s">
        <v>19</v>
      </c>
      <c r="G294" s="15">
        <v>23162.899999999994</v>
      </c>
      <c r="H294" s="15">
        <v>190.35999999999999</v>
      </c>
      <c r="I294" s="15">
        <v>2513.6400000000008</v>
      </c>
      <c r="J294" s="15">
        <v>25866.9</v>
      </c>
      <c r="K294" s="16">
        <f t="shared" si="8"/>
        <v>25866.899999999994</v>
      </c>
      <c r="L294" s="16">
        <f t="shared" si="9"/>
        <v>7.2759576141834259E-12</v>
      </c>
    </row>
    <row r="295" spans="1:12" x14ac:dyDescent="0.25">
      <c r="A295" s="13" t="s">
        <v>15</v>
      </c>
      <c r="B295" s="13" t="s">
        <v>805</v>
      </c>
      <c r="C295" s="13" t="s">
        <v>581</v>
      </c>
      <c r="D295" s="13" t="s">
        <v>718</v>
      </c>
      <c r="E295" s="14" t="s">
        <v>627</v>
      </c>
      <c r="F295" s="14" t="s">
        <v>19</v>
      </c>
      <c r="G295" s="15">
        <v>22697.580000000005</v>
      </c>
      <c r="H295" s="15">
        <v>886.06</v>
      </c>
      <c r="I295" s="15">
        <v>2245.73</v>
      </c>
      <c r="J295" s="15">
        <v>25829.370000000003</v>
      </c>
      <c r="K295" s="16">
        <f t="shared" si="8"/>
        <v>25829.370000000006</v>
      </c>
      <c r="L295" s="16">
        <f t="shared" si="9"/>
        <v>-3.637978807091713E-12</v>
      </c>
    </row>
    <row r="296" spans="1:12" x14ac:dyDescent="0.25">
      <c r="A296" s="13" t="s">
        <v>9</v>
      </c>
      <c r="B296" s="13" t="s">
        <v>806</v>
      </c>
      <c r="C296" s="13" t="s">
        <v>241</v>
      </c>
      <c r="D296" s="13" t="s">
        <v>725</v>
      </c>
      <c r="E296" s="14" t="s">
        <v>423</v>
      </c>
      <c r="F296" s="14" t="s">
        <v>274</v>
      </c>
      <c r="G296" s="15">
        <v>22469.510000000009</v>
      </c>
      <c r="H296" s="15">
        <v>848.69</v>
      </c>
      <c r="I296" s="15">
        <v>2402.42</v>
      </c>
      <c r="J296" s="15">
        <v>25720.619999999995</v>
      </c>
      <c r="K296" s="16">
        <f t="shared" si="8"/>
        <v>25720.62000000001</v>
      </c>
      <c r="L296" s="16">
        <f t="shared" si="9"/>
        <v>-1.4551915228366852E-11</v>
      </c>
    </row>
    <row r="297" spans="1:12" x14ac:dyDescent="0.25">
      <c r="A297" s="13" t="s">
        <v>15</v>
      </c>
      <c r="B297" s="13" t="s">
        <v>807</v>
      </c>
      <c r="C297" s="13" t="s">
        <v>68</v>
      </c>
      <c r="D297" s="13" t="s">
        <v>558</v>
      </c>
      <c r="E297" s="14" t="s">
        <v>208</v>
      </c>
      <c r="F297" s="14" t="s">
        <v>19</v>
      </c>
      <c r="G297" s="15">
        <v>22483.649999999998</v>
      </c>
      <c r="H297" s="15">
        <v>580.04999999999995</v>
      </c>
      <c r="I297" s="15">
        <v>2389.7599999999998</v>
      </c>
      <c r="J297" s="15">
        <v>25453.460000000003</v>
      </c>
      <c r="K297" s="16">
        <f t="shared" si="8"/>
        <v>25453.459999999995</v>
      </c>
      <c r="L297" s="16">
        <f t="shared" si="9"/>
        <v>7.2759576141834259E-12</v>
      </c>
    </row>
    <row r="298" spans="1:12" x14ac:dyDescent="0.25">
      <c r="A298" s="13" t="s">
        <v>9</v>
      </c>
      <c r="B298" s="13" t="s">
        <v>808</v>
      </c>
      <c r="C298" s="13" t="s">
        <v>477</v>
      </c>
      <c r="D298" s="13" t="s">
        <v>637</v>
      </c>
      <c r="E298" s="14" t="s">
        <v>809</v>
      </c>
      <c r="F298" s="14" t="s">
        <v>810</v>
      </c>
      <c r="G298" s="15">
        <v>16855.36</v>
      </c>
      <c r="H298" s="15">
        <v>213.44000000000003</v>
      </c>
      <c r="I298" s="15">
        <v>8213.7799999999988</v>
      </c>
      <c r="J298" s="15">
        <v>25282.580000000005</v>
      </c>
      <c r="K298" s="16">
        <f t="shared" si="8"/>
        <v>25282.579999999998</v>
      </c>
      <c r="L298" s="16">
        <f t="shared" si="9"/>
        <v>7.2759576141834259E-12</v>
      </c>
    </row>
    <row r="299" spans="1:12" x14ac:dyDescent="0.25">
      <c r="A299" s="13" t="s">
        <v>9</v>
      </c>
      <c r="B299" s="13" t="s">
        <v>811</v>
      </c>
      <c r="C299" s="13" t="s">
        <v>581</v>
      </c>
      <c r="D299" s="13" t="s">
        <v>812</v>
      </c>
      <c r="E299" s="14" t="s">
        <v>813</v>
      </c>
      <c r="F299" s="14" t="s">
        <v>814</v>
      </c>
      <c r="G299" s="15">
        <v>21814.999999999996</v>
      </c>
      <c r="H299" s="15">
        <v>464.78</v>
      </c>
      <c r="I299" s="15">
        <v>3001.92</v>
      </c>
      <c r="J299" s="15">
        <v>25281.7</v>
      </c>
      <c r="K299" s="16">
        <f t="shared" si="8"/>
        <v>25281.699999999997</v>
      </c>
      <c r="L299" s="16">
        <f t="shared" si="9"/>
        <v>3.637978807091713E-12</v>
      </c>
    </row>
    <row r="300" spans="1:12" x14ac:dyDescent="0.25">
      <c r="A300" s="13" t="s">
        <v>15</v>
      </c>
      <c r="B300" s="13" t="s">
        <v>815</v>
      </c>
      <c r="C300" s="13" t="s">
        <v>241</v>
      </c>
      <c r="D300" s="13" t="s">
        <v>816</v>
      </c>
      <c r="E300" s="14" t="s">
        <v>817</v>
      </c>
      <c r="F300" s="14" t="s">
        <v>19</v>
      </c>
      <c r="G300" s="15">
        <v>21466.99</v>
      </c>
      <c r="H300" s="15">
        <v>585.29000000000008</v>
      </c>
      <c r="I300" s="15">
        <v>2838.2300000000005</v>
      </c>
      <c r="J300" s="15">
        <v>24890.510000000002</v>
      </c>
      <c r="K300" s="16">
        <f t="shared" si="8"/>
        <v>24890.510000000002</v>
      </c>
      <c r="L300" s="16">
        <f t="shared" si="9"/>
        <v>0</v>
      </c>
    </row>
    <row r="301" spans="1:12" x14ac:dyDescent="0.25">
      <c r="A301" s="13" t="s">
        <v>9</v>
      </c>
      <c r="B301" s="13" t="s">
        <v>818</v>
      </c>
      <c r="C301" s="13" t="s">
        <v>11</v>
      </c>
      <c r="D301" s="13" t="s">
        <v>819</v>
      </c>
      <c r="E301" s="14" t="s">
        <v>820</v>
      </c>
      <c r="F301" s="14" t="s">
        <v>821</v>
      </c>
      <c r="G301" s="15">
        <v>17997.18</v>
      </c>
      <c r="H301" s="15">
        <v>448.06</v>
      </c>
      <c r="I301" s="15">
        <v>6441.5000000000009</v>
      </c>
      <c r="J301" s="15">
        <v>24886.74</v>
      </c>
      <c r="K301" s="16">
        <f t="shared" si="8"/>
        <v>24886.74</v>
      </c>
      <c r="L301" s="16">
        <f t="shared" si="9"/>
        <v>0</v>
      </c>
    </row>
    <row r="302" spans="1:12" x14ac:dyDescent="0.25">
      <c r="A302" s="13" t="s">
        <v>15</v>
      </c>
      <c r="B302" s="13" t="s">
        <v>822</v>
      </c>
      <c r="C302" s="13" t="s">
        <v>178</v>
      </c>
      <c r="D302" s="13" t="s">
        <v>700</v>
      </c>
      <c r="E302" s="14" t="s">
        <v>823</v>
      </c>
      <c r="F302" s="14" t="s">
        <v>19</v>
      </c>
      <c r="G302" s="15">
        <v>21544.45</v>
      </c>
      <c r="H302" s="15">
        <v>29.659999999999997</v>
      </c>
      <c r="I302" s="15">
        <v>2981.44</v>
      </c>
      <c r="J302" s="15">
        <v>24555.549999999996</v>
      </c>
      <c r="K302" s="16">
        <f t="shared" si="8"/>
        <v>24555.55</v>
      </c>
      <c r="L302" s="16">
        <f t="shared" si="9"/>
        <v>-3.637978807091713E-12</v>
      </c>
    </row>
    <row r="303" spans="1:12" x14ac:dyDescent="0.25">
      <c r="A303" s="13" t="s">
        <v>9</v>
      </c>
      <c r="B303" s="13" t="s">
        <v>824</v>
      </c>
      <c r="C303" s="13" t="s">
        <v>543</v>
      </c>
      <c r="D303" s="13" t="s">
        <v>825</v>
      </c>
      <c r="E303" s="14" t="s">
        <v>826</v>
      </c>
      <c r="F303" s="14" t="s">
        <v>827</v>
      </c>
      <c r="G303" s="15">
        <v>21279.03</v>
      </c>
      <c r="H303" s="15">
        <v>317.64999999999998</v>
      </c>
      <c r="I303" s="15">
        <v>2921.4500000000003</v>
      </c>
      <c r="J303" s="15">
        <v>24518.13</v>
      </c>
      <c r="K303" s="16">
        <f t="shared" si="8"/>
        <v>24518.13</v>
      </c>
      <c r="L303" s="16">
        <f t="shared" si="9"/>
        <v>0</v>
      </c>
    </row>
    <row r="304" spans="1:12" x14ac:dyDescent="0.25">
      <c r="A304" s="13" t="s">
        <v>15</v>
      </c>
      <c r="B304" s="13" t="s">
        <v>828</v>
      </c>
      <c r="C304" s="13" t="s">
        <v>178</v>
      </c>
      <c r="D304" s="13" t="s">
        <v>700</v>
      </c>
      <c r="E304" s="14" t="s">
        <v>829</v>
      </c>
      <c r="F304" s="14" t="s">
        <v>19</v>
      </c>
      <c r="G304" s="15">
        <v>18880.980000000003</v>
      </c>
      <c r="H304" s="15">
        <v>8.69</v>
      </c>
      <c r="I304" s="15">
        <v>5546.42</v>
      </c>
      <c r="J304" s="15">
        <v>24436.089999999997</v>
      </c>
      <c r="K304" s="16">
        <f t="shared" si="8"/>
        <v>24436.090000000004</v>
      </c>
      <c r="L304" s="16">
        <f t="shared" si="9"/>
        <v>-7.2759576141834259E-12</v>
      </c>
    </row>
    <row r="305" spans="1:12" x14ac:dyDescent="0.25">
      <c r="A305" s="13" t="s">
        <v>9</v>
      </c>
      <c r="B305" s="13" t="s">
        <v>830</v>
      </c>
      <c r="C305" s="13" t="s">
        <v>314</v>
      </c>
      <c r="D305" s="13" t="s">
        <v>741</v>
      </c>
      <c r="E305" s="14" t="s">
        <v>426</v>
      </c>
      <c r="F305" s="14" t="s">
        <v>831</v>
      </c>
      <c r="G305" s="15">
        <v>21762.889999999996</v>
      </c>
      <c r="H305" s="15">
        <v>74.13</v>
      </c>
      <c r="I305" s="15">
        <v>2591.59</v>
      </c>
      <c r="J305" s="15">
        <v>24428.609999999993</v>
      </c>
      <c r="K305" s="16">
        <f t="shared" si="8"/>
        <v>24428.609999999997</v>
      </c>
      <c r="L305" s="16">
        <f t="shared" si="9"/>
        <v>-3.637978807091713E-12</v>
      </c>
    </row>
    <row r="306" spans="1:12" x14ac:dyDescent="0.25">
      <c r="A306" s="13" t="s">
        <v>9</v>
      </c>
      <c r="B306" s="13" t="s">
        <v>832</v>
      </c>
      <c r="C306" s="13" t="s">
        <v>206</v>
      </c>
      <c r="D306" s="13" t="s">
        <v>833</v>
      </c>
      <c r="E306" s="14" t="s">
        <v>834</v>
      </c>
      <c r="F306" s="14" t="s">
        <v>835</v>
      </c>
      <c r="G306" s="15">
        <v>18980.450000000004</v>
      </c>
      <c r="H306" s="15">
        <v>2497.62</v>
      </c>
      <c r="I306" s="15">
        <v>2658.3999999999996</v>
      </c>
      <c r="J306" s="15">
        <v>24136.47</v>
      </c>
      <c r="K306" s="16">
        <f t="shared" si="8"/>
        <v>24136.47</v>
      </c>
      <c r="L306" s="16">
        <f t="shared" si="9"/>
        <v>0</v>
      </c>
    </row>
    <row r="307" spans="1:12" x14ac:dyDescent="0.25">
      <c r="A307" s="13" t="s">
        <v>9</v>
      </c>
      <c r="B307" s="13" t="s">
        <v>836</v>
      </c>
      <c r="C307" s="13" t="s">
        <v>38</v>
      </c>
      <c r="D307" s="13" t="s">
        <v>558</v>
      </c>
      <c r="E307" s="14" t="s">
        <v>601</v>
      </c>
      <c r="F307" s="14" t="s">
        <v>837</v>
      </c>
      <c r="G307" s="15">
        <v>20661.690000000006</v>
      </c>
      <c r="H307" s="15">
        <v>682.25999999999988</v>
      </c>
      <c r="I307" s="15">
        <v>2725.6200000000003</v>
      </c>
      <c r="J307" s="15">
        <v>24069.570000000003</v>
      </c>
      <c r="K307" s="16">
        <f t="shared" si="8"/>
        <v>24069.570000000003</v>
      </c>
      <c r="L307" s="16">
        <f t="shared" si="9"/>
        <v>0</v>
      </c>
    </row>
    <row r="308" spans="1:12" x14ac:dyDescent="0.25">
      <c r="A308" s="13" t="s">
        <v>9</v>
      </c>
      <c r="B308" s="13" t="s">
        <v>838</v>
      </c>
      <c r="C308" s="13" t="s">
        <v>178</v>
      </c>
      <c r="D308" s="13" t="s">
        <v>765</v>
      </c>
      <c r="E308" s="14" t="s">
        <v>839</v>
      </c>
      <c r="F308" s="14" t="s">
        <v>840</v>
      </c>
      <c r="G308" s="15">
        <v>20633.359999999997</v>
      </c>
      <c r="H308" s="15">
        <v>31.869999999999997</v>
      </c>
      <c r="I308" s="15">
        <v>3385.23</v>
      </c>
      <c r="J308" s="15">
        <v>24050.460000000003</v>
      </c>
      <c r="K308" s="16">
        <f t="shared" si="8"/>
        <v>24050.459999999995</v>
      </c>
      <c r="L308" s="16">
        <f t="shared" si="9"/>
        <v>7.2759576141834259E-12</v>
      </c>
    </row>
    <row r="309" spans="1:12" x14ac:dyDescent="0.25">
      <c r="A309" s="13" t="s">
        <v>15</v>
      </c>
      <c r="B309" s="13" t="s">
        <v>841</v>
      </c>
      <c r="C309" s="13" t="s">
        <v>477</v>
      </c>
      <c r="D309" s="13" t="s">
        <v>637</v>
      </c>
      <c r="E309" s="14" t="s">
        <v>842</v>
      </c>
      <c r="F309" s="14" t="s">
        <v>19</v>
      </c>
      <c r="G309" s="15">
        <v>19462.309999999998</v>
      </c>
      <c r="H309" s="15">
        <v>555.57999999999993</v>
      </c>
      <c r="I309" s="15">
        <v>3854.4399999999996</v>
      </c>
      <c r="J309" s="15">
        <v>23872.33</v>
      </c>
      <c r="K309" s="16">
        <f t="shared" si="8"/>
        <v>23872.329999999998</v>
      </c>
      <c r="L309" s="16">
        <f t="shared" si="9"/>
        <v>3.637978807091713E-12</v>
      </c>
    </row>
    <row r="310" spans="1:12" x14ac:dyDescent="0.25">
      <c r="A310" s="13" t="s">
        <v>9</v>
      </c>
      <c r="B310" s="13" t="s">
        <v>843</v>
      </c>
      <c r="C310" s="13" t="s">
        <v>581</v>
      </c>
      <c r="D310" s="13" t="s">
        <v>812</v>
      </c>
      <c r="E310" s="14" t="s">
        <v>844</v>
      </c>
      <c r="F310" s="14" t="s">
        <v>845</v>
      </c>
      <c r="G310" s="15">
        <v>20663.699999999997</v>
      </c>
      <c r="H310" s="15">
        <v>419.05000000000007</v>
      </c>
      <c r="I310" s="15">
        <v>2592.5099999999998</v>
      </c>
      <c r="J310" s="15">
        <v>23675.260000000002</v>
      </c>
      <c r="K310" s="16">
        <f t="shared" si="8"/>
        <v>23675.259999999995</v>
      </c>
      <c r="L310" s="16">
        <f t="shared" si="9"/>
        <v>7.2759576141834259E-12</v>
      </c>
    </row>
    <row r="311" spans="1:12" x14ac:dyDescent="0.25">
      <c r="A311" s="13" t="s">
        <v>15</v>
      </c>
      <c r="B311" s="13" t="s">
        <v>846</v>
      </c>
      <c r="C311" s="13" t="s">
        <v>745</v>
      </c>
      <c r="D311" s="13" t="s">
        <v>746</v>
      </c>
      <c r="E311" s="14" t="s">
        <v>482</v>
      </c>
      <c r="F311" s="14" t="s">
        <v>19</v>
      </c>
      <c r="G311" s="15">
        <v>16794.240000000002</v>
      </c>
      <c r="H311" s="15">
        <v>2.66</v>
      </c>
      <c r="I311" s="15">
        <v>6097.62</v>
      </c>
      <c r="J311" s="15">
        <v>22894.520000000004</v>
      </c>
      <c r="K311" s="16">
        <f t="shared" si="8"/>
        <v>22894.52</v>
      </c>
      <c r="L311" s="16">
        <f t="shared" si="9"/>
        <v>3.637978807091713E-12</v>
      </c>
    </row>
    <row r="312" spans="1:12" x14ac:dyDescent="0.25">
      <c r="A312" s="13" t="s">
        <v>9</v>
      </c>
      <c r="B312" s="13" t="s">
        <v>847</v>
      </c>
      <c r="C312" s="13" t="s">
        <v>43</v>
      </c>
      <c r="D312" s="13" t="s">
        <v>299</v>
      </c>
      <c r="E312" s="14" t="s">
        <v>848</v>
      </c>
      <c r="F312" s="14" t="s">
        <v>849</v>
      </c>
      <c r="G312" s="15">
        <v>20653.399999999998</v>
      </c>
      <c r="H312" s="15">
        <v>1225.82</v>
      </c>
      <c r="I312" s="15">
        <v>821.13</v>
      </c>
      <c r="J312" s="15">
        <v>22700.35</v>
      </c>
      <c r="K312" s="16">
        <f t="shared" si="8"/>
        <v>22700.35</v>
      </c>
      <c r="L312" s="16">
        <f t="shared" si="9"/>
        <v>0</v>
      </c>
    </row>
    <row r="313" spans="1:12" x14ac:dyDescent="0.25">
      <c r="A313" s="13" t="s">
        <v>9</v>
      </c>
      <c r="B313" s="13" t="s">
        <v>850</v>
      </c>
      <c r="C313" s="13" t="s">
        <v>21</v>
      </c>
      <c r="D313" s="13" t="s">
        <v>558</v>
      </c>
      <c r="E313" s="14" t="s">
        <v>851</v>
      </c>
      <c r="F313" s="14" t="s">
        <v>852</v>
      </c>
      <c r="G313" s="15">
        <v>9621.31</v>
      </c>
      <c r="H313" s="15">
        <v>125.24000000000001</v>
      </c>
      <c r="I313" s="15">
        <v>12712.119999999999</v>
      </c>
      <c r="J313" s="15">
        <v>22458.67</v>
      </c>
      <c r="K313" s="16">
        <f t="shared" si="8"/>
        <v>22458.67</v>
      </c>
      <c r="L313" s="16">
        <f t="shared" si="9"/>
        <v>0</v>
      </c>
    </row>
    <row r="314" spans="1:12" x14ac:dyDescent="0.25">
      <c r="A314" s="13" t="s">
        <v>9</v>
      </c>
      <c r="B314" s="13" t="s">
        <v>853</v>
      </c>
      <c r="C314" s="13" t="s">
        <v>241</v>
      </c>
      <c r="D314" s="13" t="s">
        <v>725</v>
      </c>
      <c r="E314" s="14" t="s">
        <v>89</v>
      </c>
      <c r="F314" s="14" t="s">
        <v>854</v>
      </c>
      <c r="G314" s="15">
        <v>19521.63</v>
      </c>
      <c r="H314" s="15">
        <v>744.89</v>
      </c>
      <c r="I314" s="15">
        <v>2011.24</v>
      </c>
      <c r="J314" s="15">
        <v>22277.760000000009</v>
      </c>
      <c r="K314" s="16">
        <f t="shared" si="8"/>
        <v>22277.760000000002</v>
      </c>
      <c r="L314" s="16">
        <f t="shared" si="9"/>
        <v>7.2759576141834259E-12</v>
      </c>
    </row>
    <row r="315" spans="1:12" x14ac:dyDescent="0.25">
      <c r="A315" s="13" t="s">
        <v>9</v>
      </c>
      <c r="B315" s="13" t="s">
        <v>855</v>
      </c>
      <c r="C315" s="13" t="s">
        <v>523</v>
      </c>
      <c r="D315" s="13" t="s">
        <v>856</v>
      </c>
      <c r="E315" s="14" t="s">
        <v>456</v>
      </c>
      <c r="F315" s="14" t="s">
        <v>857</v>
      </c>
      <c r="G315" s="15">
        <v>18909.200000000004</v>
      </c>
      <c r="H315" s="15">
        <v>407.35999999999996</v>
      </c>
      <c r="I315" s="15">
        <v>2956.2399999999993</v>
      </c>
      <c r="J315" s="15">
        <v>22272.799999999999</v>
      </c>
      <c r="K315" s="16">
        <f t="shared" si="8"/>
        <v>22272.800000000003</v>
      </c>
      <c r="L315" s="16">
        <f t="shared" si="9"/>
        <v>-3.637978807091713E-12</v>
      </c>
    </row>
    <row r="316" spans="1:12" x14ac:dyDescent="0.25">
      <c r="A316" s="13" t="s">
        <v>9</v>
      </c>
      <c r="B316" s="13" t="s">
        <v>858</v>
      </c>
      <c r="C316" s="13" t="s">
        <v>241</v>
      </c>
      <c r="D316" s="13" t="s">
        <v>734</v>
      </c>
      <c r="E316" s="14" t="s">
        <v>518</v>
      </c>
      <c r="F316" s="14" t="s">
        <v>166</v>
      </c>
      <c r="G316" s="15">
        <v>17688.419999999998</v>
      </c>
      <c r="H316" s="15">
        <v>327.90000000000003</v>
      </c>
      <c r="I316" s="15">
        <v>4147.1899999999996</v>
      </c>
      <c r="J316" s="15">
        <v>22163.510000000002</v>
      </c>
      <c r="K316" s="16">
        <f t="shared" si="8"/>
        <v>22163.51</v>
      </c>
      <c r="L316" s="16">
        <f t="shared" si="9"/>
        <v>3.637978807091713E-12</v>
      </c>
    </row>
    <row r="317" spans="1:12" x14ac:dyDescent="0.25">
      <c r="A317" s="13" t="s">
        <v>9</v>
      </c>
      <c r="B317" s="13" t="s">
        <v>859</v>
      </c>
      <c r="C317" s="13" t="s">
        <v>21</v>
      </c>
      <c r="D317" s="13" t="s">
        <v>860</v>
      </c>
      <c r="E317" s="14" t="s">
        <v>861</v>
      </c>
      <c r="F317" s="14" t="s">
        <v>122</v>
      </c>
      <c r="G317" s="15">
        <v>19575.22</v>
      </c>
      <c r="H317" s="15">
        <v>191.26000000000002</v>
      </c>
      <c r="I317" s="15">
        <v>2236.2000000000003</v>
      </c>
      <c r="J317" s="15">
        <v>22002.68</v>
      </c>
      <c r="K317" s="16">
        <f t="shared" si="8"/>
        <v>22002.68</v>
      </c>
      <c r="L317" s="16">
        <f t="shared" si="9"/>
        <v>0</v>
      </c>
    </row>
    <row r="318" spans="1:12" x14ac:dyDescent="0.25">
      <c r="A318" s="13" t="s">
        <v>15</v>
      </c>
      <c r="B318" s="13" t="s">
        <v>862</v>
      </c>
      <c r="C318" s="13" t="s">
        <v>523</v>
      </c>
      <c r="D318" s="13" t="s">
        <v>609</v>
      </c>
      <c r="E318" s="14" t="s">
        <v>89</v>
      </c>
      <c r="F318" s="14" t="s">
        <v>19</v>
      </c>
      <c r="G318" s="15">
        <v>18843.949999999997</v>
      </c>
      <c r="H318" s="15">
        <v>345.45999999999992</v>
      </c>
      <c r="I318" s="15">
        <v>2733.62</v>
      </c>
      <c r="J318" s="15">
        <v>21923.03</v>
      </c>
      <c r="K318" s="16">
        <f t="shared" si="8"/>
        <v>21923.029999999995</v>
      </c>
      <c r="L318" s="16">
        <f t="shared" si="9"/>
        <v>3.637978807091713E-12</v>
      </c>
    </row>
    <row r="319" spans="1:12" x14ac:dyDescent="0.25">
      <c r="A319" s="13" t="s">
        <v>15</v>
      </c>
      <c r="B319" s="13" t="s">
        <v>863</v>
      </c>
      <c r="C319" s="13" t="s">
        <v>21</v>
      </c>
      <c r="D319" s="13" t="s">
        <v>864</v>
      </c>
      <c r="E319" s="14" t="s">
        <v>865</v>
      </c>
      <c r="F319" s="14" t="s">
        <v>19</v>
      </c>
      <c r="G319" s="15">
        <v>18392.729999999996</v>
      </c>
      <c r="H319" s="15">
        <v>941.93000000000006</v>
      </c>
      <c r="I319" s="15">
        <v>2447.5500000000002</v>
      </c>
      <c r="J319" s="15">
        <v>21782.209999999992</v>
      </c>
      <c r="K319" s="16">
        <f t="shared" si="8"/>
        <v>21782.209999999995</v>
      </c>
      <c r="L319" s="16">
        <f t="shared" si="9"/>
        <v>-3.637978807091713E-12</v>
      </c>
    </row>
    <row r="320" spans="1:12" x14ac:dyDescent="0.25">
      <c r="A320" s="13" t="s">
        <v>15</v>
      </c>
      <c r="B320" s="13" t="s">
        <v>866</v>
      </c>
      <c r="C320" s="13" t="s">
        <v>523</v>
      </c>
      <c r="D320" s="13" t="s">
        <v>867</v>
      </c>
      <c r="E320" s="14" t="s">
        <v>868</v>
      </c>
      <c r="F320" s="14" t="s">
        <v>19</v>
      </c>
      <c r="G320" s="15">
        <v>19882.349999999999</v>
      </c>
      <c r="H320" s="15">
        <v>124.68</v>
      </c>
      <c r="I320" s="15">
        <v>1646.8800000000003</v>
      </c>
      <c r="J320" s="15">
        <v>21653.910000000003</v>
      </c>
      <c r="K320" s="16">
        <f t="shared" si="8"/>
        <v>21653.91</v>
      </c>
      <c r="L320" s="16">
        <f t="shared" si="9"/>
        <v>3.637978807091713E-12</v>
      </c>
    </row>
    <row r="321" spans="1:12" x14ac:dyDescent="0.25">
      <c r="A321" s="13" t="s">
        <v>15</v>
      </c>
      <c r="B321" s="13" t="s">
        <v>869</v>
      </c>
      <c r="C321" s="13" t="s">
        <v>523</v>
      </c>
      <c r="D321" s="13" t="s">
        <v>867</v>
      </c>
      <c r="E321" s="14" t="s">
        <v>646</v>
      </c>
      <c r="F321" s="14" t="s">
        <v>19</v>
      </c>
      <c r="G321" s="15">
        <v>18724.039999999997</v>
      </c>
      <c r="H321" s="15">
        <v>143.82999999999998</v>
      </c>
      <c r="I321" s="15">
        <v>2771.71</v>
      </c>
      <c r="J321" s="15">
        <v>21639.58</v>
      </c>
      <c r="K321" s="16">
        <f t="shared" si="8"/>
        <v>21639.579999999998</v>
      </c>
      <c r="L321" s="16">
        <f t="shared" si="9"/>
        <v>3.637978807091713E-12</v>
      </c>
    </row>
    <row r="322" spans="1:12" x14ac:dyDescent="0.25">
      <c r="A322" s="13" t="s">
        <v>9</v>
      </c>
      <c r="B322" s="13" t="s">
        <v>870</v>
      </c>
      <c r="C322" s="13" t="s">
        <v>241</v>
      </c>
      <c r="D322" s="13" t="s">
        <v>734</v>
      </c>
      <c r="E322" s="14" t="s">
        <v>871</v>
      </c>
      <c r="F322" s="14" t="s">
        <v>872</v>
      </c>
      <c r="G322" s="15">
        <v>17197.22</v>
      </c>
      <c r="H322" s="15">
        <v>142.70000000000005</v>
      </c>
      <c r="I322" s="15">
        <v>4213.7000000000007</v>
      </c>
      <c r="J322" s="15">
        <v>21553.620000000006</v>
      </c>
      <c r="K322" s="16">
        <f t="shared" si="8"/>
        <v>21553.620000000003</v>
      </c>
      <c r="L322" s="16">
        <f t="shared" si="9"/>
        <v>3.637978807091713E-12</v>
      </c>
    </row>
    <row r="323" spans="1:12" x14ac:dyDescent="0.25">
      <c r="A323" s="13" t="s">
        <v>9</v>
      </c>
      <c r="B323" s="13" t="s">
        <v>873</v>
      </c>
      <c r="C323" s="13" t="s">
        <v>206</v>
      </c>
      <c r="D323" s="13" t="s">
        <v>833</v>
      </c>
      <c r="E323" s="14" t="s">
        <v>502</v>
      </c>
      <c r="F323" s="14" t="s">
        <v>710</v>
      </c>
      <c r="G323" s="15">
        <v>16638.48</v>
      </c>
      <c r="H323" s="15">
        <v>1434.74</v>
      </c>
      <c r="I323" s="15">
        <v>3380.45</v>
      </c>
      <c r="J323" s="15">
        <v>21453.670000000002</v>
      </c>
      <c r="K323" s="16">
        <f t="shared" ref="K323:K386" si="10">SUM(G323:I323)</f>
        <v>21453.670000000002</v>
      </c>
      <c r="L323" s="16">
        <f t="shared" ref="L323:L386" si="11">SUM(J323-K323)</f>
        <v>0</v>
      </c>
    </row>
    <row r="324" spans="1:12" x14ac:dyDescent="0.25">
      <c r="A324" s="13" t="s">
        <v>9</v>
      </c>
      <c r="B324" s="13" t="s">
        <v>874</v>
      </c>
      <c r="C324" s="13" t="s">
        <v>21</v>
      </c>
      <c r="D324" s="13" t="s">
        <v>875</v>
      </c>
      <c r="E324" s="14" t="s">
        <v>793</v>
      </c>
      <c r="F324" s="14" t="s">
        <v>354</v>
      </c>
      <c r="G324" s="15">
        <v>18204.66</v>
      </c>
      <c r="H324" s="15">
        <v>181.94999999999996</v>
      </c>
      <c r="I324" s="15">
        <v>2860.3199999999997</v>
      </c>
      <c r="J324" s="15">
        <v>21246.93</v>
      </c>
      <c r="K324" s="16">
        <f t="shared" si="10"/>
        <v>21246.93</v>
      </c>
      <c r="L324" s="16">
        <f t="shared" si="11"/>
        <v>0</v>
      </c>
    </row>
    <row r="325" spans="1:12" x14ac:dyDescent="0.25">
      <c r="A325" s="13" t="s">
        <v>9</v>
      </c>
      <c r="B325" s="13" t="s">
        <v>876</v>
      </c>
      <c r="C325" s="13" t="s">
        <v>206</v>
      </c>
      <c r="D325" s="13" t="s">
        <v>877</v>
      </c>
      <c r="E325" s="14" t="s">
        <v>861</v>
      </c>
      <c r="F325" s="14" t="s">
        <v>878</v>
      </c>
      <c r="G325" s="15">
        <v>18439.079999999998</v>
      </c>
      <c r="H325" s="15">
        <v>1213.74</v>
      </c>
      <c r="I325" s="15">
        <v>766.08000000000015</v>
      </c>
      <c r="J325" s="15">
        <v>20418.900000000001</v>
      </c>
      <c r="K325" s="16">
        <f t="shared" si="10"/>
        <v>20418.900000000001</v>
      </c>
      <c r="L325" s="16">
        <f t="shared" si="11"/>
        <v>0</v>
      </c>
    </row>
    <row r="326" spans="1:12" x14ac:dyDescent="0.25">
      <c r="A326" s="13" t="s">
        <v>15</v>
      </c>
      <c r="B326" s="13" t="s">
        <v>879</v>
      </c>
      <c r="C326" s="13" t="s">
        <v>21</v>
      </c>
      <c r="D326" s="13" t="s">
        <v>443</v>
      </c>
      <c r="E326" s="14" t="s">
        <v>300</v>
      </c>
      <c r="F326" s="14" t="s">
        <v>19</v>
      </c>
      <c r="G326" s="15">
        <v>18817.009999999998</v>
      </c>
      <c r="H326" s="15">
        <v>1.95</v>
      </c>
      <c r="I326" s="15">
        <v>522.04</v>
      </c>
      <c r="J326" s="15">
        <v>19341</v>
      </c>
      <c r="K326" s="16">
        <f t="shared" si="10"/>
        <v>19341</v>
      </c>
      <c r="L326" s="16">
        <f t="shared" si="11"/>
        <v>0</v>
      </c>
    </row>
    <row r="327" spans="1:12" x14ac:dyDescent="0.25">
      <c r="A327" s="13" t="s">
        <v>15</v>
      </c>
      <c r="B327" s="13" t="s">
        <v>880</v>
      </c>
      <c r="C327" s="13" t="s">
        <v>581</v>
      </c>
      <c r="D327" s="13" t="s">
        <v>881</v>
      </c>
      <c r="E327" s="14" t="s">
        <v>809</v>
      </c>
      <c r="F327" s="14" t="s">
        <v>19</v>
      </c>
      <c r="G327" s="15">
        <v>15058.240000000002</v>
      </c>
      <c r="H327" s="15">
        <v>281.42</v>
      </c>
      <c r="I327" s="15">
        <v>3758.05</v>
      </c>
      <c r="J327" s="15">
        <v>19097.71</v>
      </c>
      <c r="K327" s="16">
        <f t="shared" si="10"/>
        <v>19097.710000000003</v>
      </c>
      <c r="L327" s="16">
        <f t="shared" si="11"/>
        <v>-3.637978807091713E-12</v>
      </c>
    </row>
    <row r="328" spans="1:12" x14ac:dyDescent="0.25">
      <c r="A328" s="13" t="s">
        <v>15</v>
      </c>
      <c r="B328" s="13" t="s">
        <v>882</v>
      </c>
      <c r="C328" s="13" t="s">
        <v>43</v>
      </c>
      <c r="D328" s="13" t="s">
        <v>562</v>
      </c>
      <c r="E328" s="14" t="s">
        <v>883</v>
      </c>
      <c r="F328" s="14" t="s">
        <v>19</v>
      </c>
      <c r="G328" s="15">
        <v>12031.640000000001</v>
      </c>
      <c r="H328" s="15">
        <v>5157.92</v>
      </c>
      <c r="I328" s="15">
        <v>633.85</v>
      </c>
      <c r="J328" s="15">
        <v>17823.409999999996</v>
      </c>
      <c r="K328" s="16">
        <f t="shared" si="10"/>
        <v>17823.41</v>
      </c>
      <c r="L328" s="16">
        <f t="shared" si="11"/>
        <v>-3.637978807091713E-12</v>
      </c>
    </row>
    <row r="329" spans="1:12" x14ac:dyDescent="0.25">
      <c r="A329" s="13" t="s">
        <v>9</v>
      </c>
      <c r="B329" s="13" t="s">
        <v>884</v>
      </c>
      <c r="C329" s="13" t="s">
        <v>21</v>
      </c>
      <c r="D329" s="13" t="s">
        <v>885</v>
      </c>
      <c r="E329" s="14" t="s">
        <v>886</v>
      </c>
      <c r="F329" s="14" t="s">
        <v>887</v>
      </c>
      <c r="G329" s="15">
        <v>7489.57</v>
      </c>
      <c r="H329" s="15">
        <v>350.04</v>
      </c>
      <c r="I329" s="15">
        <v>9236.33</v>
      </c>
      <c r="J329" s="15">
        <v>17075.940000000002</v>
      </c>
      <c r="K329" s="16">
        <f t="shared" si="10"/>
        <v>17075.939999999999</v>
      </c>
      <c r="L329" s="16">
        <f t="shared" si="11"/>
        <v>3.637978807091713E-12</v>
      </c>
    </row>
    <row r="330" spans="1:12" x14ac:dyDescent="0.25">
      <c r="A330" s="13" t="s">
        <v>15</v>
      </c>
      <c r="B330" s="13" t="s">
        <v>888</v>
      </c>
      <c r="C330" s="13" t="s">
        <v>534</v>
      </c>
      <c r="D330" s="13" t="s">
        <v>889</v>
      </c>
      <c r="E330" s="14" t="s">
        <v>848</v>
      </c>
      <c r="F330" s="14" t="s">
        <v>19</v>
      </c>
      <c r="G330" s="15">
        <v>11111.119999999999</v>
      </c>
      <c r="H330" s="15">
        <v>353.82000000000005</v>
      </c>
      <c r="I330" s="15">
        <v>5409.4000000000005</v>
      </c>
      <c r="J330" s="15">
        <v>16874.34</v>
      </c>
      <c r="K330" s="16">
        <f t="shared" si="10"/>
        <v>16874.34</v>
      </c>
      <c r="L330" s="16">
        <f t="shared" si="11"/>
        <v>0</v>
      </c>
    </row>
    <row r="331" spans="1:12" x14ac:dyDescent="0.25">
      <c r="A331" s="13" t="s">
        <v>9</v>
      </c>
      <c r="B331" s="13" t="s">
        <v>890</v>
      </c>
      <c r="C331" s="13" t="s">
        <v>43</v>
      </c>
      <c r="D331" s="13" t="s">
        <v>134</v>
      </c>
      <c r="E331" s="14" t="s">
        <v>891</v>
      </c>
      <c r="F331" s="14" t="s">
        <v>892</v>
      </c>
      <c r="G331" s="15">
        <v>8514.5199999999986</v>
      </c>
      <c r="H331" s="15">
        <v>4075.32</v>
      </c>
      <c r="I331" s="15">
        <v>4250.92</v>
      </c>
      <c r="J331" s="15">
        <v>16840.760000000002</v>
      </c>
      <c r="K331" s="16">
        <f t="shared" si="10"/>
        <v>16840.759999999998</v>
      </c>
      <c r="L331" s="16">
        <f t="shared" si="11"/>
        <v>3.637978807091713E-12</v>
      </c>
    </row>
    <row r="332" spans="1:12" x14ac:dyDescent="0.25">
      <c r="A332" s="13" t="s">
        <v>9</v>
      </c>
      <c r="B332" s="13" t="s">
        <v>893</v>
      </c>
      <c r="C332" s="13" t="s">
        <v>98</v>
      </c>
      <c r="D332" s="13" t="s">
        <v>894</v>
      </c>
      <c r="E332" s="14" t="s">
        <v>895</v>
      </c>
      <c r="F332" s="14" t="s">
        <v>896</v>
      </c>
      <c r="G332" s="15">
        <v>16755.2</v>
      </c>
      <c r="I332" s="15">
        <v>0</v>
      </c>
      <c r="J332" s="15">
        <v>16755.2</v>
      </c>
      <c r="K332" s="16">
        <f t="shared" si="10"/>
        <v>16755.2</v>
      </c>
      <c r="L332" s="16">
        <f t="shared" si="11"/>
        <v>0</v>
      </c>
    </row>
    <row r="333" spans="1:12" x14ac:dyDescent="0.25">
      <c r="A333" s="13" t="s">
        <v>15</v>
      </c>
      <c r="B333" s="13" t="s">
        <v>897</v>
      </c>
      <c r="C333" s="13" t="s">
        <v>21</v>
      </c>
      <c r="D333" s="13" t="s">
        <v>168</v>
      </c>
      <c r="E333" s="14" t="s">
        <v>665</v>
      </c>
      <c r="F333" s="14" t="s">
        <v>19</v>
      </c>
      <c r="G333" s="15">
        <v>14179.4</v>
      </c>
      <c r="H333" s="15">
        <v>1123.28</v>
      </c>
      <c r="I333" s="15">
        <v>1076.8</v>
      </c>
      <c r="J333" s="15">
        <v>16379.48</v>
      </c>
      <c r="K333" s="16">
        <f t="shared" si="10"/>
        <v>16379.48</v>
      </c>
      <c r="L333" s="16">
        <f t="shared" si="11"/>
        <v>0</v>
      </c>
    </row>
    <row r="334" spans="1:12" x14ac:dyDescent="0.25">
      <c r="A334" s="13" t="s">
        <v>15</v>
      </c>
      <c r="B334" s="13" t="s">
        <v>898</v>
      </c>
      <c r="C334" s="13" t="s">
        <v>21</v>
      </c>
      <c r="D334" s="13" t="s">
        <v>484</v>
      </c>
      <c r="E334" s="14" t="s">
        <v>899</v>
      </c>
      <c r="F334" s="14" t="s">
        <v>19</v>
      </c>
      <c r="G334" s="15">
        <v>14780.619999999999</v>
      </c>
      <c r="H334" s="15">
        <v>263.39999999999998</v>
      </c>
      <c r="I334" s="15">
        <v>1172.0900000000001</v>
      </c>
      <c r="J334" s="15">
        <v>16216.110000000002</v>
      </c>
      <c r="K334" s="16">
        <f t="shared" si="10"/>
        <v>16216.109999999999</v>
      </c>
      <c r="L334" s="16">
        <f t="shared" si="11"/>
        <v>3.637978807091713E-12</v>
      </c>
    </row>
    <row r="335" spans="1:12" x14ac:dyDescent="0.25">
      <c r="A335" s="13" t="s">
        <v>9</v>
      </c>
      <c r="B335" s="13" t="s">
        <v>900</v>
      </c>
      <c r="C335" s="13" t="s">
        <v>43</v>
      </c>
      <c r="D335" s="13" t="s">
        <v>134</v>
      </c>
      <c r="E335" s="14" t="s">
        <v>400</v>
      </c>
      <c r="F335" s="14" t="s">
        <v>901</v>
      </c>
      <c r="G335" s="15">
        <v>8528</v>
      </c>
      <c r="H335" s="15">
        <v>4836.8599999999997</v>
      </c>
      <c r="I335" s="15">
        <v>2325.4700000000003</v>
      </c>
      <c r="J335" s="15">
        <v>15690.33</v>
      </c>
      <c r="K335" s="16">
        <f t="shared" si="10"/>
        <v>15690.330000000002</v>
      </c>
      <c r="L335" s="16">
        <f t="shared" si="11"/>
        <v>-1.8189894035458565E-12</v>
      </c>
    </row>
    <row r="336" spans="1:12" x14ac:dyDescent="0.25">
      <c r="A336" s="13" t="s">
        <v>9</v>
      </c>
      <c r="B336" s="13" t="s">
        <v>902</v>
      </c>
      <c r="C336" s="13" t="s">
        <v>477</v>
      </c>
      <c r="D336" s="13" t="s">
        <v>637</v>
      </c>
      <c r="E336" s="14" t="s">
        <v>903</v>
      </c>
      <c r="F336" s="14" t="s">
        <v>512</v>
      </c>
      <c r="G336" s="15">
        <v>13893.449999999999</v>
      </c>
      <c r="I336" s="15">
        <v>1583.38</v>
      </c>
      <c r="J336" s="15">
        <v>15476.83</v>
      </c>
      <c r="K336" s="16">
        <f t="shared" si="10"/>
        <v>15476.829999999998</v>
      </c>
      <c r="L336" s="16">
        <f t="shared" si="11"/>
        <v>1.8189894035458565E-12</v>
      </c>
    </row>
    <row r="337" spans="1:12" x14ac:dyDescent="0.25">
      <c r="A337" s="13" t="s">
        <v>9</v>
      </c>
      <c r="B337" s="13" t="s">
        <v>904</v>
      </c>
      <c r="C337" s="13" t="s">
        <v>43</v>
      </c>
      <c r="D337" s="13" t="s">
        <v>299</v>
      </c>
      <c r="E337" s="14" t="s">
        <v>80</v>
      </c>
      <c r="F337" s="14" t="s">
        <v>905</v>
      </c>
      <c r="G337" s="15">
        <v>13667.939999999999</v>
      </c>
      <c r="H337" s="15">
        <v>1361.2199999999998</v>
      </c>
      <c r="I337" s="15">
        <v>105.72</v>
      </c>
      <c r="J337" s="15">
        <v>15134.880000000001</v>
      </c>
      <c r="K337" s="16">
        <f t="shared" si="10"/>
        <v>15134.879999999997</v>
      </c>
      <c r="L337" s="16">
        <f t="shared" si="11"/>
        <v>3.637978807091713E-12</v>
      </c>
    </row>
    <row r="338" spans="1:12" x14ac:dyDescent="0.25">
      <c r="A338" s="13" t="s">
        <v>9</v>
      </c>
      <c r="B338" s="13" t="s">
        <v>906</v>
      </c>
      <c r="C338" s="13" t="s">
        <v>43</v>
      </c>
      <c r="D338" s="13" t="s">
        <v>299</v>
      </c>
      <c r="E338" s="14" t="s">
        <v>907</v>
      </c>
      <c r="F338" s="14" t="s">
        <v>908</v>
      </c>
      <c r="G338" s="15">
        <v>14188.700000000003</v>
      </c>
      <c r="H338" s="15">
        <v>598.23</v>
      </c>
      <c r="I338" s="15">
        <v>279.13</v>
      </c>
      <c r="J338" s="15">
        <v>15066.060000000003</v>
      </c>
      <c r="K338" s="16">
        <f t="shared" si="10"/>
        <v>15066.060000000001</v>
      </c>
      <c r="L338" s="16">
        <f t="shared" si="11"/>
        <v>1.8189894035458565E-12</v>
      </c>
    </row>
    <row r="339" spans="1:12" x14ac:dyDescent="0.25">
      <c r="A339" s="13" t="s">
        <v>9</v>
      </c>
      <c r="B339" s="13" t="s">
        <v>909</v>
      </c>
      <c r="C339" s="13" t="s">
        <v>21</v>
      </c>
      <c r="D339" s="13" t="s">
        <v>885</v>
      </c>
      <c r="E339" s="14" t="s">
        <v>910</v>
      </c>
      <c r="F339" s="14" t="s">
        <v>826</v>
      </c>
      <c r="G339" s="15">
        <v>7515.24</v>
      </c>
      <c r="I339" s="15">
        <v>7243.51</v>
      </c>
      <c r="J339" s="15">
        <v>14758.75</v>
      </c>
      <c r="K339" s="16">
        <f t="shared" si="10"/>
        <v>14758.75</v>
      </c>
      <c r="L339" s="16">
        <f t="shared" si="11"/>
        <v>0</v>
      </c>
    </row>
    <row r="340" spans="1:12" x14ac:dyDescent="0.25">
      <c r="A340" s="13" t="s">
        <v>15</v>
      </c>
      <c r="B340" s="13" t="s">
        <v>911</v>
      </c>
      <c r="C340" s="13" t="s">
        <v>43</v>
      </c>
      <c r="D340" s="13" t="s">
        <v>134</v>
      </c>
      <c r="E340" s="14" t="s">
        <v>912</v>
      </c>
      <c r="F340" s="14" t="s">
        <v>19</v>
      </c>
      <c r="G340" s="15">
        <v>14472.32</v>
      </c>
      <c r="I340" s="15">
        <v>150.36000000000001</v>
      </c>
      <c r="J340" s="15">
        <v>14622.68</v>
      </c>
      <c r="K340" s="16">
        <f t="shared" si="10"/>
        <v>14622.68</v>
      </c>
      <c r="L340" s="16">
        <f t="shared" si="11"/>
        <v>0</v>
      </c>
    </row>
    <row r="341" spans="1:12" x14ac:dyDescent="0.25">
      <c r="A341" s="13" t="s">
        <v>9</v>
      </c>
      <c r="B341" s="13" t="s">
        <v>913</v>
      </c>
      <c r="C341" s="13" t="s">
        <v>206</v>
      </c>
      <c r="D341" s="13" t="s">
        <v>914</v>
      </c>
      <c r="E341" s="14" t="s">
        <v>834</v>
      </c>
      <c r="F341" s="14" t="s">
        <v>915</v>
      </c>
      <c r="G341" s="15">
        <v>11341.89</v>
      </c>
      <c r="H341" s="15">
        <v>2261.52</v>
      </c>
      <c r="I341" s="15">
        <v>647.67999999999995</v>
      </c>
      <c r="J341" s="15">
        <v>14251.09</v>
      </c>
      <c r="K341" s="16">
        <f t="shared" si="10"/>
        <v>14251.09</v>
      </c>
      <c r="L341" s="16">
        <f t="shared" si="11"/>
        <v>0</v>
      </c>
    </row>
    <row r="342" spans="1:12" x14ac:dyDescent="0.25">
      <c r="A342" s="13" t="s">
        <v>9</v>
      </c>
      <c r="B342" s="13" t="s">
        <v>916</v>
      </c>
      <c r="C342" s="13" t="s">
        <v>21</v>
      </c>
      <c r="D342" s="13" t="s">
        <v>864</v>
      </c>
      <c r="E342" s="14" t="s">
        <v>917</v>
      </c>
      <c r="F342" s="14" t="s">
        <v>918</v>
      </c>
      <c r="G342" s="15">
        <v>12808.820000000002</v>
      </c>
      <c r="H342" s="15">
        <v>860.45999999999992</v>
      </c>
      <c r="I342" s="15">
        <v>436.10999999999996</v>
      </c>
      <c r="J342" s="15">
        <v>14105.39</v>
      </c>
      <c r="K342" s="16">
        <f t="shared" si="10"/>
        <v>14105.390000000001</v>
      </c>
      <c r="L342" s="16">
        <f t="shared" si="11"/>
        <v>-1.8189894035458565E-12</v>
      </c>
    </row>
    <row r="343" spans="1:12" x14ac:dyDescent="0.25">
      <c r="A343" s="13" t="s">
        <v>9</v>
      </c>
      <c r="B343" s="13" t="s">
        <v>919</v>
      </c>
      <c r="C343" s="13" t="s">
        <v>21</v>
      </c>
      <c r="D343" s="13" t="s">
        <v>484</v>
      </c>
      <c r="E343" s="14" t="s">
        <v>920</v>
      </c>
      <c r="F343" s="14" t="s">
        <v>921</v>
      </c>
      <c r="G343" s="15">
        <v>12633.27</v>
      </c>
      <c r="I343" s="15">
        <v>1364.08</v>
      </c>
      <c r="J343" s="15">
        <v>13997.35</v>
      </c>
      <c r="K343" s="16">
        <f t="shared" si="10"/>
        <v>13997.35</v>
      </c>
      <c r="L343" s="16">
        <f t="shared" si="11"/>
        <v>0</v>
      </c>
    </row>
    <row r="344" spans="1:12" x14ac:dyDescent="0.25">
      <c r="A344" s="13" t="s">
        <v>9</v>
      </c>
      <c r="B344" s="13" t="s">
        <v>922</v>
      </c>
      <c r="C344" s="13" t="s">
        <v>178</v>
      </c>
      <c r="D344" s="13" t="s">
        <v>923</v>
      </c>
      <c r="E344" s="14" t="s">
        <v>924</v>
      </c>
      <c r="F344" s="14" t="s">
        <v>925</v>
      </c>
      <c r="G344" s="15">
        <v>13264.51</v>
      </c>
      <c r="I344" s="15">
        <v>688.28000000000009</v>
      </c>
      <c r="J344" s="15">
        <v>13952.79</v>
      </c>
      <c r="K344" s="16">
        <f t="shared" si="10"/>
        <v>13952.79</v>
      </c>
      <c r="L344" s="16">
        <f t="shared" si="11"/>
        <v>0</v>
      </c>
    </row>
    <row r="345" spans="1:12" x14ac:dyDescent="0.25">
      <c r="A345" s="13" t="s">
        <v>9</v>
      </c>
      <c r="B345" s="13" t="s">
        <v>926</v>
      </c>
      <c r="C345" s="13" t="s">
        <v>206</v>
      </c>
      <c r="D345" s="13" t="s">
        <v>833</v>
      </c>
      <c r="E345" s="14" t="s">
        <v>844</v>
      </c>
      <c r="F345" s="14" t="s">
        <v>927</v>
      </c>
      <c r="G345" s="15">
        <v>11445.78</v>
      </c>
      <c r="H345" s="15">
        <v>497.61999999999995</v>
      </c>
      <c r="I345" s="15">
        <v>1899.0399999999997</v>
      </c>
      <c r="J345" s="15">
        <v>13842.439999999997</v>
      </c>
      <c r="K345" s="16">
        <f t="shared" si="10"/>
        <v>13842.44</v>
      </c>
      <c r="L345" s="16">
        <f t="shared" si="11"/>
        <v>-3.637978807091713E-12</v>
      </c>
    </row>
    <row r="346" spans="1:12" x14ac:dyDescent="0.25">
      <c r="A346" s="13" t="s">
        <v>9</v>
      </c>
      <c r="B346" s="13" t="s">
        <v>928</v>
      </c>
      <c r="C346" s="13" t="s">
        <v>178</v>
      </c>
      <c r="D346" s="13" t="s">
        <v>765</v>
      </c>
      <c r="E346" s="14" t="s">
        <v>929</v>
      </c>
      <c r="F346" s="14" t="s">
        <v>930</v>
      </c>
      <c r="G346" s="15">
        <v>11209.17</v>
      </c>
      <c r="I346" s="15">
        <v>2555.2499999999991</v>
      </c>
      <c r="J346" s="15">
        <v>13764.420000000002</v>
      </c>
      <c r="K346" s="16">
        <f t="shared" si="10"/>
        <v>13764.419999999998</v>
      </c>
      <c r="L346" s="16">
        <f t="shared" si="11"/>
        <v>3.637978807091713E-12</v>
      </c>
    </row>
    <row r="347" spans="1:12" x14ac:dyDescent="0.25">
      <c r="A347" s="13" t="s">
        <v>9</v>
      </c>
      <c r="B347" s="13" t="s">
        <v>931</v>
      </c>
      <c r="C347" s="13" t="s">
        <v>241</v>
      </c>
      <c r="D347" s="13" t="s">
        <v>734</v>
      </c>
      <c r="E347" s="14" t="s">
        <v>360</v>
      </c>
      <c r="F347" s="14" t="s">
        <v>932</v>
      </c>
      <c r="G347" s="15">
        <v>9205.8100000000013</v>
      </c>
      <c r="H347" s="15">
        <v>421.5499999999999</v>
      </c>
      <c r="I347" s="15">
        <v>3715.1099999999997</v>
      </c>
      <c r="J347" s="15">
        <v>13342.470000000001</v>
      </c>
      <c r="K347" s="16">
        <f t="shared" si="10"/>
        <v>13342.470000000001</v>
      </c>
      <c r="L347" s="16">
        <f t="shared" si="11"/>
        <v>0</v>
      </c>
    </row>
    <row r="348" spans="1:12" x14ac:dyDescent="0.25">
      <c r="A348" s="13" t="s">
        <v>9</v>
      </c>
      <c r="B348" s="13" t="s">
        <v>933</v>
      </c>
      <c r="C348" s="13" t="s">
        <v>745</v>
      </c>
      <c r="D348" s="13" t="s">
        <v>934</v>
      </c>
      <c r="E348" s="14" t="s">
        <v>648</v>
      </c>
      <c r="F348" s="14" t="s">
        <v>935</v>
      </c>
      <c r="G348" s="15">
        <v>11930.85</v>
      </c>
      <c r="I348" s="15">
        <v>1372.5199999999995</v>
      </c>
      <c r="J348" s="15">
        <v>13303.369999999999</v>
      </c>
      <c r="K348" s="16">
        <f t="shared" si="10"/>
        <v>13303.369999999999</v>
      </c>
      <c r="L348" s="16">
        <f t="shared" si="11"/>
        <v>0</v>
      </c>
    </row>
    <row r="349" spans="1:12" x14ac:dyDescent="0.25">
      <c r="A349" s="13" t="s">
        <v>9</v>
      </c>
      <c r="B349" s="13" t="s">
        <v>936</v>
      </c>
      <c r="C349" s="13" t="s">
        <v>21</v>
      </c>
      <c r="D349" s="13" t="s">
        <v>168</v>
      </c>
      <c r="E349" s="14" t="s">
        <v>937</v>
      </c>
      <c r="F349" s="14" t="s">
        <v>938</v>
      </c>
      <c r="G349" s="15">
        <v>10857.710000000001</v>
      </c>
      <c r="H349" s="15">
        <v>1107.53</v>
      </c>
      <c r="I349" s="15">
        <v>619.52</v>
      </c>
      <c r="J349" s="15">
        <v>12584.759999999998</v>
      </c>
      <c r="K349" s="16">
        <f t="shared" si="10"/>
        <v>12584.760000000002</v>
      </c>
      <c r="L349" s="16">
        <f t="shared" si="11"/>
        <v>-3.637978807091713E-12</v>
      </c>
    </row>
    <row r="350" spans="1:12" x14ac:dyDescent="0.25">
      <c r="A350" s="13" t="s">
        <v>15</v>
      </c>
      <c r="B350" s="13" t="s">
        <v>939</v>
      </c>
      <c r="C350" s="13" t="s">
        <v>178</v>
      </c>
      <c r="D350" s="13" t="s">
        <v>765</v>
      </c>
      <c r="E350" s="14" t="s">
        <v>940</v>
      </c>
      <c r="F350" s="14" t="s">
        <v>19</v>
      </c>
      <c r="G350" s="15">
        <v>11364.019999999999</v>
      </c>
      <c r="I350" s="15">
        <v>1080.2499999999998</v>
      </c>
      <c r="J350" s="15">
        <v>12444.269999999999</v>
      </c>
      <c r="K350" s="16">
        <f t="shared" si="10"/>
        <v>12444.269999999999</v>
      </c>
      <c r="L350" s="16">
        <f t="shared" si="11"/>
        <v>0</v>
      </c>
    </row>
    <row r="351" spans="1:12" x14ac:dyDescent="0.25">
      <c r="A351" s="13" t="s">
        <v>9</v>
      </c>
      <c r="B351" s="13" t="s">
        <v>941</v>
      </c>
      <c r="C351" s="13" t="s">
        <v>21</v>
      </c>
      <c r="D351" s="13" t="s">
        <v>484</v>
      </c>
      <c r="E351" s="14" t="s">
        <v>942</v>
      </c>
      <c r="F351" s="14" t="s">
        <v>943</v>
      </c>
      <c r="G351" s="15">
        <v>11501.29</v>
      </c>
      <c r="H351" s="15">
        <v>61.640000000000008</v>
      </c>
      <c r="I351" s="15">
        <v>791.96</v>
      </c>
      <c r="J351" s="15">
        <v>12354.889999999998</v>
      </c>
      <c r="K351" s="16">
        <f t="shared" si="10"/>
        <v>12354.89</v>
      </c>
      <c r="L351" s="16">
        <f t="shared" si="11"/>
        <v>-1.8189894035458565E-12</v>
      </c>
    </row>
    <row r="352" spans="1:12" x14ac:dyDescent="0.25">
      <c r="A352" s="13" t="s">
        <v>9</v>
      </c>
      <c r="B352" s="13" t="s">
        <v>944</v>
      </c>
      <c r="C352" s="13" t="s">
        <v>21</v>
      </c>
      <c r="D352" s="13" t="s">
        <v>860</v>
      </c>
      <c r="E352" s="14" t="s">
        <v>728</v>
      </c>
      <c r="F352" s="14" t="s">
        <v>945</v>
      </c>
      <c r="G352" s="15">
        <v>11707.380000000003</v>
      </c>
      <c r="I352" s="15">
        <v>285.76</v>
      </c>
      <c r="J352" s="15">
        <v>11993.140000000001</v>
      </c>
      <c r="K352" s="16">
        <f t="shared" si="10"/>
        <v>11993.140000000003</v>
      </c>
      <c r="L352" s="16">
        <f t="shared" si="11"/>
        <v>-1.8189894035458565E-12</v>
      </c>
    </row>
    <row r="353" spans="1:12" x14ac:dyDescent="0.25">
      <c r="A353" s="13" t="s">
        <v>15</v>
      </c>
      <c r="B353" s="13" t="s">
        <v>946</v>
      </c>
      <c r="C353" s="13" t="s">
        <v>178</v>
      </c>
      <c r="D353" s="13" t="s">
        <v>947</v>
      </c>
      <c r="E353" s="14" t="s">
        <v>907</v>
      </c>
      <c r="F353" s="14" t="s">
        <v>19</v>
      </c>
      <c r="G353" s="15">
        <v>11006.38</v>
      </c>
      <c r="I353" s="15">
        <v>885.45999999999992</v>
      </c>
      <c r="J353" s="15">
        <v>11891.839999999998</v>
      </c>
      <c r="K353" s="16">
        <f t="shared" si="10"/>
        <v>11891.839999999998</v>
      </c>
      <c r="L353" s="16">
        <f t="shared" si="11"/>
        <v>0</v>
      </c>
    </row>
    <row r="354" spans="1:12" x14ac:dyDescent="0.25">
      <c r="A354" s="13" t="s">
        <v>9</v>
      </c>
      <c r="B354" s="13" t="s">
        <v>948</v>
      </c>
      <c r="C354" s="13" t="s">
        <v>178</v>
      </c>
      <c r="D354" s="13" t="s">
        <v>923</v>
      </c>
      <c r="E354" s="14" t="s">
        <v>555</v>
      </c>
      <c r="F354" s="14" t="s">
        <v>949</v>
      </c>
      <c r="G354" s="15">
        <v>10611.04</v>
      </c>
      <c r="I354" s="15">
        <v>1224.6300000000001</v>
      </c>
      <c r="J354" s="15">
        <v>11835.669999999998</v>
      </c>
      <c r="K354" s="16">
        <f t="shared" si="10"/>
        <v>11835.670000000002</v>
      </c>
      <c r="L354" s="16">
        <f t="shared" si="11"/>
        <v>-3.637978807091713E-12</v>
      </c>
    </row>
    <row r="355" spans="1:12" x14ac:dyDescent="0.25">
      <c r="A355" s="13" t="s">
        <v>9</v>
      </c>
      <c r="B355" s="13" t="s">
        <v>950</v>
      </c>
      <c r="C355" s="13" t="s">
        <v>477</v>
      </c>
      <c r="D355" s="13" t="s">
        <v>951</v>
      </c>
      <c r="E355" s="14" t="s">
        <v>793</v>
      </c>
      <c r="F355" s="14" t="s">
        <v>952</v>
      </c>
      <c r="G355" s="15">
        <v>10885.25</v>
      </c>
      <c r="I355" s="15">
        <v>781.5200000000001</v>
      </c>
      <c r="J355" s="15">
        <v>11666.77</v>
      </c>
      <c r="K355" s="16">
        <f t="shared" si="10"/>
        <v>11666.77</v>
      </c>
      <c r="L355" s="16">
        <f t="shared" si="11"/>
        <v>0</v>
      </c>
    </row>
    <row r="356" spans="1:12" x14ac:dyDescent="0.25">
      <c r="A356" s="13" t="s">
        <v>9</v>
      </c>
      <c r="B356" s="13" t="s">
        <v>953</v>
      </c>
      <c r="C356" s="13" t="s">
        <v>178</v>
      </c>
      <c r="D356" s="13" t="s">
        <v>765</v>
      </c>
      <c r="E356" s="14" t="s">
        <v>954</v>
      </c>
      <c r="F356" s="14" t="s">
        <v>955</v>
      </c>
      <c r="G356" s="15">
        <v>10471.620000000001</v>
      </c>
      <c r="I356" s="15">
        <v>1150.6699999999998</v>
      </c>
      <c r="J356" s="15">
        <v>11622.29</v>
      </c>
      <c r="K356" s="16">
        <f t="shared" si="10"/>
        <v>11622.29</v>
      </c>
      <c r="L356" s="16">
        <f t="shared" si="11"/>
        <v>0</v>
      </c>
    </row>
    <row r="357" spans="1:12" x14ac:dyDescent="0.25">
      <c r="A357" s="13" t="s">
        <v>9</v>
      </c>
      <c r="B357" s="13" t="s">
        <v>956</v>
      </c>
      <c r="C357" s="13" t="s">
        <v>21</v>
      </c>
      <c r="D357" s="13" t="s">
        <v>957</v>
      </c>
      <c r="E357" s="14" t="s">
        <v>958</v>
      </c>
      <c r="F357" s="14" t="s">
        <v>959</v>
      </c>
      <c r="G357" s="15">
        <v>5616</v>
      </c>
      <c r="I357" s="15">
        <v>5015.3999999999996</v>
      </c>
      <c r="J357" s="15">
        <v>10631.4</v>
      </c>
      <c r="K357" s="16">
        <f t="shared" si="10"/>
        <v>10631.4</v>
      </c>
      <c r="L357" s="16">
        <f t="shared" si="11"/>
        <v>0</v>
      </c>
    </row>
    <row r="358" spans="1:12" x14ac:dyDescent="0.25">
      <c r="A358" s="13" t="s">
        <v>15</v>
      </c>
      <c r="B358" s="13" t="s">
        <v>960</v>
      </c>
      <c r="C358" s="13" t="s">
        <v>178</v>
      </c>
      <c r="D358" s="13" t="s">
        <v>765</v>
      </c>
      <c r="E358" s="14" t="s">
        <v>839</v>
      </c>
      <c r="F358" s="14" t="s">
        <v>19</v>
      </c>
      <c r="G358" s="15">
        <v>9610.84</v>
      </c>
      <c r="I358" s="15">
        <v>843.09000000000015</v>
      </c>
      <c r="J358" s="15">
        <v>10453.929999999998</v>
      </c>
      <c r="K358" s="16">
        <f t="shared" si="10"/>
        <v>10453.93</v>
      </c>
      <c r="L358" s="16">
        <f t="shared" si="11"/>
        <v>-1.8189894035458565E-12</v>
      </c>
    </row>
    <row r="359" spans="1:12" x14ac:dyDescent="0.25">
      <c r="A359" s="13" t="s">
        <v>9</v>
      </c>
      <c r="B359" s="13" t="s">
        <v>961</v>
      </c>
      <c r="C359" s="13" t="s">
        <v>21</v>
      </c>
      <c r="D359" s="13" t="s">
        <v>962</v>
      </c>
      <c r="E359" s="14" t="s">
        <v>963</v>
      </c>
      <c r="F359" s="14" t="s">
        <v>964</v>
      </c>
      <c r="G359" s="15">
        <v>5576.2300000000005</v>
      </c>
      <c r="H359" s="15">
        <v>990.87</v>
      </c>
      <c r="I359" s="15">
        <v>3639.3499999999995</v>
      </c>
      <c r="J359" s="15">
        <v>10206.450000000001</v>
      </c>
      <c r="K359" s="16">
        <f t="shared" si="10"/>
        <v>10206.450000000001</v>
      </c>
      <c r="L359" s="16">
        <f t="shared" si="11"/>
        <v>0</v>
      </c>
    </row>
    <row r="360" spans="1:12" x14ac:dyDescent="0.25">
      <c r="A360" s="13" t="s">
        <v>9</v>
      </c>
      <c r="B360" s="13" t="s">
        <v>965</v>
      </c>
      <c r="C360" s="13" t="s">
        <v>43</v>
      </c>
      <c r="D360" s="13" t="s">
        <v>299</v>
      </c>
      <c r="E360" s="14" t="s">
        <v>907</v>
      </c>
      <c r="F360" s="14" t="s">
        <v>966</v>
      </c>
      <c r="G360" s="15">
        <v>10102.01</v>
      </c>
      <c r="I360" s="15">
        <v>0</v>
      </c>
      <c r="J360" s="15">
        <v>10102.01</v>
      </c>
      <c r="K360" s="16">
        <f t="shared" si="10"/>
        <v>10102.01</v>
      </c>
      <c r="L360" s="16">
        <f t="shared" si="11"/>
        <v>0</v>
      </c>
    </row>
    <row r="361" spans="1:12" x14ac:dyDescent="0.25">
      <c r="A361" s="13" t="s">
        <v>15</v>
      </c>
      <c r="B361" s="13" t="s">
        <v>967</v>
      </c>
      <c r="C361" s="13" t="s">
        <v>178</v>
      </c>
      <c r="D361" s="13" t="s">
        <v>765</v>
      </c>
      <c r="E361" s="14" t="s">
        <v>968</v>
      </c>
      <c r="F361" s="14" t="s">
        <v>19</v>
      </c>
      <c r="G361" s="15">
        <v>8825.9700000000012</v>
      </c>
      <c r="I361" s="15">
        <v>994.11000000000013</v>
      </c>
      <c r="J361" s="15">
        <v>9820.0800000000017</v>
      </c>
      <c r="K361" s="16">
        <f t="shared" si="10"/>
        <v>9820.0800000000017</v>
      </c>
      <c r="L361" s="16">
        <f t="shared" si="11"/>
        <v>0</v>
      </c>
    </row>
    <row r="362" spans="1:12" x14ac:dyDescent="0.25">
      <c r="A362" s="13" t="s">
        <v>9</v>
      </c>
      <c r="B362" s="13" t="s">
        <v>969</v>
      </c>
      <c r="C362" s="13" t="s">
        <v>38</v>
      </c>
      <c r="D362" s="13" t="s">
        <v>489</v>
      </c>
      <c r="E362" s="14" t="s">
        <v>970</v>
      </c>
      <c r="F362" s="14" t="s">
        <v>971</v>
      </c>
      <c r="G362" s="15">
        <v>7248.5300000000007</v>
      </c>
      <c r="H362" s="15">
        <v>98.87</v>
      </c>
      <c r="I362" s="15">
        <v>2068.61</v>
      </c>
      <c r="J362" s="15">
        <v>9416.01</v>
      </c>
      <c r="K362" s="16">
        <f t="shared" si="10"/>
        <v>9416.01</v>
      </c>
      <c r="L362" s="16">
        <f t="shared" si="11"/>
        <v>0</v>
      </c>
    </row>
    <row r="363" spans="1:12" x14ac:dyDescent="0.25">
      <c r="A363" s="13" t="s">
        <v>9</v>
      </c>
      <c r="B363" s="13" t="s">
        <v>972</v>
      </c>
      <c r="C363" s="13" t="s">
        <v>43</v>
      </c>
      <c r="D363" s="13" t="s">
        <v>137</v>
      </c>
      <c r="E363" s="14" t="s">
        <v>973</v>
      </c>
      <c r="F363" s="14" t="s">
        <v>974</v>
      </c>
      <c r="G363" s="15">
        <v>8751.73</v>
      </c>
      <c r="I363" s="15">
        <v>0</v>
      </c>
      <c r="J363" s="15">
        <v>8751.73</v>
      </c>
      <c r="K363" s="16">
        <f t="shared" si="10"/>
        <v>8751.73</v>
      </c>
      <c r="L363" s="16">
        <f t="shared" si="11"/>
        <v>0</v>
      </c>
    </row>
    <row r="364" spans="1:12" x14ac:dyDescent="0.25">
      <c r="A364" s="13" t="s">
        <v>15</v>
      </c>
      <c r="B364" s="13" t="s">
        <v>975</v>
      </c>
      <c r="C364" s="13" t="s">
        <v>21</v>
      </c>
      <c r="D364" s="13" t="s">
        <v>875</v>
      </c>
      <c r="E364" s="14" t="s">
        <v>970</v>
      </c>
      <c r="F364" s="14" t="s">
        <v>19</v>
      </c>
      <c r="G364" s="15">
        <v>6918.55</v>
      </c>
      <c r="H364" s="15">
        <v>576.96999999999991</v>
      </c>
      <c r="I364" s="15">
        <v>220.37</v>
      </c>
      <c r="J364" s="15">
        <v>7715.89</v>
      </c>
      <c r="K364" s="16">
        <f t="shared" si="10"/>
        <v>7715.89</v>
      </c>
      <c r="L364" s="16">
        <f t="shared" si="11"/>
        <v>0</v>
      </c>
    </row>
    <row r="365" spans="1:12" x14ac:dyDescent="0.25">
      <c r="A365" s="13" t="s">
        <v>9</v>
      </c>
      <c r="B365" s="13" t="s">
        <v>976</v>
      </c>
      <c r="C365" s="13" t="s">
        <v>340</v>
      </c>
      <c r="D365" s="13" t="s">
        <v>727</v>
      </c>
      <c r="E365" s="14" t="s">
        <v>977</v>
      </c>
      <c r="F365" s="14" t="s">
        <v>978</v>
      </c>
      <c r="G365" s="15">
        <v>7256.27</v>
      </c>
      <c r="H365" s="15">
        <v>82.399999999999991</v>
      </c>
      <c r="I365" s="15">
        <v>324.87</v>
      </c>
      <c r="J365" s="15">
        <v>7663.5400000000009</v>
      </c>
      <c r="K365" s="16">
        <f t="shared" si="10"/>
        <v>7663.54</v>
      </c>
      <c r="L365" s="16">
        <f t="shared" si="11"/>
        <v>9.0949470177292824E-13</v>
      </c>
    </row>
    <row r="366" spans="1:12" x14ac:dyDescent="0.25">
      <c r="A366" s="13" t="s">
        <v>9</v>
      </c>
      <c r="B366" s="13" t="s">
        <v>979</v>
      </c>
      <c r="C366" s="13" t="s">
        <v>178</v>
      </c>
      <c r="D366" s="13" t="s">
        <v>980</v>
      </c>
      <c r="E366" s="14" t="s">
        <v>871</v>
      </c>
      <c r="F366" s="14" t="s">
        <v>981</v>
      </c>
      <c r="G366" s="15">
        <v>6555.42</v>
      </c>
      <c r="I366" s="15">
        <v>497.38000000000005</v>
      </c>
      <c r="J366" s="15">
        <v>7052.8</v>
      </c>
      <c r="K366" s="16">
        <f t="shared" si="10"/>
        <v>7052.8</v>
      </c>
      <c r="L366" s="16">
        <f t="shared" si="11"/>
        <v>0</v>
      </c>
    </row>
    <row r="367" spans="1:12" x14ac:dyDescent="0.25">
      <c r="A367" s="13" t="s">
        <v>9</v>
      </c>
      <c r="B367" s="13" t="s">
        <v>982</v>
      </c>
      <c r="C367" s="13" t="s">
        <v>206</v>
      </c>
      <c r="D367" s="13" t="s">
        <v>833</v>
      </c>
      <c r="E367" s="14" t="s">
        <v>977</v>
      </c>
      <c r="F367" s="14" t="s">
        <v>983</v>
      </c>
      <c r="G367" s="15">
        <v>6365.7899999999991</v>
      </c>
      <c r="H367" s="15">
        <v>352.65000000000003</v>
      </c>
      <c r="I367" s="15">
        <v>300.79000000000002</v>
      </c>
      <c r="J367" s="15">
        <v>7019.23</v>
      </c>
      <c r="K367" s="16">
        <f t="shared" si="10"/>
        <v>7019.2299999999987</v>
      </c>
      <c r="L367" s="16">
        <f t="shared" si="11"/>
        <v>9.0949470177292824E-13</v>
      </c>
    </row>
    <row r="368" spans="1:12" x14ac:dyDescent="0.25">
      <c r="A368" s="13" t="s">
        <v>9</v>
      </c>
      <c r="B368" s="13" t="s">
        <v>984</v>
      </c>
      <c r="C368" s="13" t="s">
        <v>543</v>
      </c>
      <c r="D368" s="13" t="s">
        <v>985</v>
      </c>
      <c r="E368" s="14" t="s">
        <v>986</v>
      </c>
      <c r="F368" s="14" t="s">
        <v>987</v>
      </c>
      <c r="G368" s="15">
        <v>6492.7599999999993</v>
      </c>
      <c r="H368" s="15">
        <v>174.91</v>
      </c>
      <c r="I368" s="15">
        <v>303.8</v>
      </c>
      <c r="J368" s="15">
        <v>6971.4699999999993</v>
      </c>
      <c r="K368" s="16">
        <f t="shared" si="10"/>
        <v>6971.4699999999993</v>
      </c>
      <c r="L368" s="16">
        <f t="shared" si="11"/>
        <v>0</v>
      </c>
    </row>
    <row r="369" spans="1:12" x14ac:dyDescent="0.25">
      <c r="A369" s="13" t="s">
        <v>9</v>
      </c>
      <c r="B369" s="13" t="s">
        <v>988</v>
      </c>
      <c r="C369" s="13" t="s">
        <v>206</v>
      </c>
      <c r="D369" s="13" t="s">
        <v>914</v>
      </c>
      <c r="E369" s="14" t="s">
        <v>970</v>
      </c>
      <c r="F369" s="14" t="s">
        <v>989</v>
      </c>
      <c r="G369" s="15">
        <v>5986.16</v>
      </c>
      <c r="H369" s="15">
        <v>472.24000000000007</v>
      </c>
      <c r="I369" s="15">
        <v>358.72</v>
      </c>
      <c r="J369" s="15">
        <v>6817.119999999999</v>
      </c>
      <c r="K369" s="16">
        <f t="shared" si="10"/>
        <v>6817.12</v>
      </c>
      <c r="L369" s="16">
        <f t="shared" si="11"/>
        <v>-9.0949470177292824E-13</v>
      </c>
    </row>
    <row r="370" spans="1:12" x14ac:dyDescent="0.25">
      <c r="A370" s="13" t="s">
        <v>15</v>
      </c>
      <c r="B370" s="13" t="s">
        <v>990</v>
      </c>
      <c r="C370" s="13" t="s">
        <v>178</v>
      </c>
      <c r="D370" s="13" t="s">
        <v>765</v>
      </c>
      <c r="E370" s="14" t="s">
        <v>728</v>
      </c>
      <c r="F370" s="14" t="s">
        <v>19</v>
      </c>
      <c r="G370" s="15">
        <v>5641.9100000000017</v>
      </c>
      <c r="I370" s="15">
        <v>514.72</v>
      </c>
      <c r="J370" s="15">
        <v>6156.630000000001</v>
      </c>
      <c r="K370" s="16">
        <f t="shared" si="10"/>
        <v>6156.6300000000019</v>
      </c>
      <c r="L370" s="16">
        <f t="shared" si="11"/>
        <v>-9.0949470177292824E-13</v>
      </c>
    </row>
    <row r="371" spans="1:12" x14ac:dyDescent="0.25">
      <c r="A371" s="13" t="s">
        <v>9</v>
      </c>
      <c r="B371" s="13" t="s">
        <v>991</v>
      </c>
      <c r="C371" s="13" t="s">
        <v>43</v>
      </c>
      <c r="D371" s="13" t="s">
        <v>299</v>
      </c>
      <c r="E371" s="14" t="s">
        <v>883</v>
      </c>
      <c r="F371" s="14" t="s">
        <v>992</v>
      </c>
      <c r="G371" s="15">
        <v>5128.53</v>
      </c>
      <c r="H371" s="15">
        <v>288.10000000000002</v>
      </c>
      <c r="I371" s="15">
        <v>674.13000000000011</v>
      </c>
      <c r="J371" s="15">
        <v>6090.76</v>
      </c>
      <c r="K371" s="16">
        <f t="shared" si="10"/>
        <v>6090.76</v>
      </c>
      <c r="L371" s="16">
        <f t="shared" si="11"/>
        <v>0</v>
      </c>
    </row>
    <row r="372" spans="1:12" x14ac:dyDescent="0.25">
      <c r="A372" s="13" t="s">
        <v>9</v>
      </c>
      <c r="B372" s="13" t="s">
        <v>993</v>
      </c>
      <c r="C372" s="13" t="s">
        <v>206</v>
      </c>
      <c r="D372" s="13" t="s">
        <v>994</v>
      </c>
      <c r="E372" s="14" t="s">
        <v>709</v>
      </c>
      <c r="F372" s="14" t="s">
        <v>995</v>
      </c>
      <c r="G372" s="15">
        <v>5711.93</v>
      </c>
      <c r="H372" s="15">
        <v>243.39</v>
      </c>
      <c r="I372" s="15">
        <v>0</v>
      </c>
      <c r="J372" s="15">
        <v>5955.32</v>
      </c>
      <c r="K372" s="16">
        <f t="shared" si="10"/>
        <v>5955.3200000000006</v>
      </c>
      <c r="L372" s="16">
        <f t="shared" si="11"/>
        <v>-9.0949470177292824E-13</v>
      </c>
    </row>
    <row r="373" spans="1:12" x14ac:dyDescent="0.25">
      <c r="A373" s="13" t="s">
        <v>9</v>
      </c>
      <c r="B373" s="13" t="s">
        <v>996</v>
      </c>
      <c r="C373" s="13" t="s">
        <v>43</v>
      </c>
      <c r="D373" s="13" t="s">
        <v>299</v>
      </c>
      <c r="E373" s="14" t="s">
        <v>473</v>
      </c>
      <c r="F373" s="14" t="s">
        <v>997</v>
      </c>
      <c r="G373" s="15">
        <v>5814.89</v>
      </c>
      <c r="I373" s="15">
        <v>0</v>
      </c>
      <c r="J373" s="15">
        <v>5814.89</v>
      </c>
      <c r="K373" s="16">
        <f t="shared" si="10"/>
        <v>5814.89</v>
      </c>
      <c r="L373" s="16">
        <f t="shared" si="11"/>
        <v>0</v>
      </c>
    </row>
    <row r="374" spans="1:12" x14ac:dyDescent="0.25">
      <c r="A374" s="13" t="s">
        <v>9</v>
      </c>
      <c r="B374" s="13" t="s">
        <v>998</v>
      </c>
      <c r="C374" s="13" t="s">
        <v>21</v>
      </c>
      <c r="D374" s="13" t="s">
        <v>962</v>
      </c>
      <c r="E374" s="14" t="s">
        <v>999</v>
      </c>
      <c r="F374" s="14" t="s">
        <v>1000</v>
      </c>
      <c r="G374" s="15">
        <v>3206.36</v>
      </c>
      <c r="H374" s="15">
        <v>806.56999999999994</v>
      </c>
      <c r="I374" s="15">
        <v>1791.5300000000002</v>
      </c>
      <c r="J374" s="15">
        <v>5804.46</v>
      </c>
      <c r="K374" s="16">
        <f t="shared" si="10"/>
        <v>5804.4600000000009</v>
      </c>
      <c r="L374" s="16">
        <f t="shared" si="11"/>
        <v>-9.0949470177292824E-13</v>
      </c>
    </row>
    <row r="375" spans="1:12" x14ac:dyDescent="0.25">
      <c r="A375" s="13" t="s">
        <v>9</v>
      </c>
      <c r="B375" s="13" t="s">
        <v>1001</v>
      </c>
      <c r="C375" s="13" t="s">
        <v>21</v>
      </c>
      <c r="D375" s="13" t="s">
        <v>957</v>
      </c>
      <c r="E375" s="14" t="s">
        <v>294</v>
      </c>
      <c r="F375" s="14" t="s">
        <v>1002</v>
      </c>
      <c r="G375" s="15">
        <v>2995.2000000000003</v>
      </c>
      <c r="I375" s="15">
        <v>2613</v>
      </c>
      <c r="J375" s="15">
        <v>5608.1999999999989</v>
      </c>
      <c r="K375" s="16">
        <f t="shared" si="10"/>
        <v>5608.2000000000007</v>
      </c>
      <c r="L375" s="16">
        <f t="shared" si="11"/>
        <v>-1.8189894035458565E-12</v>
      </c>
    </row>
    <row r="376" spans="1:12" x14ac:dyDescent="0.25">
      <c r="A376" s="13" t="s">
        <v>9</v>
      </c>
      <c r="B376" s="13" t="s">
        <v>1003</v>
      </c>
      <c r="C376" s="13" t="s">
        <v>1004</v>
      </c>
      <c r="D376" s="13" t="s">
        <v>1005</v>
      </c>
      <c r="E376" s="14" t="s">
        <v>1006</v>
      </c>
      <c r="F376" s="14" t="s">
        <v>1007</v>
      </c>
      <c r="G376" s="15">
        <v>3571.33</v>
      </c>
      <c r="I376" s="15">
        <v>1685.18</v>
      </c>
      <c r="J376" s="15">
        <v>5256.51</v>
      </c>
      <c r="K376" s="16">
        <f t="shared" si="10"/>
        <v>5256.51</v>
      </c>
      <c r="L376" s="16">
        <f t="shared" si="11"/>
        <v>0</v>
      </c>
    </row>
    <row r="377" spans="1:12" x14ac:dyDescent="0.25">
      <c r="A377" s="13" t="s">
        <v>9</v>
      </c>
      <c r="B377" s="13" t="s">
        <v>1008</v>
      </c>
      <c r="C377" s="13" t="s">
        <v>241</v>
      </c>
      <c r="D377" s="13" t="s">
        <v>734</v>
      </c>
      <c r="E377" s="14" t="s">
        <v>1009</v>
      </c>
      <c r="F377" s="14" t="s">
        <v>628</v>
      </c>
      <c r="G377" s="15">
        <v>4964.88</v>
      </c>
      <c r="H377" s="15">
        <v>14.44</v>
      </c>
      <c r="I377" s="15">
        <v>243.28999999999996</v>
      </c>
      <c r="J377" s="15">
        <v>5222.6099999999997</v>
      </c>
      <c r="K377" s="16">
        <f t="shared" si="10"/>
        <v>5222.6099999999997</v>
      </c>
      <c r="L377" s="16">
        <f t="shared" si="11"/>
        <v>0</v>
      </c>
    </row>
    <row r="378" spans="1:12" x14ac:dyDescent="0.25">
      <c r="A378" s="13" t="s">
        <v>9</v>
      </c>
      <c r="B378" s="13" t="s">
        <v>1010</v>
      </c>
      <c r="C378" s="13" t="s">
        <v>21</v>
      </c>
      <c r="D378" s="13" t="s">
        <v>962</v>
      </c>
      <c r="E378" s="14" t="s">
        <v>868</v>
      </c>
      <c r="F378" s="14" t="s">
        <v>1011</v>
      </c>
      <c r="G378" s="15">
        <v>4124.82</v>
      </c>
      <c r="H378" s="15">
        <v>95.1</v>
      </c>
      <c r="I378" s="15">
        <v>903.31000000000006</v>
      </c>
      <c r="J378" s="15">
        <v>5123.2299999999996</v>
      </c>
      <c r="K378" s="16">
        <f t="shared" si="10"/>
        <v>5123.2300000000005</v>
      </c>
      <c r="L378" s="16">
        <f t="shared" si="11"/>
        <v>-9.0949470177292824E-13</v>
      </c>
    </row>
    <row r="379" spans="1:12" x14ac:dyDescent="0.25">
      <c r="A379" s="13" t="s">
        <v>15</v>
      </c>
      <c r="B379" s="13" t="s">
        <v>1012</v>
      </c>
      <c r="C379" s="13" t="s">
        <v>178</v>
      </c>
      <c r="D379" s="13" t="s">
        <v>765</v>
      </c>
      <c r="E379" s="14" t="s">
        <v>1013</v>
      </c>
      <c r="F379" s="14" t="s">
        <v>19</v>
      </c>
      <c r="G379" s="15">
        <v>4364.05</v>
      </c>
      <c r="I379" s="15">
        <v>367.56</v>
      </c>
      <c r="J379" s="15">
        <v>4731.6100000000006</v>
      </c>
      <c r="K379" s="16">
        <f t="shared" si="10"/>
        <v>4731.6100000000006</v>
      </c>
      <c r="L379" s="16">
        <f t="shared" si="11"/>
        <v>0</v>
      </c>
    </row>
    <row r="380" spans="1:12" x14ac:dyDescent="0.25">
      <c r="A380" s="13" t="s">
        <v>9</v>
      </c>
      <c r="B380" s="13" t="s">
        <v>1014</v>
      </c>
      <c r="C380" s="13" t="s">
        <v>523</v>
      </c>
      <c r="D380" s="13" t="s">
        <v>856</v>
      </c>
      <c r="E380" s="14" t="s">
        <v>1009</v>
      </c>
      <c r="F380" s="14" t="s">
        <v>1015</v>
      </c>
      <c r="G380" s="15">
        <v>4470.37</v>
      </c>
      <c r="H380" s="15">
        <v>23.62</v>
      </c>
      <c r="I380" s="15">
        <v>104.08</v>
      </c>
      <c r="J380" s="15">
        <v>4598.07</v>
      </c>
      <c r="K380" s="16">
        <f t="shared" si="10"/>
        <v>4598.07</v>
      </c>
      <c r="L380" s="16">
        <f t="shared" si="11"/>
        <v>0</v>
      </c>
    </row>
    <row r="381" spans="1:12" x14ac:dyDescent="0.25">
      <c r="A381" s="13" t="s">
        <v>9</v>
      </c>
      <c r="B381" s="13" t="s">
        <v>1016</v>
      </c>
      <c r="C381" s="13" t="s">
        <v>43</v>
      </c>
      <c r="D381" s="13" t="s">
        <v>299</v>
      </c>
      <c r="E381" s="14" t="s">
        <v>273</v>
      </c>
      <c r="F381" s="14" t="s">
        <v>1017</v>
      </c>
      <c r="G381" s="15">
        <v>4465.7599999999993</v>
      </c>
      <c r="I381" s="15">
        <v>0</v>
      </c>
      <c r="J381" s="15">
        <v>4465.7599999999993</v>
      </c>
      <c r="K381" s="16">
        <f t="shared" si="10"/>
        <v>4465.7599999999993</v>
      </c>
      <c r="L381" s="16">
        <f t="shared" si="11"/>
        <v>0</v>
      </c>
    </row>
    <row r="382" spans="1:12" x14ac:dyDescent="0.25">
      <c r="A382" s="13" t="s">
        <v>9</v>
      </c>
      <c r="B382" s="13" t="s">
        <v>1018</v>
      </c>
      <c r="C382" s="13" t="s">
        <v>21</v>
      </c>
      <c r="D382" s="13" t="s">
        <v>484</v>
      </c>
      <c r="E382" s="14" t="s">
        <v>89</v>
      </c>
      <c r="F382" s="14" t="s">
        <v>1019</v>
      </c>
      <c r="G382" s="15">
        <v>3454.79</v>
      </c>
      <c r="H382" s="15">
        <v>62.25</v>
      </c>
      <c r="I382" s="15">
        <v>826.05</v>
      </c>
      <c r="J382" s="15">
        <v>4343.09</v>
      </c>
      <c r="K382" s="16">
        <f t="shared" si="10"/>
        <v>4343.09</v>
      </c>
      <c r="L382" s="16">
        <f t="shared" si="11"/>
        <v>0</v>
      </c>
    </row>
    <row r="383" spans="1:12" x14ac:dyDescent="0.25">
      <c r="A383" s="13" t="s">
        <v>9</v>
      </c>
      <c r="B383" s="13" t="s">
        <v>1020</v>
      </c>
      <c r="C383" s="13" t="s">
        <v>241</v>
      </c>
      <c r="D383" s="13" t="s">
        <v>734</v>
      </c>
      <c r="E383" s="14" t="s">
        <v>404</v>
      </c>
      <c r="F383" s="14" t="s">
        <v>1021</v>
      </c>
      <c r="G383" s="15">
        <v>3953.87</v>
      </c>
      <c r="H383" s="15">
        <v>14.05</v>
      </c>
      <c r="I383" s="15">
        <v>208.16</v>
      </c>
      <c r="J383" s="15">
        <v>4176.08</v>
      </c>
      <c r="K383" s="16">
        <f t="shared" si="10"/>
        <v>4176.08</v>
      </c>
      <c r="L383" s="16">
        <f t="shared" si="11"/>
        <v>0</v>
      </c>
    </row>
    <row r="384" spans="1:12" x14ac:dyDescent="0.25">
      <c r="A384" s="13" t="s">
        <v>15</v>
      </c>
      <c r="B384" s="13" t="s">
        <v>1022</v>
      </c>
      <c r="C384" s="13" t="s">
        <v>21</v>
      </c>
      <c r="D384" s="13" t="s">
        <v>153</v>
      </c>
      <c r="E384" s="14" t="s">
        <v>1023</v>
      </c>
      <c r="F384" s="14" t="s">
        <v>19</v>
      </c>
      <c r="I384" s="15">
        <v>4130</v>
      </c>
      <c r="J384" s="15">
        <v>4130</v>
      </c>
      <c r="K384" s="16">
        <f t="shared" si="10"/>
        <v>4130</v>
      </c>
      <c r="L384" s="16">
        <f t="shared" si="11"/>
        <v>0</v>
      </c>
    </row>
    <row r="385" spans="1:12" x14ac:dyDescent="0.25">
      <c r="A385" s="13" t="s">
        <v>9</v>
      </c>
      <c r="B385" s="13" t="s">
        <v>1024</v>
      </c>
      <c r="C385" s="13" t="s">
        <v>206</v>
      </c>
      <c r="D385" s="13" t="s">
        <v>994</v>
      </c>
      <c r="E385" s="14" t="s">
        <v>970</v>
      </c>
      <c r="F385" s="14" t="s">
        <v>995</v>
      </c>
      <c r="G385" s="15">
        <v>4108.8099999999995</v>
      </c>
      <c r="I385" s="15">
        <v>0</v>
      </c>
      <c r="J385" s="15">
        <v>4108.8099999999995</v>
      </c>
      <c r="K385" s="16">
        <f t="shared" si="10"/>
        <v>4108.8099999999995</v>
      </c>
      <c r="L385" s="16">
        <f t="shared" si="11"/>
        <v>0</v>
      </c>
    </row>
    <row r="386" spans="1:12" x14ac:dyDescent="0.25">
      <c r="A386" s="13" t="s">
        <v>9</v>
      </c>
      <c r="B386" s="13" t="s">
        <v>1025</v>
      </c>
      <c r="C386" s="13" t="s">
        <v>43</v>
      </c>
      <c r="D386" s="13" t="s">
        <v>134</v>
      </c>
      <c r="E386" s="14" t="s">
        <v>300</v>
      </c>
      <c r="F386" s="14" t="s">
        <v>1026</v>
      </c>
      <c r="G386" s="15">
        <v>3897.5600000000004</v>
      </c>
      <c r="I386" s="15">
        <v>0</v>
      </c>
      <c r="J386" s="15">
        <v>3897.5600000000004</v>
      </c>
      <c r="K386" s="16">
        <f t="shared" si="10"/>
        <v>3897.5600000000004</v>
      </c>
      <c r="L386" s="16">
        <f t="shared" si="11"/>
        <v>0</v>
      </c>
    </row>
    <row r="387" spans="1:12" x14ac:dyDescent="0.25">
      <c r="A387" s="13" t="s">
        <v>15</v>
      </c>
      <c r="B387" s="13" t="s">
        <v>1027</v>
      </c>
      <c r="C387" s="13" t="s">
        <v>21</v>
      </c>
      <c r="D387" s="13" t="s">
        <v>957</v>
      </c>
      <c r="E387" s="14" t="s">
        <v>288</v>
      </c>
      <c r="F387" s="14" t="s">
        <v>19</v>
      </c>
      <c r="G387" s="15">
        <v>1950</v>
      </c>
      <c r="I387" s="15">
        <v>1770.6</v>
      </c>
      <c r="J387" s="15">
        <v>3720.6000000000008</v>
      </c>
      <c r="K387" s="16">
        <f t="shared" ref="K387:K428" si="12">SUM(G387:I387)</f>
        <v>3720.6</v>
      </c>
      <c r="L387" s="16">
        <f t="shared" ref="L387:L430" si="13">SUM(J387-K387)</f>
        <v>9.0949470177292824E-13</v>
      </c>
    </row>
    <row r="388" spans="1:12" x14ac:dyDescent="0.25">
      <c r="A388" s="13" t="s">
        <v>9</v>
      </c>
      <c r="B388" s="13" t="s">
        <v>1028</v>
      </c>
      <c r="C388" s="13" t="s">
        <v>206</v>
      </c>
      <c r="D388" s="13" t="s">
        <v>833</v>
      </c>
      <c r="E388" s="14" t="s">
        <v>641</v>
      </c>
      <c r="F388" s="14" t="s">
        <v>1029</v>
      </c>
      <c r="G388" s="15">
        <v>3352.0400000000004</v>
      </c>
      <c r="I388" s="15">
        <v>357.86</v>
      </c>
      <c r="J388" s="15">
        <v>3709.9</v>
      </c>
      <c r="K388" s="16">
        <f t="shared" si="12"/>
        <v>3709.9000000000005</v>
      </c>
      <c r="L388" s="16">
        <f t="shared" si="13"/>
        <v>-4.5474735088646412E-13</v>
      </c>
    </row>
    <row r="389" spans="1:12" x14ac:dyDescent="0.25">
      <c r="A389" s="13" t="s">
        <v>9</v>
      </c>
      <c r="B389" s="13" t="s">
        <v>1030</v>
      </c>
      <c r="C389" s="13" t="s">
        <v>21</v>
      </c>
      <c r="D389" s="13" t="s">
        <v>957</v>
      </c>
      <c r="E389" s="14" t="s">
        <v>1031</v>
      </c>
      <c r="F389" s="14" t="s">
        <v>1032</v>
      </c>
      <c r="G389" s="15">
        <v>1934.3999999999999</v>
      </c>
      <c r="I389" s="15">
        <v>1739.4</v>
      </c>
      <c r="J389" s="15">
        <v>3673.8000000000006</v>
      </c>
      <c r="K389" s="16">
        <f t="shared" si="12"/>
        <v>3673.8</v>
      </c>
      <c r="L389" s="16">
        <f t="shared" si="13"/>
        <v>4.5474735088646412E-13</v>
      </c>
    </row>
    <row r="390" spans="1:12" x14ac:dyDescent="0.25">
      <c r="A390" s="13" t="s">
        <v>9</v>
      </c>
      <c r="B390" s="13" t="s">
        <v>1033</v>
      </c>
      <c r="C390" s="13" t="s">
        <v>550</v>
      </c>
      <c r="D390" s="13" t="s">
        <v>1034</v>
      </c>
      <c r="E390" s="14" t="s">
        <v>1035</v>
      </c>
      <c r="F390" s="14" t="s">
        <v>1036</v>
      </c>
      <c r="G390" s="15">
        <v>3207.45</v>
      </c>
      <c r="I390" s="15">
        <v>447.39000000000004</v>
      </c>
      <c r="J390" s="15">
        <v>3654.8399999999992</v>
      </c>
      <c r="K390" s="16">
        <f t="shared" si="12"/>
        <v>3654.8399999999997</v>
      </c>
      <c r="L390" s="16">
        <f t="shared" si="13"/>
        <v>-4.5474735088646412E-13</v>
      </c>
    </row>
    <row r="391" spans="1:12" x14ac:dyDescent="0.25">
      <c r="A391" s="13" t="s">
        <v>9</v>
      </c>
      <c r="B391" s="13" t="s">
        <v>1037</v>
      </c>
      <c r="C391" s="13" t="s">
        <v>43</v>
      </c>
      <c r="D391" s="13" t="s">
        <v>299</v>
      </c>
      <c r="E391" s="14" t="s">
        <v>1038</v>
      </c>
      <c r="F391" s="14" t="s">
        <v>1039</v>
      </c>
      <c r="G391" s="15">
        <v>2986.57</v>
      </c>
      <c r="I391" s="15">
        <v>375.71</v>
      </c>
      <c r="J391" s="15">
        <v>3362.2799999999997</v>
      </c>
      <c r="K391" s="16">
        <f t="shared" si="12"/>
        <v>3362.28</v>
      </c>
      <c r="L391" s="16">
        <f t="shared" si="13"/>
        <v>-4.5474735088646412E-13</v>
      </c>
    </row>
    <row r="392" spans="1:12" x14ac:dyDescent="0.25">
      <c r="A392" s="13" t="s">
        <v>9</v>
      </c>
      <c r="B392" s="13" t="s">
        <v>1040</v>
      </c>
      <c r="C392" s="13" t="s">
        <v>43</v>
      </c>
      <c r="D392" s="13" t="s">
        <v>299</v>
      </c>
      <c r="E392" s="14" t="s">
        <v>1041</v>
      </c>
      <c r="F392" s="14" t="s">
        <v>1042</v>
      </c>
      <c r="G392" s="15">
        <v>3334.2699999999995</v>
      </c>
      <c r="I392" s="15">
        <v>0</v>
      </c>
      <c r="J392" s="15">
        <v>3334.2699999999995</v>
      </c>
      <c r="K392" s="16">
        <f t="shared" si="12"/>
        <v>3334.2699999999995</v>
      </c>
      <c r="L392" s="16">
        <f t="shared" si="13"/>
        <v>0</v>
      </c>
    </row>
    <row r="393" spans="1:12" x14ac:dyDescent="0.25">
      <c r="A393" s="13" t="s">
        <v>9</v>
      </c>
      <c r="B393" s="13" t="s">
        <v>1043</v>
      </c>
      <c r="C393" s="13" t="s">
        <v>1004</v>
      </c>
      <c r="D393" s="13" t="s">
        <v>1044</v>
      </c>
      <c r="E393" s="14" t="s">
        <v>1006</v>
      </c>
      <c r="F393" s="14" t="s">
        <v>1045</v>
      </c>
      <c r="G393" s="15">
        <v>2367.4699999999993</v>
      </c>
      <c r="I393" s="15">
        <v>845.18000000000006</v>
      </c>
      <c r="J393" s="15">
        <v>3212.6499999999996</v>
      </c>
      <c r="K393" s="16">
        <f t="shared" si="12"/>
        <v>3212.6499999999996</v>
      </c>
      <c r="L393" s="16">
        <f t="shared" si="13"/>
        <v>0</v>
      </c>
    </row>
    <row r="394" spans="1:12" x14ac:dyDescent="0.25">
      <c r="A394" s="13" t="s">
        <v>9</v>
      </c>
      <c r="B394" s="13" t="s">
        <v>1046</v>
      </c>
      <c r="C394" s="13" t="s">
        <v>1004</v>
      </c>
      <c r="D394" s="13" t="s">
        <v>1044</v>
      </c>
      <c r="E394" s="14" t="s">
        <v>1047</v>
      </c>
      <c r="F394" s="14" t="s">
        <v>1048</v>
      </c>
      <c r="G394" s="15">
        <v>2367.4699999999993</v>
      </c>
      <c r="I394" s="15">
        <v>845.18000000000006</v>
      </c>
      <c r="J394" s="15">
        <v>3212.6499999999996</v>
      </c>
      <c r="K394" s="16">
        <f t="shared" si="12"/>
        <v>3212.6499999999996</v>
      </c>
      <c r="L394" s="16">
        <f t="shared" si="13"/>
        <v>0</v>
      </c>
    </row>
    <row r="395" spans="1:12" x14ac:dyDescent="0.25">
      <c r="A395" s="13" t="s">
        <v>9</v>
      </c>
      <c r="B395" s="13" t="s">
        <v>1049</v>
      </c>
      <c r="C395" s="13" t="s">
        <v>1004</v>
      </c>
      <c r="D395" s="13" t="s">
        <v>1044</v>
      </c>
      <c r="E395" s="14" t="s">
        <v>1050</v>
      </c>
      <c r="F395" s="14" t="s">
        <v>1048</v>
      </c>
      <c r="G395" s="15">
        <v>2367.4699999999993</v>
      </c>
      <c r="I395" s="15">
        <v>845.18000000000006</v>
      </c>
      <c r="J395" s="15">
        <v>3212.6499999999996</v>
      </c>
      <c r="K395" s="16">
        <f t="shared" si="12"/>
        <v>3212.6499999999996</v>
      </c>
      <c r="L395" s="16">
        <f t="shared" si="13"/>
        <v>0</v>
      </c>
    </row>
    <row r="396" spans="1:12" x14ac:dyDescent="0.25">
      <c r="A396" s="13" t="s">
        <v>487</v>
      </c>
      <c r="B396" s="13" t="s">
        <v>1051</v>
      </c>
      <c r="C396" s="13" t="s">
        <v>1004</v>
      </c>
      <c r="D396" s="13" t="s">
        <v>1044</v>
      </c>
      <c r="E396" s="14" t="s">
        <v>1052</v>
      </c>
      <c r="F396" s="14" t="s">
        <v>1053</v>
      </c>
      <c r="G396" s="15">
        <v>2367.4699999999993</v>
      </c>
      <c r="I396" s="15">
        <v>845.18000000000006</v>
      </c>
      <c r="J396" s="15">
        <v>3212.6499999999996</v>
      </c>
      <c r="K396" s="16">
        <f t="shared" si="12"/>
        <v>3212.6499999999996</v>
      </c>
      <c r="L396" s="16">
        <f t="shared" si="13"/>
        <v>0</v>
      </c>
    </row>
    <row r="397" spans="1:12" x14ac:dyDescent="0.25">
      <c r="A397" s="13" t="s">
        <v>15</v>
      </c>
      <c r="B397" s="13" t="s">
        <v>1054</v>
      </c>
      <c r="C397" s="13" t="s">
        <v>1004</v>
      </c>
      <c r="D397" s="13" t="s">
        <v>1044</v>
      </c>
      <c r="E397" s="14" t="s">
        <v>1006</v>
      </c>
      <c r="F397" s="14" t="s">
        <v>19</v>
      </c>
      <c r="G397" s="15">
        <v>2367.4699999999993</v>
      </c>
      <c r="I397" s="15">
        <v>845.18000000000006</v>
      </c>
      <c r="J397" s="15">
        <v>3212.6499999999996</v>
      </c>
      <c r="K397" s="16">
        <f t="shared" si="12"/>
        <v>3212.6499999999996</v>
      </c>
      <c r="L397" s="16">
        <f t="shared" si="13"/>
        <v>0</v>
      </c>
    </row>
    <row r="398" spans="1:12" x14ac:dyDescent="0.25">
      <c r="A398" s="13" t="s">
        <v>15</v>
      </c>
      <c r="B398" s="13" t="s">
        <v>1055</v>
      </c>
      <c r="C398" s="13" t="s">
        <v>1004</v>
      </c>
      <c r="D398" s="13" t="s">
        <v>1044</v>
      </c>
      <c r="E398" s="14" t="s">
        <v>1052</v>
      </c>
      <c r="F398" s="14" t="s">
        <v>19</v>
      </c>
      <c r="G398" s="15">
        <v>2367.4699999999993</v>
      </c>
      <c r="I398" s="15">
        <v>845.18000000000006</v>
      </c>
      <c r="J398" s="15">
        <v>3212.6499999999996</v>
      </c>
      <c r="K398" s="16">
        <f t="shared" si="12"/>
        <v>3212.6499999999996</v>
      </c>
      <c r="L398" s="16">
        <f t="shared" si="13"/>
        <v>0</v>
      </c>
    </row>
    <row r="399" spans="1:12" x14ac:dyDescent="0.25">
      <c r="A399" s="13" t="s">
        <v>9</v>
      </c>
      <c r="B399" s="13" t="s">
        <v>1056</v>
      </c>
      <c r="C399" s="13" t="s">
        <v>1004</v>
      </c>
      <c r="D399" s="13" t="s">
        <v>1044</v>
      </c>
      <c r="E399" s="14" t="s">
        <v>1047</v>
      </c>
      <c r="F399" s="14" t="s">
        <v>1057</v>
      </c>
      <c r="G399" s="15">
        <v>2367.4699999999989</v>
      </c>
      <c r="I399" s="15">
        <v>845.18</v>
      </c>
      <c r="J399" s="15">
        <v>3212.6499999999987</v>
      </c>
      <c r="K399" s="16">
        <f t="shared" si="12"/>
        <v>3212.6499999999987</v>
      </c>
      <c r="L399" s="16">
        <f t="shared" si="13"/>
        <v>0</v>
      </c>
    </row>
    <row r="400" spans="1:12" x14ac:dyDescent="0.25">
      <c r="A400" s="13" t="s">
        <v>15</v>
      </c>
      <c r="B400" s="13" t="s">
        <v>1058</v>
      </c>
      <c r="C400" s="13" t="s">
        <v>21</v>
      </c>
      <c r="D400" s="13" t="s">
        <v>957</v>
      </c>
      <c r="E400" s="14" t="s">
        <v>1059</v>
      </c>
      <c r="F400" s="14" t="s">
        <v>19</v>
      </c>
      <c r="G400" s="15">
        <v>1591.2</v>
      </c>
      <c r="I400" s="15">
        <v>1349.4</v>
      </c>
      <c r="J400" s="15">
        <v>2940.6</v>
      </c>
      <c r="K400" s="16">
        <f t="shared" si="12"/>
        <v>2940.6000000000004</v>
      </c>
      <c r="L400" s="16">
        <f t="shared" si="13"/>
        <v>-4.5474735088646412E-13</v>
      </c>
    </row>
    <row r="401" spans="1:12" x14ac:dyDescent="0.25">
      <c r="A401" s="13" t="s">
        <v>15</v>
      </c>
      <c r="B401" s="13" t="s">
        <v>1060</v>
      </c>
      <c r="C401" s="13" t="s">
        <v>43</v>
      </c>
      <c r="D401" s="13" t="s">
        <v>134</v>
      </c>
      <c r="E401" s="14" t="s">
        <v>329</v>
      </c>
      <c r="F401" s="14" t="s">
        <v>19</v>
      </c>
      <c r="G401" s="15">
        <v>2560.3099999999995</v>
      </c>
      <c r="I401" s="15">
        <v>349.27</v>
      </c>
      <c r="J401" s="15">
        <v>2909.58</v>
      </c>
      <c r="K401" s="16">
        <f t="shared" si="12"/>
        <v>2909.5799999999995</v>
      </c>
      <c r="L401" s="16">
        <f t="shared" si="13"/>
        <v>4.5474735088646412E-13</v>
      </c>
    </row>
    <row r="402" spans="1:12" x14ac:dyDescent="0.25">
      <c r="A402" s="13" t="s">
        <v>15</v>
      </c>
      <c r="B402" s="13" t="s">
        <v>1061</v>
      </c>
      <c r="C402" s="13" t="s">
        <v>21</v>
      </c>
      <c r="D402" s="13" t="s">
        <v>957</v>
      </c>
      <c r="E402" s="14" t="s">
        <v>641</v>
      </c>
      <c r="F402" s="14" t="s">
        <v>19</v>
      </c>
      <c r="G402" s="15">
        <v>1450.8000000000002</v>
      </c>
      <c r="I402" s="15">
        <v>1349.4</v>
      </c>
      <c r="J402" s="15">
        <v>2800.2</v>
      </c>
      <c r="K402" s="16">
        <f t="shared" si="12"/>
        <v>2800.2000000000003</v>
      </c>
      <c r="L402" s="16">
        <f t="shared" si="13"/>
        <v>-4.5474735088646412E-13</v>
      </c>
    </row>
    <row r="403" spans="1:12" x14ac:dyDescent="0.25">
      <c r="A403" s="13" t="s">
        <v>15</v>
      </c>
      <c r="B403" s="13" t="s">
        <v>1062</v>
      </c>
      <c r="C403" s="13" t="s">
        <v>21</v>
      </c>
      <c r="D403" s="13" t="s">
        <v>957</v>
      </c>
      <c r="E403" s="14" t="s">
        <v>288</v>
      </c>
      <c r="F403" s="14" t="s">
        <v>19</v>
      </c>
      <c r="G403" s="15">
        <v>1443</v>
      </c>
      <c r="I403" s="15">
        <v>1341.6</v>
      </c>
      <c r="J403" s="15">
        <v>2784.6</v>
      </c>
      <c r="K403" s="16">
        <f t="shared" si="12"/>
        <v>2784.6</v>
      </c>
      <c r="L403" s="16">
        <f t="shared" si="13"/>
        <v>0</v>
      </c>
    </row>
    <row r="404" spans="1:12" x14ac:dyDescent="0.25">
      <c r="A404" s="13" t="s">
        <v>9</v>
      </c>
      <c r="B404" s="13" t="s">
        <v>1063</v>
      </c>
      <c r="C404" s="13" t="s">
        <v>21</v>
      </c>
      <c r="D404" s="13" t="s">
        <v>957</v>
      </c>
      <c r="E404" s="14" t="s">
        <v>1064</v>
      </c>
      <c r="F404" s="14" t="s">
        <v>1065</v>
      </c>
      <c r="G404" s="15">
        <v>1450.8000000000002</v>
      </c>
      <c r="I404" s="15">
        <v>1302.5999999999999</v>
      </c>
      <c r="J404" s="15">
        <v>2753.3999999999996</v>
      </c>
      <c r="K404" s="16">
        <f t="shared" si="12"/>
        <v>2753.4</v>
      </c>
      <c r="L404" s="16">
        <f t="shared" si="13"/>
        <v>-4.5474735088646412E-13</v>
      </c>
    </row>
    <row r="405" spans="1:12" x14ac:dyDescent="0.25">
      <c r="A405" s="13" t="s">
        <v>15</v>
      </c>
      <c r="B405" s="13" t="s">
        <v>1066</v>
      </c>
      <c r="C405" s="13" t="s">
        <v>21</v>
      </c>
      <c r="D405" s="13" t="s">
        <v>957</v>
      </c>
      <c r="E405" s="14" t="s">
        <v>196</v>
      </c>
      <c r="F405" s="14" t="s">
        <v>19</v>
      </c>
      <c r="G405" s="15">
        <v>1439.1000000000001</v>
      </c>
      <c r="I405" s="15">
        <v>1287</v>
      </c>
      <c r="J405" s="15">
        <v>2726.1</v>
      </c>
      <c r="K405" s="16">
        <f t="shared" si="12"/>
        <v>2726.1000000000004</v>
      </c>
      <c r="L405" s="16">
        <f t="shared" si="13"/>
        <v>-4.5474735088646412E-13</v>
      </c>
    </row>
    <row r="406" spans="1:12" x14ac:dyDescent="0.25">
      <c r="A406" s="13" t="s">
        <v>9</v>
      </c>
      <c r="B406" s="13" t="s">
        <v>1067</v>
      </c>
      <c r="C406" s="13" t="s">
        <v>21</v>
      </c>
      <c r="D406" s="13" t="s">
        <v>957</v>
      </c>
      <c r="E406" s="14" t="s">
        <v>353</v>
      </c>
      <c r="F406" s="14" t="s">
        <v>1068</v>
      </c>
      <c r="G406" s="15">
        <v>1310.4000000000001</v>
      </c>
      <c r="I406" s="15">
        <v>1357.2</v>
      </c>
      <c r="J406" s="15">
        <v>2667.6</v>
      </c>
      <c r="K406" s="16">
        <f t="shared" si="12"/>
        <v>2667.6000000000004</v>
      </c>
      <c r="L406" s="16">
        <f t="shared" si="13"/>
        <v>-4.5474735088646412E-13</v>
      </c>
    </row>
    <row r="407" spans="1:12" x14ac:dyDescent="0.25">
      <c r="A407" s="13" t="s">
        <v>9</v>
      </c>
      <c r="B407" s="13" t="s">
        <v>1069</v>
      </c>
      <c r="C407" s="13" t="s">
        <v>21</v>
      </c>
      <c r="D407" s="13" t="s">
        <v>957</v>
      </c>
      <c r="E407" s="14" t="s">
        <v>1070</v>
      </c>
      <c r="F407" s="14" t="s">
        <v>1068</v>
      </c>
      <c r="G407" s="15">
        <v>1310.4000000000001</v>
      </c>
      <c r="I407" s="15">
        <v>1357.2</v>
      </c>
      <c r="J407" s="15">
        <v>2667.6</v>
      </c>
      <c r="K407" s="16">
        <f t="shared" si="12"/>
        <v>2667.6000000000004</v>
      </c>
      <c r="L407" s="16">
        <f t="shared" si="13"/>
        <v>-4.5474735088646412E-13</v>
      </c>
    </row>
    <row r="408" spans="1:12" x14ac:dyDescent="0.25">
      <c r="A408" s="13" t="s">
        <v>9</v>
      </c>
      <c r="B408" s="13" t="s">
        <v>1071</v>
      </c>
      <c r="C408" s="13" t="s">
        <v>178</v>
      </c>
      <c r="D408" s="13" t="s">
        <v>1072</v>
      </c>
      <c r="E408" s="14" t="s">
        <v>511</v>
      </c>
      <c r="F408" s="14" t="s">
        <v>1073</v>
      </c>
      <c r="G408" s="15">
        <v>2225.8499999999995</v>
      </c>
      <c r="I408" s="15">
        <v>300.01000000000005</v>
      </c>
      <c r="J408" s="15">
        <v>2525.8599999999997</v>
      </c>
      <c r="K408" s="16">
        <f t="shared" si="12"/>
        <v>2525.8599999999997</v>
      </c>
      <c r="L408" s="16">
        <f t="shared" si="13"/>
        <v>0</v>
      </c>
    </row>
    <row r="409" spans="1:12" x14ac:dyDescent="0.25">
      <c r="A409" s="13" t="s">
        <v>9</v>
      </c>
      <c r="B409" s="13" t="s">
        <v>1074</v>
      </c>
      <c r="C409" s="13" t="s">
        <v>340</v>
      </c>
      <c r="D409" s="13" t="s">
        <v>1075</v>
      </c>
      <c r="E409" s="14" t="s">
        <v>1076</v>
      </c>
      <c r="F409" s="14" t="s">
        <v>1077</v>
      </c>
      <c r="G409" s="15">
        <v>862.8</v>
      </c>
      <c r="I409" s="15">
        <v>1654.06</v>
      </c>
      <c r="J409" s="15">
        <v>2516.8599999999997</v>
      </c>
      <c r="K409" s="16">
        <f t="shared" si="12"/>
        <v>2516.8599999999997</v>
      </c>
      <c r="L409" s="16">
        <f t="shared" si="13"/>
        <v>0</v>
      </c>
    </row>
    <row r="410" spans="1:12" x14ac:dyDescent="0.25">
      <c r="A410" s="13" t="s">
        <v>9</v>
      </c>
      <c r="B410" s="13" t="s">
        <v>1078</v>
      </c>
      <c r="C410" s="13" t="s">
        <v>523</v>
      </c>
      <c r="D410" s="13" t="s">
        <v>609</v>
      </c>
      <c r="E410" s="14" t="s">
        <v>694</v>
      </c>
      <c r="F410" s="14" t="s">
        <v>1079</v>
      </c>
      <c r="G410" s="15">
        <v>1973.32</v>
      </c>
      <c r="H410" s="15">
        <v>49.730000000000004</v>
      </c>
      <c r="I410" s="15">
        <v>102</v>
      </c>
      <c r="J410" s="15">
        <v>2125.0500000000002</v>
      </c>
      <c r="K410" s="16">
        <f t="shared" si="12"/>
        <v>2125.0500000000002</v>
      </c>
      <c r="L410" s="16">
        <f t="shared" si="13"/>
        <v>0</v>
      </c>
    </row>
    <row r="411" spans="1:12" x14ac:dyDescent="0.25">
      <c r="A411" s="13" t="s">
        <v>9</v>
      </c>
      <c r="B411" s="13" t="s">
        <v>1080</v>
      </c>
      <c r="C411" s="13" t="s">
        <v>21</v>
      </c>
      <c r="D411" s="13" t="s">
        <v>957</v>
      </c>
      <c r="E411" s="14" t="s">
        <v>826</v>
      </c>
      <c r="F411" s="14" t="s">
        <v>1081</v>
      </c>
      <c r="G411" s="15">
        <v>705.89999999999986</v>
      </c>
      <c r="I411" s="15">
        <v>1411.8000000000002</v>
      </c>
      <c r="J411" s="15">
        <v>2117.7000000000003</v>
      </c>
      <c r="K411" s="16">
        <f t="shared" si="12"/>
        <v>2117.6999999999998</v>
      </c>
      <c r="L411" s="16">
        <f t="shared" si="13"/>
        <v>4.5474735088646412E-13</v>
      </c>
    </row>
    <row r="412" spans="1:12" x14ac:dyDescent="0.25">
      <c r="A412" s="13" t="s">
        <v>9</v>
      </c>
      <c r="B412" s="13" t="s">
        <v>1082</v>
      </c>
      <c r="C412" s="13" t="s">
        <v>68</v>
      </c>
      <c r="D412" s="13" t="s">
        <v>1083</v>
      </c>
      <c r="E412" s="14" t="s">
        <v>260</v>
      </c>
      <c r="F412" s="14" t="s">
        <v>1084</v>
      </c>
      <c r="G412" s="15">
        <v>290.49</v>
      </c>
      <c r="I412" s="15">
        <v>1827.19</v>
      </c>
      <c r="J412" s="15">
        <v>2117.6799999999998</v>
      </c>
      <c r="K412" s="16">
        <f t="shared" si="12"/>
        <v>2117.6800000000003</v>
      </c>
      <c r="L412" s="16">
        <f t="shared" si="13"/>
        <v>-4.5474735088646412E-13</v>
      </c>
    </row>
    <row r="413" spans="1:12" x14ac:dyDescent="0.25">
      <c r="A413" s="13" t="s">
        <v>9</v>
      </c>
      <c r="B413" s="13" t="s">
        <v>1085</v>
      </c>
      <c r="C413" s="13" t="s">
        <v>21</v>
      </c>
      <c r="D413" s="13" t="s">
        <v>957</v>
      </c>
      <c r="E413" s="14" t="s">
        <v>502</v>
      </c>
      <c r="F413" s="14" t="s">
        <v>1086</v>
      </c>
      <c r="G413" s="15">
        <v>733.19999999999993</v>
      </c>
      <c r="I413" s="15">
        <v>1341.6</v>
      </c>
      <c r="J413" s="15">
        <v>2074.7999999999997</v>
      </c>
      <c r="K413" s="16">
        <f t="shared" si="12"/>
        <v>2074.7999999999997</v>
      </c>
      <c r="L413" s="16">
        <f t="shared" si="13"/>
        <v>0</v>
      </c>
    </row>
    <row r="414" spans="1:12" x14ac:dyDescent="0.25">
      <c r="A414" s="13" t="s">
        <v>9</v>
      </c>
      <c r="B414" s="13" t="s">
        <v>1087</v>
      </c>
      <c r="C414" s="13" t="s">
        <v>21</v>
      </c>
      <c r="D414" s="13" t="s">
        <v>957</v>
      </c>
      <c r="E414" s="14" t="s">
        <v>826</v>
      </c>
      <c r="F414" s="14" t="s">
        <v>191</v>
      </c>
      <c r="G414" s="15">
        <v>670.8</v>
      </c>
      <c r="I414" s="15">
        <v>1263.5999999999999</v>
      </c>
      <c r="J414" s="15">
        <v>1934.3999999999999</v>
      </c>
      <c r="K414" s="16">
        <f t="shared" si="12"/>
        <v>1934.3999999999999</v>
      </c>
      <c r="L414" s="16">
        <f t="shared" si="13"/>
        <v>0</v>
      </c>
    </row>
    <row r="415" spans="1:12" x14ac:dyDescent="0.25">
      <c r="A415" s="13" t="s">
        <v>9</v>
      </c>
      <c r="B415" s="13" t="s">
        <v>1088</v>
      </c>
      <c r="C415" s="13" t="s">
        <v>43</v>
      </c>
      <c r="D415" s="13" t="s">
        <v>299</v>
      </c>
      <c r="E415" s="14" t="s">
        <v>1089</v>
      </c>
      <c r="F415" s="14" t="s">
        <v>1090</v>
      </c>
      <c r="G415" s="15">
        <v>1761.57</v>
      </c>
      <c r="I415" s="15">
        <v>0</v>
      </c>
      <c r="J415" s="15">
        <v>1761.57</v>
      </c>
      <c r="K415" s="16">
        <f t="shared" si="12"/>
        <v>1761.57</v>
      </c>
      <c r="L415" s="16">
        <f t="shared" si="13"/>
        <v>0</v>
      </c>
    </row>
    <row r="416" spans="1:12" x14ac:dyDescent="0.25">
      <c r="A416" s="13" t="s">
        <v>9</v>
      </c>
      <c r="B416" s="13" t="s">
        <v>1091</v>
      </c>
      <c r="C416" s="13" t="s">
        <v>11</v>
      </c>
      <c r="D416" s="13" t="s">
        <v>558</v>
      </c>
      <c r="E416" s="14" t="s">
        <v>1092</v>
      </c>
      <c r="F416" s="14" t="s">
        <v>1093</v>
      </c>
      <c r="G416" s="15">
        <v>1271.97</v>
      </c>
      <c r="H416" s="15">
        <v>3.17</v>
      </c>
      <c r="I416" s="15">
        <v>140.88</v>
      </c>
      <c r="J416" s="15">
        <v>1416.02</v>
      </c>
      <c r="K416" s="16">
        <f t="shared" si="12"/>
        <v>1416.02</v>
      </c>
      <c r="L416" s="16">
        <f t="shared" si="13"/>
        <v>0</v>
      </c>
    </row>
    <row r="417" spans="1:12" x14ac:dyDescent="0.25">
      <c r="A417" s="13" t="s">
        <v>9</v>
      </c>
      <c r="B417" s="13" t="s">
        <v>1094</v>
      </c>
      <c r="C417" s="13" t="s">
        <v>43</v>
      </c>
      <c r="D417" s="13" t="s">
        <v>299</v>
      </c>
      <c r="E417" s="14" t="s">
        <v>35</v>
      </c>
      <c r="F417" s="14" t="s">
        <v>1095</v>
      </c>
      <c r="G417" s="15">
        <v>1327.83</v>
      </c>
      <c r="I417" s="15">
        <v>0</v>
      </c>
      <c r="J417" s="15">
        <v>1327.83</v>
      </c>
      <c r="K417" s="16">
        <f t="shared" si="12"/>
        <v>1327.83</v>
      </c>
      <c r="L417" s="16">
        <f t="shared" si="13"/>
        <v>0</v>
      </c>
    </row>
    <row r="418" spans="1:12" x14ac:dyDescent="0.25">
      <c r="A418" s="13" t="s">
        <v>9</v>
      </c>
      <c r="B418" s="13" t="s">
        <v>1096</v>
      </c>
      <c r="C418" s="13" t="s">
        <v>523</v>
      </c>
      <c r="D418" s="13" t="s">
        <v>856</v>
      </c>
      <c r="E418" s="14" t="s">
        <v>861</v>
      </c>
      <c r="F418" s="14" t="s">
        <v>1097</v>
      </c>
      <c r="G418" s="15">
        <v>1199.7</v>
      </c>
      <c r="I418" s="15">
        <v>21.78</v>
      </c>
      <c r="J418" s="15">
        <v>1221.48</v>
      </c>
      <c r="K418" s="16">
        <f t="shared" si="12"/>
        <v>1221.48</v>
      </c>
      <c r="L418" s="16">
        <f t="shared" si="13"/>
        <v>0</v>
      </c>
    </row>
    <row r="419" spans="1:12" x14ac:dyDescent="0.25">
      <c r="A419" s="13" t="s">
        <v>9</v>
      </c>
      <c r="B419" s="13" t="s">
        <v>1098</v>
      </c>
      <c r="C419" s="13" t="s">
        <v>43</v>
      </c>
      <c r="D419" s="13" t="s">
        <v>1099</v>
      </c>
      <c r="E419" s="14" t="s">
        <v>694</v>
      </c>
      <c r="F419" s="14" t="s">
        <v>1100</v>
      </c>
      <c r="G419" s="15">
        <v>1054.5899999999999</v>
      </c>
      <c r="I419" s="15">
        <v>52.04</v>
      </c>
      <c r="J419" s="15">
        <v>1106.6300000000001</v>
      </c>
      <c r="K419" s="16">
        <f t="shared" si="12"/>
        <v>1106.6299999999999</v>
      </c>
      <c r="L419" s="16">
        <f t="shared" si="13"/>
        <v>2.2737367544323206E-13</v>
      </c>
    </row>
    <row r="420" spans="1:12" x14ac:dyDescent="0.25">
      <c r="A420" s="13" t="s">
        <v>9</v>
      </c>
      <c r="B420" s="13" t="s">
        <v>1101</v>
      </c>
      <c r="C420" s="13" t="s">
        <v>523</v>
      </c>
      <c r="D420" s="13" t="s">
        <v>856</v>
      </c>
      <c r="E420" s="14" t="s">
        <v>1092</v>
      </c>
      <c r="F420" s="14" t="s">
        <v>1102</v>
      </c>
      <c r="G420" s="15">
        <v>919.31</v>
      </c>
      <c r="H420" s="15">
        <v>2.48</v>
      </c>
      <c r="I420" s="15">
        <v>101.68</v>
      </c>
      <c r="J420" s="15">
        <v>1023.47</v>
      </c>
      <c r="K420" s="16">
        <f t="shared" si="12"/>
        <v>1023.47</v>
      </c>
      <c r="L420" s="16">
        <f t="shared" si="13"/>
        <v>0</v>
      </c>
    </row>
    <row r="421" spans="1:12" x14ac:dyDescent="0.25">
      <c r="A421" s="13" t="s">
        <v>9</v>
      </c>
      <c r="B421" s="13" t="s">
        <v>1103</v>
      </c>
      <c r="C421" s="13" t="s">
        <v>1004</v>
      </c>
      <c r="D421" s="13" t="s">
        <v>1005</v>
      </c>
      <c r="E421" s="14" t="s">
        <v>1104</v>
      </c>
      <c r="F421" s="14" t="s">
        <v>1047</v>
      </c>
      <c r="G421" s="15">
        <v>575.23</v>
      </c>
      <c r="I421" s="15">
        <v>164.36</v>
      </c>
      <c r="J421" s="15">
        <v>739.59</v>
      </c>
      <c r="K421" s="16">
        <f t="shared" si="12"/>
        <v>739.59</v>
      </c>
      <c r="L421" s="16">
        <f t="shared" si="13"/>
        <v>0</v>
      </c>
    </row>
    <row r="422" spans="1:12" x14ac:dyDescent="0.25">
      <c r="A422" s="13" t="s">
        <v>9</v>
      </c>
      <c r="B422" s="13" t="s">
        <v>1105</v>
      </c>
      <c r="C422" s="13" t="s">
        <v>94</v>
      </c>
      <c r="D422" s="13" t="s">
        <v>678</v>
      </c>
      <c r="E422" s="14" t="s">
        <v>1106</v>
      </c>
      <c r="F422" s="14" t="s">
        <v>1107</v>
      </c>
      <c r="G422" s="15">
        <v>663.96</v>
      </c>
      <c r="I422" s="15">
        <v>0</v>
      </c>
      <c r="J422" s="15">
        <v>663.96</v>
      </c>
      <c r="K422" s="16">
        <f t="shared" si="12"/>
        <v>663.96</v>
      </c>
      <c r="L422" s="16">
        <f t="shared" si="13"/>
        <v>0</v>
      </c>
    </row>
    <row r="423" spans="1:12" x14ac:dyDescent="0.25">
      <c r="A423" s="13" t="s">
        <v>9</v>
      </c>
      <c r="B423" s="13" t="s">
        <v>1108</v>
      </c>
      <c r="C423" s="13" t="s">
        <v>43</v>
      </c>
      <c r="D423" s="13" t="s">
        <v>299</v>
      </c>
      <c r="E423" s="14" t="s">
        <v>1109</v>
      </c>
      <c r="F423" s="14" t="s">
        <v>1110</v>
      </c>
      <c r="G423" s="15">
        <v>621.04999999999995</v>
      </c>
      <c r="I423" s="15">
        <v>0</v>
      </c>
      <c r="J423" s="15">
        <v>621.04999999999995</v>
      </c>
      <c r="K423" s="16">
        <f t="shared" si="12"/>
        <v>621.04999999999995</v>
      </c>
      <c r="L423" s="16">
        <f t="shared" si="13"/>
        <v>0</v>
      </c>
    </row>
    <row r="424" spans="1:12" x14ac:dyDescent="0.25">
      <c r="A424" s="13" t="s">
        <v>9</v>
      </c>
      <c r="B424" s="13" t="s">
        <v>1111</v>
      </c>
      <c r="C424" s="13" t="s">
        <v>1004</v>
      </c>
      <c r="D424" s="13" t="s">
        <v>1044</v>
      </c>
      <c r="E424" s="14" t="s">
        <v>1112</v>
      </c>
      <c r="F424" s="14" t="s">
        <v>1047</v>
      </c>
      <c r="G424" s="15">
        <v>479.40999999999997</v>
      </c>
      <c r="I424" s="15">
        <v>123.27000000000001</v>
      </c>
      <c r="J424" s="15">
        <v>602.67999999999995</v>
      </c>
      <c r="K424" s="16">
        <f t="shared" si="12"/>
        <v>602.67999999999995</v>
      </c>
      <c r="L424" s="16">
        <f t="shared" si="13"/>
        <v>0</v>
      </c>
    </row>
    <row r="425" spans="1:12" x14ac:dyDescent="0.25">
      <c r="A425" s="13" t="s">
        <v>9</v>
      </c>
      <c r="B425" s="13" t="s">
        <v>1113</v>
      </c>
      <c r="C425" s="13" t="s">
        <v>94</v>
      </c>
      <c r="D425" s="13" t="s">
        <v>678</v>
      </c>
      <c r="E425" s="14" t="s">
        <v>1114</v>
      </c>
      <c r="F425" s="14" t="s">
        <v>1115</v>
      </c>
      <c r="G425" s="15">
        <v>570.33000000000004</v>
      </c>
      <c r="I425" s="15">
        <v>0</v>
      </c>
      <c r="J425" s="15">
        <v>570.33000000000004</v>
      </c>
      <c r="K425" s="16">
        <f t="shared" si="12"/>
        <v>570.33000000000004</v>
      </c>
      <c r="L425" s="16">
        <f t="shared" si="13"/>
        <v>0</v>
      </c>
    </row>
    <row r="426" spans="1:12" x14ac:dyDescent="0.25">
      <c r="A426" s="13" t="s">
        <v>15</v>
      </c>
      <c r="B426" s="13" t="s">
        <v>1116</v>
      </c>
      <c r="C426" s="13" t="s">
        <v>21</v>
      </c>
      <c r="D426" s="13" t="s">
        <v>957</v>
      </c>
      <c r="E426" s="14" t="s">
        <v>1092</v>
      </c>
      <c r="F426" s="14" t="s">
        <v>19</v>
      </c>
      <c r="G426" s="15">
        <v>331.5</v>
      </c>
      <c r="I426" s="15">
        <v>0</v>
      </c>
      <c r="J426" s="15">
        <v>331.5</v>
      </c>
      <c r="K426" s="16">
        <f t="shared" si="12"/>
        <v>331.5</v>
      </c>
      <c r="L426" s="16">
        <f t="shared" si="13"/>
        <v>0</v>
      </c>
    </row>
    <row r="427" spans="1:12" x14ac:dyDescent="0.25">
      <c r="A427" s="13" t="s">
        <v>15</v>
      </c>
      <c r="B427" s="13" t="s">
        <v>1117</v>
      </c>
      <c r="C427" s="13" t="s">
        <v>21</v>
      </c>
      <c r="D427" s="13" t="s">
        <v>957</v>
      </c>
      <c r="E427" s="14" t="s">
        <v>1092</v>
      </c>
      <c r="F427" s="14" t="s">
        <v>19</v>
      </c>
      <c r="G427" s="15">
        <v>202.8</v>
      </c>
      <c r="I427" s="15">
        <v>0</v>
      </c>
      <c r="J427" s="15">
        <v>202.8</v>
      </c>
      <c r="K427" s="16">
        <f t="shared" si="12"/>
        <v>202.8</v>
      </c>
      <c r="L427" s="16">
        <f t="shared" si="13"/>
        <v>0</v>
      </c>
    </row>
    <row r="428" spans="1:12" x14ac:dyDescent="0.25">
      <c r="A428" s="13" t="s">
        <v>9</v>
      </c>
      <c r="B428" s="13" t="s">
        <v>1118</v>
      </c>
      <c r="C428" s="13" t="s">
        <v>21</v>
      </c>
      <c r="D428" s="13" t="s">
        <v>957</v>
      </c>
      <c r="E428" s="14" t="s">
        <v>1119</v>
      </c>
      <c r="F428" s="14" t="s">
        <v>1120</v>
      </c>
      <c r="G428" s="15">
        <v>124.8</v>
      </c>
      <c r="I428" s="15">
        <v>0</v>
      </c>
      <c r="J428" s="15">
        <v>124.8</v>
      </c>
      <c r="K428" s="16">
        <f t="shared" si="12"/>
        <v>124.8</v>
      </c>
      <c r="L428" s="16">
        <f t="shared" si="13"/>
        <v>0</v>
      </c>
    </row>
    <row r="430" spans="1:12" x14ac:dyDescent="0.25">
      <c r="F430" s="14" t="s">
        <v>1125</v>
      </c>
      <c r="G430" s="15">
        <f>SUM(G385:G429)</f>
        <v>72465.810000000012</v>
      </c>
      <c r="H430" s="15">
        <f t="shared" ref="H430:K430" si="14">SUM(H385:H429)</f>
        <v>55.38</v>
      </c>
      <c r="I430" s="15">
        <f t="shared" si="14"/>
        <v>28805.16</v>
      </c>
      <c r="J430" s="15">
        <f t="shared" si="14"/>
        <v>101326.35000000003</v>
      </c>
      <c r="K430" s="15">
        <f t="shared" si="14"/>
        <v>101326.35000000005</v>
      </c>
      <c r="L430" s="16">
        <f t="shared" si="13"/>
        <v>-1.4551915228366852E-11</v>
      </c>
    </row>
    <row r="432" spans="1:12" x14ac:dyDescent="0.25">
      <c r="B432" s="13" t="s">
        <v>1127</v>
      </c>
    </row>
  </sheetData>
  <printOptions gridLines="1"/>
  <pageMargins left="0.18" right="0.2" top="0.85" bottom="0.41" header="0.3" footer="0.21"/>
  <pageSetup scale="60" fitToHeight="0" orientation="landscape" r:id="rId1"/>
  <headerFooter>
    <oddHeader>&amp;C&amp;"Calibri,Bold"&amp;12City of Schertz
FY20 Earnings&amp;"Calibri,Regular"&amp;11
(only includes Dec 2019 - Sept 2020)</oddHeader>
    <oddFooter>&amp;C&amp;X1&amp;XAdditional Earnings include things such as certification pay, education pay, holiday pay, etc.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1980-6E1B-A74F-9597-A6091CF005C3}">
  <dimension ref="A1:J430"/>
  <sheetViews>
    <sheetView topLeftCell="B1" workbookViewId="0">
      <selection activeCell="B2" sqref="A1:J428"/>
    </sheetView>
  </sheetViews>
  <sheetFormatPr baseColWidth="10" defaultColWidth="8.83203125" defaultRowHeight="15" x14ac:dyDescent="0.2"/>
  <cols>
    <col min="1" max="1" width="13.1640625" hidden="1" customWidth="1"/>
    <col min="2" max="2" width="28.33203125" bestFit="1" customWidth="1"/>
    <col min="3" max="3" width="26.33203125" bestFit="1" customWidth="1"/>
    <col min="4" max="4" width="51.5" bestFit="1" customWidth="1"/>
    <col min="5" max="5" width="10.6640625" style="2" bestFit="1" customWidth="1"/>
    <col min="6" max="6" width="19" style="2" bestFit="1" customWidth="1"/>
    <col min="7" max="7" width="19.6640625" style="3" bestFit="1" customWidth="1"/>
    <col min="8" max="8" width="20.6640625" style="3" bestFit="1" customWidth="1"/>
    <col min="9" max="9" width="22.5" style="3" bestFit="1" customWidth="1"/>
    <col min="10" max="10" width="23.5" style="3" customWidth="1"/>
  </cols>
  <sheetData>
    <row r="1" spans="1:10" s="1" customFormat="1" ht="19" x14ac:dyDescent="0.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1121</v>
      </c>
      <c r="J1" s="6" t="s">
        <v>8</v>
      </c>
    </row>
    <row r="2" spans="1:10" ht="16" x14ac:dyDescent="0.2">
      <c r="A2" s="7" t="s">
        <v>9</v>
      </c>
      <c r="B2" s="7" t="s">
        <v>549</v>
      </c>
      <c r="C2" s="7" t="s">
        <v>550</v>
      </c>
      <c r="D2" s="7" t="s">
        <v>551</v>
      </c>
      <c r="E2" s="8" t="s">
        <v>552</v>
      </c>
      <c r="F2" s="8" t="s">
        <v>553</v>
      </c>
      <c r="G2" s="9">
        <v>41850.87999999999</v>
      </c>
      <c r="H2" s="9">
        <v>0</v>
      </c>
      <c r="I2" s="9">
        <v>394.72</v>
      </c>
      <c r="J2" s="9">
        <v>42245.599999999984</v>
      </c>
    </row>
    <row r="3" spans="1:10" ht="16" x14ac:dyDescent="0.2">
      <c r="A3" s="7" t="s">
        <v>9</v>
      </c>
      <c r="B3" s="7" t="s">
        <v>1033</v>
      </c>
      <c r="C3" s="7" t="s">
        <v>550</v>
      </c>
      <c r="D3" s="7" t="s">
        <v>1034</v>
      </c>
      <c r="E3" s="8" t="s">
        <v>1035</v>
      </c>
      <c r="F3" s="8" t="s">
        <v>1036</v>
      </c>
      <c r="G3" s="9">
        <v>3207.45</v>
      </c>
      <c r="H3" s="9"/>
      <c r="I3" s="9">
        <v>447.39000000000004</v>
      </c>
      <c r="J3" s="9">
        <v>3654.8399999999992</v>
      </c>
    </row>
    <row r="4" spans="1:10" ht="16" x14ac:dyDescent="0.2">
      <c r="A4" s="7" t="s">
        <v>9</v>
      </c>
      <c r="B4" s="7" t="s">
        <v>1003</v>
      </c>
      <c r="C4" s="7" t="s">
        <v>1004</v>
      </c>
      <c r="D4" s="7" t="s">
        <v>1005</v>
      </c>
      <c r="E4" s="8" t="s">
        <v>1006</v>
      </c>
      <c r="F4" s="8" t="s">
        <v>1007</v>
      </c>
      <c r="G4" s="9">
        <v>3571.33</v>
      </c>
      <c r="H4" s="9"/>
      <c r="I4" s="9">
        <v>1685.18</v>
      </c>
      <c r="J4" s="9">
        <v>5256.51</v>
      </c>
    </row>
    <row r="5" spans="1:10" ht="16" x14ac:dyDescent="0.2">
      <c r="A5" s="7" t="s">
        <v>9</v>
      </c>
      <c r="B5" s="7" t="s">
        <v>1043</v>
      </c>
      <c r="C5" s="7" t="s">
        <v>1004</v>
      </c>
      <c r="D5" s="7" t="s">
        <v>1044</v>
      </c>
      <c r="E5" s="8" t="s">
        <v>1006</v>
      </c>
      <c r="F5" s="8" t="s">
        <v>1045</v>
      </c>
      <c r="G5" s="9">
        <v>2367.4699999999993</v>
      </c>
      <c r="H5" s="9"/>
      <c r="I5" s="9">
        <v>845.18000000000006</v>
      </c>
      <c r="J5" s="9">
        <v>3212.6499999999996</v>
      </c>
    </row>
    <row r="6" spans="1:10" ht="16" x14ac:dyDescent="0.2">
      <c r="A6" s="7" t="s">
        <v>9</v>
      </c>
      <c r="B6" s="7" t="s">
        <v>1046</v>
      </c>
      <c r="C6" s="7" t="s">
        <v>1004</v>
      </c>
      <c r="D6" s="7" t="s">
        <v>1044</v>
      </c>
      <c r="E6" s="8" t="s">
        <v>1047</v>
      </c>
      <c r="F6" s="8" t="s">
        <v>1048</v>
      </c>
      <c r="G6" s="9">
        <v>2367.4699999999993</v>
      </c>
      <c r="H6" s="9"/>
      <c r="I6" s="9">
        <v>845.18000000000006</v>
      </c>
      <c r="J6" s="9">
        <v>3212.6499999999996</v>
      </c>
    </row>
    <row r="7" spans="1:10" ht="16" x14ac:dyDescent="0.2">
      <c r="A7" s="7" t="s">
        <v>9</v>
      </c>
      <c r="B7" s="7" t="s">
        <v>1049</v>
      </c>
      <c r="C7" s="7" t="s">
        <v>1004</v>
      </c>
      <c r="D7" s="7" t="s">
        <v>1044</v>
      </c>
      <c r="E7" s="8" t="s">
        <v>1050</v>
      </c>
      <c r="F7" s="8" t="s">
        <v>1048</v>
      </c>
      <c r="G7" s="9">
        <v>2367.4699999999993</v>
      </c>
      <c r="H7" s="9"/>
      <c r="I7" s="9">
        <v>845.18000000000006</v>
      </c>
      <c r="J7" s="9">
        <v>3212.6499999999996</v>
      </c>
    </row>
    <row r="8" spans="1:10" ht="16" x14ac:dyDescent="0.2">
      <c r="A8" s="7" t="s">
        <v>487</v>
      </c>
      <c r="B8" s="7" t="s">
        <v>1051</v>
      </c>
      <c r="C8" s="7" t="s">
        <v>1004</v>
      </c>
      <c r="D8" s="7" t="s">
        <v>1044</v>
      </c>
      <c r="E8" s="8" t="s">
        <v>1052</v>
      </c>
      <c r="F8" s="8" t="s">
        <v>1053</v>
      </c>
      <c r="G8" s="9">
        <v>2367.4699999999993</v>
      </c>
      <c r="H8" s="9"/>
      <c r="I8" s="9">
        <v>845.18000000000006</v>
      </c>
      <c r="J8" s="9">
        <v>3212.6499999999996</v>
      </c>
    </row>
    <row r="9" spans="1:10" ht="16" x14ac:dyDescent="0.2">
      <c r="A9" s="7" t="s">
        <v>15</v>
      </c>
      <c r="B9" s="7" t="s">
        <v>1054</v>
      </c>
      <c r="C9" s="7" t="s">
        <v>1004</v>
      </c>
      <c r="D9" s="7" t="s">
        <v>1044</v>
      </c>
      <c r="E9" s="8" t="s">
        <v>1006</v>
      </c>
      <c r="F9" s="8" t="s">
        <v>19</v>
      </c>
      <c r="G9" s="9">
        <v>2367.4699999999993</v>
      </c>
      <c r="H9" s="9"/>
      <c r="I9" s="9">
        <v>845.18000000000006</v>
      </c>
      <c r="J9" s="9">
        <v>3212.6499999999996</v>
      </c>
    </row>
    <row r="10" spans="1:10" ht="16" x14ac:dyDescent="0.2">
      <c r="A10" s="7" t="s">
        <v>15</v>
      </c>
      <c r="B10" s="7" t="s">
        <v>1055</v>
      </c>
      <c r="C10" s="7" t="s">
        <v>1004</v>
      </c>
      <c r="D10" s="7" t="s">
        <v>1044</v>
      </c>
      <c r="E10" s="8" t="s">
        <v>1052</v>
      </c>
      <c r="F10" s="8" t="s">
        <v>19</v>
      </c>
      <c r="G10" s="9">
        <v>2367.4699999999993</v>
      </c>
      <c r="H10" s="9"/>
      <c r="I10" s="9">
        <v>845.18000000000006</v>
      </c>
      <c r="J10" s="9">
        <v>3212.6499999999996</v>
      </c>
    </row>
    <row r="11" spans="1:10" ht="16" x14ac:dyDescent="0.2">
      <c r="A11" s="7" t="s">
        <v>9</v>
      </c>
      <c r="B11" s="7" t="s">
        <v>1056</v>
      </c>
      <c r="C11" s="7" t="s">
        <v>1004</v>
      </c>
      <c r="D11" s="7" t="s">
        <v>1044</v>
      </c>
      <c r="E11" s="8" t="s">
        <v>1047</v>
      </c>
      <c r="F11" s="8" t="s">
        <v>1057</v>
      </c>
      <c r="G11" s="9">
        <v>2367.4699999999989</v>
      </c>
      <c r="H11" s="9"/>
      <c r="I11" s="9">
        <v>845.18</v>
      </c>
      <c r="J11" s="9">
        <v>3212.6499999999987</v>
      </c>
    </row>
    <row r="12" spans="1:10" ht="16" x14ac:dyDescent="0.2">
      <c r="A12" s="7" t="s">
        <v>9</v>
      </c>
      <c r="B12" s="7" t="s">
        <v>1103</v>
      </c>
      <c r="C12" s="7" t="s">
        <v>1004</v>
      </c>
      <c r="D12" s="7" t="s">
        <v>1005</v>
      </c>
      <c r="E12" s="8" t="s">
        <v>1104</v>
      </c>
      <c r="F12" s="8" t="s">
        <v>1047</v>
      </c>
      <c r="G12" s="9">
        <v>575.23</v>
      </c>
      <c r="H12" s="9"/>
      <c r="I12" s="9">
        <v>164.36</v>
      </c>
      <c r="J12" s="9">
        <v>739.59</v>
      </c>
    </row>
    <row r="13" spans="1:10" ht="16" x14ac:dyDescent="0.2">
      <c r="A13" s="7" t="s">
        <v>9</v>
      </c>
      <c r="B13" s="7" t="s">
        <v>1111</v>
      </c>
      <c r="C13" s="7" t="s">
        <v>1004</v>
      </c>
      <c r="D13" s="7" t="s">
        <v>1044</v>
      </c>
      <c r="E13" s="8" t="s">
        <v>1112</v>
      </c>
      <c r="F13" s="8" t="s">
        <v>1047</v>
      </c>
      <c r="G13" s="9">
        <v>479.40999999999997</v>
      </c>
      <c r="H13" s="9"/>
      <c r="I13" s="9">
        <v>123.27000000000001</v>
      </c>
      <c r="J13" s="9">
        <v>602.67999999999995</v>
      </c>
    </row>
    <row r="14" spans="1:10" ht="16" hidden="1" x14ac:dyDescent="0.2">
      <c r="A14" s="7" t="s">
        <v>9</v>
      </c>
      <c r="B14" s="7" t="s">
        <v>10</v>
      </c>
      <c r="C14" s="7" t="s">
        <v>11</v>
      </c>
      <c r="D14" s="7" t="s">
        <v>12</v>
      </c>
      <c r="E14" s="8" t="s">
        <v>13</v>
      </c>
      <c r="F14" s="8" t="s">
        <v>14</v>
      </c>
      <c r="G14" s="9">
        <v>147460.73999999996</v>
      </c>
      <c r="H14" s="9"/>
      <c r="I14" s="9">
        <v>0</v>
      </c>
      <c r="J14" s="9">
        <v>147460.73999999996</v>
      </c>
    </row>
    <row r="15" spans="1:10" ht="16" x14ac:dyDescent="0.2">
      <c r="A15" s="7" t="s">
        <v>15</v>
      </c>
      <c r="B15" s="7" t="s">
        <v>16</v>
      </c>
      <c r="C15" s="7" t="s">
        <v>11</v>
      </c>
      <c r="D15" s="7" t="s">
        <v>17</v>
      </c>
      <c r="E15" s="8" t="s">
        <v>18</v>
      </c>
      <c r="F15" s="8" t="s">
        <v>19</v>
      </c>
      <c r="G15" s="9">
        <v>117085.74999999994</v>
      </c>
      <c r="H15" s="9"/>
      <c r="I15" s="9">
        <v>5815.5300000000007</v>
      </c>
      <c r="J15" s="9">
        <v>122901.28000000001</v>
      </c>
    </row>
    <row r="16" spans="1:10" ht="16" x14ac:dyDescent="0.2">
      <c r="A16" s="7" t="s">
        <v>9</v>
      </c>
      <c r="B16" s="7" t="s">
        <v>25</v>
      </c>
      <c r="C16" s="7" t="s">
        <v>11</v>
      </c>
      <c r="D16" s="7" t="s">
        <v>26</v>
      </c>
      <c r="E16" s="8" t="s">
        <v>27</v>
      </c>
      <c r="F16" s="8" t="s">
        <v>28</v>
      </c>
      <c r="G16" s="9">
        <v>112514.15000000004</v>
      </c>
      <c r="H16" s="9"/>
      <c r="I16" s="9">
        <v>0</v>
      </c>
      <c r="J16" s="9">
        <v>112514.15000000004</v>
      </c>
    </row>
    <row r="17" spans="1:10" ht="16" x14ac:dyDescent="0.2">
      <c r="A17" s="7" t="s">
        <v>15</v>
      </c>
      <c r="B17" s="7" t="s">
        <v>175</v>
      </c>
      <c r="C17" s="7" t="s">
        <v>11</v>
      </c>
      <c r="D17" s="7" t="s">
        <v>26</v>
      </c>
      <c r="E17" s="8" t="s">
        <v>176</v>
      </c>
      <c r="F17" s="8" t="s">
        <v>19</v>
      </c>
      <c r="G17" s="9">
        <v>70322.60000000002</v>
      </c>
      <c r="H17" s="9"/>
      <c r="I17" s="9">
        <v>0</v>
      </c>
      <c r="J17" s="9">
        <v>70322.60000000002</v>
      </c>
    </row>
    <row r="18" spans="1:10" ht="16" x14ac:dyDescent="0.2">
      <c r="A18" s="7" t="s">
        <v>9</v>
      </c>
      <c r="B18" s="7" t="s">
        <v>818</v>
      </c>
      <c r="C18" s="7" t="s">
        <v>11</v>
      </c>
      <c r="D18" s="7" t="s">
        <v>819</v>
      </c>
      <c r="E18" s="8" t="s">
        <v>820</v>
      </c>
      <c r="F18" s="8" t="s">
        <v>821</v>
      </c>
      <c r="G18" s="9">
        <v>17997.18</v>
      </c>
      <c r="H18" s="9">
        <v>448.06</v>
      </c>
      <c r="I18" s="9">
        <v>6441.5000000000009</v>
      </c>
      <c r="J18" s="9">
        <v>24886.74</v>
      </c>
    </row>
    <row r="19" spans="1:10" ht="16" x14ac:dyDescent="0.2">
      <c r="A19" s="7" t="s">
        <v>9</v>
      </c>
      <c r="B19" s="7" t="s">
        <v>1091</v>
      </c>
      <c r="C19" s="7" t="s">
        <v>11</v>
      </c>
      <c r="D19" s="7" t="s">
        <v>558</v>
      </c>
      <c r="E19" s="8" t="s">
        <v>1092</v>
      </c>
      <c r="F19" s="8" t="s">
        <v>1093</v>
      </c>
      <c r="G19" s="9">
        <v>1271.97</v>
      </c>
      <c r="H19" s="9">
        <v>3.17</v>
      </c>
      <c r="I19" s="9">
        <v>140.88</v>
      </c>
      <c r="J19" s="9">
        <v>1416.02</v>
      </c>
    </row>
    <row r="20" spans="1:10" ht="16" x14ac:dyDescent="0.2">
      <c r="A20" s="7" t="s">
        <v>9</v>
      </c>
      <c r="B20" s="7" t="s">
        <v>118</v>
      </c>
      <c r="C20" s="7" t="s">
        <v>119</v>
      </c>
      <c r="D20" s="7" t="s">
        <v>120</v>
      </c>
      <c r="E20" s="8" t="s">
        <v>121</v>
      </c>
      <c r="F20" s="8" t="s">
        <v>122</v>
      </c>
      <c r="G20" s="9">
        <v>75360.320000000007</v>
      </c>
      <c r="H20" s="9"/>
      <c r="I20" s="9">
        <v>10.92</v>
      </c>
      <c r="J20" s="9">
        <v>75371.240000000005</v>
      </c>
    </row>
    <row r="21" spans="1:10" ht="16" x14ac:dyDescent="0.2">
      <c r="A21" s="7" t="s">
        <v>9</v>
      </c>
      <c r="B21" s="7" t="s">
        <v>625</v>
      </c>
      <c r="C21" s="7" t="s">
        <v>119</v>
      </c>
      <c r="D21" s="7" t="s">
        <v>626</v>
      </c>
      <c r="E21" s="8" t="s">
        <v>627</v>
      </c>
      <c r="F21" s="8" t="s">
        <v>628</v>
      </c>
      <c r="G21" s="9">
        <v>36060.799999999996</v>
      </c>
      <c r="H21" s="9"/>
      <c r="I21" s="9">
        <v>0</v>
      </c>
      <c r="J21" s="9">
        <v>36060.799999999996</v>
      </c>
    </row>
    <row r="22" spans="1:10" ht="16" x14ac:dyDescent="0.2">
      <c r="A22" s="7" t="s">
        <v>15</v>
      </c>
      <c r="B22" s="7" t="s">
        <v>788</v>
      </c>
      <c r="C22" s="7" t="s">
        <v>119</v>
      </c>
      <c r="D22" s="7" t="s">
        <v>789</v>
      </c>
      <c r="E22" s="8" t="s">
        <v>381</v>
      </c>
      <c r="F22" s="8" t="s">
        <v>19</v>
      </c>
      <c r="G22" s="9">
        <v>22133.19</v>
      </c>
      <c r="H22" s="9">
        <v>80.56</v>
      </c>
      <c r="I22" s="9">
        <v>4417.6299999999992</v>
      </c>
      <c r="J22" s="9">
        <v>26631.380000000005</v>
      </c>
    </row>
    <row r="23" spans="1:10" ht="16" x14ac:dyDescent="0.2">
      <c r="A23" s="7" t="s">
        <v>9</v>
      </c>
      <c r="B23" s="7" t="s">
        <v>476</v>
      </c>
      <c r="C23" s="7" t="s">
        <v>477</v>
      </c>
      <c r="D23" s="7" t="s">
        <v>478</v>
      </c>
      <c r="E23" s="8" t="s">
        <v>479</v>
      </c>
      <c r="F23" s="8" t="s">
        <v>480</v>
      </c>
      <c r="G23" s="9">
        <v>45787.19999999999</v>
      </c>
      <c r="H23" s="9"/>
      <c r="I23" s="9">
        <v>0</v>
      </c>
      <c r="J23" s="9">
        <v>45787.19999999999</v>
      </c>
    </row>
    <row r="24" spans="1:10" ht="16" x14ac:dyDescent="0.2">
      <c r="A24" s="7" t="s">
        <v>15</v>
      </c>
      <c r="B24" s="7" t="s">
        <v>636</v>
      </c>
      <c r="C24" s="7" t="s">
        <v>477</v>
      </c>
      <c r="D24" s="7" t="s">
        <v>637</v>
      </c>
      <c r="E24" s="8" t="s">
        <v>638</v>
      </c>
      <c r="F24" s="8" t="s">
        <v>19</v>
      </c>
      <c r="G24" s="9">
        <v>23342.86</v>
      </c>
      <c r="H24" s="9">
        <v>4313.7700000000004</v>
      </c>
      <c r="I24" s="9">
        <v>6579.24</v>
      </c>
      <c r="J24" s="9">
        <v>34235.869999999995</v>
      </c>
    </row>
    <row r="25" spans="1:10" ht="16" x14ac:dyDescent="0.2">
      <c r="A25" s="7" t="s">
        <v>9</v>
      </c>
      <c r="B25" s="7" t="s">
        <v>692</v>
      </c>
      <c r="C25" s="7" t="s">
        <v>477</v>
      </c>
      <c r="D25" s="7" t="s">
        <v>693</v>
      </c>
      <c r="E25" s="8" t="s">
        <v>482</v>
      </c>
      <c r="F25" s="8" t="s">
        <v>694</v>
      </c>
      <c r="G25" s="9">
        <v>25219.100000000006</v>
      </c>
      <c r="H25" s="9">
        <v>56</v>
      </c>
      <c r="I25" s="9">
        <v>6802.6699999999983</v>
      </c>
      <c r="J25" s="9">
        <v>32077.769999999997</v>
      </c>
    </row>
    <row r="26" spans="1:10" ht="16" x14ac:dyDescent="0.2">
      <c r="A26" s="7" t="s">
        <v>9</v>
      </c>
      <c r="B26" s="7" t="s">
        <v>720</v>
      </c>
      <c r="C26" s="7" t="s">
        <v>477</v>
      </c>
      <c r="D26" s="7" t="s">
        <v>721</v>
      </c>
      <c r="E26" s="8" t="s">
        <v>722</v>
      </c>
      <c r="F26" s="8" t="s">
        <v>723</v>
      </c>
      <c r="G26" s="9">
        <v>24524.780000000006</v>
      </c>
      <c r="H26" s="9">
        <v>67.460000000000008</v>
      </c>
      <c r="I26" s="9">
        <v>6154.1799999999985</v>
      </c>
      <c r="J26" s="9">
        <v>30746.419999999991</v>
      </c>
    </row>
    <row r="27" spans="1:10" ht="16" x14ac:dyDescent="0.2">
      <c r="A27" s="7" t="s">
        <v>9</v>
      </c>
      <c r="B27" s="7" t="s">
        <v>808</v>
      </c>
      <c r="C27" s="7" t="s">
        <v>477</v>
      </c>
      <c r="D27" s="7" t="s">
        <v>637</v>
      </c>
      <c r="E27" s="8" t="s">
        <v>809</v>
      </c>
      <c r="F27" s="8" t="s">
        <v>810</v>
      </c>
      <c r="G27" s="9">
        <v>16855.36</v>
      </c>
      <c r="H27" s="9">
        <v>213.44000000000003</v>
      </c>
      <c r="I27" s="9">
        <v>8213.7799999999988</v>
      </c>
      <c r="J27" s="9">
        <v>25282.580000000005</v>
      </c>
    </row>
    <row r="28" spans="1:10" ht="16" x14ac:dyDescent="0.2">
      <c r="A28" s="7" t="s">
        <v>15</v>
      </c>
      <c r="B28" s="7" t="s">
        <v>841</v>
      </c>
      <c r="C28" s="7" t="s">
        <v>477</v>
      </c>
      <c r="D28" s="7" t="s">
        <v>637</v>
      </c>
      <c r="E28" s="8" t="s">
        <v>842</v>
      </c>
      <c r="F28" s="8" t="s">
        <v>19</v>
      </c>
      <c r="G28" s="9">
        <v>19462.309999999998</v>
      </c>
      <c r="H28" s="9">
        <v>555.57999999999993</v>
      </c>
      <c r="I28" s="9">
        <v>3854.4399999999996</v>
      </c>
      <c r="J28" s="9">
        <v>23872.33</v>
      </c>
    </row>
    <row r="29" spans="1:10" ht="16" x14ac:dyDescent="0.2">
      <c r="A29" s="7" t="s">
        <v>9</v>
      </c>
      <c r="B29" s="7" t="s">
        <v>902</v>
      </c>
      <c r="C29" s="7" t="s">
        <v>477</v>
      </c>
      <c r="D29" s="7" t="s">
        <v>637</v>
      </c>
      <c r="E29" s="8" t="s">
        <v>903</v>
      </c>
      <c r="F29" s="8" t="s">
        <v>512</v>
      </c>
      <c r="G29" s="9">
        <v>13893.449999999999</v>
      </c>
      <c r="H29" s="9"/>
      <c r="I29" s="9">
        <v>1583.38</v>
      </c>
      <c r="J29" s="9">
        <v>15476.83</v>
      </c>
    </row>
    <row r="30" spans="1:10" ht="16" x14ac:dyDescent="0.2">
      <c r="A30" s="7" t="s">
        <v>9</v>
      </c>
      <c r="B30" s="7" t="s">
        <v>950</v>
      </c>
      <c r="C30" s="7" t="s">
        <v>477</v>
      </c>
      <c r="D30" s="7" t="s">
        <v>951</v>
      </c>
      <c r="E30" s="8" t="s">
        <v>793</v>
      </c>
      <c r="F30" s="8" t="s">
        <v>952</v>
      </c>
      <c r="G30" s="9">
        <v>10885.25</v>
      </c>
      <c r="H30" s="9"/>
      <c r="I30" s="9">
        <v>781.5200000000001</v>
      </c>
      <c r="J30" s="9">
        <v>11666.77</v>
      </c>
    </row>
    <row r="31" spans="1:10" ht="16" x14ac:dyDescent="0.2">
      <c r="A31" s="7" t="s">
        <v>9</v>
      </c>
      <c r="B31" s="7" t="s">
        <v>744</v>
      </c>
      <c r="C31" s="7" t="s">
        <v>745</v>
      </c>
      <c r="D31" s="7" t="s">
        <v>746</v>
      </c>
      <c r="E31" s="8" t="s">
        <v>747</v>
      </c>
      <c r="F31" s="8" t="s">
        <v>748</v>
      </c>
      <c r="G31" s="9">
        <v>21433.089999999997</v>
      </c>
      <c r="H31" s="9">
        <v>124.23</v>
      </c>
      <c r="I31" s="9">
        <v>7099.1399999999985</v>
      </c>
      <c r="J31" s="9">
        <v>28656.460000000006</v>
      </c>
    </row>
    <row r="32" spans="1:10" ht="16" x14ac:dyDescent="0.2">
      <c r="A32" s="7" t="s">
        <v>15</v>
      </c>
      <c r="B32" s="7" t="s">
        <v>846</v>
      </c>
      <c r="C32" s="7" t="s">
        <v>745</v>
      </c>
      <c r="D32" s="7" t="s">
        <v>746</v>
      </c>
      <c r="E32" s="8" t="s">
        <v>482</v>
      </c>
      <c r="F32" s="8" t="s">
        <v>19</v>
      </c>
      <c r="G32" s="9">
        <v>16794.240000000002</v>
      </c>
      <c r="H32" s="9">
        <v>2.66</v>
      </c>
      <c r="I32" s="9">
        <v>6097.62</v>
      </c>
      <c r="J32" s="9">
        <v>22894.520000000004</v>
      </c>
    </row>
    <row r="33" spans="1:10" ht="16" x14ac:dyDescent="0.2">
      <c r="A33" s="7" t="s">
        <v>9</v>
      </c>
      <c r="B33" s="7" t="s">
        <v>933</v>
      </c>
      <c r="C33" s="7" t="s">
        <v>745</v>
      </c>
      <c r="D33" s="7" t="s">
        <v>934</v>
      </c>
      <c r="E33" s="8" t="s">
        <v>648</v>
      </c>
      <c r="F33" s="8" t="s">
        <v>935</v>
      </c>
      <c r="G33" s="9">
        <v>11930.85</v>
      </c>
      <c r="H33" s="9"/>
      <c r="I33" s="9">
        <v>1372.5199999999995</v>
      </c>
      <c r="J33" s="9">
        <v>13303.369999999999</v>
      </c>
    </row>
    <row r="34" spans="1:10" ht="16" x14ac:dyDescent="0.2">
      <c r="A34" s="7" t="s">
        <v>15</v>
      </c>
      <c r="B34" s="7" t="s">
        <v>522</v>
      </c>
      <c r="C34" s="7" t="s">
        <v>523</v>
      </c>
      <c r="D34" s="7" t="s">
        <v>524</v>
      </c>
      <c r="E34" s="8" t="s">
        <v>525</v>
      </c>
      <c r="F34" s="8" t="s">
        <v>19</v>
      </c>
      <c r="G34" s="9">
        <v>35396.870000000003</v>
      </c>
      <c r="H34" s="9">
        <v>1858.5500000000004</v>
      </c>
      <c r="I34" s="9">
        <v>6141.58</v>
      </c>
      <c r="J34" s="9">
        <v>43396.999999999993</v>
      </c>
    </row>
    <row r="35" spans="1:10" ht="16" x14ac:dyDescent="0.2">
      <c r="A35" s="7" t="s">
        <v>487</v>
      </c>
      <c r="B35" s="7" t="s">
        <v>608</v>
      </c>
      <c r="C35" s="7" t="s">
        <v>523</v>
      </c>
      <c r="D35" s="7" t="s">
        <v>609</v>
      </c>
      <c r="E35" s="8" t="s">
        <v>610</v>
      </c>
      <c r="F35" s="8" t="s">
        <v>611</v>
      </c>
      <c r="G35" s="9">
        <v>26270.84</v>
      </c>
      <c r="H35" s="9">
        <v>3035.43</v>
      </c>
      <c r="I35" s="9">
        <v>8466.119999999999</v>
      </c>
      <c r="J35" s="9">
        <v>37772.39</v>
      </c>
    </row>
    <row r="36" spans="1:10" ht="16" x14ac:dyDescent="0.2">
      <c r="A36" s="7" t="s">
        <v>15</v>
      </c>
      <c r="B36" s="7" t="s">
        <v>672</v>
      </c>
      <c r="C36" s="7" t="s">
        <v>523</v>
      </c>
      <c r="D36" s="7" t="s">
        <v>609</v>
      </c>
      <c r="E36" s="8" t="s">
        <v>673</v>
      </c>
      <c r="F36" s="8" t="s">
        <v>19</v>
      </c>
      <c r="G36" s="9">
        <v>27855.37</v>
      </c>
      <c r="H36" s="9">
        <v>200.34000000000003</v>
      </c>
      <c r="I36" s="9">
        <v>4830.3499999999995</v>
      </c>
      <c r="J36" s="9">
        <v>32886.06</v>
      </c>
    </row>
    <row r="37" spans="1:10" ht="16" x14ac:dyDescent="0.2">
      <c r="A37" s="7" t="s">
        <v>9</v>
      </c>
      <c r="B37" s="7" t="s">
        <v>855</v>
      </c>
      <c r="C37" s="7" t="s">
        <v>523</v>
      </c>
      <c r="D37" s="7" t="s">
        <v>856</v>
      </c>
      <c r="E37" s="8" t="s">
        <v>456</v>
      </c>
      <c r="F37" s="8" t="s">
        <v>857</v>
      </c>
      <c r="G37" s="9">
        <v>18909.200000000004</v>
      </c>
      <c r="H37" s="9">
        <v>407.35999999999996</v>
      </c>
      <c r="I37" s="9">
        <v>2956.2399999999993</v>
      </c>
      <c r="J37" s="9">
        <v>22272.799999999999</v>
      </c>
    </row>
    <row r="38" spans="1:10" ht="16" x14ac:dyDescent="0.2">
      <c r="A38" s="7" t="s">
        <v>15</v>
      </c>
      <c r="B38" s="7" t="s">
        <v>862</v>
      </c>
      <c r="C38" s="7" t="s">
        <v>523</v>
      </c>
      <c r="D38" s="7" t="s">
        <v>609</v>
      </c>
      <c r="E38" s="8" t="s">
        <v>89</v>
      </c>
      <c r="F38" s="8" t="s">
        <v>19</v>
      </c>
      <c r="G38" s="9">
        <v>18843.949999999997</v>
      </c>
      <c r="H38" s="9">
        <v>345.45999999999992</v>
      </c>
      <c r="I38" s="9">
        <v>2733.62</v>
      </c>
      <c r="J38" s="9">
        <v>21923.03</v>
      </c>
    </row>
    <row r="39" spans="1:10" ht="16" x14ac:dyDescent="0.2">
      <c r="A39" s="7" t="s">
        <v>15</v>
      </c>
      <c r="B39" s="7" t="s">
        <v>866</v>
      </c>
      <c r="C39" s="7" t="s">
        <v>523</v>
      </c>
      <c r="D39" s="7" t="s">
        <v>867</v>
      </c>
      <c r="E39" s="8" t="s">
        <v>868</v>
      </c>
      <c r="F39" s="8" t="s">
        <v>19</v>
      </c>
      <c r="G39" s="9">
        <v>19882.349999999999</v>
      </c>
      <c r="H39" s="9">
        <v>124.68</v>
      </c>
      <c r="I39" s="9">
        <v>1646.8800000000003</v>
      </c>
      <c r="J39" s="9">
        <v>21653.910000000003</v>
      </c>
    </row>
    <row r="40" spans="1:10" ht="16" x14ac:dyDescent="0.2">
      <c r="A40" s="7" t="s">
        <v>15</v>
      </c>
      <c r="B40" s="7" t="s">
        <v>869</v>
      </c>
      <c r="C40" s="7" t="s">
        <v>523</v>
      </c>
      <c r="D40" s="7" t="s">
        <v>867</v>
      </c>
      <c r="E40" s="8" t="s">
        <v>646</v>
      </c>
      <c r="F40" s="8" t="s">
        <v>19</v>
      </c>
      <c r="G40" s="9">
        <v>18724.039999999997</v>
      </c>
      <c r="H40" s="9">
        <v>143.82999999999998</v>
      </c>
      <c r="I40" s="9">
        <v>2771.71</v>
      </c>
      <c r="J40" s="9">
        <v>21639.58</v>
      </c>
    </row>
    <row r="41" spans="1:10" ht="16" x14ac:dyDescent="0.2">
      <c r="A41" s="7" t="s">
        <v>9</v>
      </c>
      <c r="B41" s="7" t="s">
        <v>1014</v>
      </c>
      <c r="C41" s="7" t="s">
        <v>523</v>
      </c>
      <c r="D41" s="7" t="s">
        <v>856</v>
      </c>
      <c r="E41" s="8" t="s">
        <v>1009</v>
      </c>
      <c r="F41" s="8" t="s">
        <v>1015</v>
      </c>
      <c r="G41" s="9">
        <v>4470.37</v>
      </c>
      <c r="H41" s="9">
        <v>23.62</v>
      </c>
      <c r="I41" s="9">
        <v>104.08</v>
      </c>
      <c r="J41" s="9">
        <v>4598.07</v>
      </c>
    </row>
    <row r="42" spans="1:10" ht="16" x14ac:dyDescent="0.2">
      <c r="A42" s="7" t="s">
        <v>9</v>
      </c>
      <c r="B42" s="7" t="s">
        <v>1078</v>
      </c>
      <c r="C42" s="7" t="s">
        <v>523</v>
      </c>
      <c r="D42" s="7" t="s">
        <v>609</v>
      </c>
      <c r="E42" s="8" t="s">
        <v>694</v>
      </c>
      <c r="F42" s="8" t="s">
        <v>1079</v>
      </c>
      <c r="G42" s="9">
        <v>1973.32</v>
      </c>
      <c r="H42" s="9">
        <v>49.730000000000004</v>
      </c>
      <c r="I42" s="9">
        <v>102</v>
      </c>
      <c r="J42" s="9">
        <v>2125.0500000000002</v>
      </c>
    </row>
    <row r="43" spans="1:10" ht="16" x14ac:dyDescent="0.2">
      <c r="A43" s="7" t="s">
        <v>9</v>
      </c>
      <c r="B43" s="7" t="s">
        <v>1096</v>
      </c>
      <c r="C43" s="7" t="s">
        <v>523</v>
      </c>
      <c r="D43" s="7" t="s">
        <v>856</v>
      </c>
      <c r="E43" s="8" t="s">
        <v>861</v>
      </c>
      <c r="F43" s="8" t="s">
        <v>1097</v>
      </c>
      <c r="G43" s="9">
        <v>1199.7</v>
      </c>
      <c r="H43" s="9"/>
      <c r="I43" s="9">
        <v>21.78</v>
      </c>
      <c r="J43" s="9">
        <v>1221.48</v>
      </c>
    </row>
    <row r="44" spans="1:10" ht="16" x14ac:dyDescent="0.2">
      <c r="A44" s="7" t="s">
        <v>9</v>
      </c>
      <c r="B44" s="7" t="s">
        <v>1101</v>
      </c>
      <c r="C44" s="7" t="s">
        <v>523</v>
      </c>
      <c r="D44" s="7" t="s">
        <v>856</v>
      </c>
      <c r="E44" s="8" t="s">
        <v>1092</v>
      </c>
      <c r="F44" s="8" t="s">
        <v>1102</v>
      </c>
      <c r="G44" s="9">
        <v>919.31</v>
      </c>
      <c r="H44" s="9">
        <v>2.48</v>
      </c>
      <c r="I44" s="9">
        <v>101.68</v>
      </c>
      <c r="J44" s="9">
        <v>1023.47</v>
      </c>
    </row>
    <row r="45" spans="1:10" ht="16" x14ac:dyDescent="0.2">
      <c r="A45" s="7" t="s">
        <v>9</v>
      </c>
      <c r="B45" s="7" t="s">
        <v>82</v>
      </c>
      <c r="C45" s="7" t="s">
        <v>83</v>
      </c>
      <c r="D45" s="7" t="s">
        <v>84</v>
      </c>
      <c r="E45" s="8" t="s">
        <v>85</v>
      </c>
      <c r="F45" s="8" t="s">
        <v>86</v>
      </c>
      <c r="G45" s="9">
        <v>84922.24000000002</v>
      </c>
      <c r="H45" s="9">
        <v>0</v>
      </c>
      <c r="I45" s="9">
        <v>981.76</v>
      </c>
      <c r="J45" s="9">
        <v>85904.000000000029</v>
      </c>
    </row>
    <row r="46" spans="1:10" ht="16" x14ac:dyDescent="0.2">
      <c r="A46" s="7" t="s">
        <v>9</v>
      </c>
      <c r="B46" s="7" t="s">
        <v>451</v>
      </c>
      <c r="C46" s="7" t="s">
        <v>83</v>
      </c>
      <c r="D46" s="7" t="s">
        <v>452</v>
      </c>
      <c r="E46" s="8" t="s">
        <v>453</v>
      </c>
      <c r="F46" s="8" t="s">
        <v>454</v>
      </c>
      <c r="G46" s="9">
        <v>47583.200000000019</v>
      </c>
      <c r="H46" s="9"/>
      <c r="I46" s="9">
        <v>0</v>
      </c>
      <c r="J46" s="9">
        <v>47583.200000000019</v>
      </c>
    </row>
    <row r="47" spans="1:10" ht="16" x14ac:dyDescent="0.2">
      <c r="A47" s="7" t="s">
        <v>9</v>
      </c>
      <c r="B47" s="7" t="s">
        <v>465</v>
      </c>
      <c r="C47" s="7" t="s">
        <v>83</v>
      </c>
      <c r="D47" s="7" t="s">
        <v>466</v>
      </c>
      <c r="E47" s="8" t="s">
        <v>148</v>
      </c>
      <c r="F47" s="8" t="s">
        <v>467</v>
      </c>
      <c r="G47" s="9">
        <v>46687.19999999999</v>
      </c>
      <c r="H47" s="9"/>
      <c r="I47" s="9">
        <v>0</v>
      </c>
      <c r="J47" s="9">
        <v>46687.19999999999</v>
      </c>
    </row>
    <row r="48" spans="1:10" ht="16" x14ac:dyDescent="0.2">
      <c r="A48" s="7" t="s">
        <v>9</v>
      </c>
      <c r="B48" s="7" t="s">
        <v>554</v>
      </c>
      <c r="C48" s="7" t="s">
        <v>83</v>
      </c>
      <c r="D48" s="7" t="s">
        <v>452</v>
      </c>
      <c r="E48" s="8" t="s">
        <v>555</v>
      </c>
      <c r="F48" s="8" t="s">
        <v>556</v>
      </c>
      <c r="G48" s="9">
        <v>35866.299999999996</v>
      </c>
      <c r="H48" s="9">
        <v>611.53</v>
      </c>
      <c r="I48" s="9">
        <v>5613.66</v>
      </c>
      <c r="J48" s="9">
        <v>42091.490000000005</v>
      </c>
    </row>
    <row r="49" spans="1:10" ht="16" x14ac:dyDescent="0.2">
      <c r="A49" s="7" t="s">
        <v>15</v>
      </c>
      <c r="B49" s="7" t="s">
        <v>42</v>
      </c>
      <c r="C49" s="7" t="s">
        <v>43</v>
      </c>
      <c r="D49" s="7" t="s">
        <v>44</v>
      </c>
      <c r="E49" s="8" t="s">
        <v>45</v>
      </c>
      <c r="F49" s="8" t="s">
        <v>19</v>
      </c>
      <c r="G49" s="9">
        <v>93867.200000000041</v>
      </c>
      <c r="H49" s="9"/>
      <c r="I49" s="9">
        <v>3464.2</v>
      </c>
      <c r="J49" s="9">
        <v>97331.400000000038</v>
      </c>
    </row>
    <row r="50" spans="1:10" ht="16" x14ac:dyDescent="0.2">
      <c r="A50" s="7" t="s">
        <v>9</v>
      </c>
      <c r="B50" s="7" t="s">
        <v>74</v>
      </c>
      <c r="C50" s="7" t="s">
        <v>43</v>
      </c>
      <c r="D50" s="7" t="s">
        <v>75</v>
      </c>
      <c r="E50" s="8" t="s">
        <v>76</v>
      </c>
      <c r="F50" s="8" t="s">
        <v>77</v>
      </c>
      <c r="G50" s="9">
        <v>45832.69</v>
      </c>
      <c r="H50" s="9">
        <v>27747.230000000003</v>
      </c>
      <c r="I50" s="9">
        <v>14115.32</v>
      </c>
      <c r="J50" s="9">
        <v>87695.24</v>
      </c>
    </row>
    <row r="51" spans="1:10" ht="16" x14ac:dyDescent="0.2">
      <c r="A51" s="7" t="s">
        <v>9</v>
      </c>
      <c r="B51" s="7" t="s">
        <v>78</v>
      </c>
      <c r="C51" s="7" t="s">
        <v>43</v>
      </c>
      <c r="D51" s="7" t="s">
        <v>79</v>
      </c>
      <c r="E51" s="8" t="s">
        <v>80</v>
      </c>
      <c r="F51" s="8" t="s">
        <v>81</v>
      </c>
      <c r="G51" s="9">
        <v>44095.9</v>
      </c>
      <c r="H51" s="9">
        <v>39039.769999999997</v>
      </c>
      <c r="I51" s="9">
        <v>4396.7499999999991</v>
      </c>
      <c r="J51" s="9">
        <v>87532.419999999984</v>
      </c>
    </row>
    <row r="52" spans="1:10" ht="16" x14ac:dyDescent="0.2">
      <c r="A52" s="7" t="s">
        <v>15</v>
      </c>
      <c r="B52" s="7" t="s">
        <v>127</v>
      </c>
      <c r="C52" s="7" t="s">
        <v>43</v>
      </c>
      <c r="D52" s="7" t="s">
        <v>128</v>
      </c>
      <c r="E52" s="8" t="s">
        <v>129</v>
      </c>
      <c r="F52" s="8" t="s">
        <v>19</v>
      </c>
      <c r="G52" s="9">
        <v>72173.440000000017</v>
      </c>
      <c r="H52" s="9"/>
      <c r="I52" s="9">
        <v>2934.36</v>
      </c>
      <c r="J52" s="9">
        <v>75107.800000000017</v>
      </c>
    </row>
    <row r="53" spans="1:10" ht="16" x14ac:dyDescent="0.2">
      <c r="A53" s="7" t="s">
        <v>15</v>
      </c>
      <c r="B53" s="7" t="s">
        <v>133</v>
      </c>
      <c r="C53" s="7" t="s">
        <v>43</v>
      </c>
      <c r="D53" s="7" t="s">
        <v>134</v>
      </c>
      <c r="E53" s="8" t="s">
        <v>135</v>
      </c>
      <c r="F53" s="8" t="s">
        <v>19</v>
      </c>
      <c r="G53" s="9">
        <v>32372.799999999999</v>
      </c>
      <c r="H53" s="9">
        <v>35480.699999999997</v>
      </c>
      <c r="I53" s="9">
        <v>7070.8899999999994</v>
      </c>
      <c r="J53" s="9">
        <v>74924.39</v>
      </c>
    </row>
    <row r="54" spans="1:10" ht="16" x14ac:dyDescent="0.2">
      <c r="A54" s="7" t="s">
        <v>15</v>
      </c>
      <c r="B54" s="7" t="s">
        <v>136</v>
      </c>
      <c r="C54" s="7" t="s">
        <v>43</v>
      </c>
      <c r="D54" s="7" t="s">
        <v>137</v>
      </c>
      <c r="E54" s="8" t="s">
        <v>138</v>
      </c>
      <c r="F54" s="8" t="s">
        <v>19</v>
      </c>
      <c r="G54" s="9">
        <v>37478.200000000012</v>
      </c>
      <c r="H54" s="9">
        <v>27738.720000000001</v>
      </c>
      <c r="I54" s="9">
        <v>9124.4600000000009</v>
      </c>
      <c r="J54" s="9">
        <v>74341.37999999999</v>
      </c>
    </row>
    <row r="55" spans="1:10" ht="16" x14ac:dyDescent="0.2">
      <c r="A55" s="7" t="s">
        <v>9</v>
      </c>
      <c r="B55" s="7" t="s">
        <v>143</v>
      </c>
      <c r="C55" s="7" t="s">
        <v>43</v>
      </c>
      <c r="D55" s="7" t="s">
        <v>134</v>
      </c>
      <c r="E55" s="8" t="s">
        <v>144</v>
      </c>
      <c r="F55" s="8" t="s">
        <v>145</v>
      </c>
      <c r="G55" s="9">
        <v>37247.750000000007</v>
      </c>
      <c r="H55" s="9">
        <v>28599.5</v>
      </c>
      <c r="I55" s="9">
        <v>7838.9100000000008</v>
      </c>
      <c r="J55" s="9">
        <v>73686.159999999989</v>
      </c>
    </row>
    <row r="56" spans="1:10" ht="16" x14ac:dyDescent="0.2">
      <c r="A56" s="7" t="s">
        <v>15</v>
      </c>
      <c r="B56" s="7" t="s">
        <v>149</v>
      </c>
      <c r="C56" s="7" t="s">
        <v>43</v>
      </c>
      <c r="D56" s="7" t="s">
        <v>150</v>
      </c>
      <c r="E56" s="8" t="s">
        <v>151</v>
      </c>
      <c r="F56" s="8" t="s">
        <v>19</v>
      </c>
      <c r="G56" s="9">
        <v>72877.440000000002</v>
      </c>
      <c r="H56" s="9"/>
      <c r="I56" s="9">
        <v>687.36</v>
      </c>
      <c r="J56" s="9">
        <v>73564.800000000017</v>
      </c>
    </row>
    <row r="57" spans="1:10" ht="16" x14ac:dyDescent="0.2">
      <c r="A57" s="7" t="s">
        <v>15</v>
      </c>
      <c r="B57" s="7" t="s">
        <v>155</v>
      </c>
      <c r="C57" s="7" t="s">
        <v>43</v>
      </c>
      <c r="D57" s="7" t="s">
        <v>79</v>
      </c>
      <c r="E57" s="8" t="s">
        <v>156</v>
      </c>
      <c r="F57" s="8" t="s">
        <v>19</v>
      </c>
      <c r="G57" s="9">
        <v>38124.710000000014</v>
      </c>
      <c r="H57" s="9">
        <v>19247.370000000003</v>
      </c>
      <c r="I57" s="9">
        <v>15584.420000000002</v>
      </c>
      <c r="J57" s="9">
        <v>72956.5</v>
      </c>
    </row>
    <row r="58" spans="1:10" ht="16" x14ac:dyDescent="0.2">
      <c r="A58" s="7" t="s">
        <v>9</v>
      </c>
      <c r="B58" s="7" t="s">
        <v>197</v>
      </c>
      <c r="C58" s="7" t="s">
        <v>43</v>
      </c>
      <c r="D58" s="7" t="s">
        <v>128</v>
      </c>
      <c r="E58" s="8" t="s">
        <v>80</v>
      </c>
      <c r="F58" s="8" t="s">
        <v>198</v>
      </c>
      <c r="G58" s="9">
        <v>65370.239999999983</v>
      </c>
      <c r="H58" s="9">
        <v>1488.31</v>
      </c>
      <c r="I58" s="9">
        <v>2029.56</v>
      </c>
      <c r="J58" s="9">
        <v>68888.109999999986</v>
      </c>
    </row>
    <row r="59" spans="1:10" ht="16" x14ac:dyDescent="0.2">
      <c r="A59" s="7" t="s">
        <v>15</v>
      </c>
      <c r="B59" s="7" t="s">
        <v>199</v>
      </c>
      <c r="C59" s="7" t="s">
        <v>43</v>
      </c>
      <c r="D59" s="7" t="s">
        <v>79</v>
      </c>
      <c r="E59" s="8" t="s">
        <v>200</v>
      </c>
      <c r="F59" s="8" t="s">
        <v>19</v>
      </c>
      <c r="G59" s="9">
        <v>33938.750000000007</v>
      </c>
      <c r="H59" s="9">
        <v>23202.709999999995</v>
      </c>
      <c r="I59" s="9">
        <v>11460.9</v>
      </c>
      <c r="J59" s="9">
        <v>68602.360000000015</v>
      </c>
    </row>
    <row r="60" spans="1:10" ht="16" x14ac:dyDescent="0.2">
      <c r="A60" s="7" t="s">
        <v>9</v>
      </c>
      <c r="B60" s="7" t="s">
        <v>220</v>
      </c>
      <c r="C60" s="7" t="s">
        <v>43</v>
      </c>
      <c r="D60" s="7" t="s">
        <v>134</v>
      </c>
      <c r="E60" s="8" t="s">
        <v>65</v>
      </c>
      <c r="F60" s="8" t="s">
        <v>221</v>
      </c>
      <c r="G60" s="9">
        <v>46675.090000000004</v>
      </c>
      <c r="H60" s="9">
        <v>12306.550000000001</v>
      </c>
      <c r="I60" s="9">
        <v>8078.8399999999992</v>
      </c>
      <c r="J60" s="9">
        <v>67060.479999999996</v>
      </c>
    </row>
    <row r="61" spans="1:10" ht="16" x14ac:dyDescent="0.2">
      <c r="A61" s="7" t="s">
        <v>15</v>
      </c>
      <c r="B61" s="7" t="s">
        <v>227</v>
      </c>
      <c r="C61" s="7" t="s">
        <v>43</v>
      </c>
      <c r="D61" s="7" t="s">
        <v>79</v>
      </c>
      <c r="E61" s="8" t="s">
        <v>228</v>
      </c>
      <c r="F61" s="8" t="s">
        <v>19</v>
      </c>
      <c r="G61" s="9">
        <v>34361.040000000001</v>
      </c>
      <c r="H61" s="9">
        <v>24808.670000000002</v>
      </c>
      <c r="I61" s="9">
        <v>7514.7599999999993</v>
      </c>
      <c r="J61" s="9">
        <v>66684.47</v>
      </c>
    </row>
    <row r="62" spans="1:10" ht="16" x14ac:dyDescent="0.2">
      <c r="A62" s="7" t="s">
        <v>15</v>
      </c>
      <c r="B62" s="7" t="s">
        <v>229</v>
      </c>
      <c r="C62" s="7" t="s">
        <v>43</v>
      </c>
      <c r="D62" s="7" t="s">
        <v>128</v>
      </c>
      <c r="E62" s="8" t="s">
        <v>230</v>
      </c>
      <c r="F62" s="8" t="s">
        <v>19</v>
      </c>
      <c r="G62" s="9">
        <v>43244.840000000018</v>
      </c>
      <c r="H62" s="9">
        <v>13511.590000000002</v>
      </c>
      <c r="I62" s="9">
        <v>9595.74</v>
      </c>
      <c r="J62" s="9">
        <v>66352.17</v>
      </c>
    </row>
    <row r="63" spans="1:10" ht="16" x14ac:dyDescent="0.2">
      <c r="A63" s="7" t="s">
        <v>9</v>
      </c>
      <c r="B63" s="7" t="s">
        <v>271</v>
      </c>
      <c r="C63" s="7" t="s">
        <v>43</v>
      </c>
      <c r="D63" s="7" t="s">
        <v>272</v>
      </c>
      <c r="E63" s="8" t="s">
        <v>273</v>
      </c>
      <c r="F63" s="8" t="s">
        <v>274</v>
      </c>
      <c r="G63" s="9">
        <v>28771.050000000007</v>
      </c>
      <c r="H63" s="9">
        <v>25084.539999999994</v>
      </c>
      <c r="I63" s="9">
        <v>6375.3300000000008</v>
      </c>
      <c r="J63" s="9">
        <v>60230.919999999991</v>
      </c>
    </row>
    <row r="64" spans="1:10" ht="16" x14ac:dyDescent="0.2">
      <c r="A64" s="7" t="s">
        <v>15</v>
      </c>
      <c r="B64" s="7" t="s">
        <v>280</v>
      </c>
      <c r="C64" s="7" t="s">
        <v>43</v>
      </c>
      <c r="D64" s="7" t="s">
        <v>134</v>
      </c>
      <c r="E64" s="8" t="s">
        <v>281</v>
      </c>
      <c r="F64" s="8" t="s">
        <v>19</v>
      </c>
      <c r="G64" s="9">
        <v>27492.579999999998</v>
      </c>
      <c r="H64" s="9">
        <v>25844.03</v>
      </c>
      <c r="I64" s="9">
        <v>5028.9500000000007</v>
      </c>
      <c r="J64" s="9">
        <v>58365.560000000005</v>
      </c>
    </row>
    <row r="65" spans="1:10" ht="16" x14ac:dyDescent="0.2">
      <c r="A65" s="7" t="s">
        <v>15</v>
      </c>
      <c r="B65" s="7" t="s">
        <v>295</v>
      </c>
      <c r="C65" s="7" t="s">
        <v>43</v>
      </c>
      <c r="D65" s="7" t="s">
        <v>296</v>
      </c>
      <c r="E65" s="8" t="s">
        <v>297</v>
      </c>
      <c r="F65" s="8" t="s">
        <v>19</v>
      </c>
      <c r="G65" s="9">
        <v>49760.249999999993</v>
      </c>
      <c r="H65" s="9">
        <v>3864.09</v>
      </c>
      <c r="I65" s="9">
        <v>3799.3600000000006</v>
      </c>
      <c r="J65" s="9">
        <v>57423.700000000012</v>
      </c>
    </row>
    <row r="66" spans="1:10" ht="16" x14ac:dyDescent="0.2">
      <c r="A66" s="7" t="s">
        <v>9</v>
      </c>
      <c r="B66" s="7" t="s">
        <v>298</v>
      </c>
      <c r="C66" s="7" t="s">
        <v>43</v>
      </c>
      <c r="D66" s="7" t="s">
        <v>299</v>
      </c>
      <c r="E66" s="8" t="s">
        <v>300</v>
      </c>
      <c r="F66" s="8" t="s">
        <v>301</v>
      </c>
      <c r="G66" s="9">
        <v>26561.43</v>
      </c>
      <c r="H66" s="9">
        <v>25752.720000000008</v>
      </c>
      <c r="I66" s="9">
        <v>4670.3500000000004</v>
      </c>
      <c r="J66" s="9">
        <v>56984.499999999993</v>
      </c>
    </row>
    <row r="67" spans="1:10" ht="16" x14ac:dyDescent="0.2">
      <c r="A67" s="7" t="s">
        <v>15</v>
      </c>
      <c r="B67" s="7" t="s">
        <v>328</v>
      </c>
      <c r="C67" s="7" t="s">
        <v>43</v>
      </c>
      <c r="D67" s="7" t="s">
        <v>137</v>
      </c>
      <c r="E67" s="8" t="s">
        <v>329</v>
      </c>
      <c r="F67" s="8" t="s">
        <v>19</v>
      </c>
      <c r="G67" s="9">
        <v>25959.95</v>
      </c>
      <c r="H67" s="9">
        <v>24024.920000000006</v>
      </c>
      <c r="I67" s="9">
        <v>4794.4500000000007</v>
      </c>
      <c r="J67" s="9">
        <v>54779.319999999992</v>
      </c>
    </row>
    <row r="68" spans="1:10" ht="16" x14ac:dyDescent="0.2">
      <c r="A68" s="7" t="s">
        <v>9</v>
      </c>
      <c r="B68" s="7" t="s">
        <v>349</v>
      </c>
      <c r="C68" s="7" t="s">
        <v>43</v>
      </c>
      <c r="D68" s="7" t="s">
        <v>134</v>
      </c>
      <c r="E68" s="8" t="s">
        <v>35</v>
      </c>
      <c r="F68" s="8" t="s">
        <v>350</v>
      </c>
      <c r="G68" s="9">
        <v>26644.209999999995</v>
      </c>
      <c r="H68" s="9">
        <v>22230.11</v>
      </c>
      <c r="I68" s="9">
        <v>4913.8</v>
      </c>
      <c r="J68" s="9">
        <v>53788.12</v>
      </c>
    </row>
    <row r="69" spans="1:10" ht="16" x14ac:dyDescent="0.2">
      <c r="A69" s="7" t="s">
        <v>15</v>
      </c>
      <c r="B69" s="7" t="s">
        <v>373</v>
      </c>
      <c r="C69" s="7" t="s">
        <v>43</v>
      </c>
      <c r="D69" s="7" t="s">
        <v>134</v>
      </c>
      <c r="E69" s="8" t="s">
        <v>374</v>
      </c>
      <c r="F69" s="8" t="s">
        <v>19</v>
      </c>
      <c r="G69" s="9">
        <v>27823.69</v>
      </c>
      <c r="H69" s="9">
        <v>18204.5</v>
      </c>
      <c r="I69" s="9">
        <v>5524.64</v>
      </c>
      <c r="J69" s="9">
        <v>51552.830000000009</v>
      </c>
    </row>
    <row r="70" spans="1:10" ht="16" x14ac:dyDescent="0.2">
      <c r="A70" s="7" t="s">
        <v>9</v>
      </c>
      <c r="B70" s="7" t="s">
        <v>389</v>
      </c>
      <c r="C70" s="7" t="s">
        <v>43</v>
      </c>
      <c r="D70" s="7" t="s">
        <v>134</v>
      </c>
      <c r="E70" s="8" t="s">
        <v>35</v>
      </c>
      <c r="F70" s="8" t="s">
        <v>390</v>
      </c>
      <c r="G70" s="9">
        <v>36835.80999999999</v>
      </c>
      <c r="H70" s="9">
        <v>5982.58</v>
      </c>
      <c r="I70" s="9">
        <v>8269.6600000000017</v>
      </c>
      <c r="J70" s="9">
        <v>51088.05</v>
      </c>
    </row>
    <row r="71" spans="1:10" ht="16" x14ac:dyDescent="0.2">
      <c r="A71" s="7" t="s">
        <v>9</v>
      </c>
      <c r="B71" s="7" t="s">
        <v>391</v>
      </c>
      <c r="C71" s="7" t="s">
        <v>43</v>
      </c>
      <c r="D71" s="7" t="s">
        <v>134</v>
      </c>
      <c r="E71" s="8" t="s">
        <v>392</v>
      </c>
      <c r="F71" s="8" t="s">
        <v>393</v>
      </c>
      <c r="G71" s="9">
        <v>37201.910000000003</v>
      </c>
      <c r="H71" s="9">
        <v>7261.6400000000012</v>
      </c>
      <c r="I71" s="9">
        <v>6618.24</v>
      </c>
      <c r="J71" s="9">
        <v>51081.79</v>
      </c>
    </row>
    <row r="72" spans="1:10" ht="16" x14ac:dyDescent="0.2">
      <c r="A72" s="7" t="s">
        <v>15</v>
      </c>
      <c r="B72" s="7" t="s">
        <v>399</v>
      </c>
      <c r="C72" s="7" t="s">
        <v>43</v>
      </c>
      <c r="D72" s="7" t="s">
        <v>79</v>
      </c>
      <c r="E72" s="8" t="s">
        <v>400</v>
      </c>
      <c r="F72" s="8" t="s">
        <v>19</v>
      </c>
      <c r="G72" s="9">
        <v>25711.48</v>
      </c>
      <c r="H72" s="9">
        <v>21623.87</v>
      </c>
      <c r="I72" s="9">
        <v>3540.4700000000003</v>
      </c>
      <c r="J72" s="9">
        <v>50875.82</v>
      </c>
    </row>
    <row r="73" spans="1:10" ht="16" x14ac:dyDescent="0.2">
      <c r="A73" s="7" t="s">
        <v>9</v>
      </c>
      <c r="B73" s="7" t="s">
        <v>403</v>
      </c>
      <c r="C73" s="7" t="s">
        <v>43</v>
      </c>
      <c r="D73" s="7" t="s">
        <v>134</v>
      </c>
      <c r="E73" s="8" t="s">
        <v>228</v>
      </c>
      <c r="F73" s="8" t="s">
        <v>404</v>
      </c>
      <c r="G73" s="9">
        <v>22073.620000000003</v>
      </c>
      <c r="H73" s="9">
        <v>16213.04</v>
      </c>
      <c r="I73" s="9">
        <v>11846.25</v>
      </c>
      <c r="J73" s="9">
        <v>50132.909999999996</v>
      </c>
    </row>
    <row r="74" spans="1:10" ht="16" x14ac:dyDescent="0.2">
      <c r="A74" s="7" t="s">
        <v>15</v>
      </c>
      <c r="B74" s="7" t="s">
        <v>405</v>
      </c>
      <c r="C74" s="7" t="s">
        <v>43</v>
      </c>
      <c r="D74" s="7" t="s">
        <v>134</v>
      </c>
      <c r="E74" s="8" t="s">
        <v>281</v>
      </c>
      <c r="F74" s="8" t="s">
        <v>19</v>
      </c>
      <c r="G74" s="9">
        <v>32603.430000000004</v>
      </c>
      <c r="H74" s="9">
        <v>6073.32</v>
      </c>
      <c r="I74" s="9">
        <v>11453.45</v>
      </c>
      <c r="J74" s="9">
        <v>50130.200000000004</v>
      </c>
    </row>
    <row r="75" spans="1:10" ht="16" x14ac:dyDescent="0.2">
      <c r="A75" s="7" t="s">
        <v>15</v>
      </c>
      <c r="B75" s="7" t="s">
        <v>455</v>
      </c>
      <c r="C75" s="7" t="s">
        <v>43</v>
      </c>
      <c r="D75" s="7" t="s">
        <v>134</v>
      </c>
      <c r="E75" s="8" t="s">
        <v>456</v>
      </c>
      <c r="F75" s="8" t="s">
        <v>19</v>
      </c>
      <c r="G75" s="9">
        <v>33604.259999999995</v>
      </c>
      <c r="H75" s="9">
        <v>7630.85</v>
      </c>
      <c r="I75" s="9">
        <v>6252.369999999999</v>
      </c>
      <c r="J75" s="9">
        <v>47487.48000000001</v>
      </c>
    </row>
    <row r="76" spans="1:10" ht="16" x14ac:dyDescent="0.2">
      <c r="A76" s="7" t="s">
        <v>15</v>
      </c>
      <c r="B76" s="7" t="s">
        <v>458</v>
      </c>
      <c r="C76" s="7" t="s">
        <v>43</v>
      </c>
      <c r="D76" s="7" t="s">
        <v>137</v>
      </c>
      <c r="E76" s="8" t="s">
        <v>400</v>
      </c>
      <c r="F76" s="8" t="s">
        <v>19</v>
      </c>
      <c r="G76" s="9">
        <v>25285.57</v>
      </c>
      <c r="H76" s="9">
        <v>18502.53</v>
      </c>
      <c r="I76" s="9">
        <v>3087.77</v>
      </c>
      <c r="J76" s="9">
        <v>46875.87</v>
      </c>
    </row>
    <row r="77" spans="1:10" ht="16" x14ac:dyDescent="0.2">
      <c r="A77" s="7" t="s">
        <v>15</v>
      </c>
      <c r="B77" s="7" t="s">
        <v>471</v>
      </c>
      <c r="C77" s="7" t="s">
        <v>43</v>
      </c>
      <c r="D77" s="7" t="s">
        <v>472</v>
      </c>
      <c r="E77" s="8" t="s">
        <v>473</v>
      </c>
      <c r="F77" s="8" t="s">
        <v>19</v>
      </c>
      <c r="G77" s="9">
        <v>30885.499999999993</v>
      </c>
      <c r="H77" s="9">
        <v>7854.22</v>
      </c>
      <c r="I77" s="9">
        <v>7189.21</v>
      </c>
      <c r="J77" s="9">
        <v>45928.93</v>
      </c>
    </row>
    <row r="78" spans="1:10" ht="16" x14ac:dyDescent="0.2">
      <c r="A78" s="7" t="s">
        <v>15</v>
      </c>
      <c r="B78" s="7" t="s">
        <v>494</v>
      </c>
      <c r="C78" s="7" t="s">
        <v>43</v>
      </c>
      <c r="D78" s="7" t="s">
        <v>134</v>
      </c>
      <c r="E78" s="8" t="s">
        <v>473</v>
      </c>
      <c r="F78" s="8" t="s">
        <v>19</v>
      </c>
      <c r="G78" s="9">
        <v>24818.959999999995</v>
      </c>
      <c r="H78" s="9">
        <v>14791.31</v>
      </c>
      <c r="I78" s="9">
        <v>5635.18</v>
      </c>
      <c r="J78" s="9">
        <v>45245.450000000012</v>
      </c>
    </row>
    <row r="79" spans="1:10" ht="16" x14ac:dyDescent="0.2">
      <c r="A79" s="7" t="s">
        <v>9</v>
      </c>
      <c r="B79" s="7" t="s">
        <v>510</v>
      </c>
      <c r="C79" s="7" t="s">
        <v>43</v>
      </c>
      <c r="D79" s="7" t="s">
        <v>134</v>
      </c>
      <c r="E79" s="8" t="s">
        <v>511</v>
      </c>
      <c r="F79" s="8" t="s">
        <v>512</v>
      </c>
      <c r="G79" s="9">
        <v>19607.010000000002</v>
      </c>
      <c r="H79" s="9">
        <v>13203.050000000001</v>
      </c>
      <c r="I79" s="9">
        <v>11529.300000000001</v>
      </c>
      <c r="J79" s="9">
        <v>44339.359999999993</v>
      </c>
    </row>
    <row r="80" spans="1:10" ht="16" x14ac:dyDescent="0.2">
      <c r="A80" s="7" t="s">
        <v>15</v>
      </c>
      <c r="B80" s="7" t="s">
        <v>561</v>
      </c>
      <c r="C80" s="7" t="s">
        <v>43</v>
      </c>
      <c r="D80" s="7" t="s">
        <v>562</v>
      </c>
      <c r="E80" s="8" t="s">
        <v>563</v>
      </c>
      <c r="F80" s="8" t="s">
        <v>19</v>
      </c>
      <c r="G80" s="9">
        <v>23884.79</v>
      </c>
      <c r="H80" s="9">
        <v>12380.27</v>
      </c>
      <c r="I80" s="9">
        <v>5060.6899999999996</v>
      </c>
      <c r="J80" s="9">
        <v>41325.75</v>
      </c>
    </row>
    <row r="81" spans="1:10" ht="16" x14ac:dyDescent="0.2">
      <c r="A81" s="7" t="s">
        <v>15</v>
      </c>
      <c r="B81" s="7" t="s">
        <v>576</v>
      </c>
      <c r="C81" s="7" t="s">
        <v>43</v>
      </c>
      <c r="D81" s="7" t="s">
        <v>134</v>
      </c>
      <c r="E81" s="8" t="s">
        <v>563</v>
      </c>
      <c r="F81" s="8" t="s">
        <v>19</v>
      </c>
      <c r="G81" s="9">
        <v>18816.690000000002</v>
      </c>
      <c r="H81" s="9">
        <v>18635.929999999997</v>
      </c>
      <c r="I81" s="9">
        <v>2510.61</v>
      </c>
      <c r="J81" s="9">
        <v>39963.23000000001</v>
      </c>
    </row>
    <row r="82" spans="1:10" ht="16" x14ac:dyDescent="0.2">
      <c r="A82" s="7" t="s">
        <v>15</v>
      </c>
      <c r="B82" s="7" t="s">
        <v>596</v>
      </c>
      <c r="C82" s="7" t="s">
        <v>43</v>
      </c>
      <c r="D82" s="7" t="s">
        <v>134</v>
      </c>
      <c r="E82" s="8" t="s">
        <v>300</v>
      </c>
      <c r="F82" s="8" t="s">
        <v>19</v>
      </c>
      <c r="G82" s="9">
        <v>19237.089999999997</v>
      </c>
      <c r="H82" s="9">
        <v>14427.309999999998</v>
      </c>
      <c r="I82" s="9">
        <v>5032.45</v>
      </c>
      <c r="J82" s="9">
        <v>38696.849999999991</v>
      </c>
    </row>
    <row r="83" spans="1:10" ht="16" x14ac:dyDescent="0.2">
      <c r="A83" s="7" t="s">
        <v>9</v>
      </c>
      <c r="B83" s="7" t="s">
        <v>606</v>
      </c>
      <c r="C83" s="7" t="s">
        <v>43</v>
      </c>
      <c r="D83" s="7" t="s">
        <v>562</v>
      </c>
      <c r="E83" s="8" t="s">
        <v>329</v>
      </c>
      <c r="F83" s="8" t="s">
        <v>607</v>
      </c>
      <c r="G83" s="9">
        <v>26535.93</v>
      </c>
      <c r="H83" s="9">
        <v>7484.4100000000008</v>
      </c>
      <c r="I83" s="9">
        <v>3847.48</v>
      </c>
      <c r="J83" s="9">
        <v>37867.82</v>
      </c>
    </row>
    <row r="84" spans="1:10" ht="16" x14ac:dyDescent="0.2">
      <c r="A84" s="7" t="s">
        <v>15</v>
      </c>
      <c r="B84" s="7" t="s">
        <v>615</v>
      </c>
      <c r="C84" s="7" t="s">
        <v>43</v>
      </c>
      <c r="D84" s="7" t="s">
        <v>134</v>
      </c>
      <c r="E84" s="8" t="s">
        <v>511</v>
      </c>
      <c r="F84" s="8" t="s">
        <v>19</v>
      </c>
      <c r="G84" s="9">
        <v>19194.2</v>
      </c>
      <c r="H84" s="9">
        <v>13588.250000000002</v>
      </c>
      <c r="I84" s="9">
        <v>3805.1299999999997</v>
      </c>
      <c r="J84" s="9">
        <v>36587.58</v>
      </c>
    </row>
    <row r="85" spans="1:10" ht="16" x14ac:dyDescent="0.2">
      <c r="A85" s="7" t="s">
        <v>9</v>
      </c>
      <c r="B85" s="7" t="s">
        <v>619</v>
      </c>
      <c r="C85" s="7" t="s">
        <v>43</v>
      </c>
      <c r="D85" s="7" t="s">
        <v>134</v>
      </c>
      <c r="E85" s="8" t="s">
        <v>620</v>
      </c>
      <c r="F85" s="8" t="s">
        <v>621</v>
      </c>
      <c r="G85" s="9">
        <v>138.96</v>
      </c>
      <c r="H85" s="9"/>
      <c r="I85" s="9">
        <v>36050.590000000004</v>
      </c>
      <c r="J85" s="9">
        <v>36189.550000000003</v>
      </c>
    </row>
    <row r="86" spans="1:10" ht="16" x14ac:dyDescent="0.2">
      <c r="A86" s="7" t="s">
        <v>15</v>
      </c>
      <c r="B86" s="7" t="s">
        <v>632</v>
      </c>
      <c r="C86" s="7" t="s">
        <v>43</v>
      </c>
      <c r="D86" s="7" t="s">
        <v>134</v>
      </c>
      <c r="E86" s="8" t="s">
        <v>605</v>
      </c>
      <c r="F86" s="8" t="s">
        <v>19</v>
      </c>
      <c r="G86" s="9">
        <v>18087.8</v>
      </c>
      <c r="H86" s="9">
        <v>15070.550000000001</v>
      </c>
      <c r="I86" s="9">
        <v>2222.92</v>
      </c>
      <c r="J86" s="9">
        <v>35381.269999999997</v>
      </c>
    </row>
    <row r="87" spans="1:10" ht="16" x14ac:dyDescent="0.2">
      <c r="A87" s="7" t="s">
        <v>9</v>
      </c>
      <c r="B87" s="7" t="s">
        <v>670</v>
      </c>
      <c r="C87" s="7" t="s">
        <v>43</v>
      </c>
      <c r="D87" s="7" t="s">
        <v>299</v>
      </c>
      <c r="E87" s="8" t="s">
        <v>273</v>
      </c>
      <c r="F87" s="8" t="s">
        <v>671</v>
      </c>
      <c r="G87" s="9">
        <v>18141.98</v>
      </c>
      <c r="H87" s="9">
        <v>9527.39</v>
      </c>
      <c r="I87" s="9">
        <v>5405.28</v>
      </c>
      <c r="J87" s="9">
        <v>33074.65</v>
      </c>
    </row>
    <row r="88" spans="1:10" ht="16" x14ac:dyDescent="0.2">
      <c r="A88" s="7" t="s">
        <v>15</v>
      </c>
      <c r="B88" s="7" t="s">
        <v>695</v>
      </c>
      <c r="C88" s="7" t="s">
        <v>43</v>
      </c>
      <c r="D88" s="7" t="s">
        <v>696</v>
      </c>
      <c r="E88" s="8" t="s">
        <v>690</v>
      </c>
      <c r="F88" s="8" t="s">
        <v>19</v>
      </c>
      <c r="G88" s="9">
        <v>28977.280000000006</v>
      </c>
      <c r="H88" s="9">
        <v>670.99000000000012</v>
      </c>
      <c r="I88" s="9">
        <v>2267.4799999999996</v>
      </c>
      <c r="J88" s="9">
        <v>31915.749999999996</v>
      </c>
    </row>
    <row r="89" spans="1:10" ht="16" x14ac:dyDescent="0.2">
      <c r="A89" s="7" t="s">
        <v>9</v>
      </c>
      <c r="B89" s="7" t="s">
        <v>702</v>
      </c>
      <c r="C89" s="7" t="s">
        <v>43</v>
      </c>
      <c r="D89" s="7" t="s">
        <v>558</v>
      </c>
      <c r="E89" s="8" t="s">
        <v>428</v>
      </c>
      <c r="F89" s="8" t="s">
        <v>703</v>
      </c>
      <c r="G89" s="9">
        <v>26078.830000000005</v>
      </c>
      <c r="H89" s="9">
        <v>159.26999999999998</v>
      </c>
      <c r="I89" s="9">
        <v>5430.8</v>
      </c>
      <c r="J89" s="9">
        <v>31668.9</v>
      </c>
    </row>
    <row r="90" spans="1:10" ht="16" x14ac:dyDescent="0.2">
      <c r="A90" s="7" t="s">
        <v>9</v>
      </c>
      <c r="B90" s="7" t="s">
        <v>711</v>
      </c>
      <c r="C90" s="7" t="s">
        <v>43</v>
      </c>
      <c r="D90" s="7" t="s">
        <v>696</v>
      </c>
      <c r="E90" s="8" t="s">
        <v>712</v>
      </c>
      <c r="F90" s="8" t="s">
        <v>145</v>
      </c>
      <c r="G90" s="9">
        <v>26569.22</v>
      </c>
      <c r="H90" s="9">
        <v>317.26</v>
      </c>
      <c r="I90" s="9">
        <v>4288.0199999999995</v>
      </c>
      <c r="J90" s="9">
        <v>31174.500000000004</v>
      </c>
    </row>
    <row r="91" spans="1:10" ht="16" x14ac:dyDescent="0.2">
      <c r="A91" s="7" t="s">
        <v>9</v>
      </c>
      <c r="B91" s="7" t="s">
        <v>754</v>
      </c>
      <c r="C91" s="7" t="s">
        <v>43</v>
      </c>
      <c r="D91" s="7" t="s">
        <v>562</v>
      </c>
      <c r="E91" s="8" t="s">
        <v>563</v>
      </c>
      <c r="F91" s="8" t="s">
        <v>755</v>
      </c>
      <c r="G91" s="9">
        <v>16018.679999999997</v>
      </c>
      <c r="H91" s="9">
        <v>9729.89</v>
      </c>
      <c r="I91" s="9">
        <v>2723.24</v>
      </c>
      <c r="J91" s="9">
        <v>28471.81</v>
      </c>
    </row>
    <row r="92" spans="1:10" ht="16" x14ac:dyDescent="0.2">
      <c r="A92" s="7" t="s">
        <v>9</v>
      </c>
      <c r="B92" s="7" t="s">
        <v>762</v>
      </c>
      <c r="C92" s="7" t="s">
        <v>43</v>
      </c>
      <c r="D92" s="7" t="s">
        <v>134</v>
      </c>
      <c r="E92" s="8" t="s">
        <v>228</v>
      </c>
      <c r="F92" s="8" t="s">
        <v>763</v>
      </c>
      <c r="G92" s="9">
        <v>24074.819999999992</v>
      </c>
      <c r="H92" s="9">
        <v>2555.66</v>
      </c>
      <c r="I92" s="9">
        <v>1626.67</v>
      </c>
      <c r="J92" s="9">
        <v>28257.149999999994</v>
      </c>
    </row>
    <row r="93" spans="1:10" ht="16" x14ac:dyDescent="0.2">
      <c r="A93" s="7" t="s">
        <v>15</v>
      </c>
      <c r="B93" s="7" t="s">
        <v>768</v>
      </c>
      <c r="C93" s="7" t="s">
        <v>43</v>
      </c>
      <c r="D93" s="7" t="s">
        <v>769</v>
      </c>
      <c r="E93" s="8" t="s">
        <v>605</v>
      </c>
      <c r="F93" s="8" t="s">
        <v>19</v>
      </c>
      <c r="G93" s="9">
        <v>16649.769999999997</v>
      </c>
      <c r="H93" s="9">
        <v>9012.7899999999991</v>
      </c>
      <c r="I93" s="9">
        <v>2220.1</v>
      </c>
      <c r="J93" s="9">
        <v>27882.66</v>
      </c>
    </row>
    <row r="94" spans="1:10" ht="16" x14ac:dyDescent="0.2">
      <c r="A94" s="7" t="s">
        <v>15</v>
      </c>
      <c r="B94" s="7" t="s">
        <v>786</v>
      </c>
      <c r="C94" s="7" t="s">
        <v>43</v>
      </c>
      <c r="D94" s="7" t="s">
        <v>134</v>
      </c>
      <c r="E94" s="8" t="s">
        <v>787</v>
      </c>
      <c r="F94" s="8" t="s">
        <v>19</v>
      </c>
      <c r="G94" s="9">
        <v>19520.880000000005</v>
      </c>
      <c r="H94" s="9">
        <v>299.57</v>
      </c>
      <c r="I94" s="9">
        <v>6838.5599999999995</v>
      </c>
      <c r="J94" s="9">
        <v>26659.01</v>
      </c>
    </row>
    <row r="95" spans="1:10" ht="16" x14ac:dyDescent="0.2">
      <c r="A95" s="7" t="s">
        <v>9</v>
      </c>
      <c r="B95" s="7" t="s">
        <v>801</v>
      </c>
      <c r="C95" s="7" t="s">
        <v>43</v>
      </c>
      <c r="D95" s="7" t="s">
        <v>696</v>
      </c>
      <c r="E95" s="8" t="s">
        <v>802</v>
      </c>
      <c r="F95" s="8" t="s">
        <v>791</v>
      </c>
      <c r="G95" s="9">
        <v>23221.049999999992</v>
      </c>
      <c r="H95" s="9">
        <v>67.38</v>
      </c>
      <c r="I95" s="9">
        <v>2833.8399999999997</v>
      </c>
      <c r="J95" s="9">
        <v>26122.270000000004</v>
      </c>
    </row>
    <row r="96" spans="1:10" ht="16" x14ac:dyDescent="0.2">
      <c r="A96" s="7" t="s">
        <v>9</v>
      </c>
      <c r="B96" s="7" t="s">
        <v>847</v>
      </c>
      <c r="C96" s="7" t="s">
        <v>43</v>
      </c>
      <c r="D96" s="7" t="s">
        <v>299</v>
      </c>
      <c r="E96" s="8" t="s">
        <v>848</v>
      </c>
      <c r="F96" s="8" t="s">
        <v>849</v>
      </c>
      <c r="G96" s="9">
        <v>20653.399999999998</v>
      </c>
      <c r="H96" s="9">
        <v>1225.82</v>
      </c>
      <c r="I96" s="9">
        <v>821.13</v>
      </c>
      <c r="J96" s="9">
        <v>22700.35</v>
      </c>
    </row>
    <row r="97" spans="1:10" ht="16" x14ac:dyDescent="0.2">
      <c r="A97" s="7" t="s">
        <v>15</v>
      </c>
      <c r="B97" s="7" t="s">
        <v>882</v>
      </c>
      <c r="C97" s="7" t="s">
        <v>43</v>
      </c>
      <c r="D97" s="7" t="s">
        <v>562</v>
      </c>
      <c r="E97" s="8" t="s">
        <v>883</v>
      </c>
      <c r="F97" s="8" t="s">
        <v>19</v>
      </c>
      <c r="G97" s="9">
        <v>12031.640000000001</v>
      </c>
      <c r="H97" s="9">
        <v>5157.92</v>
      </c>
      <c r="I97" s="9">
        <v>633.85</v>
      </c>
      <c r="J97" s="9">
        <v>17823.409999999996</v>
      </c>
    </row>
    <row r="98" spans="1:10" ht="16" x14ac:dyDescent="0.2">
      <c r="A98" s="7" t="s">
        <v>9</v>
      </c>
      <c r="B98" s="7" t="s">
        <v>890</v>
      </c>
      <c r="C98" s="7" t="s">
        <v>43</v>
      </c>
      <c r="D98" s="7" t="s">
        <v>134</v>
      </c>
      <c r="E98" s="8" t="s">
        <v>891</v>
      </c>
      <c r="F98" s="8" t="s">
        <v>892</v>
      </c>
      <c r="G98" s="9">
        <v>8514.5199999999986</v>
      </c>
      <c r="H98" s="9">
        <v>4075.32</v>
      </c>
      <c r="I98" s="9">
        <v>4250.92</v>
      </c>
      <c r="J98" s="9">
        <v>16840.760000000002</v>
      </c>
    </row>
    <row r="99" spans="1:10" ht="16" x14ac:dyDescent="0.2">
      <c r="A99" s="7" t="s">
        <v>9</v>
      </c>
      <c r="B99" s="7" t="s">
        <v>900</v>
      </c>
      <c r="C99" s="7" t="s">
        <v>43</v>
      </c>
      <c r="D99" s="7" t="s">
        <v>134</v>
      </c>
      <c r="E99" s="8" t="s">
        <v>400</v>
      </c>
      <c r="F99" s="8" t="s">
        <v>901</v>
      </c>
      <c r="G99" s="9">
        <v>8528</v>
      </c>
      <c r="H99" s="9">
        <v>4836.8599999999997</v>
      </c>
      <c r="I99" s="9">
        <v>2325.4700000000003</v>
      </c>
      <c r="J99" s="9">
        <v>15690.33</v>
      </c>
    </row>
    <row r="100" spans="1:10" ht="16" x14ac:dyDescent="0.2">
      <c r="A100" s="7" t="s">
        <v>9</v>
      </c>
      <c r="B100" s="7" t="s">
        <v>904</v>
      </c>
      <c r="C100" s="7" t="s">
        <v>43</v>
      </c>
      <c r="D100" s="7" t="s">
        <v>299</v>
      </c>
      <c r="E100" s="8" t="s">
        <v>80</v>
      </c>
      <c r="F100" s="8" t="s">
        <v>905</v>
      </c>
      <c r="G100" s="9">
        <v>13667.939999999999</v>
      </c>
      <c r="H100" s="9">
        <v>1361.2199999999998</v>
      </c>
      <c r="I100" s="9">
        <v>105.72</v>
      </c>
      <c r="J100" s="9">
        <v>15134.880000000001</v>
      </c>
    </row>
    <row r="101" spans="1:10" ht="16" x14ac:dyDescent="0.2">
      <c r="A101" s="7" t="s">
        <v>9</v>
      </c>
      <c r="B101" s="7" t="s">
        <v>906</v>
      </c>
      <c r="C101" s="7" t="s">
        <v>43</v>
      </c>
      <c r="D101" s="7" t="s">
        <v>299</v>
      </c>
      <c r="E101" s="8" t="s">
        <v>907</v>
      </c>
      <c r="F101" s="8" t="s">
        <v>908</v>
      </c>
      <c r="G101" s="9">
        <v>14188.700000000003</v>
      </c>
      <c r="H101" s="9">
        <v>598.23</v>
      </c>
      <c r="I101" s="9">
        <v>279.13</v>
      </c>
      <c r="J101" s="9">
        <v>15066.060000000003</v>
      </c>
    </row>
    <row r="102" spans="1:10" ht="16" x14ac:dyDescent="0.2">
      <c r="A102" s="7" t="s">
        <v>15</v>
      </c>
      <c r="B102" s="7" t="s">
        <v>911</v>
      </c>
      <c r="C102" s="7" t="s">
        <v>43</v>
      </c>
      <c r="D102" s="7" t="s">
        <v>134</v>
      </c>
      <c r="E102" s="8" t="s">
        <v>912</v>
      </c>
      <c r="F102" s="8" t="s">
        <v>19</v>
      </c>
      <c r="G102" s="9">
        <v>14472.32</v>
      </c>
      <c r="H102" s="9"/>
      <c r="I102" s="9">
        <v>150.36000000000001</v>
      </c>
      <c r="J102" s="9">
        <v>14622.68</v>
      </c>
    </row>
    <row r="103" spans="1:10" ht="16" x14ac:dyDescent="0.2">
      <c r="A103" s="7" t="s">
        <v>9</v>
      </c>
      <c r="B103" s="7" t="s">
        <v>965</v>
      </c>
      <c r="C103" s="7" t="s">
        <v>43</v>
      </c>
      <c r="D103" s="7" t="s">
        <v>299</v>
      </c>
      <c r="E103" s="8" t="s">
        <v>907</v>
      </c>
      <c r="F103" s="8" t="s">
        <v>966</v>
      </c>
      <c r="G103" s="9">
        <v>10102.01</v>
      </c>
      <c r="H103" s="9"/>
      <c r="I103" s="9">
        <v>0</v>
      </c>
      <c r="J103" s="9">
        <v>10102.01</v>
      </c>
    </row>
    <row r="104" spans="1:10" ht="16" x14ac:dyDescent="0.2">
      <c r="A104" s="7" t="s">
        <v>9</v>
      </c>
      <c r="B104" s="7" t="s">
        <v>972</v>
      </c>
      <c r="C104" s="7" t="s">
        <v>43</v>
      </c>
      <c r="D104" s="7" t="s">
        <v>137</v>
      </c>
      <c r="E104" s="8" t="s">
        <v>973</v>
      </c>
      <c r="F104" s="8" t="s">
        <v>974</v>
      </c>
      <c r="G104" s="9">
        <v>8751.73</v>
      </c>
      <c r="H104" s="9"/>
      <c r="I104" s="9">
        <v>0</v>
      </c>
      <c r="J104" s="9">
        <v>8751.73</v>
      </c>
    </row>
    <row r="105" spans="1:10" ht="16" x14ac:dyDescent="0.2">
      <c r="A105" s="7" t="s">
        <v>9</v>
      </c>
      <c r="B105" s="7" t="s">
        <v>991</v>
      </c>
      <c r="C105" s="7" t="s">
        <v>43</v>
      </c>
      <c r="D105" s="7" t="s">
        <v>299</v>
      </c>
      <c r="E105" s="8" t="s">
        <v>883</v>
      </c>
      <c r="F105" s="8" t="s">
        <v>992</v>
      </c>
      <c r="G105" s="9">
        <v>5128.53</v>
      </c>
      <c r="H105" s="9">
        <v>288.10000000000002</v>
      </c>
      <c r="I105" s="9">
        <v>674.13000000000011</v>
      </c>
      <c r="J105" s="9">
        <v>6090.76</v>
      </c>
    </row>
    <row r="106" spans="1:10" ht="16" x14ac:dyDescent="0.2">
      <c r="A106" s="7" t="s">
        <v>9</v>
      </c>
      <c r="B106" s="7" t="s">
        <v>996</v>
      </c>
      <c r="C106" s="7" t="s">
        <v>43</v>
      </c>
      <c r="D106" s="7" t="s">
        <v>299</v>
      </c>
      <c r="E106" s="8" t="s">
        <v>473</v>
      </c>
      <c r="F106" s="8" t="s">
        <v>997</v>
      </c>
      <c r="G106" s="9">
        <v>5814.89</v>
      </c>
      <c r="H106" s="9"/>
      <c r="I106" s="9">
        <v>0</v>
      </c>
      <c r="J106" s="9">
        <v>5814.89</v>
      </c>
    </row>
    <row r="107" spans="1:10" ht="16" x14ac:dyDescent="0.2">
      <c r="A107" s="7" t="s">
        <v>9</v>
      </c>
      <c r="B107" s="7" t="s">
        <v>1016</v>
      </c>
      <c r="C107" s="7" t="s">
        <v>43</v>
      </c>
      <c r="D107" s="7" t="s">
        <v>299</v>
      </c>
      <c r="E107" s="8" t="s">
        <v>273</v>
      </c>
      <c r="F107" s="8" t="s">
        <v>1017</v>
      </c>
      <c r="G107" s="9">
        <v>4465.7599999999993</v>
      </c>
      <c r="H107" s="9"/>
      <c r="I107" s="9">
        <v>0</v>
      </c>
      <c r="J107" s="9">
        <v>4465.7599999999993</v>
      </c>
    </row>
    <row r="108" spans="1:10" ht="16" x14ac:dyDescent="0.2">
      <c r="A108" s="7" t="s">
        <v>9</v>
      </c>
      <c r="B108" s="7" t="s">
        <v>1025</v>
      </c>
      <c r="C108" s="7" t="s">
        <v>43</v>
      </c>
      <c r="D108" s="7" t="s">
        <v>134</v>
      </c>
      <c r="E108" s="8" t="s">
        <v>300</v>
      </c>
      <c r="F108" s="8" t="s">
        <v>1026</v>
      </c>
      <c r="G108" s="9">
        <v>3897.5600000000004</v>
      </c>
      <c r="H108" s="9"/>
      <c r="I108" s="9">
        <v>0</v>
      </c>
      <c r="J108" s="9">
        <v>3897.5600000000004</v>
      </c>
    </row>
    <row r="109" spans="1:10" ht="16" x14ac:dyDescent="0.2">
      <c r="A109" s="7" t="s">
        <v>9</v>
      </c>
      <c r="B109" s="7" t="s">
        <v>1037</v>
      </c>
      <c r="C109" s="7" t="s">
        <v>43</v>
      </c>
      <c r="D109" s="7" t="s">
        <v>299</v>
      </c>
      <c r="E109" s="8" t="s">
        <v>1038</v>
      </c>
      <c r="F109" s="8" t="s">
        <v>1039</v>
      </c>
      <c r="G109" s="9">
        <v>2986.57</v>
      </c>
      <c r="H109" s="9"/>
      <c r="I109" s="9">
        <v>375.71</v>
      </c>
      <c r="J109" s="9">
        <v>3362.2799999999997</v>
      </c>
    </row>
    <row r="110" spans="1:10" ht="16" x14ac:dyDescent="0.2">
      <c r="A110" s="7" t="s">
        <v>9</v>
      </c>
      <c r="B110" s="7" t="s">
        <v>1040</v>
      </c>
      <c r="C110" s="7" t="s">
        <v>43</v>
      </c>
      <c r="D110" s="7" t="s">
        <v>299</v>
      </c>
      <c r="E110" s="8" t="s">
        <v>1041</v>
      </c>
      <c r="F110" s="8" t="s">
        <v>1042</v>
      </c>
      <c r="G110" s="9">
        <v>3334.2699999999995</v>
      </c>
      <c r="H110" s="9"/>
      <c r="I110" s="9">
        <v>0</v>
      </c>
      <c r="J110" s="9">
        <v>3334.2699999999995</v>
      </c>
    </row>
    <row r="111" spans="1:10" ht="16" x14ac:dyDescent="0.2">
      <c r="A111" s="7" t="s">
        <v>15</v>
      </c>
      <c r="B111" s="7" t="s">
        <v>1060</v>
      </c>
      <c r="C111" s="7" t="s">
        <v>43</v>
      </c>
      <c r="D111" s="7" t="s">
        <v>134</v>
      </c>
      <c r="E111" s="8" t="s">
        <v>329</v>
      </c>
      <c r="F111" s="8" t="s">
        <v>19</v>
      </c>
      <c r="G111" s="9">
        <v>2560.3099999999995</v>
      </c>
      <c r="H111" s="9"/>
      <c r="I111" s="9">
        <v>349.27</v>
      </c>
      <c r="J111" s="9">
        <v>2909.58</v>
      </c>
    </row>
    <row r="112" spans="1:10" ht="16" x14ac:dyDescent="0.2">
      <c r="A112" s="7" t="s">
        <v>9</v>
      </c>
      <c r="B112" s="7" t="s">
        <v>1088</v>
      </c>
      <c r="C112" s="7" t="s">
        <v>43</v>
      </c>
      <c r="D112" s="7" t="s">
        <v>299</v>
      </c>
      <c r="E112" s="8" t="s">
        <v>1089</v>
      </c>
      <c r="F112" s="8" t="s">
        <v>1090</v>
      </c>
      <c r="G112" s="9">
        <v>1761.57</v>
      </c>
      <c r="H112" s="9"/>
      <c r="I112" s="9">
        <v>0</v>
      </c>
      <c r="J112" s="9">
        <v>1761.57</v>
      </c>
    </row>
    <row r="113" spans="1:10" ht="16" x14ac:dyDescent="0.2">
      <c r="A113" s="7" t="s">
        <v>9</v>
      </c>
      <c r="B113" s="7" t="s">
        <v>1094</v>
      </c>
      <c r="C113" s="7" t="s">
        <v>43</v>
      </c>
      <c r="D113" s="7" t="s">
        <v>299</v>
      </c>
      <c r="E113" s="8" t="s">
        <v>35</v>
      </c>
      <c r="F113" s="8" t="s">
        <v>1095</v>
      </c>
      <c r="G113" s="9">
        <v>1327.83</v>
      </c>
      <c r="H113" s="9"/>
      <c r="I113" s="9">
        <v>0</v>
      </c>
      <c r="J113" s="9">
        <v>1327.83</v>
      </c>
    </row>
    <row r="114" spans="1:10" ht="16" x14ac:dyDescent="0.2">
      <c r="A114" s="7" t="s">
        <v>9</v>
      </c>
      <c r="B114" s="7" t="s">
        <v>1098</v>
      </c>
      <c r="C114" s="7" t="s">
        <v>43</v>
      </c>
      <c r="D114" s="7" t="s">
        <v>1099</v>
      </c>
      <c r="E114" s="8" t="s">
        <v>694</v>
      </c>
      <c r="F114" s="8" t="s">
        <v>1100</v>
      </c>
      <c r="G114" s="9">
        <v>1054.5899999999999</v>
      </c>
      <c r="H114" s="9"/>
      <c r="I114" s="9">
        <v>52.04</v>
      </c>
      <c r="J114" s="9">
        <v>1106.6300000000001</v>
      </c>
    </row>
    <row r="115" spans="1:10" ht="16" x14ac:dyDescent="0.2">
      <c r="A115" s="7" t="s">
        <v>9</v>
      </c>
      <c r="B115" s="7" t="s">
        <v>1108</v>
      </c>
      <c r="C115" s="7" t="s">
        <v>43</v>
      </c>
      <c r="D115" s="7" t="s">
        <v>299</v>
      </c>
      <c r="E115" s="8" t="s">
        <v>1109</v>
      </c>
      <c r="F115" s="8" t="s">
        <v>1110</v>
      </c>
      <c r="G115" s="9">
        <v>621.04999999999995</v>
      </c>
      <c r="H115" s="9"/>
      <c r="I115" s="9">
        <v>0</v>
      </c>
      <c r="J115" s="9">
        <v>621.04999999999995</v>
      </c>
    </row>
    <row r="116" spans="1:10" ht="16" x14ac:dyDescent="0.2">
      <c r="A116" s="7" t="s">
        <v>15</v>
      </c>
      <c r="B116" s="7" t="s">
        <v>97</v>
      </c>
      <c r="C116" s="7" t="s">
        <v>98</v>
      </c>
      <c r="D116" s="7" t="s">
        <v>99</v>
      </c>
      <c r="E116" s="8" t="s">
        <v>100</v>
      </c>
      <c r="F116" s="8" t="s">
        <v>19</v>
      </c>
      <c r="G116" s="9">
        <v>82294.700000000012</v>
      </c>
      <c r="H116" s="9"/>
      <c r="I116" s="9">
        <v>0</v>
      </c>
      <c r="J116" s="9">
        <v>82294.700000000012</v>
      </c>
    </row>
    <row r="117" spans="1:10" ht="16" x14ac:dyDescent="0.2">
      <c r="A117" s="7" t="s">
        <v>15</v>
      </c>
      <c r="B117" s="7" t="s">
        <v>146</v>
      </c>
      <c r="C117" s="7" t="s">
        <v>98</v>
      </c>
      <c r="D117" s="7" t="s">
        <v>147</v>
      </c>
      <c r="E117" s="8" t="s">
        <v>148</v>
      </c>
      <c r="F117" s="8" t="s">
        <v>19</v>
      </c>
      <c r="G117" s="9">
        <v>73592.250000000015</v>
      </c>
      <c r="H117" s="9"/>
      <c r="I117" s="9">
        <v>0</v>
      </c>
      <c r="J117" s="9">
        <v>73592.250000000015</v>
      </c>
    </row>
    <row r="118" spans="1:10" ht="16" x14ac:dyDescent="0.2">
      <c r="A118" s="7" t="s">
        <v>9</v>
      </c>
      <c r="B118" s="7" t="s">
        <v>572</v>
      </c>
      <c r="C118" s="7" t="s">
        <v>98</v>
      </c>
      <c r="D118" s="7" t="s">
        <v>573</v>
      </c>
      <c r="E118" s="8" t="s">
        <v>574</v>
      </c>
      <c r="F118" s="8" t="s">
        <v>575</v>
      </c>
      <c r="G118" s="9">
        <v>31416.53</v>
      </c>
      <c r="H118" s="9">
        <v>142.42000000000002</v>
      </c>
      <c r="I118" s="9">
        <v>8428.77</v>
      </c>
      <c r="J118" s="9">
        <v>39987.720000000008</v>
      </c>
    </row>
    <row r="119" spans="1:10" ht="16" x14ac:dyDescent="0.2">
      <c r="A119" s="7" t="s">
        <v>9</v>
      </c>
      <c r="B119" s="7" t="s">
        <v>584</v>
      </c>
      <c r="C119" s="7" t="s">
        <v>98</v>
      </c>
      <c r="D119" s="7" t="s">
        <v>573</v>
      </c>
      <c r="E119" s="8" t="s">
        <v>585</v>
      </c>
      <c r="F119" s="8" t="s">
        <v>586</v>
      </c>
      <c r="G119" s="9">
        <v>31104.889999999996</v>
      </c>
      <c r="H119" s="9">
        <v>67.37</v>
      </c>
      <c r="I119" s="9">
        <v>8060.22</v>
      </c>
      <c r="J119" s="9">
        <v>39232.479999999996</v>
      </c>
    </row>
    <row r="120" spans="1:10" ht="16" x14ac:dyDescent="0.2">
      <c r="A120" s="7" t="s">
        <v>15</v>
      </c>
      <c r="B120" s="7" t="s">
        <v>594</v>
      </c>
      <c r="C120" s="7" t="s">
        <v>98</v>
      </c>
      <c r="D120" s="7" t="s">
        <v>573</v>
      </c>
      <c r="E120" s="8" t="s">
        <v>595</v>
      </c>
      <c r="F120" s="8" t="s">
        <v>19</v>
      </c>
      <c r="G120" s="9">
        <v>30137.820000000003</v>
      </c>
      <c r="H120" s="9">
        <v>1341.8400000000001</v>
      </c>
      <c r="I120" s="9">
        <v>7367.29</v>
      </c>
      <c r="J120" s="9">
        <v>38846.950000000004</v>
      </c>
    </row>
    <row r="121" spans="1:10" ht="16" x14ac:dyDescent="0.2">
      <c r="A121" s="7" t="s">
        <v>9</v>
      </c>
      <c r="B121" s="7" t="s">
        <v>893</v>
      </c>
      <c r="C121" s="7" t="s">
        <v>98</v>
      </c>
      <c r="D121" s="7" t="s">
        <v>894</v>
      </c>
      <c r="E121" s="8" t="s">
        <v>895</v>
      </c>
      <c r="F121" s="8" t="s">
        <v>896</v>
      </c>
      <c r="G121" s="9">
        <v>16755.2</v>
      </c>
      <c r="H121" s="9"/>
      <c r="I121" s="9">
        <v>0</v>
      </c>
      <c r="J121" s="9">
        <v>16755.2</v>
      </c>
    </row>
    <row r="122" spans="1:10" ht="16" x14ac:dyDescent="0.2">
      <c r="A122" s="7" t="s">
        <v>9</v>
      </c>
      <c r="B122" s="7" t="s">
        <v>187</v>
      </c>
      <c r="C122" s="7" t="s">
        <v>188</v>
      </c>
      <c r="D122" s="7" t="s">
        <v>189</v>
      </c>
      <c r="E122" s="8" t="s">
        <v>190</v>
      </c>
      <c r="F122" s="8" t="s">
        <v>191</v>
      </c>
      <c r="G122" s="9">
        <v>69240.60000000002</v>
      </c>
      <c r="H122" s="9"/>
      <c r="I122" s="9">
        <v>0</v>
      </c>
      <c r="J122" s="9">
        <v>69240.60000000002</v>
      </c>
    </row>
    <row r="123" spans="1:10" ht="16" x14ac:dyDescent="0.2">
      <c r="A123" s="7" t="s">
        <v>15</v>
      </c>
      <c r="B123" s="7" t="s">
        <v>394</v>
      </c>
      <c r="C123" s="7" t="s">
        <v>188</v>
      </c>
      <c r="D123" s="7" t="s">
        <v>395</v>
      </c>
      <c r="E123" s="8" t="s">
        <v>396</v>
      </c>
      <c r="F123" s="8" t="s">
        <v>19</v>
      </c>
      <c r="G123" s="9">
        <v>39835.220000000008</v>
      </c>
      <c r="H123" s="9">
        <v>974.74</v>
      </c>
      <c r="I123" s="9">
        <v>10236.030000000001</v>
      </c>
      <c r="J123" s="9">
        <v>51045.99</v>
      </c>
    </row>
    <row r="124" spans="1:10" ht="16" x14ac:dyDescent="0.2">
      <c r="A124" s="7" t="s">
        <v>15</v>
      </c>
      <c r="B124" s="7" t="s">
        <v>419</v>
      </c>
      <c r="C124" s="7" t="s">
        <v>188</v>
      </c>
      <c r="D124" s="7" t="s">
        <v>420</v>
      </c>
      <c r="E124" s="8" t="s">
        <v>421</v>
      </c>
      <c r="F124" s="8" t="s">
        <v>19</v>
      </c>
      <c r="G124" s="9">
        <v>48067.200000000019</v>
      </c>
      <c r="H124" s="9"/>
      <c r="I124" s="9">
        <v>600.07999999999993</v>
      </c>
      <c r="J124" s="9">
        <v>48667.279999999984</v>
      </c>
    </row>
    <row r="125" spans="1:10" ht="16" x14ac:dyDescent="0.2">
      <c r="A125" s="7" t="s">
        <v>15</v>
      </c>
      <c r="B125" s="7" t="s">
        <v>516</v>
      </c>
      <c r="C125" s="7" t="s">
        <v>188</v>
      </c>
      <c r="D125" s="7" t="s">
        <v>517</v>
      </c>
      <c r="E125" s="8" t="s">
        <v>518</v>
      </c>
      <c r="F125" s="8" t="s">
        <v>19</v>
      </c>
      <c r="G125" s="9">
        <v>37164.329999999994</v>
      </c>
      <c r="H125" s="9">
        <v>1249.1300000000003</v>
      </c>
      <c r="I125" s="9">
        <v>5323.2200000000012</v>
      </c>
      <c r="J125" s="9">
        <v>43736.680000000008</v>
      </c>
    </row>
    <row r="126" spans="1:10" ht="16" x14ac:dyDescent="0.2">
      <c r="A126" s="7" t="s">
        <v>15</v>
      </c>
      <c r="B126" s="7" t="s">
        <v>569</v>
      </c>
      <c r="C126" s="7" t="s">
        <v>188</v>
      </c>
      <c r="D126" s="7" t="s">
        <v>570</v>
      </c>
      <c r="E126" s="8" t="s">
        <v>571</v>
      </c>
      <c r="F126" s="8" t="s">
        <v>19</v>
      </c>
      <c r="G126" s="9">
        <v>31424.2</v>
      </c>
      <c r="H126" s="9">
        <v>858.91</v>
      </c>
      <c r="I126" s="9">
        <v>7793.6900000000014</v>
      </c>
      <c r="J126" s="9">
        <v>40076.799999999988</v>
      </c>
    </row>
    <row r="127" spans="1:10" ht="16" x14ac:dyDescent="0.2">
      <c r="A127" s="7" t="s">
        <v>9</v>
      </c>
      <c r="B127" s="7" t="s">
        <v>683</v>
      </c>
      <c r="C127" s="7" t="s">
        <v>188</v>
      </c>
      <c r="D127" s="7" t="s">
        <v>684</v>
      </c>
      <c r="E127" s="8" t="s">
        <v>685</v>
      </c>
      <c r="F127" s="8" t="s">
        <v>686</v>
      </c>
      <c r="G127" s="9">
        <v>24430.7</v>
      </c>
      <c r="H127" s="9">
        <v>3732.6700000000005</v>
      </c>
      <c r="I127" s="9">
        <v>4204.42</v>
      </c>
      <c r="J127" s="9">
        <v>32367.790000000005</v>
      </c>
    </row>
    <row r="128" spans="1:10" ht="16" x14ac:dyDescent="0.2">
      <c r="A128" s="7" t="s">
        <v>15</v>
      </c>
      <c r="B128" s="7" t="s">
        <v>749</v>
      </c>
      <c r="C128" s="7" t="s">
        <v>188</v>
      </c>
      <c r="D128" s="7" t="s">
        <v>684</v>
      </c>
      <c r="E128" s="8" t="s">
        <v>750</v>
      </c>
      <c r="F128" s="8" t="s">
        <v>19</v>
      </c>
      <c r="G128" s="9">
        <v>21238.81</v>
      </c>
      <c r="H128" s="9">
        <v>2594.8800000000006</v>
      </c>
      <c r="I128" s="9">
        <v>4794.3700000000008</v>
      </c>
      <c r="J128" s="9">
        <v>28628.059999999998</v>
      </c>
    </row>
    <row r="129" spans="1:10" ht="16" x14ac:dyDescent="0.2">
      <c r="A129" s="7" t="s">
        <v>9</v>
      </c>
      <c r="B129" s="7" t="s">
        <v>751</v>
      </c>
      <c r="C129" s="7" t="s">
        <v>188</v>
      </c>
      <c r="D129" s="7" t="s">
        <v>752</v>
      </c>
      <c r="E129" s="8" t="s">
        <v>423</v>
      </c>
      <c r="F129" s="8" t="s">
        <v>753</v>
      </c>
      <c r="G129" s="9">
        <v>21553.500000000004</v>
      </c>
      <c r="H129" s="9">
        <v>1353.0600000000002</v>
      </c>
      <c r="I129" s="9">
        <v>5588.1500000000005</v>
      </c>
      <c r="J129" s="9">
        <v>28494.709999999995</v>
      </c>
    </row>
    <row r="130" spans="1:10" ht="16" x14ac:dyDescent="0.2">
      <c r="A130" s="7" t="s">
        <v>15</v>
      </c>
      <c r="B130" s="7" t="s">
        <v>139</v>
      </c>
      <c r="C130" s="7" t="s">
        <v>140</v>
      </c>
      <c r="D130" s="7" t="s">
        <v>141</v>
      </c>
      <c r="E130" s="8" t="s">
        <v>142</v>
      </c>
      <c r="F130" s="8" t="s">
        <v>19</v>
      </c>
      <c r="G130" s="9">
        <v>74171.250000000015</v>
      </c>
      <c r="H130" s="9"/>
      <c r="I130" s="9">
        <v>0</v>
      </c>
      <c r="J130" s="9">
        <v>74171.250000000015</v>
      </c>
    </row>
    <row r="131" spans="1:10" ht="16" x14ac:dyDescent="0.2">
      <c r="A131" s="7" t="s">
        <v>9</v>
      </c>
      <c r="B131" s="7" t="s">
        <v>286</v>
      </c>
      <c r="C131" s="7" t="s">
        <v>140</v>
      </c>
      <c r="D131" s="7" t="s">
        <v>287</v>
      </c>
      <c r="E131" s="8" t="s">
        <v>288</v>
      </c>
      <c r="F131" s="8" t="s">
        <v>289</v>
      </c>
      <c r="G131" s="9">
        <v>58035.849999999977</v>
      </c>
      <c r="H131" s="9"/>
      <c r="I131" s="9">
        <v>0</v>
      </c>
      <c r="J131" s="9">
        <v>58035.849999999977</v>
      </c>
    </row>
    <row r="132" spans="1:10" ht="16" x14ac:dyDescent="0.2">
      <c r="A132" s="7" t="s">
        <v>9</v>
      </c>
      <c r="B132" s="7" t="s">
        <v>324</v>
      </c>
      <c r="C132" s="7" t="s">
        <v>140</v>
      </c>
      <c r="D132" s="7" t="s">
        <v>325</v>
      </c>
      <c r="E132" s="8" t="s">
        <v>326</v>
      </c>
      <c r="F132" s="8" t="s">
        <v>327</v>
      </c>
      <c r="G132" s="9">
        <v>53735.799999999981</v>
      </c>
      <c r="H132" s="9"/>
      <c r="I132" s="9">
        <v>1050</v>
      </c>
      <c r="J132" s="9">
        <v>54785.799999999981</v>
      </c>
    </row>
    <row r="133" spans="1:10" ht="16" x14ac:dyDescent="0.2">
      <c r="A133" s="7" t="s">
        <v>15</v>
      </c>
      <c r="B133" s="7" t="s">
        <v>513</v>
      </c>
      <c r="C133" s="7" t="s">
        <v>140</v>
      </c>
      <c r="D133" s="7" t="s">
        <v>514</v>
      </c>
      <c r="E133" s="8" t="s">
        <v>515</v>
      </c>
      <c r="F133" s="8" t="s">
        <v>19</v>
      </c>
      <c r="G133" s="9">
        <v>37305.15</v>
      </c>
      <c r="H133" s="9">
        <v>528.69000000000005</v>
      </c>
      <c r="I133" s="9">
        <v>5938.5400000000009</v>
      </c>
      <c r="J133" s="9">
        <v>43772.380000000005</v>
      </c>
    </row>
    <row r="134" spans="1:10" ht="16" x14ac:dyDescent="0.2">
      <c r="A134" s="7" t="s">
        <v>9</v>
      </c>
      <c r="B134" s="7" t="s">
        <v>599</v>
      </c>
      <c r="C134" s="7" t="s">
        <v>140</v>
      </c>
      <c r="D134" s="7" t="s">
        <v>600</v>
      </c>
      <c r="E134" s="8" t="s">
        <v>601</v>
      </c>
      <c r="F134" s="8" t="s">
        <v>602</v>
      </c>
      <c r="G134" s="9">
        <v>34736.020000000004</v>
      </c>
      <c r="H134" s="9">
        <v>896</v>
      </c>
      <c r="I134" s="9">
        <v>2969.3500000000004</v>
      </c>
      <c r="J134" s="9">
        <v>38601.37000000001</v>
      </c>
    </row>
    <row r="135" spans="1:10" ht="16" x14ac:dyDescent="0.2">
      <c r="A135" s="7" t="s">
        <v>15</v>
      </c>
      <c r="B135" s="7" t="s">
        <v>642</v>
      </c>
      <c r="C135" s="7" t="s">
        <v>140</v>
      </c>
      <c r="D135" s="7" t="s">
        <v>643</v>
      </c>
      <c r="E135" s="8" t="s">
        <v>482</v>
      </c>
      <c r="F135" s="8" t="s">
        <v>19</v>
      </c>
      <c r="G135" s="9">
        <v>32195.909999999996</v>
      </c>
      <c r="H135" s="9">
        <v>568.41</v>
      </c>
      <c r="I135" s="9">
        <v>1355.15</v>
      </c>
      <c r="J135" s="9">
        <v>34119.469999999994</v>
      </c>
    </row>
    <row r="136" spans="1:10" ht="16" x14ac:dyDescent="0.2">
      <c r="A136" s="7" t="s">
        <v>15</v>
      </c>
      <c r="B136" s="7" t="s">
        <v>731</v>
      </c>
      <c r="C136" s="7" t="s">
        <v>140</v>
      </c>
      <c r="D136" s="7" t="s">
        <v>558</v>
      </c>
      <c r="E136" s="8" t="s">
        <v>732</v>
      </c>
      <c r="F136" s="8" t="s">
        <v>19</v>
      </c>
      <c r="G136" s="9">
        <v>25940.30000000001</v>
      </c>
      <c r="H136" s="9">
        <v>73.98</v>
      </c>
      <c r="I136" s="9">
        <v>4009.85</v>
      </c>
      <c r="J136" s="9">
        <v>30024.129999999997</v>
      </c>
    </row>
    <row r="137" spans="1:10" ht="16" x14ac:dyDescent="0.2">
      <c r="A137" s="7" t="s">
        <v>15</v>
      </c>
      <c r="B137" s="7" t="s">
        <v>29</v>
      </c>
      <c r="C137" s="7" t="s">
        <v>30</v>
      </c>
      <c r="D137" s="7" t="s">
        <v>31</v>
      </c>
      <c r="E137" s="8" t="s">
        <v>32</v>
      </c>
      <c r="F137" s="8" t="s">
        <v>19</v>
      </c>
      <c r="G137" s="9">
        <v>71380.31</v>
      </c>
      <c r="H137" s="9"/>
      <c r="I137" s="9">
        <v>28925.570000000003</v>
      </c>
      <c r="J137" s="9">
        <v>100305.88</v>
      </c>
    </row>
    <row r="138" spans="1:10" ht="16" x14ac:dyDescent="0.2">
      <c r="A138" s="7" t="s">
        <v>9</v>
      </c>
      <c r="B138" s="7" t="s">
        <v>33</v>
      </c>
      <c r="C138" s="7" t="s">
        <v>30</v>
      </c>
      <c r="D138" s="7" t="s">
        <v>34</v>
      </c>
      <c r="E138" s="8" t="s">
        <v>35</v>
      </c>
      <c r="F138" s="8" t="s">
        <v>36</v>
      </c>
      <c r="G138" s="9">
        <v>94268.48000000001</v>
      </c>
      <c r="H138" s="9">
        <v>1339.11</v>
      </c>
      <c r="I138" s="9">
        <v>2821.12</v>
      </c>
      <c r="J138" s="9">
        <v>98428.710000000021</v>
      </c>
    </row>
    <row r="139" spans="1:10" ht="16" x14ac:dyDescent="0.2">
      <c r="A139" s="7" t="s">
        <v>15</v>
      </c>
      <c r="B139" s="7" t="s">
        <v>46</v>
      </c>
      <c r="C139" s="7" t="s">
        <v>30</v>
      </c>
      <c r="D139" s="7" t="s">
        <v>47</v>
      </c>
      <c r="E139" s="8" t="s">
        <v>48</v>
      </c>
      <c r="F139" s="8" t="s">
        <v>19</v>
      </c>
      <c r="G139" s="9">
        <v>68954.509999999995</v>
      </c>
      <c r="H139" s="9">
        <v>489.2</v>
      </c>
      <c r="I139" s="9">
        <v>23726.76</v>
      </c>
      <c r="J139" s="9">
        <v>93170.47</v>
      </c>
    </row>
    <row r="140" spans="1:10" ht="16" x14ac:dyDescent="0.2">
      <c r="A140" s="7" t="s">
        <v>15</v>
      </c>
      <c r="B140" s="7" t="s">
        <v>49</v>
      </c>
      <c r="C140" s="7" t="s">
        <v>30</v>
      </c>
      <c r="D140" s="7" t="s">
        <v>50</v>
      </c>
      <c r="E140" s="8" t="s">
        <v>51</v>
      </c>
      <c r="F140" s="8" t="s">
        <v>19</v>
      </c>
      <c r="G140" s="9">
        <v>68421.63</v>
      </c>
      <c r="H140" s="9">
        <v>916.69999999999993</v>
      </c>
      <c r="I140" s="9">
        <v>22764.480000000003</v>
      </c>
      <c r="J140" s="9">
        <v>92102.810000000027</v>
      </c>
    </row>
    <row r="141" spans="1:10" ht="16" x14ac:dyDescent="0.2">
      <c r="A141" s="7" t="s">
        <v>9</v>
      </c>
      <c r="B141" s="7" t="s">
        <v>52</v>
      </c>
      <c r="C141" s="7" t="s">
        <v>30</v>
      </c>
      <c r="D141" s="7" t="s">
        <v>53</v>
      </c>
      <c r="E141" s="8" t="s">
        <v>54</v>
      </c>
      <c r="F141" s="8" t="s">
        <v>55</v>
      </c>
      <c r="G141" s="9">
        <v>71514.97</v>
      </c>
      <c r="H141" s="9">
        <v>626.63</v>
      </c>
      <c r="I141" s="9">
        <v>19438.330000000002</v>
      </c>
      <c r="J141" s="9">
        <v>91579.93</v>
      </c>
    </row>
    <row r="142" spans="1:10" ht="16" x14ac:dyDescent="0.2">
      <c r="A142" s="7" t="s">
        <v>9</v>
      </c>
      <c r="B142" s="7" t="s">
        <v>59</v>
      </c>
      <c r="C142" s="7" t="s">
        <v>30</v>
      </c>
      <c r="D142" s="7" t="s">
        <v>60</v>
      </c>
      <c r="E142" s="8" t="s">
        <v>61</v>
      </c>
      <c r="F142" s="8" t="s">
        <v>62</v>
      </c>
      <c r="G142" s="9">
        <v>76736.180000000008</v>
      </c>
      <c r="H142" s="9">
        <v>528.1</v>
      </c>
      <c r="I142" s="9">
        <v>13114.199999999999</v>
      </c>
      <c r="J142" s="9">
        <v>90378.48</v>
      </c>
    </row>
    <row r="143" spans="1:10" ht="16" x14ac:dyDescent="0.2">
      <c r="A143" s="7" t="s">
        <v>15</v>
      </c>
      <c r="B143" s="7" t="s">
        <v>72</v>
      </c>
      <c r="C143" s="7" t="s">
        <v>30</v>
      </c>
      <c r="D143" s="7" t="s">
        <v>34</v>
      </c>
      <c r="E143" s="8" t="s">
        <v>73</v>
      </c>
      <c r="F143" s="8" t="s">
        <v>19</v>
      </c>
      <c r="G143" s="9">
        <v>84210.960000000021</v>
      </c>
      <c r="H143" s="9"/>
      <c r="I143" s="9">
        <v>4652.6400000000003</v>
      </c>
      <c r="J143" s="9">
        <v>88863.60000000002</v>
      </c>
    </row>
    <row r="144" spans="1:10" ht="16" x14ac:dyDescent="0.2">
      <c r="A144" s="7" t="s">
        <v>15</v>
      </c>
      <c r="B144" s="7" t="s">
        <v>91</v>
      </c>
      <c r="C144" s="7" t="s">
        <v>30</v>
      </c>
      <c r="D144" s="7" t="s">
        <v>53</v>
      </c>
      <c r="E144" s="8" t="s">
        <v>92</v>
      </c>
      <c r="F144" s="8" t="s">
        <v>19</v>
      </c>
      <c r="G144" s="9">
        <v>63177.160000000011</v>
      </c>
      <c r="H144" s="9">
        <v>423.28</v>
      </c>
      <c r="I144" s="9">
        <v>21284.939999999995</v>
      </c>
      <c r="J144" s="9">
        <v>84885.379999999976</v>
      </c>
    </row>
    <row r="145" spans="1:10" ht="16" x14ac:dyDescent="0.2">
      <c r="A145" s="7" t="s">
        <v>15</v>
      </c>
      <c r="B145" s="7" t="s">
        <v>105</v>
      </c>
      <c r="C145" s="7" t="s">
        <v>30</v>
      </c>
      <c r="D145" s="7" t="s">
        <v>106</v>
      </c>
      <c r="E145" s="8" t="s">
        <v>107</v>
      </c>
      <c r="F145" s="8" t="s">
        <v>19</v>
      </c>
      <c r="G145" s="9">
        <v>60701.87999999999</v>
      </c>
      <c r="H145" s="9">
        <v>797.13</v>
      </c>
      <c r="I145" s="9">
        <v>17862.250000000004</v>
      </c>
      <c r="J145" s="9">
        <v>79361.259999999995</v>
      </c>
    </row>
    <row r="146" spans="1:10" ht="16" x14ac:dyDescent="0.2">
      <c r="A146" s="7" t="s">
        <v>15</v>
      </c>
      <c r="B146" s="7" t="s">
        <v>108</v>
      </c>
      <c r="C146" s="7" t="s">
        <v>30</v>
      </c>
      <c r="D146" s="7" t="s">
        <v>53</v>
      </c>
      <c r="E146" s="8" t="s">
        <v>109</v>
      </c>
      <c r="F146" s="8" t="s">
        <v>19</v>
      </c>
      <c r="G146" s="9">
        <v>62093.159999999996</v>
      </c>
      <c r="H146" s="9">
        <v>546.13</v>
      </c>
      <c r="I146" s="9">
        <v>16289.869999999999</v>
      </c>
      <c r="J146" s="9">
        <v>78929.159999999989</v>
      </c>
    </row>
    <row r="147" spans="1:10" ht="16" x14ac:dyDescent="0.2">
      <c r="A147" s="7" t="s">
        <v>15</v>
      </c>
      <c r="B147" s="7" t="s">
        <v>130</v>
      </c>
      <c r="C147" s="7" t="s">
        <v>30</v>
      </c>
      <c r="D147" s="7" t="s">
        <v>131</v>
      </c>
      <c r="E147" s="8" t="s">
        <v>132</v>
      </c>
      <c r="F147" s="8" t="s">
        <v>19</v>
      </c>
      <c r="G147" s="9">
        <v>58387.73</v>
      </c>
      <c r="H147" s="9">
        <v>21.38</v>
      </c>
      <c r="I147" s="9">
        <v>16665.879999999997</v>
      </c>
      <c r="J147" s="9">
        <v>75074.990000000005</v>
      </c>
    </row>
    <row r="148" spans="1:10" ht="16" x14ac:dyDescent="0.2">
      <c r="A148" s="7" t="s">
        <v>9</v>
      </c>
      <c r="B148" s="7" t="s">
        <v>164</v>
      </c>
      <c r="C148" s="7" t="s">
        <v>30</v>
      </c>
      <c r="D148" s="7" t="s">
        <v>47</v>
      </c>
      <c r="E148" s="8" t="s">
        <v>165</v>
      </c>
      <c r="F148" s="8" t="s">
        <v>166</v>
      </c>
      <c r="G148" s="9">
        <v>54208.44999999999</v>
      </c>
      <c r="H148" s="9"/>
      <c r="I148" s="9">
        <v>16576.519999999997</v>
      </c>
      <c r="J148" s="9">
        <v>70784.97</v>
      </c>
    </row>
    <row r="149" spans="1:10" ht="16" x14ac:dyDescent="0.2">
      <c r="A149" s="7" t="s">
        <v>9</v>
      </c>
      <c r="B149" s="7" t="s">
        <v>171</v>
      </c>
      <c r="C149" s="7" t="s">
        <v>30</v>
      </c>
      <c r="D149" s="7" t="s">
        <v>172</v>
      </c>
      <c r="E149" s="8" t="s">
        <v>173</v>
      </c>
      <c r="F149" s="8" t="s">
        <v>174</v>
      </c>
      <c r="G149" s="9">
        <v>51843.540000000008</v>
      </c>
      <c r="H149" s="9">
        <v>861.95</v>
      </c>
      <c r="I149" s="9">
        <v>17716.13</v>
      </c>
      <c r="J149" s="9">
        <v>70421.619999999981</v>
      </c>
    </row>
    <row r="150" spans="1:10" ht="16" x14ac:dyDescent="0.2">
      <c r="A150" s="7" t="s">
        <v>15</v>
      </c>
      <c r="B150" s="7" t="s">
        <v>182</v>
      </c>
      <c r="C150" s="7" t="s">
        <v>30</v>
      </c>
      <c r="D150" s="7" t="s">
        <v>47</v>
      </c>
      <c r="E150" s="8" t="s">
        <v>183</v>
      </c>
      <c r="F150" s="8" t="s">
        <v>19</v>
      </c>
      <c r="G150" s="9">
        <v>54615.500000000007</v>
      </c>
      <c r="H150" s="9">
        <v>680.13</v>
      </c>
      <c r="I150" s="9">
        <v>14889.71</v>
      </c>
      <c r="J150" s="9">
        <v>70185.34</v>
      </c>
    </row>
    <row r="151" spans="1:10" ht="16" x14ac:dyDescent="0.2">
      <c r="A151" s="7" t="s">
        <v>15</v>
      </c>
      <c r="B151" s="7" t="s">
        <v>195</v>
      </c>
      <c r="C151" s="7" t="s">
        <v>30</v>
      </c>
      <c r="D151" s="7" t="s">
        <v>53</v>
      </c>
      <c r="E151" s="8" t="s">
        <v>196</v>
      </c>
      <c r="F151" s="8" t="s">
        <v>19</v>
      </c>
      <c r="G151" s="9">
        <v>51912.420000000006</v>
      </c>
      <c r="H151" s="9">
        <v>629.81000000000006</v>
      </c>
      <c r="I151" s="9">
        <v>16464.039999999994</v>
      </c>
      <c r="J151" s="9">
        <v>69006.26999999999</v>
      </c>
    </row>
    <row r="152" spans="1:10" ht="16" x14ac:dyDescent="0.2">
      <c r="A152" s="7" t="s">
        <v>9</v>
      </c>
      <c r="B152" s="7" t="s">
        <v>201</v>
      </c>
      <c r="C152" s="7" t="s">
        <v>30</v>
      </c>
      <c r="D152" s="7" t="s">
        <v>202</v>
      </c>
      <c r="E152" s="8" t="s">
        <v>203</v>
      </c>
      <c r="F152" s="8" t="s">
        <v>204</v>
      </c>
      <c r="G152" s="9">
        <v>58863.429999999993</v>
      </c>
      <c r="H152" s="9">
        <v>884.08999999999992</v>
      </c>
      <c r="I152" s="9">
        <v>8670.0499999999993</v>
      </c>
      <c r="J152" s="9">
        <v>68417.569999999992</v>
      </c>
    </row>
    <row r="153" spans="1:10" ht="16" x14ac:dyDescent="0.2">
      <c r="A153" s="7" t="s">
        <v>15</v>
      </c>
      <c r="B153" s="7" t="s">
        <v>213</v>
      </c>
      <c r="C153" s="7" t="s">
        <v>30</v>
      </c>
      <c r="D153" s="7" t="s">
        <v>47</v>
      </c>
      <c r="E153" s="8" t="s">
        <v>214</v>
      </c>
      <c r="F153" s="8" t="s">
        <v>19</v>
      </c>
      <c r="G153" s="9">
        <v>50982.310000000012</v>
      </c>
      <c r="H153" s="9">
        <v>363.1</v>
      </c>
      <c r="I153" s="9">
        <v>16341.199999999999</v>
      </c>
      <c r="J153" s="9">
        <v>67686.61</v>
      </c>
    </row>
    <row r="154" spans="1:10" ht="16" x14ac:dyDescent="0.2">
      <c r="A154" s="7" t="s">
        <v>15</v>
      </c>
      <c r="B154" s="7" t="s">
        <v>225</v>
      </c>
      <c r="C154" s="7" t="s">
        <v>30</v>
      </c>
      <c r="D154" s="7" t="s">
        <v>47</v>
      </c>
      <c r="E154" s="8" t="s">
        <v>226</v>
      </c>
      <c r="F154" s="8" t="s">
        <v>19</v>
      </c>
      <c r="G154" s="9">
        <v>52798.89</v>
      </c>
      <c r="H154" s="9">
        <v>653.13</v>
      </c>
      <c r="I154" s="9">
        <v>13289</v>
      </c>
      <c r="J154" s="9">
        <v>66741.02</v>
      </c>
    </row>
    <row r="155" spans="1:10" ht="16" x14ac:dyDescent="0.2">
      <c r="A155" s="7" t="s">
        <v>15</v>
      </c>
      <c r="B155" s="7" t="s">
        <v>234</v>
      </c>
      <c r="C155" s="7" t="s">
        <v>30</v>
      </c>
      <c r="D155" s="7" t="s">
        <v>202</v>
      </c>
      <c r="E155" s="8" t="s">
        <v>235</v>
      </c>
      <c r="F155" s="8" t="s">
        <v>19</v>
      </c>
      <c r="G155" s="9">
        <v>54256.060000000005</v>
      </c>
      <c r="H155" s="9">
        <v>648.63</v>
      </c>
      <c r="I155" s="9">
        <v>10127.560000000001</v>
      </c>
      <c r="J155" s="9">
        <v>65032.25</v>
      </c>
    </row>
    <row r="156" spans="1:10" ht="16" x14ac:dyDescent="0.2">
      <c r="A156" s="7" t="s">
        <v>15</v>
      </c>
      <c r="B156" s="7" t="s">
        <v>236</v>
      </c>
      <c r="C156" s="7" t="s">
        <v>30</v>
      </c>
      <c r="D156" s="7" t="s">
        <v>47</v>
      </c>
      <c r="E156" s="8" t="s">
        <v>237</v>
      </c>
      <c r="F156" s="8" t="s">
        <v>19</v>
      </c>
      <c r="G156" s="9">
        <v>52051.909999999996</v>
      </c>
      <c r="H156" s="9">
        <v>372.15000000000003</v>
      </c>
      <c r="I156" s="9">
        <v>12457.96</v>
      </c>
      <c r="J156" s="9">
        <v>64882.01999999999</v>
      </c>
    </row>
    <row r="157" spans="1:10" ht="16" x14ac:dyDescent="0.2">
      <c r="A157" s="7" t="s">
        <v>15</v>
      </c>
      <c r="B157" s="7" t="s">
        <v>245</v>
      </c>
      <c r="C157" s="7" t="s">
        <v>30</v>
      </c>
      <c r="D157" s="7" t="s">
        <v>131</v>
      </c>
      <c r="E157" s="8" t="s">
        <v>246</v>
      </c>
      <c r="F157" s="8" t="s">
        <v>19</v>
      </c>
      <c r="G157" s="9">
        <v>47770.359999999993</v>
      </c>
      <c r="H157" s="9">
        <v>418.84</v>
      </c>
      <c r="I157" s="9">
        <v>16148.149999999998</v>
      </c>
      <c r="J157" s="9">
        <v>64337.349999999984</v>
      </c>
    </row>
    <row r="158" spans="1:10" ht="16" x14ac:dyDescent="0.2">
      <c r="A158" s="7" t="s">
        <v>9</v>
      </c>
      <c r="B158" s="7" t="s">
        <v>247</v>
      </c>
      <c r="C158" s="7" t="s">
        <v>30</v>
      </c>
      <c r="D158" s="7" t="s">
        <v>248</v>
      </c>
      <c r="E158" s="8" t="s">
        <v>249</v>
      </c>
      <c r="F158" s="8" t="s">
        <v>250</v>
      </c>
      <c r="G158" s="9">
        <v>47279.66</v>
      </c>
      <c r="H158" s="9"/>
      <c r="I158" s="9">
        <v>16929.97</v>
      </c>
      <c r="J158" s="9">
        <v>64209.63</v>
      </c>
    </row>
    <row r="159" spans="1:10" ht="16" x14ac:dyDescent="0.2">
      <c r="A159" s="7" t="s">
        <v>15</v>
      </c>
      <c r="B159" s="7" t="s">
        <v>252</v>
      </c>
      <c r="C159" s="7" t="s">
        <v>30</v>
      </c>
      <c r="D159" s="7" t="s">
        <v>131</v>
      </c>
      <c r="E159" s="8" t="s">
        <v>253</v>
      </c>
      <c r="F159" s="8" t="s">
        <v>19</v>
      </c>
      <c r="G159" s="9">
        <v>51186.859999999993</v>
      </c>
      <c r="H159" s="9">
        <v>409.57</v>
      </c>
      <c r="I159" s="9">
        <v>11595.400000000001</v>
      </c>
      <c r="J159" s="9">
        <v>63191.83</v>
      </c>
    </row>
    <row r="160" spans="1:10" ht="16" x14ac:dyDescent="0.2">
      <c r="A160" s="7" t="s">
        <v>15</v>
      </c>
      <c r="B160" s="7" t="s">
        <v>261</v>
      </c>
      <c r="C160" s="7" t="s">
        <v>30</v>
      </c>
      <c r="D160" s="7" t="s">
        <v>47</v>
      </c>
      <c r="E160" s="8" t="s">
        <v>262</v>
      </c>
      <c r="F160" s="8" t="s">
        <v>19</v>
      </c>
      <c r="G160" s="9">
        <v>48867.80000000001</v>
      </c>
      <c r="H160" s="9">
        <v>24.8</v>
      </c>
      <c r="I160" s="9">
        <v>13212.470000000001</v>
      </c>
      <c r="J160" s="9">
        <v>62105.070000000007</v>
      </c>
    </row>
    <row r="161" spans="1:10" ht="16" x14ac:dyDescent="0.2">
      <c r="A161" s="7" t="s">
        <v>15</v>
      </c>
      <c r="B161" s="7" t="s">
        <v>263</v>
      </c>
      <c r="C161" s="7" t="s">
        <v>30</v>
      </c>
      <c r="D161" s="7" t="s">
        <v>47</v>
      </c>
      <c r="E161" s="8" t="s">
        <v>264</v>
      </c>
      <c r="F161" s="8" t="s">
        <v>19</v>
      </c>
      <c r="G161" s="9">
        <v>48598.799999999996</v>
      </c>
      <c r="H161" s="9">
        <v>420.31</v>
      </c>
      <c r="I161" s="9">
        <v>13015.439999999999</v>
      </c>
      <c r="J161" s="9">
        <v>62034.55</v>
      </c>
    </row>
    <row r="162" spans="1:10" ht="16" x14ac:dyDescent="0.2">
      <c r="A162" s="7" t="s">
        <v>15</v>
      </c>
      <c r="B162" s="7" t="s">
        <v>277</v>
      </c>
      <c r="C162" s="7" t="s">
        <v>30</v>
      </c>
      <c r="D162" s="7" t="s">
        <v>248</v>
      </c>
      <c r="E162" s="8" t="s">
        <v>235</v>
      </c>
      <c r="F162" s="8" t="s">
        <v>19</v>
      </c>
      <c r="G162" s="9">
        <v>42567.710000000014</v>
      </c>
      <c r="H162" s="9">
        <v>18.59</v>
      </c>
      <c r="I162" s="9">
        <v>16813.13</v>
      </c>
      <c r="J162" s="9">
        <v>59399.430000000015</v>
      </c>
    </row>
    <row r="163" spans="1:10" ht="16" x14ac:dyDescent="0.2">
      <c r="A163" s="7" t="s">
        <v>15</v>
      </c>
      <c r="B163" s="7" t="s">
        <v>284</v>
      </c>
      <c r="C163" s="7" t="s">
        <v>30</v>
      </c>
      <c r="D163" s="7" t="s">
        <v>248</v>
      </c>
      <c r="E163" s="8" t="s">
        <v>285</v>
      </c>
      <c r="F163" s="8" t="s">
        <v>19</v>
      </c>
      <c r="G163" s="9">
        <v>47059.710000000006</v>
      </c>
      <c r="H163" s="9">
        <v>298.22999999999996</v>
      </c>
      <c r="I163" s="9">
        <v>10729.53</v>
      </c>
      <c r="J163" s="9">
        <v>58087.469999999994</v>
      </c>
    </row>
    <row r="164" spans="1:10" ht="16" x14ac:dyDescent="0.2">
      <c r="A164" s="7" t="s">
        <v>15</v>
      </c>
      <c r="B164" s="7" t="s">
        <v>293</v>
      </c>
      <c r="C164" s="7" t="s">
        <v>30</v>
      </c>
      <c r="D164" s="7" t="s">
        <v>47</v>
      </c>
      <c r="E164" s="8" t="s">
        <v>294</v>
      </c>
      <c r="F164" s="8" t="s">
        <v>19</v>
      </c>
      <c r="G164" s="9">
        <v>47584.739999999991</v>
      </c>
      <c r="H164" s="9">
        <v>368.01</v>
      </c>
      <c r="I164" s="9">
        <v>9624.98</v>
      </c>
      <c r="J164" s="9">
        <v>57577.729999999996</v>
      </c>
    </row>
    <row r="165" spans="1:10" ht="16" x14ac:dyDescent="0.2">
      <c r="A165" s="7" t="s">
        <v>15</v>
      </c>
      <c r="B165" s="7" t="s">
        <v>310</v>
      </c>
      <c r="C165" s="7" t="s">
        <v>30</v>
      </c>
      <c r="D165" s="7" t="s">
        <v>131</v>
      </c>
      <c r="E165" s="8" t="s">
        <v>237</v>
      </c>
      <c r="F165" s="8" t="s">
        <v>19</v>
      </c>
      <c r="G165" s="9">
        <v>43484.85</v>
      </c>
      <c r="H165" s="9">
        <v>372.98999999999995</v>
      </c>
      <c r="I165" s="9">
        <v>12303.549999999997</v>
      </c>
      <c r="J165" s="9">
        <v>56161.39</v>
      </c>
    </row>
    <row r="166" spans="1:10" ht="16" x14ac:dyDescent="0.2">
      <c r="A166" s="7" t="s">
        <v>15</v>
      </c>
      <c r="B166" s="7" t="s">
        <v>337</v>
      </c>
      <c r="C166" s="7" t="s">
        <v>30</v>
      </c>
      <c r="D166" s="7" t="s">
        <v>131</v>
      </c>
      <c r="E166" s="8" t="s">
        <v>338</v>
      </c>
      <c r="F166" s="8" t="s">
        <v>19</v>
      </c>
      <c r="G166" s="9">
        <v>42275.92</v>
      </c>
      <c r="H166" s="9">
        <v>401.3</v>
      </c>
      <c r="I166" s="9">
        <v>11791.36</v>
      </c>
      <c r="J166" s="9">
        <v>54468.580000000009</v>
      </c>
    </row>
    <row r="167" spans="1:10" ht="16" x14ac:dyDescent="0.2">
      <c r="A167" s="7" t="s">
        <v>9</v>
      </c>
      <c r="B167" s="7" t="s">
        <v>344</v>
      </c>
      <c r="C167" s="7" t="s">
        <v>30</v>
      </c>
      <c r="D167" s="7" t="s">
        <v>248</v>
      </c>
      <c r="E167" s="8" t="s">
        <v>345</v>
      </c>
      <c r="F167" s="8" t="s">
        <v>346</v>
      </c>
      <c r="G167" s="9">
        <v>40894.369999999995</v>
      </c>
      <c r="H167" s="9">
        <v>296.12</v>
      </c>
      <c r="I167" s="9">
        <v>12703.779999999997</v>
      </c>
      <c r="J167" s="9">
        <v>53894.27</v>
      </c>
    </row>
    <row r="168" spans="1:10" ht="16" x14ac:dyDescent="0.2">
      <c r="A168" s="7" t="s">
        <v>9</v>
      </c>
      <c r="B168" s="7" t="s">
        <v>365</v>
      </c>
      <c r="C168" s="7" t="s">
        <v>30</v>
      </c>
      <c r="D168" s="7" t="s">
        <v>248</v>
      </c>
      <c r="E168" s="8" t="s">
        <v>366</v>
      </c>
      <c r="F168" s="8" t="s">
        <v>367</v>
      </c>
      <c r="G168" s="9">
        <v>39215.550000000003</v>
      </c>
      <c r="H168" s="9">
        <v>22.35</v>
      </c>
      <c r="I168" s="9">
        <v>12993.48</v>
      </c>
      <c r="J168" s="9">
        <v>52231.380000000005</v>
      </c>
    </row>
    <row r="169" spans="1:10" ht="16" x14ac:dyDescent="0.2">
      <c r="A169" s="7" t="s">
        <v>15</v>
      </c>
      <c r="B169" s="7" t="s">
        <v>380</v>
      </c>
      <c r="C169" s="7" t="s">
        <v>30</v>
      </c>
      <c r="D169" s="7" t="s">
        <v>131</v>
      </c>
      <c r="E169" s="8" t="s">
        <v>381</v>
      </c>
      <c r="F169" s="8" t="s">
        <v>19</v>
      </c>
      <c r="G169" s="9">
        <v>40757.539999999994</v>
      </c>
      <c r="H169" s="9">
        <v>344.73</v>
      </c>
      <c r="I169" s="9">
        <v>10259.76</v>
      </c>
      <c r="J169" s="9">
        <v>51362.029999999992</v>
      </c>
    </row>
    <row r="170" spans="1:10" ht="16" x14ac:dyDescent="0.2">
      <c r="A170" s="7" t="s">
        <v>15</v>
      </c>
      <c r="B170" s="7" t="s">
        <v>388</v>
      </c>
      <c r="C170" s="7" t="s">
        <v>30</v>
      </c>
      <c r="D170" s="7" t="s">
        <v>248</v>
      </c>
      <c r="E170" s="8" t="s">
        <v>285</v>
      </c>
      <c r="F170" s="8" t="s">
        <v>19</v>
      </c>
      <c r="G170" s="9">
        <v>40977.090000000004</v>
      </c>
      <c r="H170" s="9">
        <v>833.96</v>
      </c>
      <c r="I170" s="9">
        <v>9433.4700000000012</v>
      </c>
      <c r="J170" s="9">
        <v>51244.520000000004</v>
      </c>
    </row>
    <row r="171" spans="1:10" ht="16" x14ac:dyDescent="0.2">
      <c r="A171" s="7" t="s">
        <v>15</v>
      </c>
      <c r="B171" s="7" t="s">
        <v>397</v>
      </c>
      <c r="C171" s="7" t="s">
        <v>30</v>
      </c>
      <c r="D171" s="7" t="s">
        <v>131</v>
      </c>
      <c r="E171" s="8" t="s">
        <v>398</v>
      </c>
      <c r="F171" s="8" t="s">
        <v>19</v>
      </c>
      <c r="G171" s="9">
        <v>41573.939999999995</v>
      </c>
      <c r="H171" s="9">
        <v>325.20999999999998</v>
      </c>
      <c r="I171" s="9">
        <v>9131.9499999999989</v>
      </c>
      <c r="J171" s="9">
        <v>51031.099999999991</v>
      </c>
    </row>
    <row r="172" spans="1:10" ht="16" x14ac:dyDescent="0.2">
      <c r="A172" s="7" t="s">
        <v>15</v>
      </c>
      <c r="B172" s="7" t="s">
        <v>401</v>
      </c>
      <c r="C172" s="7" t="s">
        <v>30</v>
      </c>
      <c r="D172" s="7" t="s">
        <v>131</v>
      </c>
      <c r="E172" s="8" t="s">
        <v>402</v>
      </c>
      <c r="F172" s="8" t="s">
        <v>19</v>
      </c>
      <c r="G172" s="9">
        <v>43155.900000000009</v>
      </c>
      <c r="H172" s="9">
        <v>301.79000000000002</v>
      </c>
      <c r="I172" s="9">
        <v>6758.21</v>
      </c>
      <c r="J172" s="9">
        <v>50215.899999999994</v>
      </c>
    </row>
    <row r="173" spans="1:10" ht="16" x14ac:dyDescent="0.2">
      <c r="A173" s="7" t="s">
        <v>15</v>
      </c>
      <c r="B173" s="7" t="s">
        <v>408</v>
      </c>
      <c r="C173" s="7" t="s">
        <v>30</v>
      </c>
      <c r="D173" s="7" t="s">
        <v>131</v>
      </c>
      <c r="E173" s="8" t="s">
        <v>409</v>
      </c>
      <c r="F173" s="8" t="s">
        <v>19</v>
      </c>
      <c r="G173" s="9">
        <v>40625.15</v>
      </c>
      <c r="H173" s="9">
        <v>318.99</v>
      </c>
      <c r="I173" s="9">
        <v>8354.48</v>
      </c>
      <c r="J173" s="9">
        <v>49298.62000000001</v>
      </c>
    </row>
    <row r="174" spans="1:10" ht="16" x14ac:dyDescent="0.2">
      <c r="A174" s="7" t="s">
        <v>15</v>
      </c>
      <c r="B174" s="7" t="s">
        <v>418</v>
      </c>
      <c r="C174" s="7" t="s">
        <v>30</v>
      </c>
      <c r="D174" s="7" t="s">
        <v>131</v>
      </c>
      <c r="E174" s="8" t="s">
        <v>285</v>
      </c>
      <c r="F174" s="8" t="s">
        <v>19</v>
      </c>
      <c r="G174" s="9">
        <v>38485.270000000004</v>
      </c>
      <c r="H174" s="9">
        <v>307.8</v>
      </c>
      <c r="I174" s="9">
        <v>9996.989999999998</v>
      </c>
      <c r="J174" s="9">
        <v>48790.060000000005</v>
      </c>
    </row>
    <row r="175" spans="1:10" ht="16" x14ac:dyDescent="0.2">
      <c r="A175" s="7" t="s">
        <v>15</v>
      </c>
      <c r="B175" s="7" t="s">
        <v>422</v>
      </c>
      <c r="C175" s="7" t="s">
        <v>30</v>
      </c>
      <c r="D175" s="7" t="s">
        <v>47</v>
      </c>
      <c r="E175" s="8" t="s">
        <v>423</v>
      </c>
      <c r="F175" s="8" t="s">
        <v>19</v>
      </c>
      <c r="G175" s="9">
        <v>39300.86</v>
      </c>
      <c r="H175" s="9">
        <v>328.21999999999997</v>
      </c>
      <c r="I175" s="9">
        <v>9023.8499999999985</v>
      </c>
      <c r="J175" s="9">
        <v>48652.929999999993</v>
      </c>
    </row>
    <row r="176" spans="1:10" ht="16" x14ac:dyDescent="0.2">
      <c r="A176" s="7" t="s">
        <v>15</v>
      </c>
      <c r="B176" s="7" t="s">
        <v>447</v>
      </c>
      <c r="C176" s="7" t="s">
        <v>30</v>
      </c>
      <c r="D176" s="7" t="s">
        <v>248</v>
      </c>
      <c r="E176" s="8" t="s">
        <v>448</v>
      </c>
      <c r="F176" s="8" t="s">
        <v>19</v>
      </c>
      <c r="G176" s="9">
        <v>39714.889999999992</v>
      </c>
      <c r="H176" s="9">
        <v>289.98</v>
      </c>
      <c r="I176" s="9">
        <v>7805.31</v>
      </c>
      <c r="J176" s="9">
        <v>47810.179999999993</v>
      </c>
    </row>
    <row r="177" spans="1:10" ht="16" x14ac:dyDescent="0.2">
      <c r="A177" s="7" t="s">
        <v>15</v>
      </c>
      <c r="B177" s="7" t="s">
        <v>501</v>
      </c>
      <c r="C177" s="7" t="s">
        <v>30</v>
      </c>
      <c r="D177" s="7" t="s">
        <v>248</v>
      </c>
      <c r="E177" s="8" t="s">
        <v>502</v>
      </c>
      <c r="F177" s="8" t="s">
        <v>19</v>
      </c>
      <c r="G177" s="9">
        <v>37648.46</v>
      </c>
      <c r="H177" s="9">
        <v>10.41</v>
      </c>
      <c r="I177" s="9">
        <v>7422.3900000000012</v>
      </c>
      <c r="J177" s="9">
        <v>45081.260000000009</v>
      </c>
    </row>
    <row r="178" spans="1:10" ht="16" x14ac:dyDescent="0.2">
      <c r="A178" s="7" t="s">
        <v>15</v>
      </c>
      <c r="B178" s="7" t="s">
        <v>503</v>
      </c>
      <c r="C178" s="7" t="s">
        <v>30</v>
      </c>
      <c r="D178" s="7" t="s">
        <v>131</v>
      </c>
      <c r="E178" s="8" t="s">
        <v>504</v>
      </c>
      <c r="F178" s="8" t="s">
        <v>19</v>
      </c>
      <c r="G178" s="9">
        <v>36360.460000000006</v>
      </c>
      <c r="H178" s="9"/>
      <c r="I178" s="9">
        <v>8698.99</v>
      </c>
      <c r="J178" s="9">
        <v>45059.450000000004</v>
      </c>
    </row>
    <row r="179" spans="1:10" ht="16" x14ac:dyDescent="0.2">
      <c r="A179" s="7" t="s">
        <v>15</v>
      </c>
      <c r="B179" s="7" t="s">
        <v>505</v>
      </c>
      <c r="C179" s="7" t="s">
        <v>30</v>
      </c>
      <c r="D179" s="7" t="s">
        <v>248</v>
      </c>
      <c r="E179" s="8" t="s">
        <v>450</v>
      </c>
      <c r="F179" s="8" t="s">
        <v>19</v>
      </c>
      <c r="G179" s="9">
        <v>37944.51</v>
      </c>
      <c r="H179" s="9">
        <v>297.07</v>
      </c>
      <c r="I179" s="9">
        <v>6627.0899999999992</v>
      </c>
      <c r="J179" s="9">
        <v>44868.67</v>
      </c>
    </row>
    <row r="180" spans="1:10" ht="16" x14ac:dyDescent="0.2">
      <c r="A180" s="7" t="s">
        <v>15</v>
      </c>
      <c r="B180" s="7" t="s">
        <v>532</v>
      </c>
      <c r="C180" s="7" t="s">
        <v>30</v>
      </c>
      <c r="D180" s="7" t="s">
        <v>248</v>
      </c>
      <c r="E180" s="8" t="s">
        <v>502</v>
      </c>
      <c r="F180" s="8" t="s">
        <v>19</v>
      </c>
      <c r="G180" s="9">
        <v>34592.21</v>
      </c>
      <c r="H180" s="9">
        <v>284.54000000000002</v>
      </c>
      <c r="I180" s="9">
        <v>8040.8700000000008</v>
      </c>
      <c r="J180" s="9">
        <v>42917.62</v>
      </c>
    </row>
    <row r="181" spans="1:10" ht="16" x14ac:dyDescent="0.2">
      <c r="A181" s="7" t="s">
        <v>9</v>
      </c>
      <c r="B181" s="7" t="s">
        <v>587</v>
      </c>
      <c r="C181" s="7" t="s">
        <v>30</v>
      </c>
      <c r="D181" s="7" t="s">
        <v>558</v>
      </c>
      <c r="E181" s="8" t="s">
        <v>588</v>
      </c>
      <c r="F181" s="8" t="s">
        <v>589</v>
      </c>
      <c r="G181" s="9">
        <v>33885.990000000005</v>
      </c>
      <c r="H181" s="9">
        <v>58.039999999999992</v>
      </c>
      <c r="I181" s="9">
        <v>5142.55</v>
      </c>
      <c r="J181" s="9">
        <v>39086.580000000009</v>
      </c>
    </row>
    <row r="182" spans="1:10" ht="16" x14ac:dyDescent="0.2">
      <c r="A182" s="7" t="s">
        <v>9</v>
      </c>
      <c r="B182" s="7" t="s">
        <v>339</v>
      </c>
      <c r="C182" s="7" t="s">
        <v>340</v>
      </c>
      <c r="D182" s="7" t="s">
        <v>341</v>
      </c>
      <c r="E182" s="8" t="s">
        <v>342</v>
      </c>
      <c r="F182" s="8" t="s">
        <v>343</v>
      </c>
      <c r="G182" s="9">
        <v>52629.499999999993</v>
      </c>
      <c r="H182" s="9">
        <v>0</v>
      </c>
      <c r="I182" s="9">
        <v>1496.6399999999999</v>
      </c>
      <c r="J182" s="9">
        <v>54126.139999999985</v>
      </c>
    </row>
    <row r="183" spans="1:10" ht="16" x14ac:dyDescent="0.2">
      <c r="A183" s="7" t="s">
        <v>9</v>
      </c>
      <c r="B183" s="7" t="s">
        <v>538</v>
      </c>
      <c r="C183" s="7" t="s">
        <v>340</v>
      </c>
      <c r="D183" s="7" t="s">
        <v>539</v>
      </c>
      <c r="E183" s="8" t="s">
        <v>540</v>
      </c>
      <c r="F183" s="8" t="s">
        <v>541</v>
      </c>
      <c r="G183" s="9">
        <v>34942.25</v>
      </c>
      <c r="H183" s="9">
        <v>2251.1999999999998</v>
      </c>
      <c r="I183" s="9">
        <v>5387.68</v>
      </c>
      <c r="J183" s="9">
        <v>42581.130000000005</v>
      </c>
    </row>
    <row r="184" spans="1:10" ht="16" x14ac:dyDescent="0.2">
      <c r="A184" s="7" t="s">
        <v>9</v>
      </c>
      <c r="B184" s="7" t="s">
        <v>603</v>
      </c>
      <c r="C184" s="7" t="s">
        <v>340</v>
      </c>
      <c r="D184" s="7" t="s">
        <v>604</v>
      </c>
      <c r="E184" s="8" t="s">
        <v>605</v>
      </c>
      <c r="F184" s="8" t="s">
        <v>364</v>
      </c>
      <c r="G184" s="9">
        <v>37630.99</v>
      </c>
      <c r="H184" s="9">
        <v>298.88</v>
      </c>
      <c r="I184" s="9">
        <v>0</v>
      </c>
      <c r="J184" s="9">
        <v>37929.870000000003</v>
      </c>
    </row>
    <row r="185" spans="1:10" ht="16" x14ac:dyDescent="0.2">
      <c r="A185" s="7" t="s">
        <v>9</v>
      </c>
      <c r="B185" s="7" t="s">
        <v>657</v>
      </c>
      <c r="C185" s="7" t="s">
        <v>340</v>
      </c>
      <c r="D185" s="7" t="s">
        <v>658</v>
      </c>
      <c r="E185" s="8" t="s">
        <v>659</v>
      </c>
      <c r="F185" s="8" t="s">
        <v>660</v>
      </c>
      <c r="G185" s="9">
        <v>25389.509999999995</v>
      </c>
      <c r="H185" s="9">
        <v>4196.5600000000004</v>
      </c>
      <c r="I185" s="9">
        <v>4020.9600000000005</v>
      </c>
      <c r="J185" s="9">
        <v>33607.03</v>
      </c>
    </row>
    <row r="186" spans="1:10" ht="16" x14ac:dyDescent="0.2">
      <c r="A186" s="7" t="s">
        <v>9</v>
      </c>
      <c r="B186" s="7" t="s">
        <v>726</v>
      </c>
      <c r="C186" s="7" t="s">
        <v>340</v>
      </c>
      <c r="D186" s="7" t="s">
        <v>727</v>
      </c>
      <c r="E186" s="8" t="s">
        <v>728</v>
      </c>
      <c r="F186" s="8" t="s">
        <v>354</v>
      </c>
      <c r="G186" s="9">
        <v>24132.76</v>
      </c>
      <c r="H186" s="9">
        <v>2202.2899999999995</v>
      </c>
      <c r="I186" s="9">
        <v>4160.92</v>
      </c>
      <c r="J186" s="9">
        <v>30495.969999999998</v>
      </c>
    </row>
    <row r="187" spans="1:10" ht="16" x14ac:dyDescent="0.2">
      <c r="A187" s="7" t="s">
        <v>9</v>
      </c>
      <c r="B187" s="7" t="s">
        <v>792</v>
      </c>
      <c r="C187" s="7" t="s">
        <v>340</v>
      </c>
      <c r="D187" s="7" t="s">
        <v>727</v>
      </c>
      <c r="E187" s="8" t="s">
        <v>793</v>
      </c>
      <c r="F187" s="8" t="s">
        <v>694</v>
      </c>
      <c r="G187" s="9">
        <v>21209.500000000004</v>
      </c>
      <c r="H187" s="9">
        <v>1248.94</v>
      </c>
      <c r="I187" s="9">
        <v>3855.9399999999996</v>
      </c>
      <c r="J187" s="9">
        <v>26314.379999999994</v>
      </c>
    </row>
    <row r="188" spans="1:10" ht="16" x14ac:dyDescent="0.2">
      <c r="A188" s="7" t="s">
        <v>9</v>
      </c>
      <c r="B188" s="7" t="s">
        <v>976</v>
      </c>
      <c r="C188" s="7" t="s">
        <v>340</v>
      </c>
      <c r="D188" s="7" t="s">
        <v>727</v>
      </c>
      <c r="E188" s="8" t="s">
        <v>977</v>
      </c>
      <c r="F188" s="8" t="s">
        <v>978</v>
      </c>
      <c r="G188" s="9">
        <v>7256.27</v>
      </c>
      <c r="H188" s="9">
        <v>82.399999999999991</v>
      </c>
      <c r="I188" s="9">
        <v>324.87</v>
      </c>
      <c r="J188" s="9">
        <v>7663.5400000000009</v>
      </c>
    </row>
    <row r="189" spans="1:10" ht="16" x14ac:dyDescent="0.2">
      <c r="A189" s="7" t="s">
        <v>9</v>
      </c>
      <c r="B189" s="7" t="s">
        <v>1074</v>
      </c>
      <c r="C189" s="7" t="s">
        <v>340</v>
      </c>
      <c r="D189" s="7" t="s">
        <v>1075</v>
      </c>
      <c r="E189" s="8" t="s">
        <v>1076</v>
      </c>
      <c r="F189" s="8" t="s">
        <v>1077</v>
      </c>
      <c r="G189" s="9">
        <v>862.8</v>
      </c>
      <c r="H189" s="9"/>
      <c r="I189" s="9">
        <v>1654.06</v>
      </c>
      <c r="J189" s="9">
        <v>2516.8599999999997</v>
      </c>
    </row>
    <row r="190" spans="1:10" ht="16" x14ac:dyDescent="0.2">
      <c r="A190" s="7" t="s">
        <v>15</v>
      </c>
      <c r="B190" s="7" t="s">
        <v>101</v>
      </c>
      <c r="C190" s="7" t="s">
        <v>102</v>
      </c>
      <c r="D190" s="7" t="s">
        <v>103</v>
      </c>
      <c r="E190" s="8" t="s">
        <v>104</v>
      </c>
      <c r="F190" s="8" t="s">
        <v>19</v>
      </c>
      <c r="G190" s="9">
        <v>80180.550000000017</v>
      </c>
      <c r="H190" s="9"/>
      <c r="I190" s="9">
        <v>0</v>
      </c>
      <c r="J190" s="9">
        <v>80180.550000000017</v>
      </c>
    </row>
    <row r="191" spans="1:10" ht="16" x14ac:dyDescent="0.2">
      <c r="A191" s="7" t="s">
        <v>9</v>
      </c>
      <c r="B191" s="7" t="s">
        <v>351</v>
      </c>
      <c r="C191" s="7" t="s">
        <v>102</v>
      </c>
      <c r="D191" s="7" t="s">
        <v>352</v>
      </c>
      <c r="E191" s="8" t="s">
        <v>353</v>
      </c>
      <c r="F191" s="8" t="s">
        <v>354</v>
      </c>
      <c r="G191" s="9">
        <v>53686.5</v>
      </c>
      <c r="H191" s="9"/>
      <c r="I191" s="9">
        <v>0</v>
      </c>
      <c r="J191" s="9">
        <v>53686.5</v>
      </c>
    </row>
    <row r="192" spans="1:10" ht="16" x14ac:dyDescent="0.2">
      <c r="A192" s="7" t="s">
        <v>15</v>
      </c>
      <c r="B192" s="7" t="s">
        <v>410</v>
      </c>
      <c r="C192" s="7" t="s">
        <v>102</v>
      </c>
      <c r="D192" s="7" t="s">
        <v>411</v>
      </c>
      <c r="E192" s="8" t="s">
        <v>412</v>
      </c>
      <c r="F192" s="8" t="s">
        <v>19</v>
      </c>
      <c r="G192" s="9">
        <v>42225.899999999994</v>
      </c>
      <c r="H192" s="9">
        <v>199.49</v>
      </c>
      <c r="I192" s="9">
        <v>6789.21</v>
      </c>
      <c r="J192" s="9">
        <v>49214.6</v>
      </c>
    </row>
    <row r="193" spans="1:10" ht="16" x14ac:dyDescent="0.2">
      <c r="A193" s="7" t="s">
        <v>15</v>
      </c>
      <c r="B193" s="7" t="s">
        <v>644</v>
      </c>
      <c r="C193" s="7" t="s">
        <v>102</v>
      </c>
      <c r="D193" s="7" t="s">
        <v>645</v>
      </c>
      <c r="E193" s="8" t="s">
        <v>646</v>
      </c>
      <c r="F193" s="8" t="s">
        <v>19</v>
      </c>
      <c r="G193" s="9">
        <v>30466.020000000004</v>
      </c>
      <c r="H193" s="9">
        <v>294.20000000000005</v>
      </c>
      <c r="I193" s="9">
        <v>3165.61</v>
      </c>
      <c r="J193" s="9">
        <v>33925.83</v>
      </c>
    </row>
    <row r="194" spans="1:10" ht="16" x14ac:dyDescent="0.2">
      <c r="A194" s="7" t="s">
        <v>15</v>
      </c>
      <c r="B194" s="7" t="s">
        <v>803</v>
      </c>
      <c r="C194" s="7" t="s">
        <v>102</v>
      </c>
      <c r="D194" s="7" t="s">
        <v>804</v>
      </c>
      <c r="E194" s="8" t="s">
        <v>536</v>
      </c>
      <c r="F194" s="8" t="s">
        <v>19</v>
      </c>
      <c r="G194" s="9">
        <v>23162.899999999994</v>
      </c>
      <c r="H194" s="9">
        <v>190.35999999999999</v>
      </c>
      <c r="I194" s="9">
        <v>2513.6400000000008</v>
      </c>
      <c r="J194" s="9">
        <v>25866.9</v>
      </c>
    </row>
    <row r="195" spans="1:10" ht="16" x14ac:dyDescent="0.2">
      <c r="A195" s="7" t="s">
        <v>9</v>
      </c>
      <c r="B195" s="7" t="s">
        <v>37</v>
      </c>
      <c r="C195" s="7" t="s">
        <v>38</v>
      </c>
      <c r="D195" s="7" t="s">
        <v>39</v>
      </c>
      <c r="E195" s="8" t="s">
        <v>40</v>
      </c>
      <c r="F195" s="8" t="s">
        <v>41</v>
      </c>
      <c r="G195" s="9">
        <v>97830.000000000015</v>
      </c>
      <c r="H195" s="9"/>
      <c r="I195" s="9">
        <v>0</v>
      </c>
      <c r="J195" s="9">
        <v>97830.000000000015</v>
      </c>
    </row>
    <row r="196" spans="1:10" ht="16" x14ac:dyDescent="0.2">
      <c r="A196" s="7" t="s">
        <v>15</v>
      </c>
      <c r="B196" s="7" t="s">
        <v>258</v>
      </c>
      <c r="C196" s="7" t="s">
        <v>38</v>
      </c>
      <c r="D196" s="7" t="s">
        <v>259</v>
      </c>
      <c r="E196" s="8" t="s">
        <v>260</v>
      </c>
      <c r="F196" s="8" t="s">
        <v>19</v>
      </c>
      <c r="G196" s="9">
        <v>42764.359999999993</v>
      </c>
      <c r="H196" s="9">
        <v>13808.92</v>
      </c>
      <c r="I196" s="9">
        <v>5576.4699999999993</v>
      </c>
      <c r="J196" s="9">
        <v>62149.750000000007</v>
      </c>
    </row>
    <row r="197" spans="1:10" ht="16" x14ac:dyDescent="0.2">
      <c r="A197" s="7" t="s">
        <v>9</v>
      </c>
      <c r="B197" s="7" t="s">
        <v>304</v>
      </c>
      <c r="C197" s="7" t="s">
        <v>38</v>
      </c>
      <c r="D197" s="7" t="s">
        <v>305</v>
      </c>
      <c r="E197" s="8" t="s">
        <v>306</v>
      </c>
      <c r="F197" s="8" t="s">
        <v>307</v>
      </c>
      <c r="G197" s="9">
        <v>56882.549999999988</v>
      </c>
      <c r="H197" s="9"/>
      <c r="I197" s="9">
        <v>0</v>
      </c>
      <c r="J197" s="9">
        <v>56882.549999999988</v>
      </c>
    </row>
    <row r="198" spans="1:10" ht="16" x14ac:dyDescent="0.2">
      <c r="A198" s="7" t="s">
        <v>9</v>
      </c>
      <c r="B198" s="7" t="s">
        <v>368</v>
      </c>
      <c r="C198" s="7" t="s">
        <v>38</v>
      </c>
      <c r="D198" s="7" t="s">
        <v>259</v>
      </c>
      <c r="E198" s="8" t="s">
        <v>369</v>
      </c>
      <c r="F198" s="8" t="s">
        <v>370</v>
      </c>
      <c r="G198" s="9">
        <v>42898.950000000004</v>
      </c>
      <c r="H198" s="9">
        <v>2303.11</v>
      </c>
      <c r="I198" s="9">
        <v>6614.4100000000008</v>
      </c>
      <c r="J198" s="9">
        <v>51816.469999999994</v>
      </c>
    </row>
    <row r="199" spans="1:10" ht="16" x14ac:dyDescent="0.2">
      <c r="A199" s="7" t="s">
        <v>487</v>
      </c>
      <c r="B199" s="7" t="s">
        <v>488</v>
      </c>
      <c r="C199" s="7" t="s">
        <v>38</v>
      </c>
      <c r="D199" s="7" t="s">
        <v>489</v>
      </c>
      <c r="E199" s="8" t="s">
        <v>490</v>
      </c>
      <c r="F199" s="8" t="s">
        <v>491</v>
      </c>
      <c r="G199" s="9">
        <v>26376.450000000004</v>
      </c>
      <c r="H199" s="9">
        <v>8714.26</v>
      </c>
      <c r="I199" s="9">
        <v>10318.700000000001</v>
      </c>
      <c r="J199" s="9">
        <v>45409.41</v>
      </c>
    </row>
    <row r="200" spans="1:10" ht="16" x14ac:dyDescent="0.2">
      <c r="A200" s="7" t="s">
        <v>15</v>
      </c>
      <c r="B200" s="7" t="s">
        <v>495</v>
      </c>
      <c r="C200" s="7" t="s">
        <v>38</v>
      </c>
      <c r="D200" s="7" t="s">
        <v>496</v>
      </c>
      <c r="E200" s="8" t="s">
        <v>497</v>
      </c>
      <c r="F200" s="8" t="s">
        <v>19</v>
      </c>
      <c r="G200" s="9">
        <v>40393.12999999999</v>
      </c>
      <c r="H200" s="9">
        <v>292.77000000000004</v>
      </c>
      <c r="I200" s="9">
        <v>4500.74</v>
      </c>
      <c r="J200" s="9">
        <v>45186.64</v>
      </c>
    </row>
    <row r="201" spans="1:10" ht="16" x14ac:dyDescent="0.2">
      <c r="A201" s="7" t="s">
        <v>15</v>
      </c>
      <c r="B201" s="7" t="s">
        <v>566</v>
      </c>
      <c r="C201" s="7" t="s">
        <v>38</v>
      </c>
      <c r="D201" s="7" t="s">
        <v>567</v>
      </c>
      <c r="E201" s="8" t="s">
        <v>360</v>
      </c>
      <c r="F201" s="8" t="s">
        <v>19</v>
      </c>
      <c r="G201" s="9">
        <v>30067.06</v>
      </c>
      <c r="H201" s="9">
        <v>5136.84</v>
      </c>
      <c r="I201" s="9">
        <v>5404.92</v>
      </c>
      <c r="J201" s="9">
        <v>40608.82</v>
      </c>
    </row>
    <row r="202" spans="1:10" ht="16" x14ac:dyDescent="0.2">
      <c r="A202" s="7" t="s">
        <v>9</v>
      </c>
      <c r="B202" s="7" t="s">
        <v>654</v>
      </c>
      <c r="C202" s="7" t="s">
        <v>38</v>
      </c>
      <c r="D202" s="7" t="s">
        <v>558</v>
      </c>
      <c r="E202" s="8" t="s">
        <v>655</v>
      </c>
      <c r="F202" s="8" t="s">
        <v>656</v>
      </c>
      <c r="G202" s="9">
        <v>22597.07</v>
      </c>
      <c r="H202" s="9">
        <v>2784.61</v>
      </c>
      <c r="I202" s="9">
        <v>8269.32</v>
      </c>
      <c r="J202" s="9">
        <v>33651</v>
      </c>
    </row>
    <row r="203" spans="1:10" ht="16" x14ac:dyDescent="0.2">
      <c r="A203" s="7" t="s">
        <v>9</v>
      </c>
      <c r="B203" s="7" t="s">
        <v>662</v>
      </c>
      <c r="C203" s="7" t="s">
        <v>38</v>
      </c>
      <c r="D203" s="7" t="s">
        <v>663</v>
      </c>
      <c r="E203" s="8" t="s">
        <v>664</v>
      </c>
      <c r="F203" s="8" t="s">
        <v>665</v>
      </c>
      <c r="G203" s="9">
        <v>20349.509999999998</v>
      </c>
      <c r="H203" s="9">
        <v>2187.1999999999998</v>
      </c>
      <c r="I203" s="9">
        <v>10817.98</v>
      </c>
      <c r="J203" s="9">
        <v>33354.69</v>
      </c>
    </row>
    <row r="204" spans="1:10" ht="16" x14ac:dyDescent="0.2">
      <c r="A204" s="7" t="s">
        <v>9</v>
      </c>
      <c r="B204" s="7" t="s">
        <v>836</v>
      </c>
      <c r="C204" s="7" t="s">
        <v>38</v>
      </c>
      <c r="D204" s="7" t="s">
        <v>558</v>
      </c>
      <c r="E204" s="8" t="s">
        <v>601</v>
      </c>
      <c r="F204" s="8" t="s">
        <v>837</v>
      </c>
      <c r="G204" s="9">
        <v>20661.690000000006</v>
      </c>
      <c r="H204" s="9">
        <v>682.25999999999988</v>
      </c>
      <c r="I204" s="9">
        <v>2725.6200000000003</v>
      </c>
      <c r="J204" s="9">
        <v>24069.570000000003</v>
      </c>
    </row>
    <row r="205" spans="1:10" ht="16" x14ac:dyDescent="0.2">
      <c r="A205" s="7" t="s">
        <v>9</v>
      </c>
      <c r="B205" s="7" t="s">
        <v>969</v>
      </c>
      <c r="C205" s="7" t="s">
        <v>38</v>
      </c>
      <c r="D205" s="7" t="s">
        <v>489</v>
      </c>
      <c r="E205" s="8" t="s">
        <v>970</v>
      </c>
      <c r="F205" s="8" t="s">
        <v>971</v>
      </c>
      <c r="G205" s="9">
        <v>7248.5300000000007</v>
      </c>
      <c r="H205" s="9">
        <v>98.87</v>
      </c>
      <c r="I205" s="9">
        <v>2068.61</v>
      </c>
      <c r="J205" s="9">
        <v>9416.01</v>
      </c>
    </row>
    <row r="206" spans="1:10" ht="16" x14ac:dyDescent="0.2">
      <c r="A206" s="7" t="s">
        <v>15</v>
      </c>
      <c r="B206" s="7" t="s">
        <v>93</v>
      </c>
      <c r="C206" s="7" t="s">
        <v>94</v>
      </c>
      <c r="D206" s="7" t="s">
        <v>95</v>
      </c>
      <c r="E206" s="8" t="s">
        <v>96</v>
      </c>
      <c r="F206" s="8" t="s">
        <v>19</v>
      </c>
      <c r="G206" s="9">
        <v>82620.149999999994</v>
      </c>
      <c r="H206" s="9"/>
      <c r="I206" s="9">
        <v>0</v>
      </c>
      <c r="J206" s="9">
        <v>82620.149999999994</v>
      </c>
    </row>
    <row r="207" spans="1:10" ht="16" x14ac:dyDescent="0.2">
      <c r="A207" s="7" t="s">
        <v>9</v>
      </c>
      <c r="B207" s="7" t="s">
        <v>254</v>
      </c>
      <c r="C207" s="7" t="s">
        <v>94</v>
      </c>
      <c r="D207" s="7" t="s">
        <v>255</v>
      </c>
      <c r="E207" s="8" t="s">
        <v>256</v>
      </c>
      <c r="F207" s="8" t="s">
        <v>257</v>
      </c>
      <c r="G207" s="9">
        <v>63175.150000000016</v>
      </c>
      <c r="H207" s="9"/>
      <c r="I207" s="9">
        <v>0</v>
      </c>
      <c r="J207" s="9">
        <v>63175.150000000016</v>
      </c>
    </row>
    <row r="208" spans="1:10" ht="16" x14ac:dyDescent="0.2">
      <c r="A208" s="7" t="s">
        <v>9</v>
      </c>
      <c r="B208" s="7" t="s">
        <v>526</v>
      </c>
      <c r="C208" s="7" t="s">
        <v>94</v>
      </c>
      <c r="D208" s="7" t="s">
        <v>527</v>
      </c>
      <c r="E208" s="8" t="s">
        <v>528</v>
      </c>
      <c r="F208" s="8" t="s">
        <v>529</v>
      </c>
      <c r="G208" s="9">
        <v>36091.089999999997</v>
      </c>
      <c r="H208" s="9">
        <v>2365.7700000000004</v>
      </c>
      <c r="I208" s="9">
        <v>4573.54</v>
      </c>
      <c r="J208" s="9">
        <v>43030.400000000001</v>
      </c>
    </row>
    <row r="209" spans="1:10" ht="16" x14ac:dyDescent="0.2">
      <c r="A209" s="7" t="s">
        <v>9</v>
      </c>
      <c r="B209" s="7" t="s">
        <v>557</v>
      </c>
      <c r="C209" s="7" t="s">
        <v>94</v>
      </c>
      <c r="D209" s="7" t="s">
        <v>558</v>
      </c>
      <c r="E209" s="8" t="s">
        <v>559</v>
      </c>
      <c r="F209" s="8" t="s">
        <v>560</v>
      </c>
      <c r="G209" s="9">
        <v>34830.480000000003</v>
      </c>
      <c r="H209" s="9">
        <v>1287.3400000000001</v>
      </c>
      <c r="I209" s="9">
        <v>5515.55</v>
      </c>
      <c r="J209" s="9">
        <v>41633.369999999995</v>
      </c>
    </row>
    <row r="210" spans="1:10" ht="16" x14ac:dyDescent="0.2">
      <c r="A210" s="7" t="s">
        <v>15</v>
      </c>
      <c r="B210" s="7" t="s">
        <v>564</v>
      </c>
      <c r="C210" s="7" t="s">
        <v>94</v>
      </c>
      <c r="D210" s="7" t="s">
        <v>565</v>
      </c>
      <c r="E210" s="8" t="s">
        <v>493</v>
      </c>
      <c r="F210" s="8" t="s">
        <v>19</v>
      </c>
      <c r="G210" s="9">
        <v>36687.96</v>
      </c>
      <c r="H210" s="9">
        <v>206.46</v>
      </c>
      <c r="I210" s="9">
        <v>4418.17</v>
      </c>
      <c r="J210" s="9">
        <v>41312.590000000004</v>
      </c>
    </row>
    <row r="211" spans="1:10" ht="16" x14ac:dyDescent="0.2">
      <c r="A211" s="7" t="s">
        <v>9</v>
      </c>
      <c r="B211" s="7" t="s">
        <v>612</v>
      </c>
      <c r="C211" s="7" t="s">
        <v>94</v>
      </c>
      <c r="D211" s="7" t="s">
        <v>565</v>
      </c>
      <c r="E211" s="8" t="s">
        <v>613</v>
      </c>
      <c r="F211" s="8" t="s">
        <v>614</v>
      </c>
      <c r="G211" s="9">
        <v>31777.300000000003</v>
      </c>
      <c r="H211" s="9">
        <v>207.82</v>
      </c>
      <c r="I211" s="9">
        <v>5090.97</v>
      </c>
      <c r="J211" s="9">
        <v>37076.089999999989</v>
      </c>
    </row>
    <row r="212" spans="1:10" ht="16" x14ac:dyDescent="0.2">
      <c r="A212" s="7" t="s">
        <v>15</v>
      </c>
      <c r="B212" s="7" t="s">
        <v>661</v>
      </c>
      <c r="C212" s="7" t="s">
        <v>94</v>
      </c>
      <c r="D212" s="7" t="s">
        <v>255</v>
      </c>
      <c r="E212" s="8" t="s">
        <v>300</v>
      </c>
      <c r="F212" s="8" t="s">
        <v>19</v>
      </c>
      <c r="G212" s="9">
        <v>30435.399999999991</v>
      </c>
      <c r="H212" s="9">
        <v>69.47</v>
      </c>
      <c r="I212" s="9">
        <v>2945.7900000000004</v>
      </c>
      <c r="J212" s="9">
        <v>33450.659999999996</v>
      </c>
    </row>
    <row r="213" spans="1:10" ht="16" x14ac:dyDescent="0.2">
      <c r="A213" s="7" t="s">
        <v>9</v>
      </c>
      <c r="B213" s="7" t="s">
        <v>677</v>
      </c>
      <c r="C213" s="7" t="s">
        <v>94</v>
      </c>
      <c r="D213" s="7" t="s">
        <v>678</v>
      </c>
      <c r="E213" s="8" t="s">
        <v>679</v>
      </c>
      <c r="F213" s="8" t="s">
        <v>680</v>
      </c>
      <c r="G213" s="9">
        <v>22188.010000000002</v>
      </c>
      <c r="H213" s="9">
        <v>750.12999999999988</v>
      </c>
      <c r="I213" s="9">
        <v>9811.4600000000009</v>
      </c>
      <c r="J213" s="9">
        <v>32749.600000000002</v>
      </c>
    </row>
    <row r="214" spans="1:10" ht="16" x14ac:dyDescent="0.2">
      <c r="A214" s="7" t="s">
        <v>9</v>
      </c>
      <c r="B214" s="7" t="s">
        <v>689</v>
      </c>
      <c r="C214" s="7" t="s">
        <v>94</v>
      </c>
      <c r="D214" s="7" t="s">
        <v>565</v>
      </c>
      <c r="E214" s="8" t="s">
        <v>690</v>
      </c>
      <c r="F214" s="8" t="s">
        <v>691</v>
      </c>
      <c r="G214" s="9">
        <v>26218.649999999994</v>
      </c>
      <c r="H214" s="9">
        <v>96.259999999999991</v>
      </c>
      <c r="I214" s="9">
        <v>5889.08</v>
      </c>
      <c r="J214" s="9">
        <v>32203.99</v>
      </c>
    </row>
    <row r="215" spans="1:10" ht="16" x14ac:dyDescent="0.2">
      <c r="A215" s="7" t="s">
        <v>9</v>
      </c>
      <c r="B215" s="7" t="s">
        <v>713</v>
      </c>
      <c r="C215" s="7" t="s">
        <v>94</v>
      </c>
      <c r="D215" s="7" t="s">
        <v>714</v>
      </c>
      <c r="E215" s="8" t="s">
        <v>715</v>
      </c>
      <c r="F215" s="8" t="s">
        <v>716</v>
      </c>
      <c r="G215" s="9">
        <v>22158.510000000002</v>
      </c>
      <c r="H215" s="9">
        <v>272.57000000000005</v>
      </c>
      <c r="I215" s="9">
        <v>8454.2799999999988</v>
      </c>
      <c r="J215" s="9">
        <v>30885.360000000001</v>
      </c>
    </row>
    <row r="216" spans="1:10" ht="16" x14ac:dyDescent="0.2">
      <c r="A216" s="7" t="s">
        <v>15</v>
      </c>
      <c r="B216" s="7" t="s">
        <v>729</v>
      </c>
      <c r="C216" s="7" t="s">
        <v>94</v>
      </c>
      <c r="D216" s="7" t="s">
        <v>565</v>
      </c>
      <c r="E216" s="8" t="s">
        <v>473</v>
      </c>
      <c r="F216" s="8" t="s">
        <v>19</v>
      </c>
      <c r="G216" s="9">
        <v>25077.170000000002</v>
      </c>
      <c r="H216" s="9">
        <v>1371.51</v>
      </c>
      <c r="I216" s="9">
        <v>4013.3399999999997</v>
      </c>
      <c r="J216" s="9">
        <v>30462.02</v>
      </c>
    </row>
    <row r="217" spans="1:10" ht="16" x14ac:dyDescent="0.2">
      <c r="A217" s="7" t="s">
        <v>15</v>
      </c>
      <c r="B217" s="7" t="s">
        <v>730</v>
      </c>
      <c r="C217" s="7" t="s">
        <v>94</v>
      </c>
      <c r="D217" s="7" t="s">
        <v>565</v>
      </c>
      <c r="E217" s="8" t="s">
        <v>456</v>
      </c>
      <c r="F217" s="8" t="s">
        <v>19</v>
      </c>
      <c r="G217" s="9">
        <v>23729.469999999998</v>
      </c>
      <c r="H217" s="9">
        <v>1241.7900000000002</v>
      </c>
      <c r="I217" s="9">
        <v>5355.9800000000005</v>
      </c>
      <c r="J217" s="9">
        <v>30327.239999999998</v>
      </c>
    </row>
    <row r="218" spans="1:10" ht="16" x14ac:dyDescent="0.2">
      <c r="A218" s="7" t="s">
        <v>9</v>
      </c>
      <c r="B218" s="7" t="s">
        <v>784</v>
      </c>
      <c r="C218" s="7" t="s">
        <v>94</v>
      </c>
      <c r="D218" s="7" t="s">
        <v>678</v>
      </c>
      <c r="E218" s="8" t="s">
        <v>785</v>
      </c>
      <c r="F218" s="8" t="s">
        <v>669</v>
      </c>
      <c r="G218" s="9">
        <v>22816.74</v>
      </c>
      <c r="H218" s="9">
        <v>589.02</v>
      </c>
      <c r="I218" s="9">
        <v>3413.0299999999997</v>
      </c>
      <c r="J218" s="9">
        <v>26818.790000000005</v>
      </c>
    </row>
    <row r="219" spans="1:10" ht="16" x14ac:dyDescent="0.2">
      <c r="A219" s="7" t="s">
        <v>9</v>
      </c>
      <c r="B219" s="7" t="s">
        <v>1105</v>
      </c>
      <c r="C219" s="7" t="s">
        <v>94</v>
      </c>
      <c r="D219" s="7" t="s">
        <v>678</v>
      </c>
      <c r="E219" s="8" t="s">
        <v>1106</v>
      </c>
      <c r="F219" s="8" t="s">
        <v>1107</v>
      </c>
      <c r="G219" s="9">
        <v>663.96</v>
      </c>
      <c r="H219" s="9"/>
      <c r="I219" s="9">
        <v>0</v>
      </c>
      <c r="J219" s="9">
        <v>663.96</v>
      </c>
    </row>
    <row r="220" spans="1:10" ht="16" x14ac:dyDescent="0.2">
      <c r="A220" s="7" t="s">
        <v>9</v>
      </c>
      <c r="B220" s="7" t="s">
        <v>1113</v>
      </c>
      <c r="C220" s="7" t="s">
        <v>94</v>
      </c>
      <c r="D220" s="7" t="s">
        <v>678</v>
      </c>
      <c r="E220" s="8" t="s">
        <v>1114</v>
      </c>
      <c r="F220" s="8" t="s">
        <v>1115</v>
      </c>
      <c r="G220" s="9">
        <v>570.33000000000004</v>
      </c>
      <c r="H220" s="9"/>
      <c r="I220" s="9">
        <v>0</v>
      </c>
      <c r="J220" s="9">
        <v>570.33000000000004</v>
      </c>
    </row>
    <row r="221" spans="1:10" ht="16" x14ac:dyDescent="0.2">
      <c r="A221" s="7" t="s">
        <v>15</v>
      </c>
      <c r="B221" s="7" t="s">
        <v>519</v>
      </c>
      <c r="C221" s="7" t="s">
        <v>520</v>
      </c>
      <c r="D221" s="7" t="s">
        <v>521</v>
      </c>
      <c r="E221" s="8" t="s">
        <v>402</v>
      </c>
      <c r="F221" s="8" t="s">
        <v>19</v>
      </c>
      <c r="G221" s="9">
        <v>43533.599999999999</v>
      </c>
      <c r="H221" s="9"/>
      <c r="I221" s="9">
        <v>0</v>
      </c>
      <c r="J221" s="9">
        <v>43533.599999999999</v>
      </c>
    </row>
    <row r="222" spans="1:10" ht="16" x14ac:dyDescent="0.2">
      <c r="A222" s="7" t="s">
        <v>9</v>
      </c>
      <c r="B222" s="7" t="s">
        <v>177</v>
      </c>
      <c r="C222" s="7" t="s">
        <v>178</v>
      </c>
      <c r="D222" s="7" t="s">
        <v>179</v>
      </c>
      <c r="E222" s="8" t="s">
        <v>180</v>
      </c>
      <c r="F222" s="8" t="s">
        <v>181</v>
      </c>
      <c r="G222" s="9">
        <v>70238.400000000009</v>
      </c>
      <c r="H222" s="9"/>
      <c r="I222" s="9">
        <v>0</v>
      </c>
      <c r="J222" s="9">
        <v>70238.400000000009</v>
      </c>
    </row>
    <row r="223" spans="1:10" ht="16" x14ac:dyDescent="0.2">
      <c r="A223" s="7" t="s">
        <v>15</v>
      </c>
      <c r="B223" s="7" t="s">
        <v>406</v>
      </c>
      <c r="C223" s="7" t="s">
        <v>178</v>
      </c>
      <c r="D223" s="7" t="s">
        <v>179</v>
      </c>
      <c r="E223" s="8" t="s">
        <v>407</v>
      </c>
      <c r="F223" s="8" t="s">
        <v>19</v>
      </c>
      <c r="G223" s="9">
        <v>49504.800000000003</v>
      </c>
      <c r="H223" s="9"/>
      <c r="I223" s="9">
        <v>0</v>
      </c>
      <c r="J223" s="9">
        <v>49504.800000000003</v>
      </c>
    </row>
    <row r="224" spans="1:10" ht="16" x14ac:dyDescent="0.2">
      <c r="A224" s="7" t="s">
        <v>15</v>
      </c>
      <c r="B224" s="7" t="s">
        <v>433</v>
      </c>
      <c r="C224" s="7" t="s">
        <v>178</v>
      </c>
      <c r="D224" s="7" t="s">
        <v>434</v>
      </c>
      <c r="E224" s="8" t="s">
        <v>291</v>
      </c>
      <c r="F224" s="8" t="s">
        <v>19</v>
      </c>
      <c r="G224" s="9">
        <v>48067.200000000019</v>
      </c>
      <c r="H224" s="9"/>
      <c r="I224" s="9">
        <v>0</v>
      </c>
      <c r="J224" s="9">
        <v>48067.200000000019</v>
      </c>
    </row>
    <row r="225" spans="1:10" ht="16" x14ac:dyDescent="0.2">
      <c r="A225" s="7" t="s">
        <v>9</v>
      </c>
      <c r="B225" s="7" t="s">
        <v>545</v>
      </c>
      <c r="C225" s="7" t="s">
        <v>178</v>
      </c>
      <c r="D225" s="7" t="s">
        <v>546</v>
      </c>
      <c r="E225" s="8" t="s">
        <v>547</v>
      </c>
      <c r="F225" s="8" t="s">
        <v>548</v>
      </c>
      <c r="G225" s="9">
        <v>42257.599999999991</v>
      </c>
      <c r="H225" s="9"/>
      <c r="I225" s="9">
        <v>0</v>
      </c>
      <c r="J225" s="9">
        <v>42257.599999999991</v>
      </c>
    </row>
    <row r="226" spans="1:10" ht="16" x14ac:dyDescent="0.2">
      <c r="A226" s="7" t="s">
        <v>9</v>
      </c>
      <c r="B226" s="7" t="s">
        <v>699</v>
      </c>
      <c r="C226" s="7" t="s">
        <v>178</v>
      </c>
      <c r="D226" s="7" t="s">
        <v>700</v>
      </c>
      <c r="E226" s="8" t="s">
        <v>701</v>
      </c>
      <c r="F226" s="8" t="s">
        <v>364</v>
      </c>
      <c r="G226" s="9">
        <v>21105.439999999999</v>
      </c>
      <c r="H226" s="9">
        <v>6.91</v>
      </c>
      <c r="I226" s="9">
        <v>10622.130000000003</v>
      </c>
      <c r="J226" s="9">
        <v>31734.479999999996</v>
      </c>
    </row>
    <row r="227" spans="1:10" ht="16" x14ac:dyDescent="0.2">
      <c r="A227" s="7" t="s">
        <v>15</v>
      </c>
      <c r="B227" s="7" t="s">
        <v>764</v>
      </c>
      <c r="C227" s="7" t="s">
        <v>178</v>
      </c>
      <c r="D227" s="7" t="s">
        <v>765</v>
      </c>
      <c r="E227" s="8" t="s">
        <v>766</v>
      </c>
      <c r="F227" s="8" t="s">
        <v>19</v>
      </c>
      <c r="G227" s="9">
        <v>23218.080000000005</v>
      </c>
      <c r="H227" s="9">
        <v>76.600000000000009</v>
      </c>
      <c r="I227" s="9">
        <v>4935.8200000000006</v>
      </c>
      <c r="J227" s="9">
        <v>28230.500000000004</v>
      </c>
    </row>
    <row r="228" spans="1:10" ht="16" x14ac:dyDescent="0.2">
      <c r="A228" s="7" t="s">
        <v>15</v>
      </c>
      <c r="B228" s="7" t="s">
        <v>822</v>
      </c>
      <c r="C228" s="7" t="s">
        <v>178</v>
      </c>
      <c r="D228" s="7" t="s">
        <v>700</v>
      </c>
      <c r="E228" s="8" t="s">
        <v>823</v>
      </c>
      <c r="F228" s="8" t="s">
        <v>19</v>
      </c>
      <c r="G228" s="9">
        <v>21544.45</v>
      </c>
      <c r="H228" s="9">
        <v>29.659999999999997</v>
      </c>
      <c r="I228" s="9">
        <v>2981.44</v>
      </c>
      <c r="J228" s="9">
        <v>24555.549999999996</v>
      </c>
    </row>
    <row r="229" spans="1:10" ht="16" x14ac:dyDescent="0.2">
      <c r="A229" s="7" t="s">
        <v>15</v>
      </c>
      <c r="B229" s="7" t="s">
        <v>828</v>
      </c>
      <c r="C229" s="7" t="s">
        <v>178</v>
      </c>
      <c r="D229" s="7" t="s">
        <v>700</v>
      </c>
      <c r="E229" s="8" t="s">
        <v>829</v>
      </c>
      <c r="F229" s="8" t="s">
        <v>19</v>
      </c>
      <c r="G229" s="9">
        <v>18880.980000000003</v>
      </c>
      <c r="H229" s="9">
        <v>8.69</v>
      </c>
      <c r="I229" s="9">
        <v>5546.42</v>
      </c>
      <c r="J229" s="9">
        <v>24436.089999999997</v>
      </c>
    </row>
    <row r="230" spans="1:10" ht="16" x14ac:dyDescent="0.2">
      <c r="A230" s="7" t="s">
        <v>9</v>
      </c>
      <c r="B230" s="7" t="s">
        <v>838</v>
      </c>
      <c r="C230" s="7" t="s">
        <v>178</v>
      </c>
      <c r="D230" s="7" t="s">
        <v>765</v>
      </c>
      <c r="E230" s="8" t="s">
        <v>839</v>
      </c>
      <c r="F230" s="8" t="s">
        <v>840</v>
      </c>
      <c r="G230" s="9">
        <v>20633.359999999997</v>
      </c>
      <c r="H230" s="9">
        <v>31.869999999999997</v>
      </c>
      <c r="I230" s="9">
        <v>3385.23</v>
      </c>
      <c r="J230" s="9">
        <v>24050.460000000003</v>
      </c>
    </row>
    <row r="231" spans="1:10" ht="16" x14ac:dyDescent="0.2">
      <c r="A231" s="7" t="s">
        <v>9</v>
      </c>
      <c r="B231" s="7" t="s">
        <v>922</v>
      </c>
      <c r="C231" s="7" t="s">
        <v>178</v>
      </c>
      <c r="D231" s="7" t="s">
        <v>923</v>
      </c>
      <c r="E231" s="8" t="s">
        <v>924</v>
      </c>
      <c r="F231" s="8" t="s">
        <v>925</v>
      </c>
      <c r="G231" s="9">
        <v>13264.51</v>
      </c>
      <c r="H231" s="9"/>
      <c r="I231" s="9">
        <v>688.28000000000009</v>
      </c>
      <c r="J231" s="9">
        <v>13952.79</v>
      </c>
    </row>
    <row r="232" spans="1:10" ht="16" x14ac:dyDescent="0.2">
      <c r="A232" s="7" t="s">
        <v>9</v>
      </c>
      <c r="B232" s="7" t="s">
        <v>928</v>
      </c>
      <c r="C232" s="7" t="s">
        <v>178</v>
      </c>
      <c r="D232" s="7" t="s">
        <v>765</v>
      </c>
      <c r="E232" s="8" t="s">
        <v>929</v>
      </c>
      <c r="F232" s="8" t="s">
        <v>930</v>
      </c>
      <c r="G232" s="9">
        <v>11209.17</v>
      </c>
      <c r="H232" s="9"/>
      <c r="I232" s="9">
        <v>2555.2499999999991</v>
      </c>
      <c r="J232" s="9">
        <v>13764.420000000002</v>
      </c>
    </row>
    <row r="233" spans="1:10" ht="16" x14ac:dyDescent="0.2">
      <c r="A233" s="7" t="s">
        <v>15</v>
      </c>
      <c r="B233" s="7" t="s">
        <v>939</v>
      </c>
      <c r="C233" s="7" t="s">
        <v>178</v>
      </c>
      <c r="D233" s="7" t="s">
        <v>765</v>
      </c>
      <c r="E233" s="8" t="s">
        <v>940</v>
      </c>
      <c r="F233" s="8" t="s">
        <v>19</v>
      </c>
      <c r="G233" s="9">
        <v>11364.019999999999</v>
      </c>
      <c r="H233" s="9"/>
      <c r="I233" s="9">
        <v>1080.2499999999998</v>
      </c>
      <c r="J233" s="9">
        <v>12444.269999999999</v>
      </c>
    </row>
    <row r="234" spans="1:10" ht="16" x14ac:dyDescent="0.2">
      <c r="A234" s="7" t="s">
        <v>15</v>
      </c>
      <c r="B234" s="7" t="s">
        <v>946</v>
      </c>
      <c r="C234" s="7" t="s">
        <v>178</v>
      </c>
      <c r="D234" s="7" t="s">
        <v>947</v>
      </c>
      <c r="E234" s="8" t="s">
        <v>907</v>
      </c>
      <c r="F234" s="8" t="s">
        <v>19</v>
      </c>
      <c r="G234" s="9">
        <v>11006.38</v>
      </c>
      <c r="H234" s="9"/>
      <c r="I234" s="9">
        <v>885.45999999999992</v>
      </c>
      <c r="J234" s="9">
        <v>11891.839999999998</v>
      </c>
    </row>
    <row r="235" spans="1:10" ht="16" x14ac:dyDescent="0.2">
      <c r="A235" s="7" t="s">
        <v>9</v>
      </c>
      <c r="B235" s="7" t="s">
        <v>948</v>
      </c>
      <c r="C235" s="7" t="s">
        <v>178</v>
      </c>
      <c r="D235" s="7" t="s">
        <v>923</v>
      </c>
      <c r="E235" s="8" t="s">
        <v>555</v>
      </c>
      <c r="F235" s="8" t="s">
        <v>949</v>
      </c>
      <c r="G235" s="9">
        <v>10611.04</v>
      </c>
      <c r="H235" s="9"/>
      <c r="I235" s="9">
        <v>1224.6300000000001</v>
      </c>
      <c r="J235" s="9">
        <v>11835.669999999998</v>
      </c>
    </row>
    <row r="236" spans="1:10" ht="16" x14ac:dyDescent="0.2">
      <c r="A236" s="7" t="s">
        <v>9</v>
      </c>
      <c r="B236" s="7" t="s">
        <v>953</v>
      </c>
      <c r="C236" s="7" t="s">
        <v>178</v>
      </c>
      <c r="D236" s="7" t="s">
        <v>765</v>
      </c>
      <c r="E236" s="8" t="s">
        <v>954</v>
      </c>
      <c r="F236" s="8" t="s">
        <v>955</v>
      </c>
      <c r="G236" s="9">
        <v>10471.620000000001</v>
      </c>
      <c r="H236" s="9"/>
      <c r="I236" s="9">
        <v>1150.6699999999998</v>
      </c>
      <c r="J236" s="9">
        <v>11622.29</v>
      </c>
    </row>
    <row r="237" spans="1:10" ht="16" x14ac:dyDescent="0.2">
      <c r="A237" s="7" t="s">
        <v>15</v>
      </c>
      <c r="B237" s="7" t="s">
        <v>960</v>
      </c>
      <c r="C237" s="7" t="s">
        <v>178</v>
      </c>
      <c r="D237" s="7" t="s">
        <v>765</v>
      </c>
      <c r="E237" s="8" t="s">
        <v>839</v>
      </c>
      <c r="F237" s="8" t="s">
        <v>19</v>
      </c>
      <c r="G237" s="9">
        <v>9610.84</v>
      </c>
      <c r="H237" s="9"/>
      <c r="I237" s="9">
        <v>843.09000000000015</v>
      </c>
      <c r="J237" s="9">
        <v>10453.929999999998</v>
      </c>
    </row>
    <row r="238" spans="1:10" ht="16" x14ac:dyDescent="0.2">
      <c r="A238" s="7" t="s">
        <v>15</v>
      </c>
      <c r="B238" s="7" t="s">
        <v>967</v>
      </c>
      <c r="C238" s="7" t="s">
        <v>178</v>
      </c>
      <c r="D238" s="7" t="s">
        <v>765</v>
      </c>
      <c r="E238" s="8" t="s">
        <v>968</v>
      </c>
      <c r="F238" s="8" t="s">
        <v>19</v>
      </c>
      <c r="G238" s="9">
        <v>8825.9700000000012</v>
      </c>
      <c r="H238" s="9"/>
      <c r="I238" s="9">
        <v>994.11000000000013</v>
      </c>
      <c r="J238" s="9">
        <v>9820.0800000000017</v>
      </c>
    </row>
    <row r="239" spans="1:10" ht="16" x14ac:dyDescent="0.2">
      <c r="A239" s="7" t="s">
        <v>9</v>
      </c>
      <c r="B239" s="7" t="s">
        <v>979</v>
      </c>
      <c r="C239" s="7" t="s">
        <v>178</v>
      </c>
      <c r="D239" s="7" t="s">
        <v>980</v>
      </c>
      <c r="E239" s="8" t="s">
        <v>871</v>
      </c>
      <c r="F239" s="8" t="s">
        <v>981</v>
      </c>
      <c r="G239" s="9">
        <v>6555.42</v>
      </c>
      <c r="H239" s="9"/>
      <c r="I239" s="9">
        <v>497.38000000000005</v>
      </c>
      <c r="J239" s="9">
        <v>7052.8</v>
      </c>
    </row>
    <row r="240" spans="1:10" ht="16" x14ac:dyDescent="0.2">
      <c r="A240" s="7" t="s">
        <v>15</v>
      </c>
      <c r="B240" s="7" t="s">
        <v>990</v>
      </c>
      <c r="C240" s="7" t="s">
        <v>178</v>
      </c>
      <c r="D240" s="7" t="s">
        <v>765</v>
      </c>
      <c r="E240" s="8" t="s">
        <v>728</v>
      </c>
      <c r="F240" s="8" t="s">
        <v>19</v>
      </c>
      <c r="G240" s="9">
        <v>5641.9100000000017</v>
      </c>
      <c r="H240" s="9"/>
      <c r="I240" s="9">
        <v>514.72</v>
      </c>
      <c r="J240" s="9">
        <v>6156.630000000001</v>
      </c>
    </row>
    <row r="241" spans="1:10" ht="16" x14ac:dyDescent="0.2">
      <c r="A241" s="7" t="s">
        <v>15</v>
      </c>
      <c r="B241" s="7" t="s">
        <v>1012</v>
      </c>
      <c r="C241" s="7" t="s">
        <v>178</v>
      </c>
      <c r="D241" s="7" t="s">
        <v>765</v>
      </c>
      <c r="E241" s="8" t="s">
        <v>1013</v>
      </c>
      <c r="F241" s="8" t="s">
        <v>19</v>
      </c>
      <c r="G241" s="9">
        <v>4364.05</v>
      </c>
      <c r="H241" s="9"/>
      <c r="I241" s="9">
        <v>367.56</v>
      </c>
      <c r="J241" s="9">
        <v>4731.6100000000006</v>
      </c>
    </row>
    <row r="242" spans="1:10" ht="16" x14ac:dyDescent="0.2">
      <c r="A242" s="7" t="s">
        <v>9</v>
      </c>
      <c r="B242" s="7" t="s">
        <v>1071</v>
      </c>
      <c r="C242" s="7" t="s">
        <v>178</v>
      </c>
      <c r="D242" s="7" t="s">
        <v>1072</v>
      </c>
      <c r="E242" s="8" t="s">
        <v>511</v>
      </c>
      <c r="F242" s="8" t="s">
        <v>1073</v>
      </c>
      <c r="G242" s="9">
        <v>2225.8499999999995</v>
      </c>
      <c r="H242" s="9"/>
      <c r="I242" s="9">
        <v>300.01000000000005</v>
      </c>
      <c r="J242" s="9">
        <v>2525.8599999999997</v>
      </c>
    </row>
    <row r="243" spans="1:10" ht="16" x14ac:dyDescent="0.2">
      <c r="A243" s="7" t="s">
        <v>15</v>
      </c>
      <c r="B243" s="7" t="s">
        <v>313</v>
      </c>
      <c r="C243" s="7" t="s">
        <v>314</v>
      </c>
      <c r="D243" s="7" t="s">
        <v>315</v>
      </c>
      <c r="E243" s="8" t="s">
        <v>316</v>
      </c>
      <c r="F243" s="8" t="s">
        <v>19</v>
      </c>
      <c r="G243" s="9">
        <v>54425.599999999999</v>
      </c>
      <c r="H243" s="9"/>
      <c r="I243" s="9">
        <v>484.67999999999978</v>
      </c>
      <c r="J243" s="9">
        <v>54910.280000000013</v>
      </c>
    </row>
    <row r="244" spans="1:10" ht="16" x14ac:dyDescent="0.2">
      <c r="A244" s="7" t="s">
        <v>15</v>
      </c>
      <c r="B244" s="7" t="s">
        <v>622</v>
      </c>
      <c r="C244" s="7" t="s">
        <v>314</v>
      </c>
      <c r="D244" s="7" t="s">
        <v>623</v>
      </c>
      <c r="E244" s="8" t="s">
        <v>624</v>
      </c>
      <c r="F244" s="8" t="s">
        <v>19</v>
      </c>
      <c r="G244" s="9">
        <v>30886.850000000002</v>
      </c>
      <c r="H244" s="9">
        <v>17.029999999999998</v>
      </c>
      <c r="I244" s="9">
        <v>5271.2</v>
      </c>
      <c r="J244" s="9">
        <v>36175.08</v>
      </c>
    </row>
    <row r="245" spans="1:10" ht="16" x14ac:dyDescent="0.2">
      <c r="A245" s="7" t="s">
        <v>15</v>
      </c>
      <c r="B245" s="7" t="s">
        <v>740</v>
      </c>
      <c r="C245" s="7" t="s">
        <v>314</v>
      </c>
      <c r="D245" s="7" t="s">
        <v>741</v>
      </c>
      <c r="E245" s="8" t="s">
        <v>742</v>
      </c>
      <c r="F245" s="8" t="s">
        <v>19</v>
      </c>
      <c r="G245" s="9">
        <v>23665.440000000002</v>
      </c>
      <c r="H245" s="9">
        <v>77.95</v>
      </c>
      <c r="I245" s="9">
        <v>5146.53</v>
      </c>
      <c r="J245" s="9">
        <v>28889.919999999998</v>
      </c>
    </row>
    <row r="246" spans="1:10" ht="16" x14ac:dyDescent="0.2">
      <c r="A246" s="7" t="s">
        <v>9</v>
      </c>
      <c r="B246" s="7" t="s">
        <v>830</v>
      </c>
      <c r="C246" s="7" t="s">
        <v>314</v>
      </c>
      <c r="D246" s="7" t="s">
        <v>741</v>
      </c>
      <c r="E246" s="8" t="s">
        <v>426</v>
      </c>
      <c r="F246" s="8" t="s">
        <v>831</v>
      </c>
      <c r="G246" s="9">
        <v>21762.889999999996</v>
      </c>
      <c r="H246" s="9">
        <v>74.13</v>
      </c>
      <c r="I246" s="9">
        <v>2591.59</v>
      </c>
      <c r="J246" s="9">
        <v>24428.609999999993</v>
      </c>
    </row>
    <row r="247" spans="1:10" ht="16" x14ac:dyDescent="0.2">
      <c r="A247" s="7" t="s">
        <v>9</v>
      </c>
      <c r="B247" s="7" t="s">
        <v>533</v>
      </c>
      <c r="C247" s="7" t="s">
        <v>534</v>
      </c>
      <c r="D247" s="7" t="s">
        <v>535</v>
      </c>
      <c r="E247" s="8" t="s">
        <v>536</v>
      </c>
      <c r="F247" s="8" t="s">
        <v>537</v>
      </c>
      <c r="G247" s="9">
        <v>41077.439999999995</v>
      </c>
      <c r="H247" s="9">
        <v>0</v>
      </c>
      <c r="I247" s="9">
        <v>1661.7599999999995</v>
      </c>
      <c r="J247" s="9">
        <v>42739.19999999999</v>
      </c>
    </row>
    <row r="248" spans="1:10" ht="16" x14ac:dyDescent="0.2">
      <c r="A248" s="7" t="s">
        <v>15</v>
      </c>
      <c r="B248" s="7" t="s">
        <v>888</v>
      </c>
      <c r="C248" s="7" t="s">
        <v>534</v>
      </c>
      <c r="D248" s="7" t="s">
        <v>889</v>
      </c>
      <c r="E248" s="8" t="s">
        <v>848</v>
      </c>
      <c r="F248" s="8" t="s">
        <v>19</v>
      </c>
      <c r="G248" s="9">
        <v>11111.119999999999</v>
      </c>
      <c r="H248" s="9">
        <v>353.82000000000005</v>
      </c>
      <c r="I248" s="9">
        <v>5409.4000000000005</v>
      </c>
      <c r="J248" s="9">
        <v>16874.34</v>
      </c>
    </row>
    <row r="249" spans="1:10" ht="16" x14ac:dyDescent="0.2">
      <c r="A249" s="7" t="s">
        <v>15</v>
      </c>
      <c r="B249" s="7" t="s">
        <v>205</v>
      </c>
      <c r="C249" s="7" t="s">
        <v>206</v>
      </c>
      <c r="D249" s="7" t="s">
        <v>207</v>
      </c>
      <c r="E249" s="8" t="s">
        <v>208</v>
      </c>
      <c r="F249" s="8" t="s">
        <v>19</v>
      </c>
      <c r="G249" s="9">
        <v>68361.799999999974</v>
      </c>
      <c r="H249" s="9"/>
      <c r="I249" s="9">
        <v>0</v>
      </c>
      <c r="J249" s="9">
        <v>68361.799999999974</v>
      </c>
    </row>
    <row r="250" spans="1:10" ht="16" x14ac:dyDescent="0.2">
      <c r="A250" s="7" t="s">
        <v>15</v>
      </c>
      <c r="B250" s="7" t="s">
        <v>463</v>
      </c>
      <c r="C250" s="7" t="s">
        <v>206</v>
      </c>
      <c r="D250" s="7" t="s">
        <v>464</v>
      </c>
      <c r="E250" s="8" t="s">
        <v>353</v>
      </c>
      <c r="F250" s="8" t="s">
        <v>19</v>
      </c>
      <c r="G250" s="9">
        <v>45309.439999999981</v>
      </c>
      <c r="H250" s="9"/>
      <c r="I250" s="9">
        <v>1439.5599999999995</v>
      </c>
      <c r="J250" s="9">
        <v>46749</v>
      </c>
    </row>
    <row r="251" spans="1:10" ht="16" x14ac:dyDescent="0.2">
      <c r="A251" s="7" t="s">
        <v>9</v>
      </c>
      <c r="B251" s="7" t="s">
        <v>506</v>
      </c>
      <c r="C251" s="7" t="s">
        <v>206</v>
      </c>
      <c r="D251" s="7" t="s">
        <v>507</v>
      </c>
      <c r="E251" s="8" t="s">
        <v>508</v>
      </c>
      <c r="F251" s="8" t="s">
        <v>509</v>
      </c>
      <c r="G251" s="9">
        <v>44406.400000000023</v>
      </c>
      <c r="H251" s="9"/>
      <c r="I251" s="9">
        <v>0</v>
      </c>
      <c r="J251" s="9">
        <v>44406.400000000023</v>
      </c>
    </row>
    <row r="252" spans="1:10" ht="16" x14ac:dyDescent="0.2">
      <c r="A252" s="7" t="s">
        <v>9</v>
      </c>
      <c r="B252" s="7" t="s">
        <v>708</v>
      </c>
      <c r="C252" s="7" t="s">
        <v>206</v>
      </c>
      <c r="D252" s="7" t="s">
        <v>558</v>
      </c>
      <c r="E252" s="8" t="s">
        <v>709</v>
      </c>
      <c r="F252" s="8" t="s">
        <v>710</v>
      </c>
      <c r="G252" s="9">
        <v>24978.530000000002</v>
      </c>
      <c r="H252" s="9">
        <v>499.6</v>
      </c>
      <c r="I252" s="9">
        <v>5718.9000000000005</v>
      </c>
      <c r="J252" s="9">
        <v>31197.030000000002</v>
      </c>
    </row>
    <row r="253" spans="1:10" ht="16" x14ac:dyDescent="0.2">
      <c r="A253" s="7" t="s">
        <v>15</v>
      </c>
      <c r="B253" s="7" t="s">
        <v>798</v>
      </c>
      <c r="C253" s="7" t="s">
        <v>206</v>
      </c>
      <c r="D253" s="7" t="s">
        <v>799</v>
      </c>
      <c r="E253" s="8" t="s">
        <v>800</v>
      </c>
      <c r="F253" s="8" t="s">
        <v>19</v>
      </c>
      <c r="G253" s="9">
        <v>19793.29</v>
      </c>
      <c r="H253" s="9">
        <v>2108.2600000000002</v>
      </c>
      <c r="I253" s="9">
        <v>4357.96</v>
      </c>
      <c r="J253" s="9">
        <v>26259.510000000006</v>
      </c>
    </row>
    <row r="254" spans="1:10" ht="16" x14ac:dyDescent="0.2">
      <c r="A254" s="7" t="s">
        <v>9</v>
      </c>
      <c r="B254" s="7" t="s">
        <v>832</v>
      </c>
      <c r="C254" s="7" t="s">
        <v>206</v>
      </c>
      <c r="D254" s="7" t="s">
        <v>833</v>
      </c>
      <c r="E254" s="8" t="s">
        <v>834</v>
      </c>
      <c r="F254" s="8" t="s">
        <v>835</v>
      </c>
      <c r="G254" s="9">
        <v>18980.450000000004</v>
      </c>
      <c r="H254" s="9">
        <v>2497.62</v>
      </c>
      <c r="I254" s="9">
        <v>2658.3999999999996</v>
      </c>
      <c r="J254" s="9">
        <v>24136.47</v>
      </c>
    </row>
    <row r="255" spans="1:10" ht="16" x14ac:dyDescent="0.2">
      <c r="A255" s="7" t="s">
        <v>9</v>
      </c>
      <c r="B255" s="7" t="s">
        <v>873</v>
      </c>
      <c r="C255" s="7" t="s">
        <v>206</v>
      </c>
      <c r="D255" s="7" t="s">
        <v>833</v>
      </c>
      <c r="E255" s="8" t="s">
        <v>502</v>
      </c>
      <c r="F255" s="8" t="s">
        <v>710</v>
      </c>
      <c r="G255" s="9">
        <v>16638.48</v>
      </c>
      <c r="H255" s="9">
        <v>1434.74</v>
      </c>
      <c r="I255" s="9">
        <v>3380.45</v>
      </c>
      <c r="J255" s="9">
        <v>21453.670000000002</v>
      </c>
    </row>
    <row r="256" spans="1:10" ht="16" x14ac:dyDescent="0.2">
      <c r="A256" s="7" t="s">
        <v>9</v>
      </c>
      <c r="B256" s="7" t="s">
        <v>876</v>
      </c>
      <c r="C256" s="7" t="s">
        <v>206</v>
      </c>
      <c r="D256" s="7" t="s">
        <v>877</v>
      </c>
      <c r="E256" s="8" t="s">
        <v>861</v>
      </c>
      <c r="F256" s="8" t="s">
        <v>878</v>
      </c>
      <c r="G256" s="9">
        <v>18439.079999999998</v>
      </c>
      <c r="H256" s="9">
        <v>1213.74</v>
      </c>
      <c r="I256" s="9">
        <v>766.08000000000015</v>
      </c>
      <c r="J256" s="9">
        <v>20418.900000000001</v>
      </c>
    </row>
    <row r="257" spans="1:10" ht="16" x14ac:dyDescent="0.2">
      <c r="A257" s="7" t="s">
        <v>9</v>
      </c>
      <c r="B257" s="7" t="s">
        <v>913</v>
      </c>
      <c r="C257" s="7" t="s">
        <v>206</v>
      </c>
      <c r="D257" s="7" t="s">
        <v>914</v>
      </c>
      <c r="E257" s="8" t="s">
        <v>834</v>
      </c>
      <c r="F257" s="8" t="s">
        <v>915</v>
      </c>
      <c r="G257" s="9">
        <v>11341.89</v>
      </c>
      <c r="H257" s="9">
        <v>2261.52</v>
      </c>
      <c r="I257" s="9">
        <v>647.67999999999995</v>
      </c>
      <c r="J257" s="9">
        <v>14251.09</v>
      </c>
    </row>
    <row r="258" spans="1:10" ht="16" x14ac:dyDescent="0.2">
      <c r="A258" s="7" t="s">
        <v>9</v>
      </c>
      <c r="B258" s="7" t="s">
        <v>926</v>
      </c>
      <c r="C258" s="7" t="s">
        <v>206</v>
      </c>
      <c r="D258" s="7" t="s">
        <v>833</v>
      </c>
      <c r="E258" s="8" t="s">
        <v>844</v>
      </c>
      <c r="F258" s="8" t="s">
        <v>927</v>
      </c>
      <c r="G258" s="9">
        <v>11445.78</v>
      </c>
      <c r="H258" s="9">
        <v>497.61999999999995</v>
      </c>
      <c r="I258" s="9">
        <v>1899.0399999999997</v>
      </c>
      <c r="J258" s="9">
        <v>13842.439999999997</v>
      </c>
    </row>
    <row r="259" spans="1:10" ht="16" x14ac:dyDescent="0.2">
      <c r="A259" s="7" t="s">
        <v>9</v>
      </c>
      <c r="B259" s="7" t="s">
        <v>982</v>
      </c>
      <c r="C259" s="7" t="s">
        <v>206</v>
      </c>
      <c r="D259" s="7" t="s">
        <v>833</v>
      </c>
      <c r="E259" s="8" t="s">
        <v>977</v>
      </c>
      <c r="F259" s="8" t="s">
        <v>983</v>
      </c>
      <c r="G259" s="9">
        <v>6365.7899999999991</v>
      </c>
      <c r="H259" s="9">
        <v>352.65000000000003</v>
      </c>
      <c r="I259" s="9">
        <v>300.79000000000002</v>
      </c>
      <c r="J259" s="9">
        <v>7019.23</v>
      </c>
    </row>
    <row r="260" spans="1:10" ht="16" x14ac:dyDescent="0.2">
      <c r="A260" s="7" t="s">
        <v>9</v>
      </c>
      <c r="B260" s="7" t="s">
        <v>988</v>
      </c>
      <c r="C260" s="7" t="s">
        <v>206</v>
      </c>
      <c r="D260" s="7" t="s">
        <v>914</v>
      </c>
      <c r="E260" s="8" t="s">
        <v>970</v>
      </c>
      <c r="F260" s="8" t="s">
        <v>989</v>
      </c>
      <c r="G260" s="9">
        <v>5986.16</v>
      </c>
      <c r="H260" s="9">
        <v>472.24000000000007</v>
      </c>
      <c r="I260" s="9">
        <v>358.72</v>
      </c>
      <c r="J260" s="9">
        <v>6817.119999999999</v>
      </c>
    </row>
    <row r="261" spans="1:10" ht="16" x14ac:dyDescent="0.2">
      <c r="A261" s="7" t="s">
        <v>9</v>
      </c>
      <c r="B261" s="7" t="s">
        <v>993</v>
      </c>
      <c r="C261" s="7" t="s">
        <v>206</v>
      </c>
      <c r="D261" s="7" t="s">
        <v>994</v>
      </c>
      <c r="E261" s="8" t="s">
        <v>709</v>
      </c>
      <c r="F261" s="8" t="s">
        <v>995</v>
      </c>
      <c r="G261" s="9">
        <v>5711.93</v>
      </c>
      <c r="H261" s="9">
        <v>243.39</v>
      </c>
      <c r="I261" s="9">
        <v>0</v>
      </c>
      <c r="J261" s="9">
        <v>5955.32</v>
      </c>
    </row>
    <row r="262" spans="1:10" ht="16" x14ac:dyDescent="0.2">
      <c r="A262" s="7" t="s">
        <v>9</v>
      </c>
      <c r="B262" s="7" t="s">
        <v>1024</v>
      </c>
      <c r="C262" s="7" t="s">
        <v>206</v>
      </c>
      <c r="D262" s="7" t="s">
        <v>994</v>
      </c>
      <c r="E262" s="8" t="s">
        <v>970</v>
      </c>
      <c r="F262" s="8" t="s">
        <v>995</v>
      </c>
      <c r="G262" s="9">
        <v>4108.8099999999995</v>
      </c>
      <c r="H262" s="9"/>
      <c r="I262" s="9">
        <v>0</v>
      </c>
      <c r="J262" s="9">
        <v>4108.8099999999995</v>
      </c>
    </row>
    <row r="263" spans="1:10" ht="16" x14ac:dyDescent="0.2">
      <c r="A263" s="7" t="s">
        <v>9</v>
      </c>
      <c r="B263" s="7" t="s">
        <v>1028</v>
      </c>
      <c r="C263" s="7" t="s">
        <v>206</v>
      </c>
      <c r="D263" s="7" t="s">
        <v>833</v>
      </c>
      <c r="E263" s="8" t="s">
        <v>641</v>
      </c>
      <c r="F263" s="8" t="s">
        <v>1029</v>
      </c>
      <c r="G263" s="9">
        <v>3352.0400000000004</v>
      </c>
      <c r="H263" s="9"/>
      <c r="I263" s="9">
        <v>357.86</v>
      </c>
      <c r="J263" s="9">
        <v>3709.9</v>
      </c>
    </row>
    <row r="264" spans="1:10" ht="16" x14ac:dyDescent="0.2">
      <c r="A264" s="7" t="s">
        <v>15</v>
      </c>
      <c r="B264" s="7" t="s">
        <v>542</v>
      </c>
      <c r="C264" s="7" t="s">
        <v>543</v>
      </c>
      <c r="D264" s="7" t="s">
        <v>544</v>
      </c>
      <c r="E264" s="8" t="s">
        <v>228</v>
      </c>
      <c r="F264" s="8" t="s">
        <v>19</v>
      </c>
      <c r="G264" s="9">
        <v>42026.679999999993</v>
      </c>
      <c r="H264" s="9"/>
      <c r="I264" s="9">
        <v>402.72</v>
      </c>
      <c r="J264" s="9">
        <v>42429.399999999994</v>
      </c>
    </row>
    <row r="265" spans="1:10" ht="16" x14ac:dyDescent="0.2">
      <c r="A265" s="7" t="s">
        <v>9</v>
      </c>
      <c r="B265" s="7" t="s">
        <v>824</v>
      </c>
      <c r="C265" s="7" t="s">
        <v>543</v>
      </c>
      <c r="D265" s="7" t="s">
        <v>825</v>
      </c>
      <c r="E265" s="8" t="s">
        <v>826</v>
      </c>
      <c r="F265" s="8" t="s">
        <v>827</v>
      </c>
      <c r="G265" s="9">
        <v>21279.03</v>
      </c>
      <c r="H265" s="9">
        <v>317.64999999999998</v>
      </c>
      <c r="I265" s="9">
        <v>2921.4500000000003</v>
      </c>
      <c r="J265" s="9">
        <v>24518.13</v>
      </c>
    </row>
    <row r="266" spans="1:10" ht="16" x14ac:dyDescent="0.2">
      <c r="A266" s="7" t="s">
        <v>9</v>
      </c>
      <c r="B266" s="7" t="s">
        <v>984</v>
      </c>
      <c r="C266" s="7" t="s">
        <v>543</v>
      </c>
      <c r="D266" s="7" t="s">
        <v>985</v>
      </c>
      <c r="E266" s="8" t="s">
        <v>986</v>
      </c>
      <c r="F266" s="8" t="s">
        <v>987</v>
      </c>
      <c r="G266" s="9">
        <v>6492.7599999999993</v>
      </c>
      <c r="H266" s="9">
        <v>174.91</v>
      </c>
      <c r="I266" s="9">
        <v>303.8</v>
      </c>
      <c r="J266" s="9">
        <v>6971.4699999999993</v>
      </c>
    </row>
    <row r="267" spans="1:10" ht="16" x14ac:dyDescent="0.2">
      <c r="A267" s="7" t="s">
        <v>9</v>
      </c>
      <c r="B267" s="7" t="s">
        <v>20</v>
      </c>
      <c r="C267" s="7" t="s">
        <v>21</v>
      </c>
      <c r="D267" s="7" t="s">
        <v>22</v>
      </c>
      <c r="E267" s="8" t="s">
        <v>23</v>
      </c>
      <c r="F267" s="8" t="s">
        <v>24</v>
      </c>
      <c r="G267" s="9">
        <v>118406.39999999995</v>
      </c>
      <c r="H267" s="9"/>
      <c r="I267" s="9">
        <v>4401.96</v>
      </c>
      <c r="J267" s="9">
        <v>122808.35999999994</v>
      </c>
    </row>
    <row r="268" spans="1:10" ht="16" x14ac:dyDescent="0.2">
      <c r="A268" s="7" t="s">
        <v>15</v>
      </c>
      <c r="B268" s="7" t="s">
        <v>56</v>
      </c>
      <c r="C268" s="7" t="s">
        <v>21</v>
      </c>
      <c r="D268" s="7" t="s">
        <v>57</v>
      </c>
      <c r="E268" s="8" t="s">
        <v>58</v>
      </c>
      <c r="F268" s="8" t="s">
        <v>19</v>
      </c>
      <c r="G268" s="9">
        <v>54318.650000000009</v>
      </c>
      <c r="H268" s="9">
        <v>25646.66</v>
      </c>
      <c r="I268" s="9">
        <v>10456.620000000001</v>
      </c>
      <c r="J268" s="9">
        <v>90421.930000000008</v>
      </c>
    </row>
    <row r="269" spans="1:10" ht="16" x14ac:dyDescent="0.2">
      <c r="A269" s="7" t="s">
        <v>9</v>
      </c>
      <c r="B269" s="7" t="s">
        <v>63</v>
      </c>
      <c r="C269" s="7" t="s">
        <v>21</v>
      </c>
      <c r="D269" s="7" t="s">
        <v>64</v>
      </c>
      <c r="E269" s="8" t="s">
        <v>65</v>
      </c>
      <c r="F269" s="8" t="s">
        <v>66</v>
      </c>
      <c r="G269" s="9">
        <v>87907.199999999997</v>
      </c>
      <c r="H269" s="9"/>
      <c r="I269" s="9">
        <v>1540</v>
      </c>
      <c r="J269" s="9">
        <v>89447.2</v>
      </c>
    </row>
    <row r="270" spans="1:10" ht="16" x14ac:dyDescent="0.2">
      <c r="A270" s="7" t="s">
        <v>15</v>
      </c>
      <c r="B270" s="7" t="s">
        <v>114</v>
      </c>
      <c r="C270" s="7" t="s">
        <v>21</v>
      </c>
      <c r="D270" s="7" t="s">
        <v>57</v>
      </c>
      <c r="E270" s="8" t="s">
        <v>115</v>
      </c>
      <c r="F270" s="8" t="s">
        <v>19</v>
      </c>
      <c r="G270" s="9">
        <v>51669.750000000007</v>
      </c>
      <c r="H270" s="9">
        <v>1137.6400000000001</v>
      </c>
      <c r="I270" s="9">
        <v>22798.020000000004</v>
      </c>
      <c r="J270" s="9">
        <v>75605.409999999989</v>
      </c>
    </row>
    <row r="271" spans="1:10" ht="16" x14ac:dyDescent="0.2">
      <c r="A271" s="7" t="s">
        <v>15</v>
      </c>
      <c r="B271" s="7" t="s">
        <v>116</v>
      </c>
      <c r="C271" s="7" t="s">
        <v>21</v>
      </c>
      <c r="D271" s="7" t="s">
        <v>57</v>
      </c>
      <c r="E271" s="8" t="s">
        <v>117</v>
      </c>
      <c r="F271" s="8" t="s">
        <v>19</v>
      </c>
      <c r="G271" s="9">
        <v>58273.279999999992</v>
      </c>
      <c r="H271" s="9">
        <v>3999.4099999999994</v>
      </c>
      <c r="I271" s="9">
        <v>13209.929999999998</v>
      </c>
      <c r="J271" s="9">
        <v>75482.62000000001</v>
      </c>
    </row>
    <row r="272" spans="1:10" ht="16" x14ac:dyDescent="0.2">
      <c r="A272" s="7" t="s">
        <v>9</v>
      </c>
      <c r="B272" s="7" t="s">
        <v>123</v>
      </c>
      <c r="C272" s="7" t="s">
        <v>21</v>
      </c>
      <c r="D272" s="7" t="s">
        <v>124</v>
      </c>
      <c r="E272" s="8" t="s">
        <v>125</v>
      </c>
      <c r="F272" s="8" t="s">
        <v>126</v>
      </c>
      <c r="G272" s="9">
        <v>72791.520000000004</v>
      </c>
      <c r="H272" s="9"/>
      <c r="I272" s="9">
        <v>2404.8399999999997</v>
      </c>
      <c r="J272" s="9">
        <v>75196.360000000015</v>
      </c>
    </row>
    <row r="273" spans="1:10" ht="16" x14ac:dyDescent="0.2">
      <c r="A273" s="7" t="s">
        <v>15</v>
      </c>
      <c r="B273" s="7" t="s">
        <v>152</v>
      </c>
      <c r="C273" s="7" t="s">
        <v>21</v>
      </c>
      <c r="D273" s="7" t="s">
        <v>153</v>
      </c>
      <c r="E273" s="8" t="s">
        <v>154</v>
      </c>
      <c r="F273" s="8" t="s">
        <v>19</v>
      </c>
      <c r="G273" s="9">
        <v>61044.66</v>
      </c>
      <c r="H273" s="9">
        <v>3870.7</v>
      </c>
      <c r="I273" s="9">
        <v>8556.24</v>
      </c>
      <c r="J273" s="9">
        <v>73471.60000000002</v>
      </c>
    </row>
    <row r="274" spans="1:10" ht="16" x14ac:dyDescent="0.2">
      <c r="A274" s="7" t="s">
        <v>15</v>
      </c>
      <c r="B274" s="7" t="s">
        <v>157</v>
      </c>
      <c r="C274" s="7" t="s">
        <v>21</v>
      </c>
      <c r="D274" s="7" t="s">
        <v>57</v>
      </c>
      <c r="E274" s="8" t="s">
        <v>158</v>
      </c>
      <c r="F274" s="8" t="s">
        <v>19</v>
      </c>
      <c r="G274" s="9">
        <v>49852.54</v>
      </c>
      <c r="H274" s="9">
        <v>14748.390000000003</v>
      </c>
      <c r="I274" s="9">
        <v>8034.619999999999</v>
      </c>
      <c r="J274" s="9">
        <v>72635.55</v>
      </c>
    </row>
    <row r="275" spans="1:10" ht="16" x14ac:dyDescent="0.2">
      <c r="A275" s="7" t="s">
        <v>9</v>
      </c>
      <c r="B275" s="7" t="s">
        <v>159</v>
      </c>
      <c r="C275" s="7" t="s">
        <v>21</v>
      </c>
      <c r="D275" s="7" t="s">
        <v>57</v>
      </c>
      <c r="E275" s="8" t="s">
        <v>160</v>
      </c>
      <c r="F275" s="8" t="s">
        <v>161</v>
      </c>
      <c r="G275" s="9">
        <v>57871.1</v>
      </c>
      <c r="H275" s="9">
        <v>3169.14</v>
      </c>
      <c r="I275" s="9">
        <v>11540.590000000002</v>
      </c>
      <c r="J275" s="9">
        <v>72580.829999999987</v>
      </c>
    </row>
    <row r="276" spans="1:10" ht="16" x14ac:dyDescent="0.2">
      <c r="A276" s="7" t="s">
        <v>15</v>
      </c>
      <c r="B276" s="7" t="s">
        <v>162</v>
      </c>
      <c r="C276" s="7" t="s">
        <v>21</v>
      </c>
      <c r="D276" s="7" t="s">
        <v>153</v>
      </c>
      <c r="E276" s="8" t="s">
        <v>163</v>
      </c>
      <c r="F276" s="8" t="s">
        <v>19</v>
      </c>
      <c r="G276" s="9">
        <v>50297.729999999996</v>
      </c>
      <c r="H276" s="9">
        <v>6362.64</v>
      </c>
      <c r="I276" s="9">
        <v>15729.890000000001</v>
      </c>
      <c r="J276" s="9">
        <v>72390.260000000024</v>
      </c>
    </row>
    <row r="277" spans="1:10" ht="16" x14ac:dyDescent="0.2">
      <c r="A277" s="7" t="s">
        <v>9</v>
      </c>
      <c r="B277" s="7" t="s">
        <v>167</v>
      </c>
      <c r="C277" s="7" t="s">
        <v>21</v>
      </c>
      <c r="D277" s="7" t="s">
        <v>168</v>
      </c>
      <c r="E277" s="8" t="s">
        <v>169</v>
      </c>
      <c r="F277" s="8" t="s">
        <v>170</v>
      </c>
      <c r="G277" s="9">
        <v>47557.69000000001</v>
      </c>
      <c r="H277" s="9">
        <v>7720.16</v>
      </c>
      <c r="I277" s="9">
        <v>15170.32</v>
      </c>
      <c r="J277" s="9">
        <v>70448.170000000013</v>
      </c>
    </row>
    <row r="278" spans="1:10" ht="16" x14ac:dyDescent="0.2">
      <c r="A278" s="7" t="s">
        <v>9</v>
      </c>
      <c r="B278" s="7" t="s">
        <v>184</v>
      </c>
      <c r="C278" s="7" t="s">
        <v>21</v>
      </c>
      <c r="D278" s="7" t="s">
        <v>153</v>
      </c>
      <c r="E278" s="8" t="s">
        <v>185</v>
      </c>
      <c r="F278" s="8" t="s">
        <v>186</v>
      </c>
      <c r="G278" s="9">
        <v>55294.079999999994</v>
      </c>
      <c r="H278" s="9"/>
      <c r="I278" s="9">
        <v>14174.85</v>
      </c>
      <c r="J278" s="9">
        <v>69468.929999999993</v>
      </c>
    </row>
    <row r="279" spans="1:10" ht="16" x14ac:dyDescent="0.2">
      <c r="A279" s="7" t="s">
        <v>9</v>
      </c>
      <c r="B279" s="7" t="s">
        <v>192</v>
      </c>
      <c r="C279" s="7" t="s">
        <v>21</v>
      </c>
      <c r="D279" s="7" t="s">
        <v>57</v>
      </c>
      <c r="E279" s="8" t="s">
        <v>193</v>
      </c>
      <c r="F279" s="8" t="s">
        <v>194</v>
      </c>
      <c r="G279" s="9">
        <v>51084.95</v>
      </c>
      <c r="H279" s="9">
        <v>6735.3799999999992</v>
      </c>
      <c r="I279" s="9">
        <v>11261.080000000002</v>
      </c>
      <c r="J279" s="9">
        <v>69081.41</v>
      </c>
    </row>
    <row r="280" spans="1:10" ht="16" x14ac:dyDescent="0.2">
      <c r="A280" s="7" t="s">
        <v>9</v>
      </c>
      <c r="B280" s="7" t="s">
        <v>209</v>
      </c>
      <c r="C280" s="7" t="s">
        <v>21</v>
      </c>
      <c r="D280" s="7" t="s">
        <v>210</v>
      </c>
      <c r="E280" s="8" t="s">
        <v>211</v>
      </c>
      <c r="F280" s="8" t="s">
        <v>212</v>
      </c>
      <c r="G280" s="9">
        <v>40544.950000000012</v>
      </c>
      <c r="H280" s="9">
        <v>17050.860000000004</v>
      </c>
      <c r="I280" s="9">
        <v>10461.530000000001</v>
      </c>
      <c r="J280" s="9">
        <v>68057.340000000011</v>
      </c>
    </row>
    <row r="281" spans="1:10" ht="16" x14ac:dyDescent="0.2">
      <c r="A281" s="7" t="s">
        <v>9</v>
      </c>
      <c r="B281" s="7" t="s">
        <v>231</v>
      </c>
      <c r="C281" s="7" t="s">
        <v>21</v>
      </c>
      <c r="D281" s="7" t="s">
        <v>57</v>
      </c>
      <c r="E281" s="8" t="s">
        <v>232</v>
      </c>
      <c r="F281" s="8" t="s">
        <v>233</v>
      </c>
      <c r="G281" s="9">
        <v>51992.359999999993</v>
      </c>
      <c r="H281" s="9">
        <v>3433.2400000000002</v>
      </c>
      <c r="I281" s="9">
        <v>10804.729999999998</v>
      </c>
      <c r="J281" s="9">
        <v>66230.33</v>
      </c>
    </row>
    <row r="282" spans="1:10" ht="16" x14ac:dyDescent="0.2">
      <c r="A282" s="7" t="s">
        <v>15</v>
      </c>
      <c r="B282" s="7" t="s">
        <v>238</v>
      </c>
      <c r="C282" s="7" t="s">
        <v>21</v>
      </c>
      <c r="D282" s="7" t="s">
        <v>57</v>
      </c>
      <c r="E282" s="8" t="s">
        <v>239</v>
      </c>
      <c r="F282" s="8" t="s">
        <v>19</v>
      </c>
      <c r="G282" s="9">
        <v>44711.59</v>
      </c>
      <c r="H282" s="9">
        <v>2535.87</v>
      </c>
      <c r="I282" s="9">
        <v>17600.28</v>
      </c>
      <c r="J282" s="9">
        <v>64847.740000000005</v>
      </c>
    </row>
    <row r="283" spans="1:10" ht="16" x14ac:dyDescent="0.2">
      <c r="A283" s="7" t="s">
        <v>15</v>
      </c>
      <c r="B283" s="7" t="s">
        <v>251</v>
      </c>
      <c r="C283" s="7" t="s">
        <v>21</v>
      </c>
      <c r="D283" s="7" t="s">
        <v>153</v>
      </c>
      <c r="E283" s="8" t="s">
        <v>158</v>
      </c>
      <c r="F283" s="8" t="s">
        <v>19</v>
      </c>
      <c r="G283" s="9">
        <v>61118.299999999996</v>
      </c>
      <c r="H283" s="9"/>
      <c r="I283" s="9">
        <v>2585.6099999999992</v>
      </c>
      <c r="J283" s="9">
        <v>63703.909999999989</v>
      </c>
    </row>
    <row r="284" spans="1:10" ht="16" x14ac:dyDescent="0.2">
      <c r="A284" s="7" t="s">
        <v>15</v>
      </c>
      <c r="B284" s="7" t="s">
        <v>265</v>
      </c>
      <c r="C284" s="7" t="s">
        <v>21</v>
      </c>
      <c r="D284" s="7" t="s">
        <v>168</v>
      </c>
      <c r="E284" s="8" t="s">
        <v>266</v>
      </c>
      <c r="F284" s="8" t="s">
        <v>19</v>
      </c>
      <c r="G284" s="9">
        <v>46317.360000000008</v>
      </c>
      <c r="H284" s="9">
        <v>4259.4900000000007</v>
      </c>
      <c r="I284" s="9">
        <v>11436.199999999999</v>
      </c>
      <c r="J284" s="9">
        <v>62013.05</v>
      </c>
    </row>
    <row r="285" spans="1:10" ht="16" x14ac:dyDescent="0.2">
      <c r="A285" s="7" t="s">
        <v>15</v>
      </c>
      <c r="B285" s="7" t="s">
        <v>267</v>
      </c>
      <c r="C285" s="7" t="s">
        <v>21</v>
      </c>
      <c r="D285" s="7" t="s">
        <v>168</v>
      </c>
      <c r="E285" s="8" t="s">
        <v>268</v>
      </c>
      <c r="F285" s="8" t="s">
        <v>19</v>
      </c>
      <c r="G285" s="9">
        <v>46271.229999999996</v>
      </c>
      <c r="H285" s="9">
        <v>6424.23</v>
      </c>
      <c r="I285" s="9">
        <v>8227.1200000000008</v>
      </c>
      <c r="J285" s="9">
        <v>60922.579999999994</v>
      </c>
    </row>
    <row r="286" spans="1:10" ht="16" x14ac:dyDescent="0.2">
      <c r="A286" s="7" t="s">
        <v>15</v>
      </c>
      <c r="B286" s="7" t="s">
        <v>269</v>
      </c>
      <c r="C286" s="7" t="s">
        <v>21</v>
      </c>
      <c r="D286" s="7" t="s">
        <v>57</v>
      </c>
      <c r="E286" s="8" t="s">
        <v>270</v>
      </c>
      <c r="F286" s="8" t="s">
        <v>19</v>
      </c>
      <c r="G286" s="9">
        <v>46957.43</v>
      </c>
      <c r="H286" s="9">
        <v>4875.99</v>
      </c>
      <c r="I286" s="9">
        <v>8844.9499999999971</v>
      </c>
      <c r="J286" s="9">
        <v>60678.37000000001</v>
      </c>
    </row>
    <row r="287" spans="1:10" ht="16" x14ac:dyDescent="0.2">
      <c r="A287" s="7" t="s">
        <v>9</v>
      </c>
      <c r="B287" s="7" t="s">
        <v>275</v>
      </c>
      <c r="C287" s="7" t="s">
        <v>21</v>
      </c>
      <c r="D287" s="7" t="s">
        <v>168</v>
      </c>
      <c r="E287" s="8" t="s">
        <v>276</v>
      </c>
      <c r="F287" s="8" t="s">
        <v>24</v>
      </c>
      <c r="G287" s="9">
        <v>45997.15</v>
      </c>
      <c r="H287" s="9">
        <v>808.59</v>
      </c>
      <c r="I287" s="9">
        <v>13394.550000000003</v>
      </c>
      <c r="J287" s="9">
        <v>60200.29</v>
      </c>
    </row>
    <row r="288" spans="1:10" ht="16" x14ac:dyDescent="0.2">
      <c r="A288" s="7" t="s">
        <v>15</v>
      </c>
      <c r="B288" s="7" t="s">
        <v>278</v>
      </c>
      <c r="C288" s="7" t="s">
        <v>21</v>
      </c>
      <c r="D288" s="7" t="s">
        <v>124</v>
      </c>
      <c r="E288" s="8" t="s">
        <v>279</v>
      </c>
      <c r="F288" s="8" t="s">
        <v>19</v>
      </c>
      <c r="G288" s="9">
        <v>43672.909999999996</v>
      </c>
      <c r="H288" s="9">
        <v>2286.15</v>
      </c>
      <c r="I288" s="9">
        <v>13438.109999999999</v>
      </c>
      <c r="J288" s="9">
        <v>59397.169999999991</v>
      </c>
    </row>
    <row r="289" spans="1:10" ht="16" x14ac:dyDescent="0.2">
      <c r="A289" s="7" t="s">
        <v>15</v>
      </c>
      <c r="B289" s="7" t="s">
        <v>282</v>
      </c>
      <c r="C289" s="7" t="s">
        <v>21</v>
      </c>
      <c r="D289" s="7" t="s">
        <v>57</v>
      </c>
      <c r="E289" s="8" t="s">
        <v>283</v>
      </c>
      <c r="F289" s="8" t="s">
        <v>19</v>
      </c>
      <c r="G289" s="9">
        <v>45143.409999999996</v>
      </c>
      <c r="H289" s="9">
        <v>807.31</v>
      </c>
      <c r="I289" s="9">
        <v>12411.659999999998</v>
      </c>
      <c r="J289" s="9">
        <v>58362.37999999999</v>
      </c>
    </row>
    <row r="290" spans="1:10" ht="16" x14ac:dyDescent="0.2">
      <c r="A290" s="7" t="s">
        <v>9</v>
      </c>
      <c r="B290" s="7" t="s">
        <v>290</v>
      </c>
      <c r="C290" s="7" t="s">
        <v>21</v>
      </c>
      <c r="D290" s="7" t="s">
        <v>153</v>
      </c>
      <c r="E290" s="8" t="s">
        <v>291</v>
      </c>
      <c r="F290" s="8" t="s">
        <v>292</v>
      </c>
      <c r="G290" s="9">
        <v>43078.12000000001</v>
      </c>
      <c r="H290" s="9">
        <v>1700.74</v>
      </c>
      <c r="I290" s="9">
        <v>12861.179999999995</v>
      </c>
      <c r="J290" s="9">
        <v>57640.04</v>
      </c>
    </row>
    <row r="291" spans="1:10" ht="16" x14ac:dyDescent="0.2">
      <c r="A291" s="7" t="s">
        <v>15</v>
      </c>
      <c r="B291" s="7" t="s">
        <v>302</v>
      </c>
      <c r="C291" s="7" t="s">
        <v>21</v>
      </c>
      <c r="D291" s="7" t="s">
        <v>168</v>
      </c>
      <c r="E291" s="8" t="s">
        <v>303</v>
      </c>
      <c r="F291" s="8" t="s">
        <v>19</v>
      </c>
      <c r="G291" s="9">
        <v>42730</v>
      </c>
      <c r="H291" s="9">
        <v>5299.9900000000016</v>
      </c>
      <c r="I291" s="9">
        <v>8893.0800000000017</v>
      </c>
      <c r="J291" s="9">
        <v>56923.070000000007</v>
      </c>
    </row>
    <row r="292" spans="1:10" ht="16" x14ac:dyDescent="0.2">
      <c r="A292" s="7" t="s">
        <v>15</v>
      </c>
      <c r="B292" s="7" t="s">
        <v>308</v>
      </c>
      <c r="C292" s="7" t="s">
        <v>21</v>
      </c>
      <c r="D292" s="7" t="s">
        <v>57</v>
      </c>
      <c r="E292" s="8" t="s">
        <v>309</v>
      </c>
      <c r="F292" s="8" t="s">
        <v>19</v>
      </c>
      <c r="G292" s="9">
        <v>42865.630000000005</v>
      </c>
      <c r="H292" s="9">
        <v>4833.1399999999985</v>
      </c>
      <c r="I292" s="9">
        <v>8502.81</v>
      </c>
      <c r="J292" s="9">
        <v>56201.579999999994</v>
      </c>
    </row>
    <row r="293" spans="1:10" ht="16" x14ac:dyDescent="0.2">
      <c r="A293" s="7" t="s">
        <v>15</v>
      </c>
      <c r="B293" s="7" t="s">
        <v>311</v>
      </c>
      <c r="C293" s="7" t="s">
        <v>21</v>
      </c>
      <c r="D293" s="7" t="s">
        <v>168</v>
      </c>
      <c r="E293" s="8" t="s">
        <v>312</v>
      </c>
      <c r="F293" s="8" t="s">
        <v>19</v>
      </c>
      <c r="G293" s="9">
        <v>44812.380000000005</v>
      </c>
      <c r="H293" s="9">
        <v>3905.0400000000004</v>
      </c>
      <c r="I293" s="9">
        <v>6374.8800000000019</v>
      </c>
      <c r="J293" s="9">
        <v>55092.299999999988</v>
      </c>
    </row>
    <row r="294" spans="1:10" ht="16" x14ac:dyDescent="0.2">
      <c r="A294" s="7" t="s">
        <v>15</v>
      </c>
      <c r="B294" s="7" t="s">
        <v>319</v>
      </c>
      <c r="C294" s="7" t="s">
        <v>21</v>
      </c>
      <c r="D294" s="7" t="s">
        <v>168</v>
      </c>
      <c r="E294" s="8" t="s">
        <v>320</v>
      </c>
      <c r="F294" s="8" t="s">
        <v>19</v>
      </c>
      <c r="G294" s="9">
        <v>41723.949999999997</v>
      </c>
      <c r="H294" s="9">
        <v>2329.12</v>
      </c>
      <c r="I294" s="9">
        <v>10751.529999999999</v>
      </c>
      <c r="J294" s="9">
        <v>54804.599999999991</v>
      </c>
    </row>
    <row r="295" spans="1:10" ht="16" x14ac:dyDescent="0.2">
      <c r="A295" s="7" t="s">
        <v>9</v>
      </c>
      <c r="B295" s="7" t="s">
        <v>321</v>
      </c>
      <c r="C295" s="7" t="s">
        <v>21</v>
      </c>
      <c r="D295" s="7" t="s">
        <v>168</v>
      </c>
      <c r="E295" s="8" t="s">
        <v>322</v>
      </c>
      <c r="F295" s="8" t="s">
        <v>323</v>
      </c>
      <c r="G295" s="9">
        <v>40323.399999999994</v>
      </c>
      <c r="H295" s="9">
        <v>6408.7300000000014</v>
      </c>
      <c r="I295" s="9">
        <v>8059.33</v>
      </c>
      <c r="J295" s="9">
        <v>54791.459999999992</v>
      </c>
    </row>
    <row r="296" spans="1:10" ht="16" x14ac:dyDescent="0.2">
      <c r="A296" s="7" t="s">
        <v>15</v>
      </c>
      <c r="B296" s="7" t="s">
        <v>330</v>
      </c>
      <c r="C296" s="7" t="s">
        <v>21</v>
      </c>
      <c r="D296" s="7" t="s">
        <v>168</v>
      </c>
      <c r="E296" s="8" t="s">
        <v>331</v>
      </c>
      <c r="F296" s="8" t="s">
        <v>19</v>
      </c>
      <c r="G296" s="9">
        <v>30030.140000000003</v>
      </c>
      <c r="H296" s="9">
        <v>3138.1699999999996</v>
      </c>
      <c r="I296" s="9">
        <v>21588.789999999994</v>
      </c>
      <c r="J296" s="9">
        <v>54757.100000000013</v>
      </c>
    </row>
    <row r="297" spans="1:10" ht="16" x14ac:dyDescent="0.2">
      <c r="A297" s="7" t="s">
        <v>15</v>
      </c>
      <c r="B297" s="7" t="s">
        <v>332</v>
      </c>
      <c r="C297" s="7" t="s">
        <v>21</v>
      </c>
      <c r="D297" s="7" t="s">
        <v>57</v>
      </c>
      <c r="E297" s="8" t="s">
        <v>333</v>
      </c>
      <c r="F297" s="8" t="s">
        <v>19</v>
      </c>
      <c r="G297" s="9">
        <v>37315.89</v>
      </c>
      <c r="H297" s="9">
        <v>4150.82</v>
      </c>
      <c r="I297" s="9">
        <v>13213.89</v>
      </c>
      <c r="J297" s="9">
        <v>54680.600000000006</v>
      </c>
    </row>
    <row r="298" spans="1:10" ht="16" x14ac:dyDescent="0.2">
      <c r="A298" s="7" t="s">
        <v>9</v>
      </c>
      <c r="B298" s="7" t="s">
        <v>334</v>
      </c>
      <c r="C298" s="7" t="s">
        <v>21</v>
      </c>
      <c r="D298" s="7" t="s">
        <v>210</v>
      </c>
      <c r="E298" s="8" t="s">
        <v>335</v>
      </c>
      <c r="F298" s="8" t="s">
        <v>336</v>
      </c>
      <c r="G298" s="9">
        <v>42971.329999999994</v>
      </c>
      <c r="H298" s="9">
        <v>2672.65</v>
      </c>
      <c r="I298" s="9">
        <v>8842.3300000000017</v>
      </c>
      <c r="J298" s="9">
        <v>54486.31</v>
      </c>
    </row>
    <row r="299" spans="1:10" ht="16" x14ac:dyDescent="0.2">
      <c r="A299" s="7" t="s">
        <v>15</v>
      </c>
      <c r="B299" s="7" t="s">
        <v>347</v>
      </c>
      <c r="C299" s="7" t="s">
        <v>21</v>
      </c>
      <c r="D299" s="7" t="s">
        <v>168</v>
      </c>
      <c r="E299" s="8" t="s">
        <v>348</v>
      </c>
      <c r="F299" s="8" t="s">
        <v>19</v>
      </c>
      <c r="G299" s="9">
        <v>43510.319999999992</v>
      </c>
      <c r="H299" s="9">
        <v>2018.9900000000002</v>
      </c>
      <c r="I299" s="9">
        <v>8275.9700000000012</v>
      </c>
      <c r="J299" s="9">
        <v>53805.280000000006</v>
      </c>
    </row>
    <row r="300" spans="1:10" ht="16" x14ac:dyDescent="0.2">
      <c r="A300" s="7" t="s">
        <v>15</v>
      </c>
      <c r="B300" s="7" t="s">
        <v>355</v>
      </c>
      <c r="C300" s="7" t="s">
        <v>21</v>
      </c>
      <c r="D300" s="7" t="s">
        <v>57</v>
      </c>
      <c r="E300" s="8" t="s">
        <v>356</v>
      </c>
      <c r="F300" s="8" t="s">
        <v>19</v>
      </c>
      <c r="G300" s="9">
        <v>38296.71</v>
      </c>
      <c r="H300" s="9">
        <v>1985.5900000000001</v>
      </c>
      <c r="I300" s="9">
        <v>12361.780000000002</v>
      </c>
      <c r="J300" s="9">
        <v>52644.08</v>
      </c>
    </row>
    <row r="301" spans="1:10" ht="16" x14ac:dyDescent="0.2">
      <c r="A301" s="7" t="s">
        <v>9</v>
      </c>
      <c r="B301" s="7" t="s">
        <v>362</v>
      </c>
      <c r="C301" s="7" t="s">
        <v>21</v>
      </c>
      <c r="D301" s="7" t="s">
        <v>168</v>
      </c>
      <c r="E301" s="8" t="s">
        <v>363</v>
      </c>
      <c r="F301" s="8" t="s">
        <v>364</v>
      </c>
      <c r="G301" s="9">
        <v>41262.629999999997</v>
      </c>
      <c r="H301" s="9">
        <v>1319.5400000000002</v>
      </c>
      <c r="I301" s="9">
        <v>9707.67</v>
      </c>
      <c r="J301" s="9">
        <v>52289.840000000011</v>
      </c>
    </row>
    <row r="302" spans="1:10" ht="16" x14ac:dyDescent="0.2">
      <c r="A302" s="7" t="s">
        <v>9</v>
      </c>
      <c r="B302" s="7" t="s">
        <v>371</v>
      </c>
      <c r="C302" s="7" t="s">
        <v>21</v>
      </c>
      <c r="D302" s="7" t="s">
        <v>57</v>
      </c>
      <c r="E302" s="8" t="s">
        <v>356</v>
      </c>
      <c r="F302" s="8" t="s">
        <v>372</v>
      </c>
      <c r="G302" s="9">
        <v>39029.269999999997</v>
      </c>
      <c r="H302" s="9">
        <v>2538.8099999999995</v>
      </c>
      <c r="I302" s="9">
        <v>10042.509999999998</v>
      </c>
      <c r="J302" s="9">
        <v>51610.590000000004</v>
      </c>
    </row>
    <row r="303" spans="1:10" ht="16" x14ac:dyDescent="0.2">
      <c r="A303" s="7" t="s">
        <v>15</v>
      </c>
      <c r="B303" s="7" t="s">
        <v>379</v>
      </c>
      <c r="C303" s="7" t="s">
        <v>21</v>
      </c>
      <c r="D303" s="7" t="s">
        <v>168</v>
      </c>
      <c r="E303" s="8" t="s">
        <v>322</v>
      </c>
      <c r="F303" s="8" t="s">
        <v>19</v>
      </c>
      <c r="G303" s="9">
        <v>37816.15</v>
      </c>
      <c r="H303" s="9">
        <v>3591.7</v>
      </c>
      <c r="I303" s="9">
        <v>9962.83</v>
      </c>
      <c r="J303" s="9">
        <v>51370.68</v>
      </c>
    </row>
    <row r="304" spans="1:10" ht="16" x14ac:dyDescent="0.2">
      <c r="A304" s="7" t="s">
        <v>15</v>
      </c>
      <c r="B304" s="7" t="s">
        <v>382</v>
      </c>
      <c r="C304" s="7" t="s">
        <v>21</v>
      </c>
      <c r="D304" s="7" t="s">
        <v>383</v>
      </c>
      <c r="E304" s="8" t="s">
        <v>384</v>
      </c>
      <c r="F304" s="8" t="s">
        <v>19</v>
      </c>
      <c r="G304" s="9">
        <v>34314.380000000005</v>
      </c>
      <c r="H304" s="9">
        <v>3192.2</v>
      </c>
      <c r="I304" s="9">
        <v>13806.320000000002</v>
      </c>
      <c r="J304" s="9">
        <v>51312.9</v>
      </c>
    </row>
    <row r="305" spans="1:10" ht="16" x14ac:dyDescent="0.2">
      <c r="A305" s="7" t="s">
        <v>9</v>
      </c>
      <c r="B305" s="7" t="s">
        <v>385</v>
      </c>
      <c r="C305" s="7" t="s">
        <v>21</v>
      </c>
      <c r="D305" s="7" t="s">
        <v>168</v>
      </c>
      <c r="E305" s="8" t="s">
        <v>386</v>
      </c>
      <c r="F305" s="8" t="s">
        <v>387</v>
      </c>
      <c r="G305" s="9">
        <v>39280.289999999994</v>
      </c>
      <c r="H305" s="9">
        <v>1938.8899999999996</v>
      </c>
      <c r="I305" s="9">
        <v>10045.780000000001</v>
      </c>
      <c r="J305" s="9">
        <v>51264.959999999999</v>
      </c>
    </row>
    <row r="306" spans="1:10" ht="16" x14ac:dyDescent="0.2">
      <c r="A306" s="7" t="s">
        <v>9</v>
      </c>
      <c r="B306" s="7" t="s">
        <v>416</v>
      </c>
      <c r="C306" s="7" t="s">
        <v>21</v>
      </c>
      <c r="D306" s="7" t="s">
        <v>168</v>
      </c>
      <c r="E306" s="8" t="s">
        <v>80</v>
      </c>
      <c r="F306" s="8" t="s">
        <v>417</v>
      </c>
      <c r="G306" s="9">
        <v>36179.31</v>
      </c>
      <c r="H306" s="9">
        <v>564.24</v>
      </c>
      <c r="I306" s="9">
        <v>12237.960000000003</v>
      </c>
      <c r="J306" s="9">
        <v>48981.51</v>
      </c>
    </row>
    <row r="307" spans="1:10" ht="16" x14ac:dyDescent="0.2">
      <c r="A307" s="7" t="s">
        <v>15</v>
      </c>
      <c r="B307" s="7" t="s">
        <v>424</v>
      </c>
      <c r="C307" s="7" t="s">
        <v>21</v>
      </c>
      <c r="D307" s="7" t="s">
        <v>168</v>
      </c>
      <c r="E307" s="8" t="s">
        <v>360</v>
      </c>
      <c r="F307" s="8" t="s">
        <v>19</v>
      </c>
      <c r="G307" s="9">
        <v>40070.30000000001</v>
      </c>
      <c r="H307" s="9">
        <v>3460.6699999999996</v>
      </c>
      <c r="I307" s="9">
        <v>4961.0099999999993</v>
      </c>
      <c r="J307" s="9">
        <v>48491.98</v>
      </c>
    </row>
    <row r="308" spans="1:10" ht="16" x14ac:dyDescent="0.2">
      <c r="A308" s="7" t="s">
        <v>9</v>
      </c>
      <c r="B308" s="7" t="s">
        <v>425</v>
      </c>
      <c r="C308" s="7" t="s">
        <v>21</v>
      </c>
      <c r="D308" s="7" t="s">
        <v>168</v>
      </c>
      <c r="E308" s="8" t="s">
        <v>426</v>
      </c>
      <c r="F308" s="8" t="s">
        <v>41</v>
      </c>
      <c r="G308" s="9">
        <v>38374.1</v>
      </c>
      <c r="H308" s="9">
        <v>3962.42</v>
      </c>
      <c r="I308" s="9">
        <v>6119.0000000000009</v>
      </c>
      <c r="J308" s="9">
        <v>48455.520000000004</v>
      </c>
    </row>
    <row r="309" spans="1:10" ht="16" x14ac:dyDescent="0.2">
      <c r="A309" s="7" t="s">
        <v>9</v>
      </c>
      <c r="B309" s="7" t="s">
        <v>427</v>
      </c>
      <c r="C309" s="7" t="s">
        <v>21</v>
      </c>
      <c r="D309" s="7" t="s">
        <v>168</v>
      </c>
      <c r="E309" s="8" t="s">
        <v>428</v>
      </c>
      <c r="F309" s="8" t="s">
        <v>429</v>
      </c>
      <c r="G309" s="9">
        <v>38631.479999999996</v>
      </c>
      <c r="H309" s="9">
        <v>3523.0800000000004</v>
      </c>
      <c r="I309" s="9">
        <v>6049.3600000000006</v>
      </c>
      <c r="J309" s="9">
        <v>48203.92</v>
      </c>
    </row>
    <row r="310" spans="1:10" ht="16" x14ac:dyDescent="0.2">
      <c r="A310" s="7" t="s">
        <v>9</v>
      </c>
      <c r="B310" s="7" t="s">
        <v>430</v>
      </c>
      <c r="C310" s="7" t="s">
        <v>21</v>
      </c>
      <c r="D310" s="7" t="s">
        <v>210</v>
      </c>
      <c r="E310" s="8" t="s">
        <v>431</v>
      </c>
      <c r="F310" s="8" t="s">
        <v>432</v>
      </c>
      <c r="G310" s="9">
        <v>34586.18</v>
      </c>
      <c r="H310" s="9">
        <v>2538.4500000000003</v>
      </c>
      <c r="I310" s="9">
        <v>11064</v>
      </c>
      <c r="J310" s="9">
        <v>48188.62999999999</v>
      </c>
    </row>
    <row r="311" spans="1:10" ht="16" x14ac:dyDescent="0.2">
      <c r="A311" s="7" t="s">
        <v>15</v>
      </c>
      <c r="B311" s="7" t="s">
        <v>438</v>
      </c>
      <c r="C311" s="7" t="s">
        <v>21</v>
      </c>
      <c r="D311" s="7" t="s">
        <v>439</v>
      </c>
      <c r="E311" s="8" t="s">
        <v>276</v>
      </c>
      <c r="F311" s="8" t="s">
        <v>19</v>
      </c>
      <c r="G311" s="9">
        <v>35790.999999999993</v>
      </c>
      <c r="H311" s="9">
        <v>2066.19</v>
      </c>
      <c r="I311" s="9">
        <v>10139.599999999999</v>
      </c>
      <c r="J311" s="9">
        <v>47996.789999999994</v>
      </c>
    </row>
    <row r="312" spans="1:10" ht="16" x14ac:dyDescent="0.2">
      <c r="A312" s="7" t="s">
        <v>9</v>
      </c>
      <c r="B312" s="7" t="s">
        <v>440</v>
      </c>
      <c r="C312" s="7" t="s">
        <v>21</v>
      </c>
      <c r="D312" s="7" t="s">
        <v>168</v>
      </c>
      <c r="E312" s="8" t="s">
        <v>441</v>
      </c>
      <c r="F312" s="8" t="s">
        <v>212</v>
      </c>
      <c r="G312" s="9">
        <v>37080.990000000005</v>
      </c>
      <c r="H312" s="9">
        <v>557.5</v>
      </c>
      <c r="I312" s="9">
        <v>10286.049999999999</v>
      </c>
      <c r="J312" s="9">
        <v>47924.54</v>
      </c>
    </row>
    <row r="313" spans="1:10" ht="16" x14ac:dyDescent="0.2">
      <c r="A313" s="7" t="s">
        <v>9</v>
      </c>
      <c r="B313" s="7" t="s">
        <v>442</v>
      </c>
      <c r="C313" s="7" t="s">
        <v>21</v>
      </c>
      <c r="D313" s="7" t="s">
        <v>443</v>
      </c>
      <c r="E313" s="8" t="s">
        <v>312</v>
      </c>
      <c r="F313" s="8" t="s">
        <v>55</v>
      </c>
      <c r="G313" s="9">
        <v>40551.42</v>
      </c>
      <c r="H313" s="9">
        <v>1273.95</v>
      </c>
      <c r="I313" s="9">
        <v>6087.53</v>
      </c>
      <c r="J313" s="9">
        <v>47912.899999999987</v>
      </c>
    </row>
    <row r="314" spans="1:10" ht="16" x14ac:dyDescent="0.2">
      <c r="A314" s="7" t="s">
        <v>15</v>
      </c>
      <c r="B314" s="7" t="s">
        <v>444</v>
      </c>
      <c r="C314" s="7" t="s">
        <v>21</v>
      </c>
      <c r="D314" s="7" t="s">
        <v>445</v>
      </c>
      <c r="E314" s="8" t="s">
        <v>446</v>
      </c>
      <c r="F314" s="8" t="s">
        <v>19</v>
      </c>
      <c r="G314" s="9">
        <v>36040.29</v>
      </c>
      <c r="H314" s="9">
        <v>3987.04</v>
      </c>
      <c r="I314" s="9">
        <v>7883.0599999999995</v>
      </c>
      <c r="J314" s="9">
        <v>47910.39</v>
      </c>
    </row>
    <row r="315" spans="1:10" ht="16" x14ac:dyDescent="0.2">
      <c r="A315" s="7" t="s">
        <v>15</v>
      </c>
      <c r="B315" s="7" t="s">
        <v>449</v>
      </c>
      <c r="C315" s="7" t="s">
        <v>21</v>
      </c>
      <c r="D315" s="7" t="s">
        <v>168</v>
      </c>
      <c r="E315" s="8" t="s">
        <v>450</v>
      </c>
      <c r="F315" s="8" t="s">
        <v>19</v>
      </c>
      <c r="G315" s="9">
        <v>36746.529999999992</v>
      </c>
      <c r="H315" s="9">
        <v>4672.17</v>
      </c>
      <c r="I315" s="9">
        <v>6269.4100000000017</v>
      </c>
      <c r="J315" s="9">
        <v>47688.11</v>
      </c>
    </row>
    <row r="316" spans="1:10" ht="16" x14ac:dyDescent="0.2">
      <c r="A316" s="7" t="s">
        <v>15</v>
      </c>
      <c r="B316" s="7" t="s">
        <v>457</v>
      </c>
      <c r="C316" s="7" t="s">
        <v>21</v>
      </c>
      <c r="D316" s="7" t="s">
        <v>168</v>
      </c>
      <c r="E316" s="8" t="s">
        <v>356</v>
      </c>
      <c r="F316" s="8" t="s">
        <v>19</v>
      </c>
      <c r="G316" s="9">
        <v>36720.87999999999</v>
      </c>
      <c r="H316" s="9">
        <v>3667.5099999999998</v>
      </c>
      <c r="I316" s="9">
        <v>6654.800000000002</v>
      </c>
      <c r="J316" s="9">
        <v>47043.189999999995</v>
      </c>
    </row>
    <row r="317" spans="1:10" ht="16" x14ac:dyDescent="0.2">
      <c r="A317" s="7" t="s">
        <v>9</v>
      </c>
      <c r="B317" s="7" t="s">
        <v>459</v>
      </c>
      <c r="C317" s="7" t="s">
        <v>21</v>
      </c>
      <c r="D317" s="7" t="s">
        <v>460</v>
      </c>
      <c r="E317" s="8" t="s">
        <v>461</v>
      </c>
      <c r="F317" s="8" t="s">
        <v>462</v>
      </c>
      <c r="G317" s="9">
        <v>36744.51</v>
      </c>
      <c r="H317" s="9">
        <v>1554.2199999999998</v>
      </c>
      <c r="I317" s="9">
        <v>8456.52</v>
      </c>
      <c r="J317" s="9">
        <v>46755.250000000007</v>
      </c>
    </row>
    <row r="318" spans="1:10" ht="16" x14ac:dyDescent="0.2">
      <c r="A318" s="7" t="s">
        <v>15</v>
      </c>
      <c r="B318" s="7" t="s">
        <v>468</v>
      </c>
      <c r="C318" s="7" t="s">
        <v>21</v>
      </c>
      <c r="D318" s="7" t="s">
        <v>168</v>
      </c>
      <c r="E318" s="8" t="s">
        <v>288</v>
      </c>
      <c r="F318" s="8" t="s">
        <v>19</v>
      </c>
      <c r="G318" s="9">
        <v>36637.760000000002</v>
      </c>
      <c r="H318" s="9">
        <v>2875.1000000000004</v>
      </c>
      <c r="I318" s="9">
        <v>6509.36</v>
      </c>
      <c r="J318" s="9">
        <v>46022.220000000008</v>
      </c>
    </row>
    <row r="319" spans="1:10" ht="16" x14ac:dyDescent="0.2">
      <c r="A319" s="7" t="s">
        <v>15</v>
      </c>
      <c r="B319" s="7" t="s">
        <v>474</v>
      </c>
      <c r="C319" s="7" t="s">
        <v>21</v>
      </c>
      <c r="D319" s="7" t="s">
        <v>168</v>
      </c>
      <c r="E319" s="8" t="s">
        <v>475</v>
      </c>
      <c r="F319" s="8" t="s">
        <v>19</v>
      </c>
      <c r="G319" s="9">
        <v>36859.719999999994</v>
      </c>
      <c r="H319" s="9">
        <v>1420.3</v>
      </c>
      <c r="I319" s="9">
        <v>7608.6599999999989</v>
      </c>
      <c r="J319" s="9">
        <v>45888.680000000008</v>
      </c>
    </row>
    <row r="320" spans="1:10" ht="16" x14ac:dyDescent="0.2">
      <c r="A320" s="7" t="s">
        <v>15</v>
      </c>
      <c r="B320" s="7" t="s">
        <v>481</v>
      </c>
      <c r="C320" s="7" t="s">
        <v>21</v>
      </c>
      <c r="D320" s="7" t="s">
        <v>168</v>
      </c>
      <c r="E320" s="8" t="s">
        <v>482</v>
      </c>
      <c r="F320" s="8" t="s">
        <v>19</v>
      </c>
      <c r="G320" s="9">
        <v>36236.810000000005</v>
      </c>
      <c r="H320" s="9">
        <v>1890.7399999999998</v>
      </c>
      <c r="I320" s="9">
        <v>7594.86</v>
      </c>
      <c r="J320" s="9">
        <v>45722.409999999996</v>
      </c>
    </row>
    <row r="321" spans="1:10" ht="16" x14ac:dyDescent="0.2">
      <c r="A321" s="7" t="s">
        <v>9</v>
      </c>
      <c r="B321" s="7" t="s">
        <v>483</v>
      </c>
      <c r="C321" s="7" t="s">
        <v>21</v>
      </c>
      <c r="D321" s="7" t="s">
        <v>484</v>
      </c>
      <c r="E321" s="8" t="s">
        <v>485</v>
      </c>
      <c r="F321" s="8" t="s">
        <v>486</v>
      </c>
      <c r="G321" s="9">
        <v>45296.799999999981</v>
      </c>
      <c r="H321" s="9"/>
      <c r="I321" s="9">
        <v>336</v>
      </c>
      <c r="J321" s="9">
        <v>45632.799999999981</v>
      </c>
    </row>
    <row r="322" spans="1:10" ht="16" x14ac:dyDescent="0.2">
      <c r="A322" s="7" t="s">
        <v>15</v>
      </c>
      <c r="B322" s="7" t="s">
        <v>492</v>
      </c>
      <c r="C322" s="7" t="s">
        <v>21</v>
      </c>
      <c r="D322" s="7" t="s">
        <v>168</v>
      </c>
      <c r="E322" s="8" t="s">
        <v>493</v>
      </c>
      <c r="F322" s="8" t="s">
        <v>19</v>
      </c>
      <c r="G322" s="9">
        <v>35283.950000000004</v>
      </c>
      <c r="H322" s="9">
        <v>3016.1499999999996</v>
      </c>
      <c r="I322" s="9">
        <v>7105.88</v>
      </c>
      <c r="J322" s="9">
        <v>45405.98000000001</v>
      </c>
    </row>
    <row r="323" spans="1:10" ht="16" x14ac:dyDescent="0.2">
      <c r="A323" s="7" t="s">
        <v>9</v>
      </c>
      <c r="B323" s="7" t="s">
        <v>530</v>
      </c>
      <c r="C323" s="7" t="s">
        <v>21</v>
      </c>
      <c r="D323" s="7" t="s">
        <v>168</v>
      </c>
      <c r="E323" s="8" t="s">
        <v>502</v>
      </c>
      <c r="F323" s="8" t="s">
        <v>531</v>
      </c>
      <c r="G323" s="9">
        <v>32010.06</v>
      </c>
      <c r="H323" s="9">
        <v>2230.6299999999997</v>
      </c>
      <c r="I323" s="9">
        <v>8784.510000000002</v>
      </c>
      <c r="J323" s="9">
        <v>43025.19999999999</v>
      </c>
    </row>
    <row r="324" spans="1:10" ht="16" x14ac:dyDescent="0.2">
      <c r="A324" s="7" t="s">
        <v>15</v>
      </c>
      <c r="B324" s="7" t="s">
        <v>568</v>
      </c>
      <c r="C324" s="7" t="s">
        <v>21</v>
      </c>
      <c r="D324" s="7" t="s">
        <v>439</v>
      </c>
      <c r="E324" s="8" t="s">
        <v>264</v>
      </c>
      <c r="F324" s="8" t="s">
        <v>19</v>
      </c>
      <c r="G324" s="9">
        <v>31537.33</v>
      </c>
      <c r="H324" s="9">
        <v>2349.1200000000003</v>
      </c>
      <c r="I324" s="9">
        <v>6530.66</v>
      </c>
      <c r="J324" s="9">
        <v>40417.109999999993</v>
      </c>
    </row>
    <row r="325" spans="1:10" ht="16" x14ac:dyDescent="0.2">
      <c r="A325" s="7" t="s">
        <v>15</v>
      </c>
      <c r="B325" s="7" t="s">
        <v>597</v>
      </c>
      <c r="C325" s="7" t="s">
        <v>21</v>
      </c>
      <c r="D325" s="7" t="s">
        <v>439</v>
      </c>
      <c r="E325" s="8" t="s">
        <v>598</v>
      </c>
      <c r="F325" s="8" t="s">
        <v>19</v>
      </c>
      <c r="G325" s="9">
        <v>30922.190000000002</v>
      </c>
      <c r="H325" s="9">
        <v>1969.6699999999996</v>
      </c>
      <c r="I325" s="9">
        <v>5717.49</v>
      </c>
      <c r="J325" s="9">
        <v>38609.35</v>
      </c>
    </row>
    <row r="326" spans="1:10" ht="16" x14ac:dyDescent="0.2">
      <c r="A326" s="7" t="s">
        <v>9</v>
      </c>
      <c r="B326" s="7" t="s">
        <v>629</v>
      </c>
      <c r="C326" s="7" t="s">
        <v>21</v>
      </c>
      <c r="D326" s="7" t="s">
        <v>484</v>
      </c>
      <c r="E326" s="8" t="s">
        <v>630</v>
      </c>
      <c r="F326" s="8" t="s">
        <v>631</v>
      </c>
      <c r="G326" s="9">
        <v>27354.410000000003</v>
      </c>
      <c r="H326" s="9">
        <v>649.06000000000006</v>
      </c>
      <c r="I326" s="9">
        <v>7792.68</v>
      </c>
      <c r="J326" s="9">
        <v>35796.15</v>
      </c>
    </row>
    <row r="327" spans="1:10" ht="16" x14ac:dyDescent="0.2">
      <c r="A327" s="7" t="s">
        <v>9</v>
      </c>
      <c r="B327" s="7" t="s">
        <v>633</v>
      </c>
      <c r="C327" s="7" t="s">
        <v>21</v>
      </c>
      <c r="D327" s="7" t="s">
        <v>153</v>
      </c>
      <c r="E327" s="8" t="s">
        <v>144</v>
      </c>
      <c r="F327" s="8" t="s">
        <v>634</v>
      </c>
      <c r="G327" s="9">
        <v>15564</v>
      </c>
      <c r="H327" s="9"/>
      <c r="I327" s="9">
        <v>18903.93</v>
      </c>
      <c r="J327" s="9">
        <v>34467.93</v>
      </c>
    </row>
    <row r="328" spans="1:10" ht="16" x14ac:dyDescent="0.2">
      <c r="A328" s="7" t="s">
        <v>15</v>
      </c>
      <c r="B328" s="7" t="s">
        <v>635</v>
      </c>
      <c r="C328" s="7" t="s">
        <v>21</v>
      </c>
      <c r="D328" s="7" t="s">
        <v>558</v>
      </c>
      <c r="E328" s="8" t="s">
        <v>583</v>
      </c>
      <c r="F328" s="8" t="s">
        <v>19</v>
      </c>
      <c r="G328" s="9">
        <v>27499.82</v>
      </c>
      <c r="H328" s="9">
        <v>366.03000000000003</v>
      </c>
      <c r="I328" s="9">
        <v>6375.65</v>
      </c>
      <c r="J328" s="9">
        <v>34241.5</v>
      </c>
    </row>
    <row r="329" spans="1:10" ht="16" x14ac:dyDescent="0.2">
      <c r="A329" s="7" t="s">
        <v>15</v>
      </c>
      <c r="B329" s="7" t="s">
        <v>639</v>
      </c>
      <c r="C329" s="7" t="s">
        <v>21</v>
      </c>
      <c r="D329" s="7" t="s">
        <v>640</v>
      </c>
      <c r="E329" s="8" t="s">
        <v>641</v>
      </c>
      <c r="F329" s="8" t="s">
        <v>19</v>
      </c>
      <c r="G329" s="9">
        <v>28281.49</v>
      </c>
      <c r="H329" s="9">
        <v>915.88</v>
      </c>
      <c r="I329" s="9">
        <v>4952.33</v>
      </c>
      <c r="J329" s="9">
        <v>34149.699999999997</v>
      </c>
    </row>
    <row r="330" spans="1:10" ht="16" x14ac:dyDescent="0.2">
      <c r="A330" s="7" t="s">
        <v>9</v>
      </c>
      <c r="B330" s="7" t="s">
        <v>647</v>
      </c>
      <c r="C330" s="7" t="s">
        <v>21</v>
      </c>
      <c r="D330" s="7" t="s">
        <v>484</v>
      </c>
      <c r="E330" s="8" t="s">
        <v>648</v>
      </c>
      <c r="F330" s="8" t="s">
        <v>649</v>
      </c>
      <c r="G330" s="9">
        <v>27383.850000000002</v>
      </c>
      <c r="H330" s="9">
        <v>560.84</v>
      </c>
      <c r="I330" s="9">
        <v>5895.5400000000009</v>
      </c>
      <c r="J330" s="9">
        <v>33840.229999999996</v>
      </c>
    </row>
    <row r="331" spans="1:10" ht="16" x14ac:dyDescent="0.2">
      <c r="A331" s="7" t="s">
        <v>9</v>
      </c>
      <c r="B331" s="7" t="s">
        <v>687</v>
      </c>
      <c r="C331" s="7" t="s">
        <v>21</v>
      </c>
      <c r="D331" s="7" t="s">
        <v>484</v>
      </c>
      <c r="E331" s="8" t="s">
        <v>431</v>
      </c>
      <c r="F331" s="8" t="s">
        <v>688</v>
      </c>
      <c r="G331" s="9">
        <v>24062.65</v>
      </c>
      <c r="H331" s="9">
        <v>1352.93</v>
      </c>
      <c r="I331" s="9">
        <v>6790.6500000000005</v>
      </c>
      <c r="J331" s="9">
        <v>32206.23</v>
      </c>
    </row>
    <row r="332" spans="1:10" ht="16" x14ac:dyDescent="0.2">
      <c r="A332" s="7" t="s">
        <v>15</v>
      </c>
      <c r="B332" s="7" t="s">
        <v>698</v>
      </c>
      <c r="C332" s="7" t="s">
        <v>21</v>
      </c>
      <c r="D332" s="7" t="s">
        <v>484</v>
      </c>
      <c r="E332" s="8" t="s">
        <v>360</v>
      </c>
      <c r="F332" s="8" t="s">
        <v>19</v>
      </c>
      <c r="G332" s="9">
        <v>26654.799999999999</v>
      </c>
      <c r="H332" s="9">
        <v>502.54</v>
      </c>
      <c r="I332" s="9">
        <v>4672.1000000000004</v>
      </c>
      <c r="J332" s="9">
        <v>31829.439999999999</v>
      </c>
    </row>
    <row r="333" spans="1:10" ht="16" x14ac:dyDescent="0.2">
      <c r="A333" s="7" t="s">
        <v>15</v>
      </c>
      <c r="B333" s="7" t="s">
        <v>704</v>
      </c>
      <c r="C333" s="7" t="s">
        <v>21</v>
      </c>
      <c r="D333" s="7" t="s">
        <v>640</v>
      </c>
      <c r="E333" s="8" t="s">
        <v>504</v>
      </c>
      <c r="F333" s="8" t="s">
        <v>19</v>
      </c>
      <c r="G333" s="9">
        <v>26045.88</v>
      </c>
      <c r="H333" s="9">
        <v>423.7999999999999</v>
      </c>
      <c r="I333" s="9">
        <v>5107.6600000000017</v>
      </c>
      <c r="J333" s="9">
        <v>31577.34</v>
      </c>
    </row>
    <row r="334" spans="1:10" ht="16" x14ac:dyDescent="0.2">
      <c r="A334" s="7" t="s">
        <v>9</v>
      </c>
      <c r="B334" s="7" t="s">
        <v>705</v>
      </c>
      <c r="C334" s="7" t="s">
        <v>21</v>
      </c>
      <c r="D334" s="7" t="s">
        <v>484</v>
      </c>
      <c r="E334" s="8" t="s">
        <v>504</v>
      </c>
      <c r="F334" s="8" t="s">
        <v>706</v>
      </c>
      <c r="G334" s="9">
        <v>23967.969999999998</v>
      </c>
      <c r="H334" s="9">
        <v>368.02</v>
      </c>
      <c r="I334" s="9">
        <v>6915.62</v>
      </c>
      <c r="J334" s="9">
        <v>31251.61</v>
      </c>
    </row>
    <row r="335" spans="1:10" ht="16" x14ac:dyDescent="0.2">
      <c r="A335" s="7" t="s">
        <v>15</v>
      </c>
      <c r="B335" s="7" t="s">
        <v>735</v>
      </c>
      <c r="C335" s="7" t="s">
        <v>21</v>
      </c>
      <c r="D335" s="7" t="s">
        <v>484</v>
      </c>
      <c r="E335" s="8" t="s">
        <v>518</v>
      </c>
      <c r="F335" s="8" t="s">
        <v>19</v>
      </c>
      <c r="G335" s="9">
        <v>25407.610000000004</v>
      </c>
      <c r="H335" s="9">
        <v>1137.8900000000001</v>
      </c>
      <c r="I335" s="9">
        <v>3324.9100000000003</v>
      </c>
      <c r="J335" s="9">
        <v>29870.410000000003</v>
      </c>
    </row>
    <row r="336" spans="1:10" ht="16" x14ac:dyDescent="0.2">
      <c r="A336" s="7" t="s">
        <v>9</v>
      </c>
      <c r="B336" s="7" t="s">
        <v>737</v>
      </c>
      <c r="C336" s="7" t="s">
        <v>21</v>
      </c>
      <c r="D336" s="7" t="s">
        <v>484</v>
      </c>
      <c r="E336" s="8" t="s">
        <v>360</v>
      </c>
      <c r="F336" s="8" t="s">
        <v>738</v>
      </c>
      <c r="G336" s="9">
        <v>17908.330000000005</v>
      </c>
      <c r="H336" s="9">
        <v>377.57999999999993</v>
      </c>
      <c r="I336" s="9">
        <v>11116.960000000001</v>
      </c>
      <c r="J336" s="9">
        <v>29402.870000000003</v>
      </c>
    </row>
    <row r="337" spans="1:10" ht="16" x14ac:dyDescent="0.2">
      <c r="A337" s="7" t="s">
        <v>15</v>
      </c>
      <c r="B337" s="7" t="s">
        <v>743</v>
      </c>
      <c r="C337" s="7" t="s">
        <v>21</v>
      </c>
      <c r="D337" s="7" t="s">
        <v>551</v>
      </c>
      <c r="E337" s="8" t="s">
        <v>453</v>
      </c>
      <c r="F337" s="8" t="s">
        <v>19</v>
      </c>
      <c r="G337" s="9">
        <v>22822.959999999999</v>
      </c>
      <c r="H337" s="9">
        <v>2076.77</v>
      </c>
      <c r="I337" s="9">
        <v>3761.2799999999997</v>
      </c>
      <c r="J337" s="9">
        <v>28661.01</v>
      </c>
    </row>
    <row r="338" spans="1:10" ht="16" x14ac:dyDescent="0.2">
      <c r="A338" s="7" t="s">
        <v>9</v>
      </c>
      <c r="B338" s="7" t="s">
        <v>756</v>
      </c>
      <c r="C338" s="7" t="s">
        <v>21</v>
      </c>
      <c r="D338" s="7" t="s">
        <v>757</v>
      </c>
      <c r="E338" s="8" t="s">
        <v>493</v>
      </c>
      <c r="F338" s="8" t="s">
        <v>758</v>
      </c>
      <c r="G338" s="9">
        <v>21633.620000000003</v>
      </c>
      <c r="H338" s="9">
        <v>2296.2600000000002</v>
      </c>
      <c r="I338" s="9">
        <v>4422.41</v>
      </c>
      <c r="J338" s="9">
        <v>28352.29</v>
      </c>
    </row>
    <row r="339" spans="1:10" ht="16" x14ac:dyDescent="0.2">
      <c r="A339" s="7" t="s">
        <v>15</v>
      </c>
      <c r="B339" s="7" t="s">
        <v>759</v>
      </c>
      <c r="C339" s="7" t="s">
        <v>21</v>
      </c>
      <c r="D339" s="7" t="s">
        <v>757</v>
      </c>
      <c r="E339" s="8" t="s">
        <v>473</v>
      </c>
      <c r="F339" s="8" t="s">
        <v>19</v>
      </c>
      <c r="G339" s="9">
        <v>22389.520000000004</v>
      </c>
      <c r="H339" s="9">
        <v>2624.1800000000003</v>
      </c>
      <c r="I339" s="9">
        <v>3305.2</v>
      </c>
      <c r="J339" s="9">
        <v>28318.9</v>
      </c>
    </row>
    <row r="340" spans="1:10" ht="16" x14ac:dyDescent="0.2">
      <c r="A340" s="7" t="s">
        <v>9</v>
      </c>
      <c r="B340" s="7" t="s">
        <v>760</v>
      </c>
      <c r="C340" s="7" t="s">
        <v>21</v>
      </c>
      <c r="D340" s="7" t="s">
        <v>757</v>
      </c>
      <c r="E340" s="8" t="s">
        <v>402</v>
      </c>
      <c r="F340" s="8" t="s">
        <v>761</v>
      </c>
      <c r="G340" s="9">
        <v>22584.099999999995</v>
      </c>
      <c r="H340" s="9">
        <v>1667.6599999999999</v>
      </c>
      <c r="I340" s="9">
        <v>4025.8499999999995</v>
      </c>
      <c r="J340" s="9">
        <v>28277.61</v>
      </c>
    </row>
    <row r="341" spans="1:10" ht="16" x14ac:dyDescent="0.2">
      <c r="A341" s="7" t="s">
        <v>9</v>
      </c>
      <c r="B341" s="7" t="s">
        <v>774</v>
      </c>
      <c r="C341" s="7" t="s">
        <v>21</v>
      </c>
      <c r="D341" s="7" t="s">
        <v>558</v>
      </c>
      <c r="E341" s="8" t="s">
        <v>502</v>
      </c>
      <c r="F341" s="8" t="s">
        <v>775</v>
      </c>
      <c r="G341" s="9">
        <v>24292.570000000003</v>
      </c>
      <c r="H341" s="9">
        <v>447.72</v>
      </c>
      <c r="I341" s="9">
        <v>2860.46</v>
      </c>
      <c r="J341" s="9">
        <v>27600.75</v>
      </c>
    </row>
    <row r="342" spans="1:10" ht="16" x14ac:dyDescent="0.2">
      <c r="A342" s="7" t="s">
        <v>9</v>
      </c>
      <c r="B342" s="7" t="s">
        <v>850</v>
      </c>
      <c r="C342" s="7" t="s">
        <v>21</v>
      </c>
      <c r="D342" s="7" t="s">
        <v>558</v>
      </c>
      <c r="E342" s="8" t="s">
        <v>851</v>
      </c>
      <c r="F342" s="8" t="s">
        <v>852</v>
      </c>
      <c r="G342" s="9">
        <v>9621.31</v>
      </c>
      <c r="H342" s="9">
        <v>125.24000000000001</v>
      </c>
      <c r="I342" s="9">
        <v>12712.119999999999</v>
      </c>
      <c r="J342" s="9">
        <v>22458.67</v>
      </c>
    </row>
    <row r="343" spans="1:10" ht="16" x14ac:dyDescent="0.2">
      <c r="A343" s="7" t="s">
        <v>9</v>
      </c>
      <c r="B343" s="7" t="s">
        <v>859</v>
      </c>
      <c r="C343" s="7" t="s">
        <v>21</v>
      </c>
      <c r="D343" s="7" t="s">
        <v>860</v>
      </c>
      <c r="E343" s="8" t="s">
        <v>861</v>
      </c>
      <c r="F343" s="8" t="s">
        <v>122</v>
      </c>
      <c r="G343" s="9">
        <v>19575.22</v>
      </c>
      <c r="H343" s="9">
        <v>191.26000000000002</v>
      </c>
      <c r="I343" s="9">
        <v>2236.2000000000003</v>
      </c>
      <c r="J343" s="9">
        <v>22002.68</v>
      </c>
    </row>
    <row r="344" spans="1:10" ht="16" x14ac:dyDescent="0.2">
      <c r="A344" s="7" t="s">
        <v>15</v>
      </c>
      <c r="B344" s="7" t="s">
        <v>863</v>
      </c>
      <c r="C344" s="7" t="s">
        <v>21</v>
      </c>
      <c r="D344" s="7" t="s">
        <v>864</v>
      </c>
      <c r="E344" s="8" t="s">
        <v>865</v>
      </c>
      <c r="F344" s="8" t="s">
        <v>19</v>
      </c>
      <c r="G344" s="9">
        <v>18392.729999999996</v>
      </c>
      <c r="H344" s="9">
        <v>941.93000000000006</v>
      </c>
      <c r="I344" s="9">
        <v>2447.5500000000002</v>
      </c>
      <c r="J344" s="9">
        <v>21782.209999999992</v>
      </c>
    </row>
    <row r="345" spans="1:10" ht="16" x14ac:dyDescent="0.2">
      <c r="A345" s="7" t="s">
        <v>9</v>
      </c>
      <c r="B345" s="7" t="s">
        <v>874</v>
      </c>
      <c r="C345" s="7" t="s">
        <v>21</v>
      </c>
      <c r="D345" s="7" t="s">
        <v>875</v>
      </c>
      <c r="E345" s="8" t="s">
        <v>793</v>
      </c>
      <c r="F345" s="8" t="s">
        <v>354</v>
      </c>
      <c r="G345" s="9">
        <v>18204.66</v>
      </c>
      <c r="H345" s="9">
        <v>181.94999999999996</v>
      </c>
      <c r="I345" s="9">
        <v>2860.3199999999997</v>
      </c>
      <c r="J345" s="9">
        <v>21246.93</v>
      </c>
    </row>
    <row r="346" spans="1:10" ht="16" x14ac:dyDescent="0.2">
      <c r="A346" s="7" t="s">
        <v>15</v>
      </c>
      <c r="B346" s="7" t="s">
        <v>879</v>
      </c>
      <c r="C346" s="7" t="s">
        <v>21</v>
      </c>
      <c r="D346" s="7" t="s">
        <v>443</v>
      </c>
      <c r="E346" s="8" t="s">
        <v>300</v>
      </c>
      <c r="F346" s="8" t="s">
        <v>19</v>
      </c>
      <c r="G346" s="9">
        <v>18817.009999999998</v>
      </c>
      <c r="H346" s="9">
        <v>1.95</v>
      </c>
      <c r="I346" s="9">
        <v>522.04</v>
      </c>
      <c r="J346" s="9">
        <v>19341</v>
      </c>
    </row>
    <row r="347" spans="1:10" ht="16" x14ac:dyDescent="0.2">
      <c r="A347" s="7" t="s">
        <v>9</v>
      </c>
      <c r="B347" s="7" t="s">
        <v>884</v>
      </c>
      <c r="C347" s="7" t="s">
        <v>21</v>
      </c>
      <c r="D347" s="7" t="s">
        <v>885</v>
      </c>
      <c r="E347" s="8" t="s">
        <v>886</v>
      </c>
      <c r="F347" s="8" t="s">
        <v>887</v>
      </c>
      <c r="G347" s="9">
        <v>7489.57</v>
      </c>
      <c r="H347" s="9">
        <v>350.04</v>
      </c>
      <c r="I347" s="9">
        <v>9236.33</v>
      </c>
      <c r="J347" s="9">
        <v>17075.940000000002</v>
      </c>
    </row>
    <row r="348" spans="1:10" ht="16" x14ac:dyDescent="0.2">
      <c r="A348" s="7" t="s">
        <v>15</v>
      </c>
      <c r="B348" s="7" t="s">
        <v>897</v>
      </c>
      <c r="C348" s="7" t="s">
        <v>21</v>
      </c>
      <c r="D348" s="7" t="s">
        <v>168</v>
      </c>
      <c r="E348" s="8" t="s">
        <v>665</v>
      </c>
      <c r="F348" s="8" t="s">
        <v>19</v>
      </c>
      <c r="G348" s="9">
        <v>14179.4</v>
      </c>
      <c r="H348" s="9">
        <v>1123.28</v>
      </c>
      <c r="I348" s="9">
        <v>1076.8</v>
      </c>
      <c r="J348" s="9">
        <v>16379.48</v>
      </c>
    </row>
    <row r="349" spans="1:10" ht="16" x14ac:dyDescent="0.2">
      <c r="A349" s="7" t="s">
        <v>15</v>
      </c>
      <c r="B349" s="7" t="s">
        <v>898</v>
      </c>
      <c r="C349" s="7" t="s">
        <v>21</v>
      </c>
      <c r="D349" s="7" t="s">
        <v>484</v>
      </c>
      <c r="E349" s="8" t="s">
        <v>899</v>
      </c>
      <c r="F349" s="8" t="s">
        <v>19</v>
      </c>
      <c r="G349" s="9">
        <v>14780.619999999999</v>
      </c>
      <c r="H349" s="9">
        <v>263.39999999999998</v>
      </c>
      <c r="I349" s="9">
        <v>1172.0900000000001</v>
      </c>
      <c r="J349" s="9">
        <v>16216.110000000002</v>
      </c>
    </row>
    <row r="350" spans="1:10" ht="16" x14ac:dyDescent="0.2">
      <c r="A350" s="7" t="s">
        <v>9</v>
      </c>
      <c r="B350" s="7" t="s">
        <v>909</v>
      </c>
      <c r="C350" s="7" t="s">
        <v>21</v>
      </c>
      <c r="D350" s="7" t="s">
        <v>885</v>
      </c>
      <c r="E350" s="8" t="s">
        <v>910</v>
      </c>
      <c r="F350" s="8" t="s">
        <v>826</v>
      </c>
      <c r="G350" s="9">
        <v>7515.24</v>
      </c>
      <c r="H350" s="9"/>
      <c r="I350" s="9">
        <v>7243.51</v>
      </c>
      <c r="J350" s="9">
        <v>14758.75</v>
      </c>
    </row>
    <row r="351" spans="1:10" ht="16" x14ac:dyDescent="0.2">
      <c r="A351" s="7" t="s">
        <v>9</v>
      </c>
      <c r="B351" s="7" t="s">
        <v>916</v>
      </c>
      <c r="C351" s="7" t="s">
        <v>21</v>
      </c>
      <c r="D351" s="7" t="s">
        <v>864</v>
      </c>
      <c r="E351" s="8" t="s">
        <v>917</v>
      </c>
      <c r="F351" s="8" t="s">
        <v>918</v>
      </c>
      <c r="G351" s="9">
        <v>12808.820000000002</v>
      </c>
      <c r="H351" s="9">
        <v>860.45999999999992</v>
      </c>
      <c r="I351" s="9">
        <v>436.10999999999996</v>
      </c>
      <c r="J351" s="9">
        <v>14105.39</v>
      </c>
    </row>
    <row r="352" spans="1:10" ht="16" x14ac:dyDescent="0.2">
      <c r="A352" s="7" t="s">
        <v>9</v>
      </c>
      <c r="B352" s="7" t="s">
        <v>919</v>
      </c>
      <c r="C352" s="7" t="s">
        <v>21</v>
      </c>
      <c r="D352" s="7" t="s">
        <v>484</v>
      </c>
      <c r="E352" s="8" t="s">
        <v>920</v>
      </c>
      <c r="F352" s="8" t="s">
        <v>921</v>
      </c>
      <c r="G352" s="9">
        <v>12633.27</v>
      </c>
      <c r="H352" s="9"/>
      <c r="I352" s="9">
        <v>1364.08</v>
      </c>
      <c r="J352" s="9">
        <v>13997.35</v>
      </c>
    </row>
    <row r="353" spans="1:10" ht="16" x14ac:dyDescent="0.2">
      <c r="A353" s="7" t="s">
        <v>9</v>
      </c>
      <c r="B353" s="7" t="s">
        <v>936</v>
      </c>
      <c r="C353" s="7" t="s">
        <v>21</v>
      </c>
      <c r="D353" s="7" t="s">
        <v>168</v>
      </c>
      <c r="E353" s="8" t="s">
        <v>937</v>
      </c>
      <c r="F353" s="8" t="s">
        <v>938</v>
      </c>
      <c r="G353" s="9">
        <v>10857.710000000001</v>
      </c>
      <c r="H353" s="9">
        <v>1107.53</v>
      </c>
      <c r="I353" s="9">
        <v>619.52</v>
      </c>
      <c r="J353" s="9">
        <v>12584.759999999998</v>
      </c>
    </row>
    <row r="354" spans="1:10" ht="16" x14ac:dyDescent="0.2">
      <c r="A354" s="7" t="s">
        <v>9</v>
      </c>
      <c r="B354" s="7" t="s">
        <v>941</v>
      </c>
      <c r="C354" s="7" t="s">
        <v>21</v>
      </c>
      <c r="D354" s="7" t="s">
        <v>484</v>
      </c>
      <c r="E354" s="8" t="s">
        <v>942</v>
      </c>
      <c r="F354" s="8" t="s">
        <v>943</v>
      </c>
      <c r="G354" s="9">
        <v>11501.29</v>
      </c>
      <c r="H354" s="9">
        <v>61.640000000000008</v>
      </c>
      <c r="I354" s="9">
        <v>791.96</v>
      </c>
      <c r="J354" s="9">
        <v>12354.889999999998</v>
      </c>
    </row>
    <row r="355" spans="1:10" ht="16" x14ac:dyDescent="0.2">
      <c r="A355" s="7" t="s">
        <v>9</v>
      </c>
      <c r="B355" s="7" t="s">
        <v>944</v>
      </c>
      <c r="C355" s="7" t="s">
        <v>21</v>
      </c>
      <c r="D355" s="7" t="s">
        <v>860</v>
      </c>
      <c r="E355" s="8" t="s">
        <v>728</v>
      </c>
      <c r="F355" s="8" t="s">
        <v>945</v>
      </c>
      <c r="G355" s="9">
        <v>11707.380000000003</v>
      </c>
      <c r="H355" s="9"/>
      <c r="I355" s="9">
        <v>285.76</v>
      </c>
      <c r="J355" s="9">
        <v>11993.140000000001</v>
      </c>
    </row>
    <row r="356" spans="1:10" ht="16" x14ac:dyDescent="0.2">
      <c r="A356" s="7" t="s">
        <v>9</v>
      </c>
      <c r="B356" s="7" t="s">
        <v>956</v>
      </c>
      <c r="C356" s="7" t="s">
        <v>21</v>
      </c>
      <c r="D356" s="7" t="s">
        <v>957</v>
      </c>
      <c r="E356" s="8" t="s">
        <v>958</v>
      </c>
      <c r="F356" s="8" t="s">
        <v>959</v>
      </c>
      <c r="G356" s="9">
        <v>5616</v>
      </c>
      <c r="H356" s="9"/>
      <c r="I356" s="9">
        <v>5015.3999999999996</v>
      </c>
      <c r="J356" s="9">
        <v>10631.4</v>
      </c>
    </row>
    <row r="357" spans="1:10" ht="16" x14ac:dyDescent="0.2">
      <c r="A357" s="7" t="s">
        <v>9</v>
      </c>
      <c r="B357" s="7" t="s">
        <v>961</v>
      </c>
      <c r="C357" s="7" t="s">
        <v>21</v>
      </c>
      <c r="D357" s="7" t="s">
        <v>962</v>
      </c>
      <c r="E357" s="8" t="s">
        <v>963</v>
      </c>
      <c r="F357" s="8" t="s">
        <v>964</v>
      </c>
      <c r="G357" s="9">
        <v>5576.2300000000005</v>
      </c>
      <c r="H357" s="9">
        <v>990.87</v>
      </c>
      <c r="I357" s="9">
        <v>3639.3499999999995</v>
      </c>
      <c r="J357" s="9">
        <v>10206.450000000001</v>
      </c>
    </row>
    <row r="358" spans="1:10" ht="16" x14ac:dyDescent="0.2">
      <c r="A358" s="7" t="s">
        <v>15</v>
      </c>
      <c r="B358" s="7" t="s">
        <v>975</v>
      </c>
      <c r="C358" s="7" t="s">
        <v>21</v>
      </c>
      <c r="D358" s="7" t="s">
        <v>875</v>
      </c>
      <c r="E358" s="8" t="s">
        <v>970</v>
      </c>
      <c r="F358" s="8" t="s">
        <v>19</v>
      </c>
      <c r="G358" s="9">
        <v>6918.55</v>
      </c>
      <c r="H358" s="9">
        <v>576.96999999999991</v>
      </c>
      <c r="I358" s="9">
        <v>220.37</v>
      </c>
      <c r="J358" s="9">
        <v>7715.89</v>
      </c>
    </row>
    <row r="359" spans="1:10" ht="16" x14ac:dyDescent="0.2">
      <c r="A359" s="7" t="s">
        <v>9</v>
      </c>
      <c r="B359" s="7" t="s">
        <v>998</v>
      </c>
      <c r="C359" s="7" t="s">
        <v>21</v>
      </c>
      <c r="D359" s="7" t="s">
        <v>962</v>
      </c>
      <c r="E359" s="8" t="s">
        <v>999</v>
      </c>
      <c r="F359" s="8" t="s">
        <v>1000</v>
      </c>
      <c r="G359" s="9">
        <v>3206.36</v>
      </c>
      <c r="H359" s="9">
        <v>806.56999999999994</v>
      </c>
      <c r="I359" s="9">
        <v>1791.5300000000002</v>
      </c>
      <c r="J359" s="9">
        <v>5804.46</v>
      </c>
    </row>
    <row r="360" spans="1:10" ht="16" x14ac:dyDescent="0.2">
      <c r="A360" s="7" t="s">
        <v>9</v>
      </c>
      <c r="B360" s="7" t="s">
        <v>1001</v>
      </c>
      <c r="C360" s="7" t="s">
        <v>21</v>
      </c>
      <c r="D360" s="7" t="s">
        <v>957</v>
      </c>
      <c r="E360" s="8" t="s">
        <v>294</v>
      </c>
      <c r="F360" s="8" t="s">
        <v>1002</v>
      </c>
      <c r="G360" s="9">
        <v>2995.2000000000003</v>
      </c>
      <c r="H360" s="9"/>
      <c r="I360" s="9">
        <v>2613</v>
      </c>
      <c r="J360" s="9">
        <v>5608.1999999999989</v>
      </c>
    </row>
    <row r="361" spans="1:10" ht="16" x14ac:dyDescent="0.2">
      <c r="A361" s="7" t="s">
        <v>9</v>
      </c>
      <c r="B361" s="7" t="s">
        <v>1010</v>
      </c>
      <c r="C361" s="7" t="s">
        <v>21</v>
      </c>
      <c r="D361" s="7" t="s">
        <v>962</v>
      </c>
      <c r="E361" s="8" t="s">
        <v>868</v>
      </c>
      <c r="F361" s="8" t="s">
        <v>1011</v>
      </c>
      <c r="G361" s="9">
        <v>4124.82</v>
      </c>
      <c r="H361" s="9">
        <v>95.1</v>
      </c>
      <c r="I361" s="9">
        <v>903.31000000000006</v>
      </c>
      <c r="J361" s="9">
        <v>5123.2299999999996</v>
      </c>
    </row>
    <row r="362" spans="1:10" ht="16" x14ac:dyDescent="0.2">
      <c r="A362" s="7" t="s">
        <v>9</v>
      </c>
      <c r="B362" s="7" t="s">
        <v>1018</v>
      </c>
      <c r="C362" s="7" t="s">
        <v>21</v>
      </c>
      <c r="D362" s="7" t="s">
        <v>484</v>
      </c>
      <c r="E362" s="8" t="s">
        <v>89</v>
      </c>
      <c r="F362" s="8" t="s">
        <v>1019</v>
      </c>
      <c r="G362" s="9">
        <v>3454.79</v>
      </c>
      <c r="H362" s="9">
        <v>62.25</v>
      </c>
      <c r="I362" s="9">
        <v>826.05</v>
      </c>
      <c r="J362" s="9">
        <v>4343.09</v>
      </c>
    </row>
    <row r="363" spans="1:10" ht="16" x14ac:dyDescent="0.2">
      <c r="A363" s="7" t="s">
        <v>15</v>
      </c>
      <c r="B363" s="7" t="s">
        <v>1022</v>
      </c>
      <c r="C363" s="7" t="s">
        <v>21</v>
      </c>
      <c r="D363" s="7" t="s">
        <v>153</v>
      </c>
      <c r="E363" s="8" t="s">
        <v>1023</v>
      </c>
      <c r="F363" s="8" t="s">
        <v>19</v>
      </c>
      <c r="G363" s="9"/>
      <c r="H363" s="9"/>
      <c r="I363" s="9">
        <v>4130</v>
      </c>
      <c r="J363" s="9">
        <v>4130</v>
      </c>
    </row>
    <row r="364" spans="1:10" ht="16" x14ac:dyDescent="0.2">
      <c r="A364" s="7" t="s">
        <v>15</v>
      </c>
      <c r="B364" s="7" t="s">
        <v>1027</v>
      </c>
      <c r="C364" s="7" t="s">
        <v>21</v>
      </c>
      <c r="D364" s="7" t="s">
        <v>957</v>
      </c>
      <c r="E364" s="8" t="s">
        <v>288</v>
      </c>
      <c r="F364" s="8" t="s">
        <v>19</v>
      </c>
      <c r="G364" s="9">
        <v>1950</v>
      </c>
      <c r="H364" s="9"/>
      <c r="I364" s="9">
        <v>1770.6</v>
      </c>
      <c r="J364" s="9">
        <v>3720.6000000000008</v>
      </c>
    </row>
    <row r="365" spans="1:10" ht="16" x14ac:dyDescent="0.2">
      <c r="A365" s="7" t="s">
        <v>9</v>
      </c>
      <c r="B365" s="7" t="s">
        <v>1030</v>
      </c>
      <c r="C365" s="7" t="s">
        <v>21</v>
      </c>
      <c r="D365" s="7" t="s">
        <v>957</v>
      </c>
      <c r="E365" s="8" t="s">
        <v>1031</v>
      </c>
      <c r="F365" s="8" t="s">
        <v>1032</v>
      </c>
      <c r="G365" s="9">
        <v>1934.3999999999999</v>
      </c>
      <c r="H365" s="9"/>
      <c r="I365" s="9">
        <v>1739.4</v>
      </c>
      <c r="J365" s="9">
        <v>3673.8000000000006</v>
      </c>
    </row>
    <row r="366" spans="1:10" ht="16" x14ac:dyDescent="0.2">
      <c r="A366" s="7" t="s">
        <v>15</v>
      </c>
      <c r="B366" s="7" t="s">
        <v>1058</v>
      </c>
      <c r="C366" s="7" t="s">
        <v>21</v>
      </c>
      <c r="D366" s="7" t="s">
        <v>957</v>
      </c>
      <c r="E366" s="8" t="s">
        <v>1059</v>
      </c>
      <c r="F366" s="8" t="s">
        <v>19</v>
      </c>
      <c r="G366" s="9">
        <v>1591.2</v>
      </c>
      <c r="H366" s="9"/>
      <c r="I366" s="9">
        <v>1349.4</v>
      </c>
      <c r="J366" s="9">
        <v>2940.6</v>
      </c>
    </row>
    <row r="367" spans="1:10" ht="16" x14ac:dyDescent="0.2">
      <c r="A367" s="7" t="s">
        <v>15</v>
      </c>
      <c r="B367" s="7" t="s">
        <v>1061</v>
      </c>
      <c r="C367" s="7" t="s">
        <v>21</v>
      </c>
      <c r="D367" s="7" t="s">
        <v>957</v>
      </c>
      <c r="E367" s="8" t="s">
        <v>641</v>
      </c>
      <c r="F367" s="8" t="s">
        <v>19</v>
      </c>
      <c r="G367" s="9">
        <v>1450.8000000000002</v>
      </c>
      <c r="H367" s="9"/>
      <c r="I367" s="9">
        <v>1349.4</v>
      </c>
      <c r="J367" s="9">
        <v>2800.2</v>
      </c>
    </row>
    <row r="368" spans="1:10" ht="16" x14ac:dyDescent="0.2">
      <c r="A368" s="7" t="s">
        <v>15</v>
      </c>
      <c r="B368" s="7" t="s">
        <v>1062</v>
      </c>
      <c r="C368" s="7" t="s">
        <v>21</v>
      </c>
      <c r="D368" s="7" t="s">
        <v>957</v>
      </c>
      <c r="E368" s="8" t="s">
        <v>288</v>
      </c>
      <c r="F368" s="8" t="s">
        <v>19</v>
      </c>
      <c r="G368" s="9">
        <v>1443</v>
      </c>
      <c r="H368" s="9"/>
      <c r="I368" s="9">
        <v>1341.6</v>
      </c>
      <c r="J368" s="9">
        <v>2784.6</v>
      </c>
    </row>
    <row r="369" spans="1:10" ht="16" x14ac:dyDescent="0.2">
      <c r="A369" s="7" t="s">
        <v>9</v>
      </c>
      <c r="B369" s="7" t="s">
        <v>1063</v>
      </c>
      <c r="C369" s="7" t="s">
        <v>21</v>
      </c>
      <c r="D369" s="7" t="s">
        <v>957</v>
      </c>
      <c r="E369" s="8" t="s">
        <v>1064</v>
      </c>
      <c r="F369" s="8" t="s">
        <v>1065</v>
      </c>
      <c r="G369" s="9">
        <v>1450.8000000000002</v>
      </c>
      <c r="H369" s="9"/>
      <c r="I369" s="9">
        <v>1302.5999999999999</v>
      </c>
      <c r="J369" s="9">
        <v>2753.3999999999996</v>
      </c>
    </row>
    <row r="370" spans="1:10" ht="16" x14ac:dyDescent="0.2">
      <c r="A370" s="7" t="s">
        <v>15</v>
      </c>
      <c r="B370" s="7" t="s">
        <v>1066</v>
      </c>
      <c r="C370" s="7" t="s">
        <v>21</v>
      </c>
      <c r="D370" s="7" t="s">
        <v>957</v>
      </c>
      <c r="E370" s="8" t="s">
        <v>196</v>
      </c>
      <c r="F370" s="8" t="s">
        <v>19</v>
      </c>
      <c r="G370" s="9">
        <v>1439.1000000000001</v>
      </c>
      <c r="H370" s="9"/>
      <c r="I370" s="9">
        <v>1287</v>
      </c>
      <c r="J370" s="9">
        <v>2726.1</v>
      </c>
    </row>
    <row r="371" spans="1:10" ht="16" x14ac:dyDescent="0.2">
      <c r="A371" s="7" t="s">
        <v>9</v>
      </c>
      <c r="B371" s="7" t="s">
        <v>1067</v>
      </c>
      <c r="C371" s="7" t="s">
        <v>21</v>
      </c>
      <c r="D371" s="7" t="s">
        <v>957</v>
      </c>
      <c r="E371" s="8" t="s">
        <v>353</v>
      </c>
      <c r="F371" s="8" t="s">
        <v>1068</v>
      </c>
      <c r="G371" s="9">
        <v>1310.4000000000001</v>
      </c>
      <c r="H371" s="9"/>
      <c r="I371" s="9">
        <v>1357.2</v>
      </c>
      <c r="J371" s="9">
        <v>2667.6</v>
      </c>
    </row>
    <row r="372" spans="1:10" ht="16" x14ac:dyDescent="0.2">
      <c r="A372" s="7" t="s">
        <v>9</v>
      </c>
      <c r="B372" s="7" t="s">
        <v>1069</v>
      </c>
      <c r="C372" s="7" t="s">
        <v>21</v>
      </c>
      <c r="D372" s="7" t="s">
        <v>957</v>
      </c>
      <c r="E372" s="8" t="s">
        <v>1070</v>
      </c>
      <c r="F372" s="8" t="s">
        <v>1068</v>
      </c>
      <c r="G372" s="9">
        <v>1310.4000000000001</v>
      </c>
      <c r="H372" s="9"/>
      <c r="I372" s="9">
        <v>1357.2</v>
      </c>
      <c r="J372" s="9">
        <v>2667.6</v>
      </c>
    </row>
    <row r="373" spans="1:10" ht="16" x14ac:dyDescent="0.2">
      <c r="A373" s="7" t="s">
        <v>9</v>
      </c>
      <c r="B373" s="7" t="s">
        <v>1080</v>
      </c>
      <c r="C373" s="7" t="s">
        <v>21</v>
      </c>
      <c r="D373" s="7" t="s">
        <v>957</v>
      </c>
      <c r="E373" s="8" t="s">
        <v>826</v>
      </c>
      <c r="F373" s="8" t="s">
        <v>1081</v>
      </c>
      <c r="G373" s="9">
        <v>705.89999999999986</v>
      </c>
      <c r="H373" s="9"/>
      <c r="I373" s="9">
        <v>1411.8000000000002</v>
      </c>
      <c r="J373" s="9">
        <v>2117.7000000000003</v>
      </c>
    </row>
    <row r="374" spans="1:10" ht="16" x14ac:dyDescent="0.2">
      <c r="A374" s="7" t="s">
        <v>9</v>
      </c>
      <c r="B374" s="7" t="s">
        <v>1085</v>
      </c>
      <c r="C374" s="7" t="s">
        <v>21</v>
      </c>
      <c r="D374" s="7" t="s">
        <v>957</v>
      </c>
      <c r="E374" s="8" t="s">
        <v>502</v>
      </c>
      <c r="F374" s="8" t="s">
        <v>1086</v>
      </c>
      <c r="G374" s="9">
        <v>733.19999999999993</v>
      </c>
      <c r="H374" s="9"/>
      <c r="I374" s="9">
        <v>1341.6</v>
      </c>
      <c r="J374" s="9">
        <v>2074.7999999999997</v>
      </c>
    </row>
    <row r="375" spans="1:10" ht="16" x14ac:dyDescent="0.2">
      <c r="A375" s="7" t="s">
        <v>9</v>
      </c>
      <c r="B375" s="7" t="s">
        <v>1087</v>
      </c>
      <c r="C375" s="7" t="s">
        <v>21</v>
      </c>
      <c r="D375" s="7" t="s">
        <v>957</v>
      </c>
      <c r="E375" s="8" t="s">
        <v>826</v>
      </c>
      <c r="F375" s="8" t="s">
        <v>191</v>
      </c>
      <c r="G375" s="9">
        <v>670.8</v>
      </c>
      <c r="H375" s="9"/>
      <c r="I375" s="9">
        <v>1263.5999999999999</v>
      </c>
      <c r="J375" s="9">
        <v>1934.3999999999999</v>
      </c>
    </row>
    <row r="376" spans="1:10" ht="16" x14ac:dyDescent="0.2">
      <c r="A376" s="7" t="s">
        <v>15</v>
      </c>
      <c r="B376" s="7" t="s">
        <v>1116</v>
      </c>
      <c r="C376" s="7" t="s">
        <v>21</v>
      </c>
      <c r="D376" s="7" t="s">
        <v>957</v>
      </c>
      <c r="E376" s="8" t="s">
        <v>1092</v>
      </c>
      <c r="F376" s="8" t="s">
        <v>19</v>
      </c>
      <c r="G376" s="9">
        <v>331.5</v>
      </c>
      <c r="H376" s="9"/>
      <c r="I376" s="9">
        <v>0</v>
      </c>
      <c r="J376" s="9">
        <v>331.5</v>
      </c>
    </row>
    <row r="377" spans="1:10" ht="16" x14ac:dyDescent="0.2">
      <c r="A377" s="7" t="s">
        <v>15</v>
      </c>
      <c r="B377" s="7" t="s">
        <v>1117</v>
      </c>
      <c r="C377" s="7" t="s">
        <v>21</v>
      </c>
      <c r="D377" s="7" t="s">
        <v>957</v>
      </c>
      <c r="E377" s="8" t="s">
        <v>1092</v>
      </c>
      <c r="F377" s="8" t="s">
        <v>19</v>
      </c>
      <c r="G377" s="9">
        <v>202.8</v>
      </c>
      <c r="H377" s="9"/>
      <c r="I377" s="9">
        <v>0</v>
      </c>
      <c r="J377" s="9">
        <v>202.8</v>
      </c>
    </row>
    <row r="378" spans="1:10" ht="16" x14ac:dyDescent="0.2">
      <c r="A378" s="7" t="s">
        <v>9</v>
      </c>
      <c r="B378" s="7" t="s">
        <v>1118</v>
      </c>
      <c r="C378" s="7" t="s">
        <v>21</v>
      </c>
      <c r="D378" s="7" t="s">
        <v>957</v>
      </c>
      <c r="E378" s="8" t="s">
        <v>1119</v>
      </c>
      <c r="F378" s="8" t="s">
        <v>1120</v>
      </c>
      <c r="G378" s="9">
        <v>124.8</v>
      </c>
      <c r="H378" s="9"/>
      <c r="I378" s="9">
        <v>0</v>
      </c>
      <c r="J378" s="9">
        <v>124.8</v>
      </c>
    </row>
    <row r="379" spans="1:10" ht="16" x14ac:dyDescent="0.2">
      <c r="A379" s="7" t="s">
        <v>9</v>
      </c>
      <c r="B379" s="7" t="s">
        <v>215</v>
      </c>
      <c r="C379" s="7" t="s">
        <v>216</v>
      </c>
      <c r="D379" s="7" t="s">
        <v>217</v>
      </c>
      <c r="E379" s="8" t="s">
        <v>218</v>
      </c>
      <c r="F379" s="8" t="s">
        <v>219</v>
      </c>
      <c r="G379" s="9">
        <v>66528</v>
      </c>
      <c r="H379" s="9"/>
      <c r="I379" s="9">
        <v>1050</v>
      </c>
      <c r="J379" s="9">
        <v>67578</v>
      </c>
    </row>
    <row r="380" spans="1:10" ht="16" x14ac:dyDescent="0.2">
      <c r="A380" s="7" t="s">
        <v>15</v>
      </c>
      <c r="B380" s="7" t="s">
        <v>577</v>
      </c>
      <c r="C380" s="7" t="s">
        <v>216</v>
      </c>
      <c r="D380" s="7" t="s">
        <v>578</v>
      </c>
      <c r="E380" s="8" t="s">
        <v>579</v>
      </c>
      <c r="F380" s="8" t="s">
        <v>19</v>
      </c>
      <c r="G380" s="9">
        <v>39031.259999999987</v>
      </c>
      <c r="H380" s="9">
        <v>0</v>
      </c>
      <c r="I380" s="9">
        <v>918.33999999999992</v>
      </c>
      <c r="J380" s="9">
        <v>39949.599999999984</v>
      </c>
    </row>
    <row r="381" spans="1:10" ht="16" x14ac:dyDescent="0.2">
      <c r="A381" s="7" t="s">
        <v>9</v>
      </c>
      <c r="B381" s="7" t="s">
        <v>674</v>
      </c>
      <c r="C381" s="7" t="s">
        <v>216</v>
      </c>
      <c r="D381" s="7" t="s">
        <v>675</v>
      </c>
      <c r="E381" s="8" t="s">
        <v>536</v>
      </c>
      <c r="F381" s="8" t="s">
        <v>676</v>
      </c>
      <c r="G381" s="9">
        <v>28567.07</v>
      </c>
      <c r="H381" s="9">
        <v>70.05</v>
      </c>
      <c r="I381" s="9">
        <v>4144.3999999999996</v>
      </c>
      <c r="J381" s="9">
        <v>32781.520000000004</v>
      </c>
    </row>
    <row r="382" spans="1:10" ht="16" x14ac:dyDescent="0.2">
      <c r="A382" s="7" t="s">
        <v>9</v>
      </c>
      <c r="B382" s="7" t="s">
        <v>357</v>
      </c>
      <c r="C382" s="7" t="s">
        <v>358</v>
      </c>
      <c r="D382" s="7" t="s">
        <v>359</v>
      </c>
      <c r="E382" s="8" t="s">
        <v>360</v>
      </c>
      <c r="F382" s="8" t="s">
        <v>361</v>
      </c>
      <c r="G382" s="9">
        <v>52638.400000000016</v>
      </c>
      <c r="H382" s="9"/>
      <c r="I382" s="9">
        <v>0</v>
      </c>
      <c r="J382" s="9">
        <v>52638.400000000016</v>
      </c>
    </row>
    <row r="383" spans="1:10" ht="16" x14ac:dyDescent="0.2">
      <c r="A383" s="7" t="s">
        <v>15</v>
      </c>
      <c r="B383" s="7" t="s">
        <v>469</v>
      </c>
      <c r="C383" s="7" t="s">
        <v>358</v>
      </c>
      <c r="D383" s="7" t="s">
        <v>470</v>
      </c>
      <c r="E383" s="8" t="s">
        <v>193</v>
      </c>
      <c r="F383" s="8" t="s">
        <v>19</v>
      </c>
      <c r="G383" s="9">
        <v>38239.31</v>
      </c>
      <c r="H383" s="9"/>
      <c r="I383" s="9">
        <v>7710.6200000000008</v>
      </c>
      <c r="J383" s="9">
        <v>45949.93</v>
      </c>
    </row>
    <row r="384" spans="1:10" ht="16" x14ac:dyDescent="0.2">
      <c r="A384" s="7" t="s">
        <v>9</v>
      </c>
      <c r="B384" s="7" t="s">
        <v>650</v>
      </c>
      <c r="C384" s="7" t="s">
        <v>358</v>
      </c>
      <c r="D384" s="7" t="s">
        <v>651</v>
      </c>
      <c r="E384" s="8" t="s">
        <v>652</v>
      </c>
      <c r="F384" s="8" t="s">
        <v>653</v>
      </c>
      <c r="G384" s="9">
        <v>27809.160000000003</v>
      </c>
      <c r="H384" s="9">
        <v>5.46</v>
      </c>
      <c r="I384" s="9">
        <v>6002.18</v>
      </c>
      <c r="J384" s="9">
        <v>33816.800000000003</v>
      </c>
    </row>
    <row r="385" spans="1:10" ht="16" x14ac:dyDescent="0.2">
      <c r="A385" s="7" t="s">
        <v>9</v>
      </c>
      <c r="B385" s="7" t="s">
        <v>240</v>
      </c>
      <c r="C385" s="7" t="s">
        <v>241</v>
      </c>
      <c r="D385" s="7" t="s">
        <v>242</v>
      </c>
      <c r="E385" s="8" t="s">
        <v>243</v>
      </c>
      <c r="F385" s="8" t="s">
        <v>244</v>
      </c>
      <c r="G385" s="9">
        <v>64700.000000000015</v>
      </c>
      <c r="H385" s="9"/>
      <c r="I385" s="9">
        <v>0</v>
      </c>
      <c r="J385" s="9">
        <v>64700.000000000015</v>
      </c>
    </row>
    <row r="386" spans="1:10" ht="16" x14ac:dyDescent="0.2">
      <c r="A386" s="7" t="s">
        <v>9</v>
      </c>
      <c r="B386" s="7" t="s">
        <v>375</v>
      </c>
      <c r="C386" s="7" t="s">
        <v>241</v>
      </c>
      <c r="D386" s="7" t="s">
        <v>376</v>
      </c>
      <c r="E386" s="8" t="s">
        <v>377</v>
      </c>
      <c r="F386" s="8" t="s">
        <v>378</v>
      </c>
      <c r="G386" s="9">
        <v>32515.33</v>
      </c>
      <c r="H386" s="9">
        <v>320.91999999999996</v>
      </c>
      <c r="I386" s="9">
        <v>18660.629999999997</v>
      </c>
      <c r="J386" s="9">
        <v>51496.880000000005</v>
      </c>
    </row>
    <row r="387" spans="1:10" ht="16" x14ac:dyDescent="0.2">
      <c r="A387" s="7" t="s">
        <v>15</v>
      </c>
      <c r="B387" s="7" t="s">
        <v>413</v>
      </c>
      <c r="C387" s="7" t="s">
        <v>241</v>
      </c>
      <c r="D387" s="7" t="s">
        <v>414</v>
      </c>
      <c r="E387" s="8" t="s">
        <v>415</v>
      </c>
      <c r="F387" s="8" t="s">
        <v>19</v>
      </c>
      <c r="G387" s="9">
        <v>48067.200000000019</v>
      </c>
      <c r="H387" s="9"/>
      <c r="I387" s="9">
        <v>969.35999999999967</v>
      </c>
      <c r="J387" s="9">
        <v>49036.560000000005</v>
      </c>
    </row>
    <row r="388" spans="1:10" ht="16" x14ac:dyDescent="0.2">
      <c r="A388" s="7" t="s">
        <v>15</v>
      </c>
      <c r="B388" s="7" t="s">
        <v>707</v>
      </c>
      <c r="C388" s="7" t="s">
        <v>241</v>
      </c>
      <c r="D388" s="7" t="s">
        <v>376</v>
      </c>
      <c r="E388" s="8" t="s">
        <v>243</v>
      </c>
      <c r="F388" s="8" t="s">
        <v>19</v>
      </c>
      <c r="G388" s="9">
        <v>25281.97</v>
      </c>
      <c r="H388" s="9">
        <v>251.14000000000001</v>
      </c>
      <c r="I388" s="9">
        <v>5701.3300000000008</v>
      </c>
      <c r="J388" s="9">
        <v>31234.440000000006</v>
      </c>
    </row>
    <row r="389" spans="1:10" ht="16" x14ac:dyDescent="0.2">
      <c r="A389" s="7" t="s">
        <v>15</v>
      </c>
      <c r="B389" s="7" t="s">
        <v>724</v>
      </c>
      <c r="C389" s="7" t="s">
        <v>241</v>
      </c>
      <c r="D389" s="7" t="s">
        <v>725</v>
      </c>
      <c r="E389" s="8" t="s">
        <v>138</v>
      </c>
      <c r="F389" s="8" t="s">
        <v>19</v>
      </c>
      <c r="G389" s="9">
        <v>24078.19</v>
      </c>
      <c r="H389" s="9">
        <v>295.3</v>
      </c>
      <c r="I389" s="9">
        <v>6128.8199999999988</v>
      </c>
      <c r="J389" s="9">
        <v>30502.309999999998</v>
      </c>
    </row>
    <row r="390" spans="1:10" ht="16" x14ac:dyDescent="0.2">
      <c r="A390" s="7" t="s">
        <v>15</v>
      </c>
      <c r="B390" s="7" t="s">
        <v>733</v>
      </c>
      <c r="C390" s="7" t="s">
        <v>241</v>
      </c>
      <c r="D390" s="7" t="s">
        <v>734</v>
      </c>
      <c r="E390" s="8" t="s">
        <v>407</v>
      </c>
      <c r="F390" s="8" t="s">
        <v>19</v>
      </c>
      <c r="G390" s="9">
        <v>21200.159999999996</v>
      </c>
      <c r="H390" s="9">
        <v>2868.6500000000005</v>
      </c>
      <c r="I390" s="9">
        <v>5849.4400000000005</v>
      </c>
      <c r="J390" s="9">
        <v>29918.25</v>
      </c>
    </row>
    <row r="391" spans="1:10" ht="16" x14ac:dyDescent="0.2">
      <c r="A391" s="7" t="s">
        <v>15</v>
      </c>
      <c r="B391" s="7" t="s">
        <v>739</v>
      </c>
      <c r="C391" s="7" t="s">
        <v>241</v>
      </c>
      <c r="D391" s="7" t="s">
        <v>725</v>
      </c>
      <c r="E391" s="8" t="s">
        <v>668</v>
      </c>
      <c r="F391" s="8" t="s">
        <v>19</v>
      </c>
      <c r="G391" s="9">
        <v>23626.859999999997</v>
      </c>
      <c r="H391" s="9">
        <v>208.60000000000002</v>
      </c>
      <c r="I391" s="9">
        <v>5474.55</v>
      </c>
      <c r="J391" s="9">
        <v>29310.01</v>
      </c>
    </row>
    <row r="392" spans="1:10" ht="16" x14ac:dyDescent="0.2">
      <c r="A392" s="7" t="s">
        <v>9</v>
      </c>
      <c r="B392" s="7" t="s">
        <v>806</v>
      </c>
      <c r="C392" s="7" t="s">
        <v>241</v>
      </c>
      <c r="D392" s="7" t="s">
        <v>725</v>
      </c>
      <c r="E392" s="8" t="s">
        <v>423</v>
      </c>
      <c r="F392" s="8" t="s">
        <v>274</v>
      </c>
      <c r="G392" s="9">
        <v>22469.510000000009</v>
      </c>
      <c r="H392" s="9">
        <v>848.69</v>
      </c>
      <c r="I392" s="9">
        <v>2402.42</v>
      </c>
      <c r="J392" s="9">
        <v>25720.619999999995</v>
      </c>
    </row>
    <row r="393" spans="1:10" ht="16" x14ac:dyDescent="0.2">
      <c r="A393" s="7" t="s">
        <v>15</v>
      </c>
      <c r="B393" s="7" t="s">
        <v>815</v>
      </c>
      <c r="C393" s="7" t="s">
        <v>241</v>
      </c>
      <c r="D393" s="7" t="s">
        <v>816</v>
      </c>
      <c r="E393" s="8" t="s">
        <v>817</v>
      </c>
      <c r="F393" s="8" t="s">
        <v>19</v>
      </c>
      <c r="G393" s="9">
        <v>21466.99</v>
      </c>
      <c r="H393" s="9">
        <v>585.29000000000008</v>
      </c>
      <c r="I393" s="9">
        <v>2838.2300000000005</v>
      </c>
      <c r="J393" s="9">
        <v>24890.510000000002</v>
      </c>
    </row>
    <row r="394" spans="1:10" ht="16" x14ac:dyDescent="0.2">
      <c r="A394" s="7" t="s">
        <v>9</v>
      </c>
      <c r="B394" s="7" t="s">
        <v>853</v>
      </c>
      <c r="C394" s="7" t="s">
        <v>241</v>
      </c>
      <c r="D394" s="7" t="s">
        <v>725</v>
      </c>
      <c r="E394" s="8" t="s">
        <v>89</v>
      </c>
      <c r="F394" s="8" t="s">
        <v>854</v>
      </c>
      <c r="G394" s="9">
        <v>19521.63</v>
      </c>
      <c r="H394" s="9">
        <v>744.89</v>
      </c>
      <c r="I394" s="9">
        <v>2011.24</v>
      </c>
      <c r="J394" s="9">
        <v>22277.760000000009</v>
      </c>
    </row>
    <row r="395" spans="1:10" ht="16" x14ac:dyDescent="0.2">
      <c r="A395" s="7" t="s">
        <v>9</v>
      </c>
      <c r="B395" s="7" t="s">
        <v>858</v>
      </c>
      <c r="C395" s="7" t="s">
        <v>241</v>
      </c>
      <c r="D395" s="7" t="s">
        <v>734</v>
      </c>
      <c r="E395" s="8" t="s">
        <v>518</v>
      </c>
      <c r="F395" s="8" t="s">
        <v>166</v>
      </c>
      <c r="G395" s="9">
        <v>17688.419999999998</v>
      </c>
      <c r="H395" s="9">
        <v>327.90000000000003</v>
      </c>
      <c r="I395" s="9">
        <v>4147.1899999999996</v>
      </c>
      <c r="J395" s="9">
        <v>22163.510000000002</v>
      </c>
    </row>
    <row r="396" spans="1:10" ht="16" x14ac:dyDescent="0.2">
      <c r="A396" s="7" t="s">
        <v>9</v>
      </c>
      <c r="B396" s="7" t="s">
        <v>870</v>
      </c>
      <c r="C396" s="7" t="s">
        <v>241</v>
      </c>
      <c r="D396" s="7" t="s">
        <v>734</v>
      </c>
      <c r="E396" s="8" t="s">
        <v>871</v>
      </c>
      <c r="F396" s="8" t="s">
        <v>872</v>
      </c>
      <c r="G396" s="9">
        <v>17197.22</v>
      </c>
      <c r="H396" s="9">
        <v>142.70000000000005</v>
      </c>
      <c r="I396" s="9">
        <v>4213.7000000000007</v>
      </c>
      <c r="J396" s="9">
        <v>21553.620000000006</v>
      </c>
    </row>
    <row r="397" spans="1:10" ht="16" x14ac:dyDescent="0.2">
      <c r="A397" s="7" t="s">
        <v>9</v>
      </c>
      <c r="B397" s="7" t="s">
        <v>931</v>
      </c>
      <c r="C397" s="7" t="s">
        <v>241</v>
      </c>
      <c r="D397" s="7" t="s">
        <v>734</v>
      </c>
      <c r="E397" s="8" t="s">
        <v>360</v>
      </c>
      <c r="F397" s="8" t="s">
        <v>932</v>
      </c>
      <c r="G397" s="9">
        <v>9205.8100000000013</v>
      </c>
      <c r="H397" s="9">
        <v>421.5499999999999</v>
      </c>
      <c r="I397" s="9">
        <v>3715.1099999999997</v>
      </c>
      <c r="J397" s="9">
        <v>13342.470000000001</v>
      </c>
    </row>
    <row r="398" spans="1:10" ht="16" x14ac:dyDescent="0.2">
      <c r="A398" s="7" t="s">
        <v>9</v>
      </c>
      <c r="B398" s="7" t="s">
        <v>1008</v>
      </c>
      <c r="C398" s="7" t="s">
        <v>241</v>
      </c>
      <c r="D398" s="7" t="s">
        <v>734</v>
      </c>
      <c r="E398" s="8" t="s">
        <v>1009</v>
      </c>
      <c r="F398" s="8" t="s">
        <v>628</v>
      </c>
      <c r="G398" s="9">
        <v>4964.88</v>
      </c>
      <c r="H398" s="9">
        <v>14.44</v>
      </c>
      <c r="I398" s="9">
        <v>243.28999999999996</v>
      </c>
      <c r="J398" s="9">
        <v>5222.6099999999997</v>
      </c>
    </row>
    <row r="399" spans="1:10" ht="16" x14ac:dyDescent="0.2">
      <c r="A399" s="7" t="s">
        <v>9</v>
      </c>
      <c r="B399" s="7" t="s">
        <v>1020</v>
      </c>
      <c r="C399" s="7" t="s">
        <v>241</v>
      </c>
      <c r="D399" s="7" t="s">
        <v>734</v>
      </c>
      <c r="E399" s="8" t="s">
        <v>404</v>
      </c>
      <c r="F399" s="8" t="s">
        <v>1021</v>
      </c>
      <c r="G399" s="9">
        <v>3953.87</v>
      </c>
      <c r="H399" s="9">
        <v>14.05</v>
      </c>
      <c r="I399" s="9">
        <v>208.16</v>
      </c>
      <c r="J399" s="9">
        <v>4176.08</v>
      </c>
    </row>
    <row r="400" spans="1:10" ht="16" x14ac:dyDescent="0.2">
      <c r="A400" s="7" t="s">
        <v>15</v>
      </c>
      <c r="B400" s="7" t="s">
        <v>580</v>
      </c>
      <c r="C400" s="7" t="s">
        <v>581</v>
      </c>
      <c r="D400" s="7" t="s">
        <v>582</v>
      </c>
      <c r="E400" s="8" t="s">
        <v>583</v>
      </c>
      <c r="F400" s="8" t="s">
        <v>19</v>
      </c>
      <c r="G400" s="9">
        <v>34949.399999999994</v>
      </c>
      <c r="H400" s="9">
        <v>1105.5800000000002</v>
      </c>
      <c r="I400" s="9">
        <v>3275.73</v>
      </c>
      <c r="J400" s="9">
        <v>39330.709999999992</v>
      </c>
    </row>
    <row r="401" spans="1:10" ht="16" x14ac:dyDescent="0.2">
      <c r="A401" s="7" t="s">
        <v>15</v>
      </c>
      <c r="B401" s="7" t="s">
        <v>717</v>
      </c>
      <c r="C401" s="7" t="s">
        <v>581</v>
      </c>
      <c r="D401" s="7" t="s">
        <v>718</v>
      </c>
      <c r="E401" s="8" t="s">
        <v>719</v>
      </c>
      <c r="F401" s="8" t="s">
        <v>19</v>
      </c>
      <c r="G401" s="9">
        <v>26493.940000000002</v>
      </c>
      <c r="H401" s="9">
        <v>361.71000000000009</v>
      </c>
      <c r="I401" s="9">
        <v>3910.15</v>
      </c>
      <c r="J401" s="9">
        <v>30765.8</v>
      </c>
    </row>
    <row r="402" spans="1:10" ht="16" x14ac:dyDescent="0.2">
      <c r="A402" s="7" t="s">
        <v>9</v>
      </c>
      <c r="B402" s="7" t="s">
        <v>778</v>
      </c>
      <c r="C402" s="7" t="s">
        <v>581</v>
      </c>
      <c r="D402" s="7" t="s">
        <v>718</v>
      </c>
      <c r="E402" s="8" t="s">
        <v>779</v>
      </c>
      <c r="F402" s="8" t="s">
        <v>780</v>
      </c>
      <c r="G402" s="9">
        <v>21514.610000000004</v>
      </c>
      <c r="H402" s="9">
        <v>2301.1600000000003</v>
      </c>
      <c r="I402" s="9">
        <v>3401.7500000000005</v>
      </c>
      <c r="J402" s="9">
        <v>27217.519999999997</v>
      </c>
    </row>
    <row r="403" spans="1:10" ht="16" x14ac:dyDescent="0.2">
      <c r="A403" s="7" t="s">
        <v>9</v>
      </c>
      <c r="B403" s="7" t="s">
        <v>790</v>
      </c>
      <c r="C403" s="7" t="s">
        <v>581</v>
      </c>
      <c r="D403" s="7" t="s">
        <v>718</v>
      </c>
      <c r="E403" s="8" t="s">
        <v>409</v>
      </c>
      <c r="F403" s="8" t="s">
        <v>791</v>
      </c>
      <c r="G403" s="9">
        <v>22126.02</v>
      </c>
      <c r="H403" s="9">
        <v>633.03</v>
      </c>
      <c r="I403" s="9">
        <v>3715.3900000000003</v>
      </c>
      <c r="J403" s="9">
        <v>26474.44</v>
      </c>
    </row>
    <row r="404" spans="1:10" ht="16" x14ac:dyDescent="0.2">
      <c r="A404" s="7" t="s">
        <v>15</v>
      </c>
      <c r="B404" s="7" t="s">
        <v>805</v>
      </c>
      <c r="C404" s="7" t="s">
        <v>581</v>
      </c>
      <c r="D404" s="7" t="s">
        <v>718</v>
      </c>
      <c r="E404" s="8" t="s">
        <v>627</v>
      </c>
      <c r="F404" s="8" t="s">
        <v>19</v>
      </c>
      <c r="G404" s="9">
        <v>22697.580000000005</v>
      </c>
      <c r="H404" s="9">
        <v>886.06</v>
      </c>
      <c r="I404" s="9">
        <v>2245.73</v>
      </c>
      <c r="J404" s="9">
        <v>25829.370000000003</v>
      </c>
    </row>
    <row r="405" spans="1:10" ht="16" x14ac:dyDescent="0.2">
      <c r="A405" s="7" t="s">
        <v>9</v>
      </c>
      <c r="B405" s="7" t="s">
        <v>811</v>
      </c>
      <c r="C405" s="7" t="s">
        <v>581</v>
      </c>
      <c r="D405" s="7" t="s">
        <v>812</v>
      </c>
      <c r="E405" s="8" t="s">
        <v>813</v>
      </c>
      <c r="F405" s="8" t="s">
        <v>814</v>
      </c>
      <c r="G405" s="9">
        <v>21814.999999999996</v>
      </c>
      <c r="H405" s="9">
        <v>464.78</v>
      </c>
      <c r="I405" s="9">
        <v>3001.92</v>
      </c>
      <c r="J405" s="9">
        <v>25281.7</v>
      </c>
    </row>
    <row r="406" spans="1:10" ht="16" x14ac:dyDescent="0.2">
      <c r="A406" s="7" t="s">
        <v>9</v>
      </c>
      <c r="B406" s="7" t="s">
        <v>843</v>
      </c>
      <c r="C406" s="7" t="s">
        <v>581</v>
      </c>
      <c r="D406" s="7" t="s">
        <v>812</v>
      </c>
      <c r="E406" s="8" t="s">
        <v>844</v>
      </c>
      <c r="F406" s="8" t="s">
        <v>845</v>
      </c>
      <c r="G406" s="9">
        <v>20663.699999999997</v>
      </c>
      <c r="H406" s="9">
        <v>419.05000000000007</v>
      </c>
      <c r="I406" s="9">
        <v>2592.5099999999998</v>
      </c>
      <c r="J406" s="9">
        <v>23675.260000000002</v>
      </c>
    </row>
    <row r="407" spans="1:10" ht="16" x14ac:dyDescent="0.2">
      <c r="A407" s="7" t="s">
        <v>15</v>
      </c>
      <c r="B407" s="7" t="s">
        <v>880</v>
      </c>
      <c r="C407" s="7" t="s">
        <v>581</v>
      </c>
      <c r="D407" s="7" t="s">
        <v>881</v>
      </c>
      <c r="E407" s="8" t="s">
        <v>809</v>
      </c>
      <c r="F407" s="8" t="s">
        <v>19</v>
      </c>
      <c r="G407" s="9">
        <v>15058.240000000002</v>
      </c>
      <c r="H407" s="9">
        <v>281.42</v>
      </c>
      <c r="I407" s="9">
        <v>3758.05</v>
      </c>
      <c r="J407" s="9">
        <v>19097.71</v>
      </c>
    </row>
    <row r="408" spans="1:10" ht="16" x14ac:dyDescent="0.2">
      <c r="A408" s="7" t="s">
        <v>9</v>
      </c>
      <c r="B408" s="7" t="s">
        <v>67</v>
      </c>
      <c r="C408" s="7" t="s">
        <v>68</v>
      </c>
      <c r="D408" s="7" t="s">
        <v>69</v>
      </c>
      <c r="E408" s="8" t="s">
        <v>70</v>
      </c>
      <c r="F408" s="8" t="s">
        <v>71</v>
      </c>
      <c r="G408" s="9">
        <v>88263.649999999965</v>
      </c>
      <c r="H408" s="9"/>
      <c r="I408" s="9">
        <v>623.9</v>
      </c>
      <c r="J408" s="9">
        <v>88887.550000000017</v>
      </c>
    </row>
    <row r="409" spans="1:10" ht="16" x14ac:dyDescent="0.2">
      <c r="A409" s="7" t="s">
        <v>9</v>
      </c>
      <c r="B409" s="7" t="s">
        <v>87</v>
      </c>
      <c r="C409" s="7" t="s">
        <v>68</v>
      </c>
      <c r="D409" s="7" t="s">
        <v>88</v>
      </c>
      <c r="E409" s="8" t="s">
        <v>89</v>
      </c>
      <c r="F409" s="8" t="s">
        <v>90</v>
      </c>
      <c r="G409" s="9">
        <v>84821.069999999992</v>
      </c>
      <c r="H409" s="9"/>
      <c r="I409" s="9">
        <v>805.28</v>
      </c>
      <c r="J409" s="9">
        <v>85626.349999999991</v>
      </c>
    </row>
    <row r="410" spans="1:10" ht="16" x14ac:dyDescent="0.2">
      <c r="A410" s="7" t="s">
        <v>9</v>
      </c>
      <c r="B410" s="7" t="s">
        <v>110</v>
      </c>
      <c r="C410" s="7" t="s">
        <v>68</v>
      </c>
      <c r="D410" s="7" t="s">
        <v>111</v>
      </c>
      <c r="E410" s="8" t="s">
        <v>112</v>
      </c>
      <c r="F410" s="8" t="s">
        <v>113</v>
      </c>
      <c r="G410" s="9">
        <v>75807.999999999985</v>
      </c>
      <c r="H410" s="9"/>
      <c r="I410" s="9">
        <v>2988.7200000000003</v>
      </c>
      <c r="J410" s="9">
        <v>78796.72</v>
      </c>
    </row>
    <row r="411" spans="1:10" ht="16" x14ac:dyDescent="0.2">
      <c r="A411" s="7" t="s">
        <v>9</v>
      </c>
      <c r="B411" s="7" t="s">
        <v>222</v>
      </c>
      <c r="C411" s="7" t="s">
        <v>68</v>
      </c>
      <c r="D411" s="7" t="s">
        <v>223</v>
      </c>
      <c r="E411" s="8" t="s">
        <v>224</v>
      </c>
      <c r="F411" s="8" t="s">
        <v>113</v>
      </c>
      <c r="G411" s="9">
        <v>63824.299999999996</v>
      </c>
      <c r="H411" s="9"/>
      <c r="I411" s="9">
        <v>3009.8799999999983</v>
      </c>
      <c r="J411" s="9">
        <v>66834.179999999978</v>
      </c>
    </row>
    <row r="412" spans="1:10" ht="16" x14ac:dyDescent="0.2">
      <c r="A412" s="7" t="s">
        <v>15</v>
      </c>
      <c r="B412" s="7" t="s">
        <v>317</v>
      </c>
      <c r="C412" s="7" t="s">
        <v>68</v>
      </c>
      <c r="D412" s="7" t="s">
        <v>88</v>
      </c>
      <c r="E412" s="8" t="s">
        <v>318</v>
      </c>
      <c r="F412" s="8" t="s">
        <v>19</v>
      </c>
      <c r="G412" s="9">
        <v>54137.600000000006</v>
      </c>
      <c r="H412" s="9"/>
      <c r="I412" s="9">
        <v>727.02</v>
      </c>
      <c r="J412" s="9">
        <v>54864.619999999995</v>
      </c>
    </row>
    <row r="413" spans="1:10" ht="16" x14ac:dyDescent="0.2">
      <c r="A413" s="7" t="s">
        <v>15</v>
      </c>
      <c r="B413" s="7" t="s">
        <v>435</v>
      </c>
      <c r="C413" s="7" t="s">
        <v>68</v>
      </c>
      <c r="D413" s="7" t="s">
        <v>436</v>
      </c>
      <c r="E413" s="8" t="s">
        <v>437</v>
      </c>
      <c r="F413" s="8" t="s">
        <v>19</v>
      </c>
      <c r="G413" s="9">
        <v>36935.379999999997</v>
      </c>
      <c r="H413" s="9">
        <v>3084.92</v>
      </c>
      <c r="I413" s="9">
        <v>8014.5500000000011</v>
      </c>
      <c r="J413" s="9">
        <v>48034.849999999991</v>
      </c>
    </row>
    <row r="414" spans="1:10" ht="16" x14ac:dyDescent="0.2">
      <c r="A414" s="7" t="s">
        <v>15</v>
      </c>
      <c r="B414" s="7" t="s">
        <v>498</v>
      </c>
      <c r="C414" s="7" t="s">
        <v>68</v>
      </c>
      <c r="D414" s="7" t="s">
        <v>499</v>
      </c>
      <c r="E414" s="8" t="s">
        <v>500</v>
      </c>
      <c r="F414" s="8" t="s">
        <v>19</v>
      </c>
      <c r="G414" s="9">
        <v>37912.679999999986</v>
      </c>
      <c r="H414" s="9">
        <v>2182.9699999999998</v>
      </c>
      <c r="I414" s="9">
        <v>5084.5899999999992</v>
      </c>
      <c r="J414" s="9">
        <v>45180.24</v>
      </c>
    </row>
    <row r="415" spans="1:10" ht="16" x14ac:dyDescent="0.2">
      <c r="A415" s="7" t="s">
        <v>9</v>
      </c>
      <c r="B415" s="7" t="s">
        <v>590</v>
      </c>
      <c r="C415" s="7" t="s">
        <v>68</v>
      </c>
      <c r="D415" s="7" t="s">
        <v>591</v>
      </c>
      <c r="E415" s="8" t="s">
        <v>592</v>
      </c>
      <c r="F415" s="8" t="s">
        <v>593</v>
      </c>
      <c r="G415" s="9">
        <v>39039.999999999993</v>
      </c>
      <c r="H415" s="9"/>
      <c r="I415" s="9">
        <v>0</v>
      </c>
      <c r="J415" s="9">
        <v>39039.999999999993</v>
      </c>
    </row>
    <row r="416" spans="1:10" ht="16" x14ac:dyDescent="0.2">
      <c r="A416" s="7" t="s">
        <v>9</v>
      </c>
      <c r="B416" s="7" t="s">
        <v>616</v>
      </c>
      <c r="C416" s="7" t="s">
        <v>68</v>
      </c>
      <c r="D416" s="7" t="s">
        <v>617</v>
      </c>
      <c r="E416" s="8" t="s">
        <v>300</v>
      </c>
      <c r="F416" s="8" t="s">
        <v>618</v>
      </c>
      <c r="G416" s="9">
        <v>27701.51</v>
      </c>
      <c r="H416" s="9">
        <v>5557.4299999999994</v>
      </c>
      <c r="I416" s="9">
        <v>2997.9900000000002</v>
      </c>
      <c r="J416" s="9">
        <v>36256.93</v>
      </c>
    </row>
    <row r="417" spans="1:10" ht="16" x14ac:dyDescent="0.2">
      <c r="A417" s="7" t="s">
        <v>9</v>
      </c>
      <c r="B417" s="7" t="s">
        <v>666</v>
      </c>
      <c r="C417" s="7" t="s">
        <v>68</v>
      </c>
      <c r="D417" s="7" t="s">
        <v>667</v>
      </c>
      <c r="E417" s="8" t="s">
        <v>668</v>
      </c>
      <c r="F417" s="8" t="s">
        <v>669</v>
      </c>
      <c r="G417" s="9">
        <v>23972.910000000003</v>
      </c>
      <c r="H417" s="9">
        <v>1993.5099999999998</v>
      </c>
      <c r="I417" s="9">
        <v>7320.1900000000005</v>
      </c>
      <c r="J417" s="9">
        <v>33286.61</v>
      </c>
    </row>
    <row r="418" spans="1:10" ht="16" x14ac:dyDescent="0.2">
      <c r="A418" s="7" t="s">
        <v>15</v>
      </c>
      <c r="B418" s="7" t="s">
        <v>681</v>
      </c>
      <c r="C418" s="7" t="s">
        <v>68</v>
      </c>
      <c r="D418" s="7" t="s">
        <v>499</v>
      </c>
      <c r="E418" s="8" t="s">
        <v>682</v>
      </c>
      <c r="F418" s="8" t="s">
        <v>19</v>
      </c>
      <c r="G418" s="9">
        <v>24423.75</v>
      </c>
      <c r="H418" s="9">
        <v>2839.16</v>
      </c>
      <c r="I418" s="9">
        <v>5226.3099999999995</v>
      </c>
      <c r="J418" s="9">
        <v>32489.220000000005</v>
      </c>
    </row>
    <row r="419" spans="1:10" ht="16" x14ac:dyDescent="0.2">
      <c r="A419" s="7" t="s">
        <v>15</v>
      </c>
      <c r="B419" s="7" t="s">
        <v>697</v>
      </c>
      <c r="C419" s="7" t="s">
        <v>68</v>
      </c>
      <c r="D419" s="7" t="s">
        <v>617</v>
      </c>
      <c r="E419" s="8" t="s">
        <v>92</v>
      </c>
      <c r="F419" s="8" t="s">
        <v>19</v>
      </c>
      <c r="G419" s="9">
        <v>25334.819999999996</v>
      </c>
      <c r="H419" s="9">
        <v>3302.62</v>
      </c>
      <c r="I419" s="9">
        <v>3243.72</v>
      </c>
      <c r="J419" s="9">
        <v>31881.16</v>
      </c>
    </row>
    <row r="420" spans="1:10" ht="16" x14ac:dyDescent="0.2">
      <c r="A420" s="7" t="s">
        <v>15</v>
      </c>
      <c r="B420" s="7" t="s">
        <v>736</v>
      </c>
      <c r="C420" s="7" t="s">
        <v>68</v>
      </c>
      <c r="D420" s="7" t="s">
        <v>617</v>
      </c>
      <c r="E420" s="8" t="s">
        <v>579</v>
      </c>
      <c r="F420" s="8" t="s">
        <v>19</v>
      </c>
      <c r="G420" s="9">
        <v>22311.629999999997</v>
      </c>
      <c r="H420" s="9">
        <v>2555.52</v>
      </c>
      <c r="I420" s="9">
        <v>4777.5800000000008</v>
      </c>
      <c r="J420" s="9">
        <v>29644.73</v>
      </c>
    </row>
    <row r="421" spans="1:10" ht="16" x14ac:dyDescent="0.2">
      <c r="A421" s="7" t="s">
        <v>15</v>
      </c>
      <c r="B421" s="7" t="s">
        <v>767</v>
      </c>
      <c r="C421" s="7" t="s">
        <v>68</v>
      </c>
      <c r="D421" s="7" t="s">
        <v>617</v>
      </c>
      <c r="E421" s="8" t="s">
        <v>300</v>
      </c>
      <c r="F421" s="8" t="s">
        <v>19</v>
      </c>
      <c r="G421" s="9">
        <v>21607.810000000005</v>
      </c>
      <c r="H421" s="9">
        <v>2548.87</v>
      </c>
      <c r="I421" s="9">
        <v>3882.72</v>
      </c>
      <c r="J421" s="9">
        <v>28039.4</v>
      </c>
    </row>
    <row r="422" spans="1:10" ht="16" x14ac:dyDescent="0.2">
      <c r="A422" s="7" t="s">
        <v>9</v>
      </c>
      <c r="B422" s="7" t="s">
        <v>770</v>
      </c>
      <c r="C422" s="7" t="s">
        <v>68</v>
      </c>
      <c r="D422" s="7" t="s">
        <v>771</v>
      </c>
      <c r="E422" s="8" t="s">
        <v>772</v>
      </c>
      <c r="F422" s="8" t="s">
        <v>773</v>
      </c>
      <c r="G422" s="9">
        <v>21827.79</v>
      </c>
      <c r="H422" s="9">
        <v>3408.9200000000005</v>
      </c>
      <c r="I422" s="9">
        <v>2445.2100000000005</v>
      </c>
      <c r="J422" s="9">
        <v>27681.919999999998</v>
      </c>
    </row>
    <row r="423" spans="1:10" ht="16" x14ac:dyDescent="0.2">
      <c r="A423" s="7" t="s">
        <v>9</v>
      </c>
      <c r="B423" s="7" t="s">
        <v>776</v>
      </c>
      <c r="C423" s="7" t="s">
        <v>68</v>
      </c>
      <c r="D423" s="7" t="s">
        <v>771</v>
      </c>
      <c r="E423" s="8" t="s">
        <v>641</v>
      </c>
      <c r="F423" s="8" t="s">
        <v>777</v>
      </c>
      <c r="G423" s="9">
        <v>21018.5</v>
      </c>
      <c r="H423" s="9">
        <v>2765.79</v>
      </c>
      <c r="I423" s="9">
        <v>3460.8999999999996</v>
      </c>
      <c r="J423" s="9">
        <v>27245.19</v>
      </c>
    </row>
    <row r="424" spans="1:10" ht="16" x14ac:dyDescent="0.2">
      <c r="A424" s="7" t="s">
        <v>9</v>
      </c>
      <c r="B424" s="7" t="s">
        <v>781</v>
      </c>
      <c r="C424" s="7" t="s">
        <v>68</v>
      </c>
      <c r="D424" s="7" t="s">
        <v>782</v>
      </c>
      <c r="E424" s="8" t="s">
        <v>772</v>
      </c>
      <c r="F424" s="8" t="s">
        <v>783</v>
      </c>
      <c r="G424" s="9">
        <v>19778.28</v>
      </c>
      <c r="H424" s="9">
        <v>2709.5199999999995</v>
      </c>
      <c r="I424" s="9">
        <v>4440.57</v>
      </c>
      <c r="J424" s="9">
        <v>26928.37</v>
      </c>
    </row>
    <row r="425" spans="1:10" ht="16" x14ac:dyDescent="0.2">
      <c r="A425" s="7" t="s">
        <v>9</v>
      </c>
      <c r="B425" s="7" t="s">
        <v>794</v>
      </c>
      <c r="C425" s="7" t="s">
        <v>68</v>
      </c>
      <c r="D425" s="7" t="s">
        <v>771</v>
      </c>
      <c r="E425" s="8" t="s">
        <v>772</v>
      </c>
      <c r="F425" s="8" t="s">
        <v>795</v>
      </c>
      <c r="G425" s="9">
        <v>20756.310000000001</v>
      </c>
      <c r="H425" s="9">
        <v>2410.21</v>
      </c>
      <c r="I425" s="9">
        <v>3137.38</v>
      </c>
      <c r="J425" s="9">
        <v>26303.9</v>
      </c>
    </row>
    <row r="426" spans="1:10" ht="16" x14ac:dyDescent="0.2">
      <c r="A426" s="7" t="s">
        <v>9</v>
      </c>
      <c r="B426" s="7" t="s">
        <v>796</v>
      </c>
      <c r="C426" s="7" t="s">
        <v>68</v>
      </c>
      <c r="D426" s="7" t="s">
        <v>771</v>
      </c>
      <c r="E426" s="8" t="s">
        <v>563</v>
      </c>
      <c r="F426" s="8" t="s">
        <v>797</v>
      </c>
      <c r="G426" s="9">
        <v>21965.550000000003</v>
      </c>
      <c r="H426" s="9">
        <v>2191.37</v>
      </c>
      <c r="I426" s="9">
        <v>2106.5500000000002</v>
      </c>
      <c r="J426" s="9">
        <v>26263.469999999998</v>
      </c>
    </row>
    <row r="427" spans="1:10" ht="16" x14ac:dyDescent="0.2">
      <c r="A427" s="7" t="s">
        <v>15</v>
      </c>
      <c r="B427" s="7" t="s">
        <v>807</v>
      </c>
      <c r="C427" s="7" t="s">
        <v>68</v>
      </c>
      <c r="D427" s="7" t="s">
        <v>558</v>
      </c>
      <c r="E427" s="8" t="s">
        <v>208</v>
      </c>
      <c r="F427" s="8" t="s">
        <v>19</v>
      </c>
      <c r="G427" s="9">
        <v>22483.649999999998</v>
      </c>
      <c r="H427" s="9">
        <v>580.04999999999995</v>
      </c>
      <c r="I427" s="9">
        <v>2389.7599999999998</v>
      </c>
      <c r="J427" s="9">
        <v>25453.460000000003</v>
      </c>
    </row>
    <row r="428" spans="1:10" ht="16" x14ac:dyDescent="0.2">
      <c r="A428" s="7" t="s">
        <v>9</v>
      </c>
      <c r="B428" s="7" t="s">
        <v>1082</v>
      </c>
      <c r="C428" s="7" t="s">
        <v>68</v>
      </c>
      <c r="D428" s="7" t="s">
        <v>1083</v>
      </c>
      <c r="E428" s="8" t="s">
        <v>260</v>
      </c>
      <c r="F428" s="8" t="s">
        <v>1084</v>
      </c>
      <c r="G428" s="9">
        <v>290.49</v>
      </c>
      <c r="H428" s="9"/>
      <c r="I428" s="9">
        <v>1827.19</v>
      </c>
      <c r="J428" s="9">
        <v>2117.6799999999998</v>
      </c>
    </row>
    <row r="430" spans="1:10" x14ac:dyDescent="0.2">
      <c r="J430" s="3">
        <f>SUM(J2:J428)</f>
        <v>16587231.589999989</v>
      </c>
    </row>
  </sheetData>
  <sortState xmlns:xlrd2="http://schemas.microsoft.com/office/spreadsheetml/2017/richdata2" ref="A2:J1048576">
    <sortCondition ref="C2:C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FY20 Earnings-CLEANED</vt:lpstr>
      <vt:lpstr>FY20 Earnings-CLEANING</vt:lpstr>
      <vt:lpstr>2020 Department</vt:lpstr>
      <vt:lpstr>'FY20 Earnings-CLEANED'!Print_Titles</vt:lpstr>
      <vt:lpstr>'FY20 Earnings-CLEANING'!Print_Titles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Kurz</dc:creator>
  <cp:lastModifiedBy>D S</cp:lastModifiedBy>
  <dcterms:created xsi:type="dcterms:W3CDTF">2025-11-19T01:16:15Z</dcterms:created>
  <dcterms:modified xsi:type="dcterms:W3CDTF">2026-01-27T05:18:00Z</dcterms:modified>
</cp:coreProperties>
</file>
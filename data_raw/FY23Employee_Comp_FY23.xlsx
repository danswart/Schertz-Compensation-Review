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mc:AlternateContent xmlns:mc="http://schemas.openxmlformats.org/markup-compatibility/2006">
    <mc:Choice Requires="x15">
      <x15ac:absPath xmlns:x15ac="http://schemas.microsoft.com/office/spreadsheetml/2010/11/ac" url="/Users/D/R Working Directory/Schertz Compensation Review/data_raw/"/>
    </mc:Choice>
  </mc:AlternateContent>
  <xr:revisionPtr revIDLastSave="0" documentId="13_ncr:1_{EAD915EA-7481-3149-A127-ACED4925FD73}" xr6:coauthVersionLast="47" xr6:coauthVersionMax="47" xr10:uidLastSave="{00000000-0000-0000-0000-000000000000}"/>
  <bookViews>
    <workbookView xWindow="0" yWindow="500" windowWidth="40960" windowHeight="22540" xr2:uid="{00000000-000D-0000-FFFF-FFFF00000000}"/>
  </bookViews>
  <sheets>
    <sheet name="FY23-CLEANED" sheetId="5" r:id="rId1"/>
    <sheet name="FY23-CLEANING" sheetId="3" r:id="rId2"/>
    <sheet name="FY23" sheetId="1" r:id="rId3"/>
    <sheet name="No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16" i="3" l="1"/>
  <c r="R516" i="3"/>
  <c r="P3" i="3"/>
  <c r="P4" i="3"/>
  <c r="P5" i="3"/>
  <c r="P6" i="3"/>
  <c r="P7" i="3"/>
  <c r="Q7" i="3" s="1"/>
  <c r="P8" i="3"/>
  <c r="P9" i="3"/>
  <c r="P10" i="3"/>
  <c r="P11" i="3"/>
  <c r="P12" i="3"/>
  <c r="P13" i="3"/>
  <c r="P14" i="3"/>
  <c r="P15" i="3"/>
  <c r="P16" i="3"/>
  <c r="P17" i="3"/>
  <c r="Q17" i="3" s="1"/>
  <c r="P18" i="3"/>
  <c r="P19" i="3"/>
  <c r="P20" i="3"/>
  <c r="Q20" i="3" s="1"/>
  <c r="P21" i="3"/>
  <c r="P22" i="3"/>
  <c r="P23" i="3"/>
  <c r="P24" i="3"/>
  <c r="P25" i="3"/>
  <c r="Q25" i="3" s="1"/>
  <c r="P26" i="3"/>
  <c r="P27" i="3"/>
  <c r="P28" i="3"/>
  <c r="P29" i="3"/>
  <c r="P30" i="3"/>
  <c r="P31" i="3"/>
  <c r="P32" i="3"/>
  <c r="P33" i="3"/>
  <c r="P34" i="3"/>
  <c r="P35" i="3"/>
  <c r="Q35" i="3" s="1"/>
  <c r="P36" i="3"/>
  <c r="P37" i="3"/>
  <c r="P38" i="3"/>
  <c r="P39" i="3"/>
  <c r="P40" i="3"/>
  <c r="P41" i="3"/>
  <c r="P42" i="3"/>
  <c r="P43" i="3"/>
  <c r="P44" i="3"/>
  <c r="P45" i="3"/>
  <c r="P46" i="3"/>
  <c r="P47" i="3"/>
  <c r="P48" i="3"/>
  <c r="Q48" i="3" s="1"/>
  <c r="P49" i="3"/>
  <c r="P50" i="3"/>
  <c r="P51" i="3"/>
  <c r="P52" i="3"/>
  <c r="P53" i="3"/>
  <c r="Q53" i="3" s="1"/>
  <c r="P54" i="3"/>
  <c r="Q54" i="3" s="1"/>
  <c r="P55" i="3"/>
  <c r="P56" i="3"/>
  <c r="P57" i="3"/>
  <c r="P58" i="3"/>
  <c r="P59" i="3"/>
  <c r="P60" i="3"/>
  <c r="Q60" i="3" s="1"/>
  <c r="P61" i="3"/>
  <c r="Q61" i="3" s="1"/>
  <c r="P62" i="3"/>
  <c r="P63" i="3"/>
  <c r="P64" i="3"/>
  <c r="P65" i="3"/>
  <c r="P66" i="3"/>
  <c r="Q66" i="3" s="1"/>
  <c r="P67" i="3"/>
  <c r="P68" i="3"/>
  <c r="P69" i="3"/>
  <c r="P70" i="3"/>
  <c r="P71" i="3"/>
  <c r="P72" i="3"/>
  <c r="Q72" i="3" s="1"/>
  <c r="P73" i="3"/>
  <c r="P74" i="3"/>
  <c r="P75" i="3"/>
  <c r="P76" i="3"/>
  <c r="P77" i="3"/>
  <c r="P78" i="3"/>
  <c r="P79" i="3"/>
  <c r="Q79" i="3" s="1"/>
  <c r="P80" i="3"/>
  <c r="P81" i="3"/>
  <c r="P82" i="3"/>
  <c r="P83" i="3"/>
  <c r="P84" i="3"/>
  <c r="P85" i="3"/>
  <c r="P86" i="3"/>
  <c r="P87" i="3"/>
  <c r="P88" i="3"/>
  <c r="P89" i="3"/>
  <c r="Q89" i="3" s="1"/>
  <c r="P90" i="3"/>
  <c r="Q90" i="3" s="1"/>
  <c r="P91" i="3"/>
  <c r="Q91" i="3" s="1"/>
  <c r="P92" i="3"/>
  <c r="P93" i="3"/>
  <c r="P94" i="3"/>
  <c r="P95" i="3"/>
  <c r="P96" i="3"/>
  <c r="P97" i="3"/>
  <c r="P98" i="3"/>
  <c r="P99" i="3"/>
  <c r="P100" i="3"/>
  <c r="P101" i="3"/>
  <c r="Q101" i="3" s="1"/>
  <c r="P102" i="3"/>
  <c r="P103" i="3"/>
  <c r="P104" i="3"/>
  <c r="P105" i="3"/>
  <c r="P106" i="3"/>
  <c r="P107" i="3"/>
  <c r="P108" i="3"/>
  <c r="P109" i="3"/>
  <c r="P110" i="3"/>
  <c r="Q110" i="3" s="1"/>
  <c r="P111" i="3"/>
  <c r="P112" i="3"/>
  <c r="P113" i="3"/>
  <c r="P114" i="3"/>
  <c r="P115" i="3"/>
  <c r="P116" i="3"/>
  <c r="P117" i="3"/>
  <c r="P118" i="3"/>
  <c r="Q118" i="3" s="1"/>
  <c r="P119" i="3"/>
  <c r="P120" i="3"/>
  <c r="Q120" i="3" s="1"/>
  <c r="P121" i="3"/>
  <c r="Q121" i="3" s="1"/>
  <c r="P122" i="3"/>
  <c r="P123" i="3"/>
  <c r="P124" i="3"/>
  <c r="P125" i="3"/>
  <c r="Q125" i="3" s="1"/>
  <c r="P126" i="3"/>
  <c r="P127" i="3"/>
  <c r="Q127" i="3" s="1"/>
  <c r="P128" i="3"/>
  <c r="P129" i="3"/>
  <c r="P130" i="3"/>
  <c r="P131" i="3"/>
  <c r="Q131" i="3" s="1"/>
  <c r="P132" i="3"/>
  <c r="P133" i="3"/>
  <c r="P134" i="3"/>
  <c r="P135" i="3"/>
  <c r="P136" i="3"/>
  <c r="P137" i="3"/>
  <c r="P138" i="3"/>
  <c r="P139" i="3"/>
  <c r="Q139" i="3" s="1"/>
  <c r="P140" i="3"/>
  <c r="P141" i="3"/>
  <c r="P142" i="3"/>
  <c r="P143" i="3"/>
  <c r="P144" i="3"/>
  <c r="P145" i="3"/>
  <c r="P146" i="3"/>
  <c r="P147" i="3"/>
  <c r="P148" i="3"/>
  <c r="P149" i="3"/>
  <c r="P150" i="3"/>
  <c r="P151" i="3"/>
  <c r="Q151" i="3" s="1"/>
  <c r="P152" i="3"/>
  <c r="P153" i="3"/>
  <c r="P154" i="3"/>
  <c r="P155" i="3"/>
  <c r="P156" i="3"/>
  <c r="Q156" i="3" s="1"/>
  <c r="P157" i="3"/>
  <c r="P158" i="3"/>
  <c r="P159" i="3"/>
  <c r="P160" i="3"/>
  <c r="P161" i="3"/>
  <c r="P162" i="3"/>
  <c r="P163" i="3"/>
  <c r="P164" i="3"/>
  <c r="P165" i="3"/>
  <c r="P166" i="3"/>
  <c r="P167" i="3"/>
  <c r="Q167" i="3" s="1"/>
  <c r="P168" i="3"/>
  <c r="Q168" i="3" s="1"/>
  <c r="P169" i="3"/>
  <c r="P170" i="3"/>
  <c r="P171" i="3"/>
  <c r="P172" i="3"/>
  <c r="P173" i="3"/>
  <c r="P174" i="3"/>
  <c r="Q174" i="3" s="1"/>
  <c r="P175" i="3"/>
  <c r="Q175" i="3" s="1"/>
  <c r="P176" i="3"/>
  <c r="P177" i="3"/>
  <c r="P178" i="3"/>
  <c r="P179" i="3"/>
  <c r="P180" i="3"/>
  <c r="P181" i="3"/>
  <c r="P182" i="3"/>
  <c r="P183" i="3"/>
  <c r="P184" i="3"/>
  <c r="P185" i="3"/>
  <c r="Q185" i="3" s="1"/>
  <c r="P186" i="3"/>
  <c r="Q186" i="3" s="1"/>
  <c r="P187" i="3"/>
  <c r="P188" i="3"/>
  <c r="P189" i="3"/>
  <c r="P190" i="3"/>
  <c r="P191" i="3"/>
  <c r="P192" i="3"/>
  <c r="P193" i="3"/>
  <c r="P194" i="3"/>
  <c r="P195" i="3"/>
  <c r="P196" i="3"/>
  <c r="P197" i="3"/>
  <c r="P198" i="3"/>
  <c r="P199" i="3"/>
  <c r="P200" i="3"/>
  <c r="P201" i="3"/>
  <c r="P202" i="3"/>
  <c r="P203" i="3"/>
  <c r="Q203" i="3" s="1"/>
  <c r="P204" i="3"/>
  <c r="Q204" i="3" s="1"/>
  <c r="P205" i="3"/>
  <c r="P206" i="3"/>
  <c r="P207" i="3"/>
  <c r="P208" i="3"/>
  <c r="P209" i="3"/>
  <c r="Q209" i="3" s="1"/>
  <c r="P210" i="3"/>
  <c r="P211" i="3"/>
  <c r="P212" i="3"/>
  <c r="Q212" i="3" s="1"/>
  <c r="P213" i="3"/>
  <c r="P214" i="3"/>
  <c r="P215" i="3"/>
  <c r="Q215" i="3" s="1"/>
  <c r="P216" i="3"/>
  <c r="P217" i="3"/>
  <c r="Q217" i="3" s="1"/>
  <c r="P218" i="3"/>
  <c r="P219" i="3"/>
  <c r="P220" i="3"/>
  <c r="P221" i="3"/>
  <c r="Q221" i="3" s="1"/>
  <c r="P222" i="3"/>
  <c r="P223" i="3"/>
  <c r="P224" i="3"/>
  <c r="P225" i="3"/>
  <c r="P226" i="3"/>
  <c r="P227" i="3"/>
  <c r="P228" i="3"/>
  <c r="P229" i="3"/>
  <c r="Q229" i="3" s="1"/>
  <c r="P230" i="3"/>
  <c r="Q230" i="3" s="1"/>
  <c r="P231" i="3"/>
  <c r="P232" i="3"/>
  <c r="P233" i="3"/>
  <c r="Q233" i="3" s="1"/>
  <c r="P234" i="3"/>
  <c r="P235" i="3"/>
  <c r="Q235" i="3" s="1"/>
  <c r="P236" i="3"/>
  <c r="P237" i="3"/>
  <c r="P238" i="3"/>
  <c r="P239" i="3"/>
  <c r="Q239" i="3" s="1"/>
  <c r="P240" i="3"/>
  <c r="Q240" i="3" s="1"/>
  <c r="P241" i="3"/>
  <c r="P242" i="3"/>
  <c r="P243" i="3"/>
  <c r="P244" i="3"/>
  <c r="P245" i="3"/>
  <c r="Q245" i="3" s="1"/>
  <c r="P246" i="3"/>
  <c r="P247" i="3"/>
  <c r="P248" i="3"/>
  <c r="Q248" i="3" s="1"/>
  <c r="P249" i="3"/>
  <c r="P250" i="3"/>
  <c r="P251" i="3"/>
  <c r="P252" i="3"/>
  <c r="Q252" i="3" s="1"/>
  <c r="P253" i="3"/>
  <c r="P254" i="3"/>
  <c r="P255" i="3"/>
  <c r="P256" i="3"/>
  <c r="P257" i="3"/>
  <c r="P258" i="3"/>
  <c r="Q258" i="3" s="1"/>
  <c r="P259" i="3"/>
  <c r="P260" i="3"/>
  <c r="Q260" i="3" s="1"/>
  <c r="P261" i="3"/>
  <c r="P262" i="3"/>
  <c r="P263" i="3"/>
  <c r="P264" i="3"/>
  <c r="P265" i="3"/>
  <c r="P266" i="3"/>
  <c r="Q266" i="3" s="1"/>
  <c r="P267" i="3"/>
  <c r="P268" i="3"/>
  <c r="P269" i="3"/>
  <c r="P270" i="3"/>
  <c r="P271" i="3"/>
  <c r="P272" i="3"/>
  <c r="P273" i="3"/>
  <c r="P274" i="3"/>
  <c r="P275" i="3"/>
  <c r="P276" i="3"/>
  <c r="Q276" i="3" s="1"/>
  <c r="P277" i="3"/>
  <c r="P278" i="3"/>
  <c r="Q278" i="3" s="1"/>
  <c r="P279" i="3"/>
  <c r="P280" i="3"/>
  <c r="P281" i="3"/>
  <c r="P282" i="3"/>
  <c r="Q282" i="3" s="1"/>
  <c r="P283" i="3"/>
  <c r="P284" i="3"/>
  <c r="Q284" i="3" s="1"/>
  <c r="P285" i="3"/>
  <c r="P286" i="3"/>
  <c r="P287" i="3"/>
  <c r="P288" i="3"/>
  <c r="Q288" i="3" s="1"/>
  <c r="P289" i="3"/>
  <c r="Q289" i="3" s="1"/>
  <c r="P290" i="3"/>
  <c r="P291" i="3"/>
  <c r="P292" i="3"/>
  <c r="P293" i="3"/>
  <c r="P294" i="3"/>
  <c r="Q294" i="3" s="1"/>
  <c r="P295" i="3"/>
  <c r="Q295" i="3" s="1"/>
  <c r="P296" i="3"/>
  <c r="P297" i="3"/>
  <c r="P298" i="3"/>
  <c r="P299" i="3"/>
  <c r="P300" i="3"/>
  <c r="P301" i="3"/>
  <c r="P302" i="3"/>
  <c r="P303" i="3"/>
  <c r="P304" i="3"/>
  <c r="P305" i="3"/>
  <c r="P306" i="3"/>
  <c r="P307" i="3"/>
  <c r="P308" i="3"/>
  <c r="P309" i="3"/>
  <c r="P310" i="3"/>
  <c r="P311" i="3"/>
  <c r="P312" i="3"/>
  <c r="Q312" i="3" s="1"/>
  <c r="P313" i="3"/>
  <c r="P314" i="3"/>
  <c r="P315" i="3"/>
  <c r="P316" i="3"/>
  <c r="P317" i="3"/>
  <c r="P318" i="3"/>
  <c r="Q318" i="3" s="1"/>
  <c r="P319" i="3"/>
  <c r="P320" i="3"/>
  <c r="P321" i="3"/>
  <c r="P322" i="3"/>
  <c r="P323" i="3"/>
  <c r="P324" i="3"/>
  <c r="Q324" i="3" s="1"/>
  <c r="P325" i="3"/>
  <c r="P326" i="3"/>
  <c r="Q326" i="3" s="1"/>
  <c r="P327" i="3"/>
  <c r="P328" i="3"/>
  <c r="P329" i="3"/>
  <c r="P330" i="3"/>
  <c r="Q330" i="3" s="1"/>
  <c r="P331" i="3"/>
  <c r="P332" i="3"/>
  <c r="P333" i="3"/>
  <c r="P334" i="3"/>
  <c r="P335" i="3"/>
  <c r="P336" i="3"/>
  <c r="P337" i="3"/>
  <c r="P338" i="3"/>
  <c r="P339" i="3"/>
  <c r="P340" i="3"/>
  <c r="P341" i="3"/>
  <c r="P342" i="3"/>
  <c r="P343" i="3"/>
  <c r="P344" i="3"/>
  <c r="Q344" i="3" s="1"/>
  <c r="P345" i="3"/>
  <c r="P346" i="3"/>
  <c r="P347" i="3"/>
  <c r="Q347" i="3" s="1"/>
  <c r="P348" i="3"/>
  <c r="Q348" i="3" s="1"/>
  <c r="P349" i="3"/>
  <c r="P350" i="3"/>
  <c r="P351" i="3"/>
  <c r="P352" i="3"/>
  <c r="P353" i="3"/>
  <c r="Q353" i="3" s="1"/>
  <c r="P354" i="3"/>
  <c r="P355" i="3"/>
  <c r="P356" i="3"/>
  <c r="P357" i="3"/>
  <c r="P358" i="3"/>
  <c r="P359" i="3"/>
  <c r="P360" i="3"/>
  <c r="P361" i="3"/>
  <c r="P362" i="3"/>
  <c r="P363" i="3"/>
  <c r="P364" i="3"/>
  <c r="P365" i="3"/>
  <c r="P366" i="3"/>
  <c r="Q366" i="3" s="1"/>
  <c r="P367" i="3"/>
  <c r="P368" i="3"/>
  <c r="Q368" i="3" s="1"/>
  <c r="P369" i="3"/>
  <c r="P370" i="3"/>
  <c r="P371" i="3"/>
  <c r="P372" i="3"/>
  <c r="P373" i="3"/>
  <c r="P374" i="3"/>
  <c r="Q374" i="3" s="1"/>
  <c r="P375" i="3"/>
  <c r="P376" i="3"/>
  <c r="P377" i="3"/>
  <c r="P378" i="3"/>
  <c r="P379" i="3"/>
  <c r="P380" i="3"/>
  <c r="P381" i="3"/>
  <c r="P382" i="3"/>
  <c r="P383" i="3"/>
  <c r="P384" i="3"/>
  <c r="Q384" i="3" s="1"/>
  <c r="P385" i="3"/>
  <c r="P386" i="3"/>
  <c r="Q386" i="3" s="1"/>
  <c r="P387" i="3"/>
  <c r="P388" i="3"/>
  <c r="P389" i="3"/>
  <c r="P390" i="3"/>
  <c r="P391" i="3"/>
  <c r="P392" i="3"/>
  <c r="Q392" i="3" s="1"/>
  <c r="P393" i="3"/>
  <c r="P394" i="3"/>
  <c r="P395" i="3"/>
  <c r="P396" i="3"/>
  <c r="P397" i="3"/>
  <c r="Q397" i="3" s="1"/>
  <c r="P398" i="3"/>
  <c r="P399" i="3"/>
  <c r="P400" i="3"/>
  <c r="P401" i="3"/>
  <c r="P402" i="3"/>
  <c r="Q402" i="3" s="1"/>
  <c r="P403" i="3"/>
  <c r="Q403" i="3" s="1"/>
  <c r="P404" i="3"/>
  <c r="P405" i="3"/>
  <c r="P406" i="3"/>
  <c r="P407" i="3"/>
  <c r="P408" i="3"/>
  <c r="P409" i="3"/>
  <c r="P410" i="3"/>
  <c r="P411" i="3"/>
  <c r="P412" i="3"/>
  <c r="P413" i="3"/>
  <c r="P414" i="3"/>
  <c r="P415" i="3"/>
  <c r="P416" i="3"/>
  <c r="P417" i="3"/>
  <c r="P418" i="3"/>
  <c r="P419" i="3"/>
  <c r="P420" i="3"/>
  <c r="Q420" i="3" s="1"/>
  <c r="P421" i="3"/>
  <c r="P422" i="3"/>
  <c r="P423" i="3"/>
  <c r="P424" i="3"/>
  <c r="P425" i="3"/>
  <c r="P426" i="3"/>
  <c r="Q426" i="3" s="1"/>
  <c r="P427" i="3"/>
  <c r="P428" i="3"/>
  <c r="P429" i="3"/>
  <c r="P430" i="3"/>
  <c r="P431" i="3"/>
  <c r="P432" i="3"/>
  <c r="Q432" i="3" s="1"/>
  <c r="P433" i="3"/>
  <c r="P434" i="3"/>
  <c r="Q434" i="3" s="1"/>
  <c r="P435" i="3"/>
  <c r="P436" i="3"/>
  <c r="P437" i="3"/>
  <c r="P438" i="3"/>
  <c r="Q438" i="3" s="1"/>
  <c r="P439" i="3"/>
  <c r="P440" i="3"/>
  <c r="P441" i="3"/>
  <c r="P442" i="3"/>
  <c r="P443" i="3"/>
  <c r="P444" i="3"/>
  <c r="P445" i="3"/>
  <c r="P446" i="3"/>
  <c r="P447" i="3"/>
  <c r="P448" i="3"/>
  <c r="P449" i="3"/>
  <c r="P450" i="3"/>
  <c r="P451" i="3"/>
  <c r="P452" i="3"/>
  <c r="Q452" i="3" s="1"/>
  <c r="P453" i="3"/>
  <c r="P454" i="3"/>
  <c r="P455" i="3"/>
  <c r="Q455" i="3" s="1"/>
  <c r="P456" i="3"/>
  <c r="Q456" i="3" s="1"/>
  <c r="P457" i="3"/>
  <c r="P458" i="3"/>
  <c r="P459" i="3"/>
  <c r="P460" i="3"/>
  <c r="P461" i="3"/>
  <c r="Q461" i="3" s="1"/>
  <c r="P462" i="3"/>
  <c r="Q462" i="3" s="1"/>
  <c r="P463" i="3"/>
  <c r="P464" i="3"/>
  <c r="P465" i="3"/>
  <c r="P466" i="3"/>
  <c r="P467" i="3"/>
  <c r="P468" i="3"/>
  <c r="Q468" i="3" s="1"/>
  <c r="P469" i="3"/>
  <c r="P470" i="3"/>
  <c r="P471" i="3"/>
  <c r="P472" i="3"/>
  <c r="P473" i="3"/>
  <c r="P474" i="3"/>
  <c r="Q474" i="3" s="1"/>
  <c r="P475" i="3"/>
  <c r="P476" i="3"/>
  <c r="Q476" i="3" s="1"/>
  <c r="P477" i="3"/>
  <c r="P478" i="3"/>
  <c r="P479" i="3"/>
  <c r="P480" i="3"/>
  <c r="P481" i="3"/>
  <c r="P482" i="3"/>
  <c r="Q482" i="3" s="1"/>
  <c r="P483" i="3"/>
  <c r="P484" i="3"/>
  <c r="P485" i="3"/>
  <c r="P486" i="3"/>
  <c r="P487" i="3"/>
  <c r="P488" i="3"/>
  <c r="P489" i="3"/>
  <c r="P490" i="3"/>
  <c r="P491" i="3"/>
  <c r="Q491" i="3" s="1"/>
  <c r="P492" i="3"/>
  <c r="Q492" i="3" s="1"/>
  <c r="P493" i="3"/>
  <c r="P494" i="3"/>
  <c r="P495" i="3"/>
  <c r="P496" i="3"/>
  <c r="P497" i="3"/>
  <c r="P498" i="3"/>
  <c r="Q498" i="3" s="1"/>
  <c r="P499" i="3"/>
  <c r="P500" i="3"/>
  <c r="Q500" i="3" s="1"/>
  <c r="P501" i="3"/>
  <c r="P502" i="3"/>
  <c r="P503" i="3"/>
  <c r="P504" i="3"/>
  <c r="Q504" i="3" s="1"/>
  <c r="P505" i="3"/>
  <c r="Q505" i="3" s="1"/>
  <c r="P506" i="3"/>
  <c r="Q506" i="3" s="1"/>
  <c r="P507" i="3"/>
  <c r="P508" i="3"/>
  <c r="P509" i="3"/>
  <c r="P510" i="3"/>
  <c r="Q510" i="3" s="1"/>
  <c r="P511" i="3"/>
  <c r="P512" i="3"/>
  <c r="P513" i="3"/>
  <c r="P514" i="3"/>
  <c r="P2" i="3"/>
  <c r="Q6" i="3"/>
  <c r="Q13" i="3"/>
  <c r="Q14" i="3"/>
  <c r="Q36" i="3"/>
  <c r="Q37" i="3"/>
  <c r="Q43" i="3"/>
  <c r="Q44" i="3"/>
  <c r="Q67" i="3"/>
  <c r="Q68" i="3"/>
  <c r="Q73" i="3"/>
  <c r="Q74" i="3"/>
  <c r="Q97" i="3"/>
  <c r="Q98" i="3"/>
  <c r="Q103" i="3"/>
  <c r="Q128" i="3"/>
  <c r="Q134" i="3"/>
  <c r="Q149" i="3"/>
  <c r="Q150" i="3"/>
  <c r="Q157" i="3"/>
  <c r="Q158" i="3"/>
  <c r="Q164" i="3"/>
  <c r="Q179" i="3"/>
  <c r="Q187" i="3"/>
  <c r="Q192" i="3"/>
  <c r="Q193" i="3"/>
  <c r="Q194" i="3"/>
  <c r="Q216" i="3"/>
  <c r="Q222" i="3"/>
  <c r="Q223" i="3"/>
  <c r="Q224" i="3"/>
  <c r="Q253" i="3"/>
  <c r="Q259" i="3"/>
  <c r="Q275" i="3"/>
  <c r="Q281" i="3"/>
  <c r="Q296" i="3"/>
  <c r="Q302" i="3"/>
  <c r="Q311" i="3"/>
  <c r="Q317" i="3"/>
  <c r="Q325" i="3"/>
  <c r="Q331" i="3"/>
  <c r="Q332" i="3"/>
  <c r="Q338" i="3"/>
  <c r="Q354" i="3"/>
  <c r="Q360" i="3"/>
  <c r="Q361" i="3"/>
  <c r="Q367" i="3"/>
  <c r="Q383" i="3"/>
  <c r="Q389" i="3"/>
  <c r="Q390" i="3"/>
  <c r="Q396" i="3"/>
  <c r="Q404" i="3"/>
  <c r="Q410" i="3"/>
  <c r="Q419" i="3"/>
  <c r="Q425" i="3"/>
  <c r="Q433" i="3"/>
  <c r="Q439" i="3"/>
  <c r="Q440" i="3"/>
  <c r="Q446" i="3"/>
  <c r="Q469" i="3"/>
  <c r="Q475" i="3"/>
  <c r="Q488" i="3"/>
  <c r="Q497" i="3"/>
  <c r="Q511" i="3"/>
  <c r="Q512" i="3"/>
  <c r="Q4" i="3"/>
  <c r="Q10" i="3"/>
  <c r="Q16" i="3"/>
  <c r="Q22" i="3"/>
  <c r="Q28" i="3"/>
  <c r="Q41" i="3"/>
  <c r="Q85" i="3"/>
  <c r="Q92" i="3"/>
  <c r="Q106" i="3"/>
  <c r="Q112" i="3"/>
  <c r="Q137" i="3"/>
  <c r="Q144" i="3"/>
  <c r="Q162" i="3"/>
  <c r="Q180" i="3"/>
  <c r="Q199" i="3"/>
  <c r="Q205" i="3"/>
  <c r="Q211" i="3"/>
  <c r="Q241" i="3"/>
  <c r="Q247" i="3"/>
  <c r="Q254" i="3"/>
  <c r="Q272" i="3"/>
  <c r="Q290" i="3"/>
  <c r="Q308" i="3"/>
  <c r="Q314" i="3"/>
  <c r="Q320" i="3"/>
  <c r="Q350" i="3"/>
  <c r="Q356" i="3"/>
  <c r="Q362" i="3"/>
  <c r="Q380" i="3"/>
  <c r="Q398" i="3"/>
  <c r="Q416" i="3"/>
  <c r="Q422" i="3"/>
  <c r="Q428" i="3"/>
  <c r="Q458" i="3"/>
  <c r="Q464" i="3"/>
  <c r="Q470" i="3"/>
  <c r="Q494" i="3"/>
  <c r="T3" i="3"/>
  <c r="U3" i="3" s="1"/>
  <c r="T4" i="3"/>
  <c r="U4" i="3" s="1"/>
  <c r="T5" i="3"/>
  <c r="U5" i="3" s="1"/>
  <c r="T6" i="3"/>
  <c r="U6" i="3"/>
  <c r="T7" i="3"/>
  <c r="U7" i="3" s="1"/>
  <c r="T8" i="3"/>
  <c r="U8" i="3" s="1"/>
  <c r="T9" i="3"/>
  <c r="U9" i="3"/>
  <c r="T10" i="3"/>
  <c r="U10" i="3" s="1"/>
  <c r="T11" i="3"/>
  <c r="U11" i="3" s="1"/>
  <c r="T12" i="3"/>
  <c r="U12" i="3" s="1"/>
  <c r="T13" i="3"/>
  <c r="U13" i="3" s="1"/>
  <c r="T14" i="3"/>
  <c r="U14" i="3" s="1"/>
  <c r="T15" i="3"/>
  <c r="U15" i="3"/>
  <c r="T16" i="3"/>
  <c r="U16" i="3" s="1"/>
  <c r="T17" i="3"/>
  <c r="U17" i="3" s="1"/>
  <c r="T18" i="3"/>
  <c r="U18" i="3"/>
  <c r="T19" i="3"/>
  <c r="U19" i="3" s="1"/>
  <c r="T20" i="3"/>
  <c r="U20" i="3" s="1"/>
  <c r="T21" i="3"/>
  <c r="U21" i="3" s="1"/>
  <c r="T22" i="3"/>
  <c r="U22" i="3" s="1"/>
  <c r="T23" i="3"/>
  <c r="U23" i="3" s="1"/>
  <c r="T24" i="3"/>
  <c r="U24" i="3"/>
  <c r="T25" i="3"/>
  <c r="U25" i="3" s="1"/>
  <c r="T26" i="3"/>
  <c r="U26" i="3" s="1"/>
  <c r="T27" i="3"/>
  <c r="U27" i="3"/>
  <c r="T28" i="3"/>
  <c r="U28" i="3" s="1"/>
  <c r="T29" i="3"/>
  <c r="U29" i="3" s="1"/>
  <c r="T30" i="3"/>
  <c r="U30" i="3" s="1"/>
  <c r="T31" i="3"/>
  <c r="U31" i="3" s="1"/>
  <c r="T32" i="3"/>
  <c r="U32" i="3" s="1"/>
  <c r="T33" i="3"/>
  <c r="U33" i="3"/>
  <c r="T34" i="3"/>
  <c r="U34" i="3" s="1"/>
  <c r="T35" i="3"/>
  <c r="U35" i="3" s="1"/>
  <c r="T36" i="3"/>
  <c r="U36" i="3"/>
  <c r="T37" i="3"/>
  <c r="U37" i="3" s="1"/>
  <c r="T38" i="3"/>
  <c r="U38" i="3" s="1"/>
  <c r="T39" i="3"/>
  <c r="U39" i="3" s="1"/>
  <c r="T40" i="3"/>
  <c r="U40" i="3" s="1"/>
  <c r="T41" i="3"/>
  <c r="U41" i="3" s="1"/>
  <c r="T42" i="3"/>
  <c r="U42" i="3"/>
  <c r="T43" i="3"/>
  <c r="U43" i="3" s="1"/>
  <c r="T44" i="3"/>
  <c r="U44" i="3" s="1"/>
  <c r="T45" i="3"/>
  <c r="U45" i="3"/>
  <c r="T46" i="3"/>
  <c r="U46" i="3" s="1"/>
  <c r="T47" i="3"/>
  <c r="U47" i="3" s="1"/>
  <c r="T48" i="3"/>
  <c r="U48" i="3" s="1"/>
  <c r="T49" i="3"/>
  <c r="U49" i="3" s="1"/>
  <c r="T50" i="3"/>
  <c r="U50" i="3" s="1"/>
  <c r="T51" i="3"/>
  <c r="U51" i="3"/>
  <c r="T52" i="3"/>
  <c r="U52" i="3" s="1"/>
  <c r="T53" i="3"/>
  <c r="U53" i="3" s="1"/>
  <c r="T54" i="3"/>
  <c r="U54" i="3"/>
  <c r="T55" i="3"/>
  <c r="U55" i="3" s="1"/>
  <c r="T56" i="3"/>
  <c r="U56" i="3" s="1"/>
  <c r="T57" i="3"/>
  <c r="U57" i="3" s="1"/>
  <c r="T58" i="3"/>
  <c r="U58" i="3" s="1"/>
  <c r="T59" i="3"/>
  <c r="U59" i="3" s="1"/>
  <c r="T60" i="3"/>
  <c r="U60" i="3"/>
  <c r="T61" i="3"/>
  <c r="U61" i="3" s="1"/>
  <c r="T62" i="3"/>
  <c r="U62" i="3" s="1"/>
  <c r="T63" i="3"/>
  <c r="U63" i="3"/>
  <c r="T64" i="3"/>
  <c r="U64" i="3" s="1"/>
  <c r="T65" i="3"/>
  <c r="U65" i="3" s="1"/>
  <c r="T66" i="3"/>
  <c r="U66" i="3" s="1"/>
  <c r="T67" i="3"/>
  <c r="U67" i="3" s="1"/>
  <c r="T68" i="3"/>
  <c r="U68" i="3" s="1"/>
  <c r="T69" i="3"/>
  <c r="U69" i="3"/>
  <c r="T70" i="3"/>
  <c r="U70" i="3" s="1"/>
  <c r="T71" i="3"/>
  <c r="U71" i="3" s="1"/>
  <c r="T72" i="3"/>
  <c r="U72" i="3"/>
  <c r="T73" i="3"/>
  <c r="U73" i="3" s="1"/>
  <c r="T74" i="3"/>
  <c r="U74" i="3" s="1"/>
  <c r="T75" i="3"/>
  <c r="U75" i="3" s="1"/>
  <c r="T76" i="3"/>
  <c r="U76" i="3" s="1"/>
  <c r="T77" i="3"/>
  <c r="U77" i="3" s="1"/>
  <c r="T78" i="3"/>
  <c r="U78" i="3"/>
  <c r="T79" i="3"/>
  <c r="U79" i="3" s="1"/>
  <c r="T80" i="3"/>
  <c r="U80" i="3" s="1"/>
  <c r="T81" i="3"/>
  <c r="U81" i="3"/>
  <c r="T82" i="3"/>
  <c r="U82" i="3" s="1"/>
  <c r="T83" i="3"/>
  <c r="U83" i="3" s="1"/>
  <c r="T84" i="3"/>
  <c r="U84" i="3" s="1"/>
  <c r="T85" i="3"/>
  <c r="U85" i="3" s="1"/>
  <c r="T86" i="3"/>
  <c r="U86" i="3" s="1"/>
  <c r="T87" i="3"/>
  <c r="U87" i="3"/>
  <c r="T88" i="3"/>
  <c r="U88" i="3" s="1"/>
  <c r="T89" i="3"/>
  <c r="U89" i="3" s="1"/>
  <c r="T90" i="3"/>
  <c r="U90" i="3"/>
  <c r="T91" i="3"/>
  <c r="U91" i="3" s="1"/>
  <c r="T92" i="3"/>
  <c r="U92" i="3" s="1"/>
  <c r="T93" i="3"/>
  <c r="U93" i="3" s="1"/>
  <c r="T94" i="3"/>
  <c r="U94" i="3" s="1"/>
  <c r="T95" i="3"/>
  <c r="U95" i="3" s="1"/>
  <c r="T96" i="3"/>
  <c r="U96" i="3"/>
  <c r="T97" i="3"/>
  <c r="U97" i="3" s="1"/>
  <c r="T98" i="3"/>
  <c r="U98" i="3" s="1"/>
  <c r="T99" i="3"/>
  <c r="U99" i="3"/>
  <c r="T100" i="3"/>
  <c r="U100" i="3" s="1"/>
  <c r="T101" i="3"/>
  <c r="U101" i="3" s="1"/>
  <c r="T102" i="3"/>
  <c r="U102" i="3" s="1"/>
  <c r="T103" i="3"/>
  <c r="U103" i="3" s="1"/>
  <c r="T104" i="3"/>
  <c r="U104" i="3" s="1"/>
  <c r="T105" i="3"/>
  <c r="U105" i="3"/>
  <c r="T106" i="3"/>
  <c r="U106" i="3" s="1"/>
  <c r="T107" i="3"/>
  <c r="U107" i="3" s="1"/>
  <c r="T108" i="3"/>
  <c r="U108" i="3"/>
  <c r="T109" i="3"/>
  <c r="U109" i="3" s="1"/>
  <c r="T110" i="3"/>
  <c r="U110" i="3" s="1"/>
  <c r="T111" i="3"/>
  <c r="U111" i="3" s="1"/>
  <c r="T112" i="3"/>
  <c r="U112" i="3" s="1"/>
  <c r="T113" i="3"/>
  <c r="U113" i="3" s="1"/>
  <c r="T114" i="3"/>
  <c r="U114" i="3"/>
  <c r="T115" i="3"/>
  <c r="U115" i="3" s="1"/>
  <c r="T116" i="3"/>
  <c r="U116" i="3" s="1"/>
  <c r="T117" i="3"/>
  <c r="U117" i="3"/>
  <c r="T118" i="3"/>
  <c r="U118" i="3" s="1"/>
  <c r="T119" i="3"/>
  <c r="U119" i="3" s="1"/>
  <c r="T120" i="3"/>
  <c r="U120" i="3" s="1"/>
  <c r="T121" i="3"/>
  <c r="U121" i="3" s="1"/>
  <c r="T122" i="3"/>
  <c r="U122" i="3" s="1"/>
  <c r="T123" i="3"/>
  <c r="U123" i="3"/>
  <c r="T124" i="3"/>
  <c r="U124" i="3" s="1"/>
  <c r="T125" i="3"/>
  <c r="U125" i="3" s="1"/>
  <c r="T126" i="3"/>
  <c r="U126" i="3"/>
  <c r="T127" i="3"/>
  <c r="U127" i="3" s="1"/>
  <c r="T128" i="3"/>
  <c r="U128" i="3" s="1"/>
  <c r="T129" i="3"/>
  <c r="U129" i="3" s="1"/>
  <c r="T130" i="3"/>
  <c r="U130" i="3" s="1"/>
  <c r="T131" i="3"/>
  <c r="U131" i="3" s="1"/>
  <c r="T132" i="3"/>
  <c r="U132" i="3"/>
  <c r="T133" i="3"/>
  <c r="U133" i="3" s="1"/>
  <c r="T134" i="3"/>
  <c r="U134" i="3" s="1"/>
  <c r="T135" i="3"/>
  <c r="U135" i="3"/>
  <c r="T136" i="3"/>
  <c r="U136" i="3" s="1"/>
  <c r="T137" i="3"/>
  <c r="U137" i="3" s="1"/>
  <c r="T138" i="3"/>
  <c r="U138" i="3" s="1"/>
  <c r="T139" i="3"/>
  <c r="U139" i="3" s="1"/>
  <c r="T140" i="3"/>
  <c r="U140" i="3" s="1"/>
  <c r="T141" i="3"/>
  <c r="U141" i="3"/>
  <c r="T142" i="3"/>
  <c r="U142" i="3" s="1"/>
  <c r="T143" i="3"/>
  <c r="U143" i="3" s="1"/>
  <c r="T144" i="3"/>
  <c r="U144" i="3"/>
  <c r="T145" i="3"/>
  <c r="U145" i="3" s="1"/>
  <c r="T146" i="3"/>
  <c r="U146" i="3" s="1"/>
  <c r="T147" i="3"/>
  <c r="U147" i="3" s="1"/>
  <c r="T148" i="3"/>
  <c r="U148" i="3" s="1"/>
  <c r="T149" i="3"/>
  <c r="U149" i="3" s="1"/>
  <c r="T150" i="3"/>
  <c r="U150" i="3"/>
  <c r="T151" i="3"/>
  <c r="U151" i="3" s="1"/>
  <c r="T152" i="3"/>
  <c r="U152" i="3" s="1"/>
  <c r="T153" i="3"/>
  <c r="U153" i="3"/>
  <c r="T154" i="3"/>
  <c r="U154" i="3" s="1"/>
  <c r="T155" i="3"/>
  <c r="U155" i="3" s="1"/>
  <c r="T156" i="3"/>
  <c r="U156" i="3" s="1"/>
  <c r="T157" i="3"/>
  <c r="U157" i="3" s="1"/>
  <c r="T158" i="3"/>
  <c r="U158" i="3" s="1"/>
  <c r="T159" i="3"/>
  <c r="U159" i="3"/>
  <c r="T160" i="3"/>
  <c r="U160" i="3" s="1"/>
  <c r="T161" i="3"/>
  <c r="U161" i="3" s="1"/>
  <c r="T162" i="3"/>
  <c r="U162" i="3"/>
  <c r="T163" i="3"/>
  <c r="U163" i="3" s="1"/>
  <c r="T164" i="3"/>
  <c r="U164" i="3" s="1"/>
  <c r="T165" i="3"/>
  <c r="U165" i="3" s="1"/>
  <c r="T166" i="3"/>
  <c r="U166" i="3" s="1"/>
  <c r="T167" i="3"/>
  <c r="U167" i="3" s="1"/>
  <c r="T168" i="3"/>
  <c r="U168" i="3"/>
  <c r="T169" i="3"/>
  <c r="U169" i="3" s="1"/>
  <c r="T170" i="3"/>
  <c r="U170" i="3" s="1"/>
  <c r="T171" i="3"/>
  <c r="U171" i="3"/>
  <c r="T172" i="3"/>
  <c r="U172" i="3" s="1"/>
  <c r="T173" i="3"/>
  <c r="U173" i="3" s="1"/>
  <c r="T174" i="3"/>
  <c r="U174" i="3" s="1"/>
  <c r="T175" i="3"/>
  <c r="U175" i="3" s="1"/>
  <c r="T176" i="3"/>
  <c r="U176" i="3" s="1"/>
  <c r="T177" i="3"/>
  <c r="U177" i="3"/>
  <c r="T178" i="3"/>
  <c r="U178" i="3" s="1"/>
  <c r="T179" i="3"/>
  <c r="U179" i="3" s="1"/>
  <c r="T180" i="3"/>
  <c r="U180" i="3"/>
  <c r="T181" i="3"/>
  <c r="U181" i="3" s="1"/>
  <c r="T182" i="3"/>
  <c r="U182" i="3" s="1"/>
  <c r="T183" i="3"/>
  <c r="U183" i="3" s="1"/>
  <c r="T184" i="3"/>
  <c r="U184" i="3" s="1"/>
  <c r="T185" i="3"/>
  <c r="U185" i="3" s="1"/>
  <c r="T186" i="3"/>
  <c r="U186" i="3"/>
  <c r="T187" i="3"/>
  <c r="U187" i="3" s="1"/>
  <c r="T188" i="3"/>
  <c r="U188" i="3" s="1"/>
  <c r="T189" i="3"/>
  <c r="U189" i="3"/>
  <c r="T190" i="3"/>
  <c r="U190" i="3" s="1"/>
  <c r="T191" i="3"/>
  <c r="U191" i="3" s="1"/>
  <c r="T192" i="3"/>
  <c r="U192" i="3" s="1"/>
  <c r="T193" i="3"/>
  <c r="U193" i="3" s="1"/>
  <c r="T194" i="3"/>
  <c r="U194" i="3" s="1"/>
  <c r="T195" i="3"/>
  <c r="U195" i="3"/>
  <c r="T196" i="3"/>
  <c r="U196" i="3" s="1"/>
  <c r="T197" i="3"/>
  <c r="U197" i="3" s="1"/>
  <c r="T198" i="3"/>
  <c r="U198" i="3"/>
  <c r="T199" i="3"/>
  <c r="U199" i="3" s="1"/>
  <c r="T200" i="3"/>
  <c r="U200" i="3" s="1"/>
  <c r="T201" i="3"/>
  <c r="U201" i="3" s="1"/>
  <c r="T202" i="3"/>
  <c r="U202" i="3" s="1"/>
  <c r="T203" i="3"/>
  <c r="U203" i="3" s="1"/>
  <c r="T204" i="3"/>
  <c r="U204" i="3"/>
  <c r="T205" i="3"/>
  <c r="U205" i="3" s="1"/>
  <c r="T206" i="3"/>
  <c r="U206" i="3" s="1"/>
  <c r="T207" i="3"/>
  <c r="U207" i="3"/>
  <c r="T208" i="3"/>
  <c r="U208" i="3" s="1"/>
  <c r="T209" i="3"/>
  <c r="U209" i="3" s="1"/>
  <c r="T210" i="3"/>
  <c r="U210" i="3" s="1"/>
  <c r="T211" i="3"/>
  <c r="U211" i="3" s="1"/>
  <c r="T212" i="3"/>
  <c r="U212" i="3" s="1"/>
  <c r="T213" i="3"/>
  <c r="U213" i="3"/>
  <c r="T214" i="3"/>
  <c r="U214" i="3" s="1"/>
  <c r="T215" i="3"/>
  <c r="U215" i="3" s="1"/>
  <c r="T216" i="3"/>
  <c r="U216" i="3"/>
  <c r="T217" i="3"/>
  <c r="U217" i="3" s="1"/>
  <c r="T218" i="3"/>
  <c r="U218" i="3"/>
  <c r="T219" i="3"/>
  <c r="U219" i="3"/>
  <c r="T220" i="3"/>
  <c r="U220" i="3" s="1"/>
  <c r="T221" i="3"/>
  <c r="U221" i="3" s="1"/>
  <c r="T222" i="3"/>
  <c r="U222" i="3"/>
  <c r="T223" i="3"/>
  <c r="U223" i="3" s="1"/>
  <c r="T224" i="3"/>
  <c r="U224" i="3"/>
  <c r="T225" i="3"/>
  <c r="U225" i="3"/>
  <c r="T226" i="3"/>
  <c r="U226" i="3" s="1"/>
  <c r="T227" i="3"/>
  <c r="U227" i="3"/>
  <c r="T228" i="3"/>
  <c r="U228" i="3"/>
  <c r="T229" i="3"/>
  <c r="U229" i="3" s="1"/>
  <c r="T230" i="3"/>
  <c r="U230" i="3" s="1"/>
  <c r="T231" i="3"/>
  <c r="U231" i="3"/>
  <c r="T232" i="3"/>
  <c r="U232" i="3" s="1"/>
  <c r="T233" i="3"/>
  <c r="U233" i="3"/>
  <c r="T234" i="3"/>
  <c r="U234" i="3" s="1"/>
  <c r="T235" i="3"/>
  <c r="U235" i="3" s="1"/>
  <c r="T236" i="3"/>
  <c r="U236" i="3"/>
  <c r="T237" i="3"/>
  <c r="U237" i="3"/>
  <c r="T238" i="3"/>
  <c r="U238" i="3" s="1"/>
  <c r="T239" i="3"/>
  <c r="U239" i="3" s="1"/>
  <c r="T240" i="3"/>
  <c r="U240" i="3"/>
  <c r="T241" i="3"/>
  <c r="U241" i="3" s="1"/>
  <c r="T242" i="3"/>
  <c r="U242" i="3" s="1"/>
  <c r="T243" i="3"/>
  <c r="U243" i="3"/>
  <c r="T244" i="3"/>
  <c r="U244" i="3" s="1"/>
  <c r="T245" i="3"/>
  <c r="U245" i="3" s="1"/>
  <c r="T246" i="3"/>
  <c r="U246" i="3" s="1"/>
  <c r="T247" i="3"/>
  <c r="U247" i="3" s="1"/>
  <c r="T248" i="3"/>
  <c r="U248" i="3"/>
  <c r="T249" i="3"/>
  <c r="U249" i="3"/>
  <c r="T250" i="3"/>
  <c r="U250" i="3" s="1"/>
  <c r="T251" i="3"/>
  <c r="U251" i="3" s="1"/>
  <c r="T252" i="3"/>
  <c r="U252" i="3"/>
  <c r="T253" i="3"/>
  <c r="U253" i="3" s="1"/>
  <c r="T254" i="3"/>
  <c r="U254" i="3" s="1"/>
  <c r="T255" i="3"/>
  <c r="U255" i="3"/>
  <c r="T256" i="3"/>
  <c r="U256" i="3" s="1"/>
  <c r="T257" i="3"/>
  <c r="U257" i="3" s="1"/>
  <c r="T258" i="3"/>
  <c r="U258" i="3" s="1"/>
  <c r="T259" i="3"/>
  <c r="U259" i="3"/>
  <c r="T260" i="3"/>
  <c r="U260" i="3" s="1"/>
  <c r="T261" i="3"/>
  <c r="U261" i="3"/>
  <c r="T262" i="3"/>
  <c r="U262" i="3" s="1"/>
  <c r="T263" i="3"/>
  <c r="U263" i="3" s="1"/>
  <c r="T264" i="3"/>
  <c r="U264" i="3"/>
  <c r="T265" i="3"/>
  <c r="U265" i="3"/>
  <c r="T266" i="3"/>
  <c r="U266" i="3" s="1"/>
  <c r="T267" i="3"/>
  <c r="U267" i="3"/>
  <c r="T268" i="3"/>
  <c r="U268" i="3" s="1"/>
  <c r="T269" i="3"/>
  <c r="U269" i="3" s="1"/>
  <c r="T270" i="3"/>
  <c r="U270" i="3" s="1"/>
  <c r="T271" i="3"/>
  <c r="U271" i="3"/>
  <c r="T272" i="3"/>
  <c r="U272" i="3" s="1"/>
  <c r="T273" i="3"/>
  <c r="U273" i="3"/>
  <c r="T274" i="3"/>
  <c r="U274" i="3" s="1"/>
  <c r="T275" i="3"/>
  <c r="U275" i="3" s="1"/>
  <c r="T276" i="3"/>
  <c r="U276" i="3"/>
  <c r="T277" i="3"/>
  <c r="U277" i="3"/>
  <c r="T278" i="3"/>
  <c r="U278" i="3" s="1"/>
  <c r="T279" i="3"/>
  <c r="U279" i="3"/>
  <c r="T280" i="3"/>
  <c r="U280" i="3" s="1"/>
  <c r="T281" i="3"/>
  <c r="U281" i="3" s="1"/>
  <c r="T282" i="3"/>
  <c r="U282" i="3" s="1"/>
  <c r="T283" i="3"/>
  <c r="U283" i="3"/>
  <c r="T284" i="3"/>
  <c r="U284" i="3" s="1"/>
  <c r="T285" i="3"/>
  <c r="U285" i="3"/>
  <c r="T286" i="3"/>
  <c r="U286" i="3"/>
  <c r="T287" i="3"/>
  <c r="U287" i="3" s="1"/>
  <c r="T288" i="3"/>
  <c r="U288" i="3" s="1"/>
  <c r="T289" i="3"/>
  <c r="U289" i="3" s="1"/>
  <c r="T290" i="3"/>
  <c r="U290" i="3" s="1"/>
  <c r="T291" i="3"/>
  <c r="U291" i="3"/>
  <c r="T292" i="3"/>
  <c r="U292" i="3" s="1"/>
  <c r="T293" i="3"/>
  <c r="U293" i="3" s="1"/>
  <c r="T294" i="3"/>
  <c r="U294" i="3"/>
  <c r="T295" i="3"/>
  <c r="U295" i="3"/>
  <c r="T296" i="3"/>
  <c r="U296" i="3" s="1"/>
  <c r="T297" i="3"/>
  <c r="U297" i="3" s="1"/>
  <c r="T298" i="3"/>
  <c r="U298" i="3" s="1"/>
  <c r="T299" i="3"/>
  <c r="U299" i="3" s="1"/>
  <c r="T300" i="3"/>
  <c r="U300" i="3"/>
  <c r="T301" i="3"/>
  <c r="U301" i="3" s="1"/>
  <c r="T302" i="3"/>
  <c r="U302" i="3" s="1"/>
  <c r="T303" i="3"/>
  <c r="U303" i="3"/>
  <c r="T304" i="3"/>
  <c r="U304" i="3"/>
  <c r="T305" i="3"/>
  <c r="U305" i="3" s="1"/>
  <c r="T306" i="3"/>
  <c r="U306" i="3"/>
  <c r="T307" i="3"/>
  <c r="U307" i="3"/>
  <c r="T308" i="3"/>
  <c r="U308" i="3" s="1"/>
  <c r="T309" i="3"/>
  <c r="U309" i="3"/>
  <c r="T310" i="3"/>
  <c r="U310" i="3" s="1"/>
  <c r="T311" i="3"/>
  <c r="U311" i="3" s="1"/>
  <c r="T312" i="3"/>
  <c r="U312" i="3"/>
  <c r="T313" i="3"/>
  <c r="U313" i="3"/>
  <c r="T314" i="3"/>
  <c r="U314" i="3" s="1"/>
  <c r="T315" i="3"/>
  <c r="U315" i="3"/>
  <c r="T316" i="3"/>
  <c r="U316" i="3" s="1"/>
  <c r="T317" i="3"/>
  <c r="U317" i="3" s="1"/>
  <c r="T318" i="3"/>
  <c r="U318" i="3"/>
  <c r="T319" i="3"/>
  <c r="U319" i="3"/>
  <c r="T320" i="3"/>
  <c r="U320" i="3" s="1"/>
  <c r="T321" i="3"/>
  <c r="U321" i="3"/>
  <c r="T322" i="3"/>
  <c r="U322" i="3"/>
  <c r="T323" i="3"/>
  <c r="U323" i="3" s="1"/>
  <c r="T324" i="3"/>
  <c r="U324" i="3" s="1"/>
  <c r="T325" i="3"/>
  <c r="U325" i="3"/>
  <c r="T326" i="3"/>
  <c r="U326" i="3" s="1"/>
  <c r="T327" i="3"/>
  <c r="U327" i="3"/>
  <c r="T328" i="3"/>
  <c r="U328" i="3" s="1"/>
  <c r="T329" i="3"/>
  <c r="U329" i="3" s="1"/>
  <c r="T330" i="3"/>
  <c r="U330" i="3"/>
  <c r="T331" i="3"/>
  <c r="U331" i="3"/>
  <c r="T332" i="3"/>
  <c r="U332" i="3" s="1"/>
  <c r="T333" i="3"/>
  <c r="U333" i="3"/>
  <c r="T334" i="3"/>
  <c r="U334" i="3" s="1"/>
  <c r="T335" i="3"/>
  <c r="U335" i="3" s="1"/>
  <c r="T336" i="3"/>
  <c r="U336" i="3" s="1"/>
  <c r="T337" i="3"/>
  <c r="U337" i="3"/>
  <c r="T338" i="3"/>
  <c r="U338" i="3" s="1"/>
  <c r="T339" i="3"/>
  <c r="U339" i="3"/>
  <c r="T340" i="3"/>
  <c r="U340" i="3"/>
  <c r="T341" i="3"/>
  <c r="U341" i="3" s="1"/>
  <c r="T342" i="3"/>
  <c r="U342" i="3" s="1"/>
  <c r="T343" i="3"/>
  <c r="U343" i="3" s="1"/>
  <c r="T344" i="3"/>
  <c r="U344" i="3" s="1"/>
  <c r="T345" i="3"/>
  <c r="U345" i="3"/>
  <c r="T346" i="3"/>
  <c r="U346" i="3" s="1"/>
  <c r="T347" i="3"/>
  <c r="U347" i="3" s="1"/>
  <c r="T348" i="3"/>
  <c r="U348" i="3"/>
  <c r="T349" i="3"/>
  <c r="U349" i="3"/>
  <c r="T350" i="3"/>
  <c r="U350" i="3" s="1"/>
  <c r="T351" i="3"/>
  <c r="U351" i="3" s="1"/>
  <c r="T352" i="3"/>
  <c r="U352" i="3" s="1"/>
  <c r="T353" i="3"/>
  <c r="U353" i="3" s="1"/>
  <c r="T354" i="3"/>
  <c r="U354" i="3"/>
  <c r="T355" i="3"/>
  <c r="U355" i="3" s="1"/>
  <c r="T356" i="3"/>
  <c r="U356" i="3" s="1"/>
  <c r="T357" i="3"/>
  <c r="U357" i="3"/>
  <c r="T358" i="3"/>
  <c r="U358" i="3"/>
  <c r="T359" i="3"/>
  <c r="U359" i="3" s="1"/>
  <c r="T360" i="3"/>
  <c r="U360" i="3"/>
  <c r="T361" i="3"/>
  <c r="U361" i="3"/>
  <c r="T362" i="3"/>
  <c r="U362" i="3" s="1"/>
  <c r="T363" i="3"/>
  <c r="U363" i="3"/>
  <c r="T364" i="3"/>
  <c r="U364" i="3" s="1"/>
  <c r="T365" i="3"/>
  <c r="U365" i="3" s="1"/>
  <c r="T366" i="3"/>
  <c r="U366" i="3"/>
  <c r="T367" i="3"/>
  <c r="U367" i="3"/>
  <c r="T368" i="3"/>
  <c r="U368" i="3" s="1"/>
  <c r="T369" i="3"/>
  <c r="U369" i="3" s="1"/>
  <c r="T370" i="3"/>
  <c r="U370" i="3" s="1"/>
  <c r="T371" i="3"/>
  <c r="U371" i="3" s="1"/>
  <c r="T372" i="3"/>
  <c r="U372" i="3"/>
  <c r="T373" i="3"/>
  <c r="U373" i="3" s="1"/>
  <c r="T374" i="3"/>
  <c r="U374" i="3" s="1"/>
  <c r="T375" i="3"/>
  <c r="U375" i="3"/>
  <c r="T376" i="3"/>
  <c r="U376" i="3"/>
  <c r="T377" i="3"/>
  <c r="U377" i="3" s="1"/>
  <c r="T378" i="3"/>
  <c r="U378" i="3" s="1"/>
  <c r="T379" i="3"/>
  <c r="U379" i="3"/>
  <c r="T380" i="3"/>
  <c r="U380" i="3" s="1"/>
  <c r="T381" i="3"/>
  <c r="U381" i="3"/>
  <c r="T382" i="3"/>
  <c r="U382" i="3" s="1"/>
  <c r="T383" i="3"/>
  <c r="U383" i="3" s="1"/>
  <c r="T384" i="3"/>
  <c r="U384" i="3"/>
  <c r="T385" i="3"/>
  <c r="U385" i="3"/>
  <c r="T386" i="3"/>
  <c r="U386" i="3" s="1"/>
  <c r="T387" i="3"/>
  <c r="U387" i="3"/>
  <c r="T388" i="3"/>
  <c r="U388" i="3" s="1"/>
  <c r="T389" i="3"/>
  <c r="U389" i="3" s="1"/>
  <c r="T390" i="3"/>
  <c r="U390" i="3" s="1"/>
  <c r="T391" i="3"/>
  <c r="U391" i="3"/>
  <c r="T392" i="3"/>
  <c r="U392" i="3" s="1"/>
  <c r="T393" i="3"/>
  <c r="U393" i="3"/>
  <c r="T394" i="3"/>
  <c r="U394" i="3"/>
  <c r="T395" i="3"/>
  <c r="U395" i="3" s="1"/>
  <c r="T396" i="3"/>
  <c r="U396" i="3" s="1"/>
  <c r="T397" i="3"/>
  <c r="U397" i="3" s="1"/>
  <c r="T398" i="3"/>
  <c r="U398" i="3" s="1"/>
  <c r="T399" i="3"/>
  <c r="U399" i="3"/>
  <c r="T400" i="3"/>
  <c r="U400" i="3" s="1"/>
  <c r="T401" i="3"/>
  <c r="U401" i="3" s="1"/>
  <c r="T402" i="3"/>
  <c r="U402" i="3"/>
  <c r="T403" i="3"/>
  <c r="U403" i="3"/>
  <c r="T404" i="3"/>
  <c r="U404" i="3" s="1"/>
  <c r="T405" i="3"/>
  <c r="U405" i="3" s="1"/>
  <c r="T406" i="3"/>
  <c r="U406" i="3" s="1"/>
  <c r="T407" i="3"/>
  <c r="U407" i="3" s="1"/>
  <c r="T408" i="3"/>
  <c r="U408" i="3"/>
  <c r="T409" i="3"/>
  <c r="U409" i="3" s="1"/>
  <c r="T410" i="3"/>
  <c r="U410" i="3" s="1"/>
  <c r="T411" i="3"/>
  <c r="U411" i="3"/>
  <c r="T412" i="3"/>
  <c r="U412" i="3"/>
  <c r="T413" i="3"/>
  <c r="U413" i="3" s="1"/>
  <c r="T414" i="3"/>
  <c r="U414" i="3"/>
  <c r="T415" i="3"/>
  <c r="U415" i="3"/>
  <c r="T416" i="3"/>
  <c r="U416" i="3" s="1"/>
  <c r="T417" i="3"/>
  <c r="U417" i="3"/>
  <c r="T418" i="3"/>
  <c r="U418" i="3" s="1"/>
  <c r="T419" i="3"/>
  <c r="U419" i="3" s="1"/>
  <c r="T420" i="3"/>
  <c r="U420" i="3"/>
  <c r="T421" i="3"/>
  <c r="U421" i="3"/>
  <c r="T422" i="3"/>
  <c r="U422" i="3" s="1"/>
  <c r="T423" i="3"/>
  <c r="U423" i="3" s="1"/>
  <c r="T424" i="3"/>
  <c r="U424" i="3" s="1"/>
  <c r="T425" i="3"/>
  <c r="U425" i="3" s="1"/>
  <c r="T426" i="3"/>
  <c r="U426" i="3"/>
  <c r="T427" i="3"/>
  <c r="U427" i="3" s="1"/>
  <c r="T428" i="3"/>
  <c r="U428" i="3" s="1"/>
  <c r="T429" i="3"/>
  <c r="U429" i="3"/>
  <c r="T430" i="3"/>
  <c r="U430" i="3"/>
  <c r="T431" i="3"/>
  <c r="U431" i="3" s="1"/>
  <c r="T432" i="3"/>
  <c r="U432" i="3" s="1"/>
  <c r="T433" i="3"/>
  <c r="U433" i="3"/>
  <c r="T434" i="3"/>
  <c r="U434" i="3" s="1"/>
  <c r="T435" i="3"/>
  <c r="U435" i="3"/>
  <c r="T436" i="3"/>
  <c r="U436" i="3" s="1"/>
  <c r="T437" i="3"/>
  <c r="U437" i="3" s="1"/>
  <c r="T438" i="3"/>
  <c r="U438" i="3"/>
  <c r="T439" i="3"/>
  <c r="U439" i="3"/>
  <c r="T440" i="3"/>
  <c r="U440" i="3" s="1"/>
  <c r="T441" i="3"/>
  <c r="U441" i="3"/>
  <c r="T442" i="3"/>
  <c r="U442" i="3" s="1"/>
  <c r="T443" i="3"/>
  <c r="U443" i="3" s="1"/>
  <c r="T444" i="3"/>
  <c r="U444" i="3" s="1"/>
  <c r="T445" i="3"/>
  <c r="U445" i="3"/>
  <c r="T446" i="3"/>
  <c r="U446" i="3" s="1"/>
  <c r="T447" i="3"/>
  <c r="U447" i="3"/>
  <c r="T448" i="3"/>
  <c r="U448" i="3"/>
  <c r="T449" i="3"/>
  <c r="U449" i="3" s="1"/>
  <c r="T450" i="3"/>
  <c r="U450" i="3" s="1"/>
  <c r="T451" i="3"/>
  <c r="U451" i="3" s="1"/>
  <c r="T452" i="3"/>
  <c r="U452" i="3" s="1"/>
  <c r="T453" i="3"/>
  <c r="U453" i="3"/>
  <c r="T454" i="3"/>
  <c r="U454" i="3" s="1"/>
  <c r="T455" i="3"/>
  <c r="U455" i="3" s="1"/>
  <c r="T456" i="3"/>
  <c r="U456" i="3"/>
  <c r="T457" i="3"/>
  <c r="U457" i="3"/>
  <c r="T458" i="3"/>
  <c r="U458" i="3" s="1"/>
  <c r="T459" i="3"/>
  <c r="U459" i="3" s="1"/>
  <c r="T460" i="3"/>
  <c r="U460" i="3" s="1"/>
  <c r="T461" i="3"/>
  <c r="U461" i="3" s="1"/>
  <c r="T462" i="3"/>
  <c r="U462" i="3" s="1"/>
  <c r="T463" i="3"/>
  <c r="U463" i="3" s="1"/>
  <c r="T464" i="3"/>
  <c r="U464" i="3" s="1"/>
  <c r="T465" i="3"/>
  <c r="U465" i="3"/>
  <c r="T466" i="3"/>
  <c r="U466" i="3"/>
  <c r="T467" i="3"/>
  <c r="U467" i="3" s="1"/>
  <c r="T468" i="3"/>
  <c r="U468" i="3"/>
  <c r="T469" i="3"/>
  <c r="U469" i="3" s="1"/>
  <c r="T470" i="3"/>
  <c r="U470" i="3" s="1"/>
  <c r="T471" i="3"/>
  <c r="U471" i="3"/>
  <c r="T472" i="3"/>
  <c r="U472" i="3" s="1"/>
  <c r="T473" i="3"/>
  <c r="U473" i="3" s="1"/>
  <c r="T474" i="3"/>
  <c r="U474" i="3"/>
  <c r="T475" i="3"/>
  <c r="U475" i="3"/>
  <c r="T476" i="3"/>
  <c r="U476" i="3" s="1"/>
  <c r="T477" i="3"/>
  <c r="U477" i="3" s="1"/>
  <c r="T478" i="3"/>
  <c r="U478" i="3" s="1"/>
  <c r="T479" i="3"/>
  <c r="U479" i="3" s="1"/>
  <c r="T480" i="3"/>
  <c r="U480" i="3"/>
  <c r="T481" i="3"/>
  <c r="U481" i="3" s="1"/>
  <c r="T482" i="3"/>
  <c r="U482" i="3" s="1"/>
  <c r="T483" i="3"/>
  <c r="U483" i="3"/>
  <c r="T484" i="3"/>
  <c r="U484" i="3" s="1"/>
  <c r="T485" i="3"/>
  <c r="U485" i="3" s="1"/>
  <c r="T486" i="3"/>
  <c r="U486" i="3"/>
  <c r="T487" i="3"/>
  <c r="U487" i="3"/>
  <c r="T488" i="3"/>
  <c r="U488" i="3" s="1"/>
  <c r="T489" i="3"/>
  <c r="U489" i="3" s="1"/>
  <c r="T490" i="3"/>
  <c r="U490" i="3" s="1"/>
  <c r="T491" i="3"/>
  <c r="U491" i="3" s="1"/>
  <c r="T492" i="3"/>
  <c r="U492" i="3"/>
  <c r="T493" i="3"/>
  <c r="U493" i="3" s="1"/>
  <c r="T494" i="3"/>
  <c r="U494" i="3" s="1"/>
  <c r="T495" i="3"/>
  <c r="U495" i="3"/>
  <c r="T496" i="3"/>
  <c r="U496" i="3" s="1"/>
  <c r="T497" i="3"/>
  <c r="U497" i="3" s="1"/>
  <c r="T498" i="3"/>
  <c r="U498" i="3"/>
  <c r="T499" i="3"/>
  <c r="U499" i="3"/>
  <c r="T500" i="3"/>
  <c r="U500" i="3" s="1"/>
  <c r="T501" i="3"/>
  <c r="U501" i="3" s="1"/>
  <c r="T502" i="3"/>
  <c r="U502" i="3" s="1"/>
  <c r="T503" i="3"/>
  <c r="U503" i="3" s="1"/>
  <c r="T504" i="3"/>
  <c r="U504" i="3"/>
  <c r="T505" i="3"/>
  <c r="U505" i="3"/>
  <c r="T506" i="3"/>
  <c r="U506" i="3"/>
  <c r="T507" i="3"/>
  <c r="U507" i="3"/>
  <c r="T508" i="3"/>
  <c r="U508" i="3"/>
  <c r="T509" i="3"/>
  <c r="U509" i="3"/>
  <c r="T510" i="3"/>
  <c r="U510" i="3"/>
  <c r="T511" i="3"/>
  <c r="U511" i="3"/>
  <c r="T512" i="3"/>
  <c r="U512" i="3"/>
  <c r="T513" i="3"/>
  <c r="U513" i="3"/>
  <c r="T514" i="3"/>
  <c r="U514" i="3"/>
  <c r="T2" i="3"/>
  <c r="Q3" i="3"/>
  <c r="Q5" i="3"/>
  <c r="Q8" i="3"/>
  <c r="Q9" i="3"/>
  <c r="Q11" i="3"/>
  <c r="Q12" i="3"/>
  <c r="Q15" i="3"/>
  <c r="Q18" i="3"/>
  <c r="Q19" i="3"/>
  <c r="Q21" i="3"/>
  <c r="Q23" i="3"/>
  <c r="Q24" i="3"/>
  <c r="Q26" i="3"/>
  <c r="Q27" i="3"/>
  <c r="Q29" i="3"/>
  <c r="Q30" i="3"/>
  <c r="Q31" i="3"/>
  <c r="Q33" i="3"/>
  <c r="Q34" i="3"/>
  <c r="Q38" i="3"/>
  <c r="Q39" i="3"/>
  <c r="Q40" i="3"/>
  <c r="Q42" i="3"/>
  <c r="Q45" i="3"/>
  <c r="Q46" i="3"/>
  <c r="Q49" i="3"/>
  <c r="Q50" i="3"/>
  <c r="Q51" i="3"/>
  <c r="Q52" i="3"/>
  <c r="Q55" i="3"/>
  <c r="Q56" i="3"/>
  <c r="Q57" i="3"/>
  <c r="Q58" i="3"/>
  <c r="Q62" i="3"/>
  <c r="Q63" i="3"/>
  <c r="Q64" i="3"/>
  <c r="Q65" i="3"/>
  <c r="Q69" i="3"/>
  <c r="Q70" i="3"/>
  <c r="Q71" i="3"/>
  <c r="Q75" i="3"/>
  <c r="Q76" i="3"/>
  <c r="Q77" i="3"/>
  <c r="Q78" i="3"/>
  <c r="Q80" i="3"/>
  <c r="Q81" i="3"/>
  <c r="Q82" i="3"/>
  <c r="Q83" i="3"/>
  <c r="Q84" i="3"/>
  <c r="Q87" i="3"/>
  <c r="Q88" i="3"/>
  <c r="Q93" i="3"/>
  <c r="Q94" i="3"/>
  <c r="Q96" i="3"/>
  <c r="Q99" i="3"/>
  <c r="Q100" i="3"/>
  <c r="Q102" i="3"/>
  <c r="Q105" i="3"/>
  <c r="Q107" i="3"/>
  <c r="Q108" i="3"/>
  <c r="Q109" i="3"/>
  <c r="Q111" i="3"/>
  <c r="Q113" i="3"/>
  <c r="Q114" i="3"/>
  <c r="Q115" i="3"/>
  <c r="Q116" i="3"/>
  <c r="Q117" i="3"/>
  <c r="Q122" i="3"/>
  <c r="Q123" i="3"/>
  <c r="Q124" i="3"/>
  <c r="Q126" i="3"/>
  <c r="Q129" i="3"/>
  <c r="Q130" i="3"/>
  <c r="Q132" i="3"/>
  <c r="Q133" i="3"/>
  <c r="Q135" i="3"/>
  <c r="Q136" i="3"/>
  <c r="Q138" i="3"/>
  <c r="Q140" i="3"/>
  <c r="Q141" i="3"/>
  <c r="Q142" i="3"/>
  <c r="Q145" i="3"/>
  <c r="Q146" i="3"/>
  <c r="Q147" i="3"/>
  <c r="Q148" i="3"/>
  <c r="Q152" i="3"/>
  <c r="Q153" i="3"/>
  <c r="Q154" i="3"/>
  <c r="Q155" i="3"/>
  <c r="Q159" i="3"/>
  <c r="Q160" i="3"/>
  <c r="Q161" i="3"/>
  <c r="Q163" i="3"/>
  <c r="Q165" i="3"/>
  <c r="Q166" i="3"/>
  <c r="Q169" i="3"/>
  <c r="Q170" i="3"/>
  <c r="Q171" i="3"/>
  <c r="Q172" i="3"/>
  <c r="Q173" i="3"/>
  <c r="Q176" i="3"/>
  <c r="Q177" i="3"/>
  <c r="Q178" i="3"/>
  <c r="Q181" i="3"/>
  <c r="Q182" i="3"/>
  <c r="Q183" i="3"/>
  <c r="Q184" i="3"/>
  <c r="Q188" i="3"/>
  <c r="Q189" i="3"/>
  <c r="Q190" i="3"/>
  <c r="Q191" i="3"/>
  <c r="Q195" i="3"/>
  <c r="Q196" i="3"/>
  <c r="Q198" i="3"/>
  <c r="Q200" i="3"/>
  <c r="Q201" i="3"/>
  <c r="Q202" i="3"/>
  <c r="Q206" i="3"/>
  <c r="Q207" i="3"/>
  <c r="Q208" i="3"/>
  <c r="Q210" i="3"/>
  <c r="Q213" i="3"/>
  <c r="Q214" i="3"/>
  <c r="Q218" i="3"/>
  <c r="Q219" i="3"/>
  <c r="Q220" i="3"/>
  <c r="Q225" i="3"/>
  <c r="Q226" i="3"/>
  <c r="Q227" i="3"/>
  <c r="Q228" i="3"/>
  <c r="Q231" i="3"/>
  <c r="Q232" i="3"/>
  <c r="Q234" i="3"/>
  <c r="Q236" i="3"/>
  <c r="Q237" i="3"/>
  <c r="Q238" i="3"/>
  <c r="Q242" i="3"/>
  <c r="Q243" i="3"/>
  <c r="Q244" i="3"/>
  <c r="Q246" i="3"/>
  <c r="Q249" i="3"/>
  <c r="Q250" i="3"/>
  <c r="Q255" i="3"/>
  <c r="Q256" i="3"/>
  <c r="Q257" i="3"/>
  <c r="Q261" i="3"/>
  <c r="Q262" i="3"/>
  <c r="Q263" i="3"/>
  <c r="Q264" i="3"/>
  <c r="Q265" i="3"/>
  <c r="Q267" i="3"/>
  <c r="Q268" i="3"/>
  <c r="Q269" i="3"/>
  <c r="Q270" i="3"/>
  <c r="Q271" i="3"/>
  <c r="Q273" i="3"/>
  <c r="Q274" i="3"/>
  <c r="Q277" i="3"/>
  <c r="Q279" i="3"/>
  <c r="Q280" i="3"/>
  <c r="Q283" i="3"/>
  <c r="Q285" i="3"/>
  <c r="Q286" i="3"/>
  <c r="Q287" i="3"/>
  <c r="Q291" i="3"/>
  <c r="Q292" i="3"/>
  <c r="Q293" i="3"/>
  <c r="Q297" i="3"/>
  <c r="Q298" i="3"/>
  <c r="Q299" i="3"/>
  <c r="Q300" i="3"/>
  <c r="Q301" i="3"/>
  <c r="Q303" i="3"/>
  <c r="Q304" i="3"/>
  <c r="Q305" i="3"/>
  <c r="Q306" i="3"/>
  <c r="Q307" i="3"/>
  <c r="Q309" i="3"/>
  <c r="Q310" i="3"/>
  <c r="Q313" i="3"/>
  <c r="Q315" i="3"/>
  <c r="Q316" i="3"/>
  <c r="Q319" i="3"/>
  <c r="Q321" i="3"/>
  <c r="Q322" i="3"/>
  <c r="Q323" i="3"/>
  <c r="Q327" i="3"/>
  <c r="Q328" i="3"/>
  <c r="Q329" i="3"/>
  <c r="Q333" i="3"/>
  <c r="Q334" i="3"/>
  <c r="Q335" i="3"/>
  <c r="Q336" i="3"/>
  <c r="Q337" i="3"/>
  <c r="Q339" i="3"/>
  <c r="Q340" i="3"/>
  <c r="Q341" i="3"/>
  <c r="Q342" i="3"/>
  <c r="Q343" i="3"/>
  <c r="Q345" i="3"/>
  <c r="Q346" i="3"/>
  <c r="Q349" i="3"/>
  <c r="Q351" i="3"/>
  <c r="Q352" i="3"/>
  <c r="Q355" i="3"/>
  <c r="Q357" i="3"/>
  <c r="Q358" i="3"/>
  <c r="Q359" i="3"/>
  <c r="Q363" i="3"/>
  <c r="Q364" i="3"/>
  <c r="Q365" i="3"/>
  <c r="Q369" i="3"/>
  <c r="Q370" i="3"/>
  <c r="Q371" i="3"/>
  <c r="Q372" i="3"/>
  <c r="Q373" i="3"/>
  <c r="Q375" i="3"/>
  <c r="Q376" i="3"/>
  <c r="Q377" i="3"/>
  <c r="Q378" i="3"/>
  <c r="Q379" i="3"/>
  <c r="Q381" i="3"/>
  <c r="Q382" i="3"/>
  <c r="Q385" i="3"/>
  <c r="Q387" i="3"/>
  <c r="Q388" i="3"/>
  <c r="Q391" i="3"/>
  <c r="Q393" i="3"/>
  <c r="Q394" i="3"/>
  <c r="Q395" i="3"/>
  <c r="Q399" i="3"/>
  <c r="Q400" i="3"/>
  <c r="Q401" i="3"/>
  <c r="Q405" i="3"/>
  <c r="Q406" i="3"/>
  <c r="Q407" i="3"/>
  <c r="Q408" i="3"/>
  <c r="Q409" i="3"/>
  <c r="Q411" i="3"/>
  <c r="Q412" i="3"/>
  <c r="Q413" i="3"/>
  <c r="Q414" i="3"/>
  <c r="Q415" i="3"/>
  <c r="Q417" i="3"/>
  <c r="Q418" i="3"/>
  <c r="Q421" i="3"/>
  <c r="Q423" i="3"/>
  <c r="Q424" i="3"/>
  <c r="Q427" i="3"/>
  <c r="Q429" i="3"/>
  <c r="Q430" i="3"/>
  <c r="Q431" i="3"/>
  <c r="Q435" i="3"/>
  <c r="Q436" i="3"/>
  <c r="Q437" i="3"/>
  <c r="Q441" i="3"/>
  <c r="Q442" i="3"/>
  <c r="Q443" i="3"/>
  <c r="Q444" i="3"/>
  <c r="Q445" i="3"/>
  <c r="Q447" i="3"/>
  <c r="Q448" i="3"/>
  <c r="Q449" i="3"/>
  <c r="Q450" i="3"/>
  <c r="Q451" i="3"/>
  <c r="Q453" i="3"/>
  <c r="Q454" i="3"/>
  <c r="Q457" i="3"/>
  <c r="Q459" i="3"/>
  <c r="Q460" i="3"/>
  <c r="Q463" i="3"/>
  <c r="Q465" i="3"/>
  <c r="Q466" i="3"/>
  <c r="Q467" i="3"/>
  <c r="Q471" i="3"/>
  <c r="Q472" i="3"/>
  <c r="Q473" i="3"/>
  <c r="Q477" i="3"/>
  <c r="Q478" i="3"/>
  <c r="Q479" i="3"/>
  <c r="Q480" i="3"/>
  <c r="Q481" i="3"/>
  <c r="Q483" i="3"/>
  <c r="Q484" i="3"/>
  <c r="Q485" i="3"/>
  <c r="Q486" i="3"/>
  <c r="Q487" i="3"/>
  <c r="Q489" i="3"/>
  <c r="Q490" i="3"/>
  <c r="Q493" i="3"/>
  <c r="Q495" i="3"/>
  <c r="Q496" i="3"/>
  <c r="Q499" i="3"/>
  <c r="Q501" i="3"/>
  <c r="Q502" i="3"/>
  <c r="Q503" i="3"/>
  <c r="Q507" i="3"/>
  <c r="Q508" i="3"/>
  <c r="Q509" i="3"/>
  <c r="Q513" i="3"/>
  <c r="Q514" i="3"/>
  <c r="Q2" i="3"/>
  <c r="U2" i="3"/>
  <c r="Q251" i="3" l="1"/>
  <c r="Q197" i="3"/>
  <c r="Q143" i="3"/>
  <c r="Q119" i="3"/>
  <c r="Q104" i="3"/>
  <c r="Q95" i="3"/>
  <c r="Q86" i="3"/>
  <c r="Q59" i="3"/>
  <c r="Q47" i="3"/>
  <c r="Q32" i="3"/>
</calcChain>
</file>

<file path=xl/sharedStrings.xml><?xml version="1.0" encoding="utf-8"?>
<sst xmlns="http://schemas.openxmlformats.org/spreadsheetml/2006/main" count="14043" uniqueCount="4159">
  <si>
    <t>LAST NAME</t>
  </si>
  <si>
    <t>FIRST NAME</t>
  </si>
  <si>
    <t>DEPARTMENT</t>
  </si>
  <si>
    <t>JOB TITLE</t>
  </si>
  <si>
    <t>EMPLOYEE 
CATEGORY</t>
  </si>
  <si>
    <t>HIRE DATE</t>
  </si>
  <si>
    <t>SEPARATION 
DATE</t>
  </si>
  <si>
    <t>ARBITRATION/ 
SETTLEMENTS</t>
  </si>
  <si>
    <t>James</t>
  </si>
  <si>
    <t>Brian</t>
  </si>
  <si>
    <t>City Management Office</t>
  </si>
  <si>
    <t>Deputy City Manager</t>
  </si>
  <si>
    <t>Civilian</t>
  </si>
  <si>
    <t>03/12/2012</t>
  </si>
  <si>
    <t/>
  </si>
  <si>
    <t/>
  </si>
  <si>
    <t>Perry</t>
  </si>
  <si>
    <t>John</t>
  </si>
  <si>
    <t>Fire Department</t>
  </si>
  <si>
    <t>Assistant Fire Chief</t>
  </si>
  <si>
    <t>Uniform</t>
  </si>
  <si>
    <t>01/27/1997</t>
  </si>
  <si>
    <t/>
  </si>
  <si>
    <t/>
  </si>
  <si>
    <t>Williams</t>
  </si>
  <si>
    <t>Stephen</t>
  </si>
  <si>
    <t>City Management Office</t>
  </si>
  <si>
    <t>City Manager</t>
  </si>
  <si>
    <t>Civilian</t>
  </si>
  <si>
    <t>12/01/2022</t>
  </si>
  <si>
    <t/>
  </si>
  <si>
    <t/>
  </si>
  <si>
    <t>Rodgers</t>
  </si>
  <si>
    <t>Gregory</t>
  </si>
  <si>
    <t>Fire Department</t>
  </si>
  <si>
    <t>Fire Chief</t>
  </si>
  <si>
    <t>Uniform</t>
  </si>
  <si>
    <t>07/01/2019</t>
  </si>
  <si>
    <t/>
  </si>
  <si>
    <t/>
  </si>
  <si>
    <t>Timke</t>
  </si>
  <si>
    <t>Kirk</t>
  </si>
  <si>
    <t>Fire Department</t>
  </si>
  <si>
    <t>Uniform</t>
  </si>
  <si>
    <t>06/22/1988</t>
  </si>
  <si>
    <t/>
  </si>
  <si>
    <t/>
  </si>
  <si>
    <t>Boerger</t>
  </si>
  <si>
    <t>Myron</t>
  </si>
  <si>
    <t>Fire Department</t>
  </si>
  <si>
    <t>Training &amp; Safety Officer</t>
  </si>
  <si>
    <t>Uniform</t>
  </si>
  <si>
    <t>12/29/2014</t>
  </si>
  <si>
    <t/>
  </si>
  <si>
    <t/>
  </si>
  <si>
    <t>Schultze</t>
  </si>
  <si>
    <t>Carl</t>
  </si>
  <si>
    <t>Fire Department</t>
  </si>
  <si>
    <t>Fire Battalion Chief</t>
  </si>
  <si>
    <t>Uniform</t>
  </si>
  <si>
    <t>10/22/2003</t>
  </si>
  <si>
    <t/>
  </si>
  <si>
    <t/>
  </si>
  <si>
    <t>Lowery Jr.</t>
  </si>
  <si>
    <t>James</t>
  </si>
  <si>
    <t>Police Department</t>
  </si>
  <si>
    <t>Police Chief</t>
  </si>
  <si>
    <t>Uniform</t>
  </si>
  <si>
    <t>06/27/2022</t>
  </si>
  <si>
    <t/>
  </si>
  <si>
    <t/>
  </si>
  <si>
    <t>Melancon</t>
  </si>
  <si>
    <t>Mack</t>
  </si>
  <si>
    <t>Fire Department</t>
  </si>
  <si>
    <t>Fire Lieutenant</t>
  </si>
  <si>
    <t>Uniform</t>
  </si>
  <si>
    <t>12/05/2000</t>
  </si>
  <si>
    <t/>
  </si>
  <si>
    <t/>
  </si>
  <si>
    <t>Mabbitt</t>
  </si>
  <si>
    <t>Jason</t>
  </si>
  <si>
    <t>EMS</t>
  </si>
  <si>
    <t>EMS Chief</t>
  </si>
  <si>
    <t>Uniform</t>
  </si>
  <si>
    <t>10/03/2006</t>
  </si>
  <si>
    <t/>
  </si>
  <si>
    <t/>
  </si>
  <si>
    <t>Williams</t>
  </si>
  <si>
    <t>Clinton</t>
  </si>
  <si>
    <t>Fire Department</t>
  </si>
  <si>
    <t>Fire Battalion Chief</t>
  </si>
  <si>
    <t>Uniform</t>
  </si>
  <si>
    <t>09/21/2004</t>
  </si>
  <si>
    <t/>
  </si>
  <si>
    <t/>
  </si>
  <si>
    <t>Woodlee</t>
  </si>
  <si>
    <t>Kathryn</t>
  </si>
  <si>
    <t>Engineering</t>
  </si>
  <si>
    <t>City Engineer</t>
  </si>
  <si>
    <t>Civilian</t>
  </si>
  <si>
    <t>11/04/2013</t>
  </si>
  <si>
    <t/>
  </si>
  <si>
    <t/>
  </si>
  <si>
    <t>Meek</t>
  </si>
  <si>
    <t>Christopher</t>
  </si>
  <si>
    <t>Fire Department</t>
  </si>
  <si>
    <t>Fire Captain</t>
  </si>
  <si>
    <t>Uniform</t>
  </si>
  <si>
    <t>05/01/1999</t>
  </si>
  <si>
    <t/>
  </si>
  <si>
    <t/>
  </si>
  <si>
    <t>Gonzalez</t>
  </si>
  <si>
    <t>Sarah</t>
  </si>
  <si>
    <t>City Management Office</t>
  </si>
  <si>
    <t>Assistant City Manager</t>
  </si>
  <si>
    <t>Civilian</t>
  </si>
  <si>
    <t>08/18/2008</t>
  </si>
  <si>
    <t/>
  </si>
  <si>
    <t/>
  </si>
  <si>
    <t>Boney</t>
  </si>
  <si>
    <t>Benjamin</t>
  </si>
  <si>
    <t>Fire Department</t>
  </si>
  <si>
    <t>Fire Marshal</t>
  </si>
  <si>
    <t>Uniform</t>
  </si>
  <si>
    <t>01/03/2005</t>
  </si>
  <si>
    <t/>
  </si>
  <si>
    <t/>
  </si>
  <si>
    <t>Herzog</t>
  </si>
  <si>
    <t>Eric</t>
  </si>
  <si>
    <t>Fire Department</t>
  </si>
  <si>
    <t>Fire Apparatus Operator</t>
  </si>
  <si>
    <t>Uniform</t>
  </si>
  <si>
    <t>03/21/2016</t>
  </si>
  <si>
    <t/>
  </si>
  <si>
    <t/>
  </si>
  <si>
    <t>Wood</t>
  </si>
  <si>
    <t>Lesa</t>
  </si>
  <si>
    <t>Inspections</t>
  </si>
  <si>
    <t>Director, Planning &amp; Comm Development</t>
  </si>
  <si>
    <t>Civilian</t>
  </si>
  <si>
    <t>02/20/2007</t>
  </si>
  <si>
    <t/>
  </si>
  <si>
    <t/>
  </si>
  <si>
    <t>McBride</t>
  </si>
  <si>
    <t>Andrew</t>
  </si>
  <si>
    <t>Water/Wastewater Services</t>
  </si>
  <si>
    <t>SSLGC General Manager</t>
  </si>
  <si>
    <t>Civilian</t>
  </si>
  <si>
    <t>11/21/2022</t>
  </si>
  <si>
    <t/>
  </si>
  <si>
    <t/>
  </si>
  <si>
    <t>Foerster</t>
  </si>
  <si>
    <t>Christopher</t>
  </si>
  <si>
    <t>EMS</t>
  </si>
  <si>
    <t>EMS Battalion Chief</t>
  </si>
  <si>
    <t>Uniform</t>
  </si>
  <si>
    <t>10/10/2009</t>
  </si>
  <si>
    <t/>
  </si>
  <si>
    <t/>
  </si>
  <si>
    <t>Wilson</t>
  </si>
  <si>
    <t>Patricio</t>
  </si>
  <si>
    <t>Fire Department</t>
  </si>
  <si>
    <t>Fire Lieutenant</t>
  </si>
  <si>
    <t>Uniform</t>
  </si>
  <si>
    <t>08/27/2012</t>
  </si>
  <si>
    <t/>
  </si>
  <si>
    <t/>
  </si>
  <si>
    <t>Kurz</t>
  </si>
  <si>
    <t>Jessica</t>
  </si>
  <si>
    <t>Human Resources</t>
  </si>
  <si>
    <t>Director of Human Resources</t>
  </si>
  <si>
    <t>Civilian</t>
  </si>
  <si>
    <t>02/23/2015</t>
  </si>
  <si>
    <t/>
  </si>
  <si>
    <t/>
  </si>
  <si>
    <t>McCollum</t>
  </si>
  <si>
    <t>Mathew</t>
  </si>
  <si>
    <t>EMS</t>
  </si>
  <si>
    <t>EMS Battalion Chief</t>
  </si>
  <si>
    <t>Uniform</t>
  </si>
  <si>
    <t>03/15/2010</t>
  </si>
  <si>
    <t/>
  </si>
  <si>
    <t/>
  </si>
  <si>
    <t>Armstrong</t>
  </si>
  <si>
    <t>Alexander</t>
  </si>
  <si>
    <t>Fire Lieutenant</t>
  </si>
  <si>
    <t>Uniform</t>
  </si>
  <si>
    <t>03/26/2012</t>
  </si>
  <si>
    <t/>
  </si>
  <si>
    <t/>
  </si>
  <si>
    <t>Starr</t>
  </si>
  <si>
    <t>Craig</t>
  </si>
  <si>
    <t>Fire Department</t>
  </si>
  <si>
    <t>Fire Lieutenant</t>
  </si>
  <si>
    <t>Uniform</t>
  </si>
  <si>
    <t>01/30/2012</t>
  </si>
  <si>
    <t/>
  </si>
  <si>
    <t/>
  </si>
  <si>
    <t>Rolfing</t>
  </si>
  <si>
    <t>Zachary</t>
  </si>
  <si>
    <t>Fire Department</t>
  </si>
  <si>
    <t>Fire Lieutenant</t>
  </si>
  <si>
    <t>Uniform</t>
  </si>
  <si>
    <t>02/22/2016</t>
  </si>
  <si>
    <t/>
  </si>
  <si>
    <t/>
  </si>
  <si>
    <t>Walters</t>
  </si>
  <si>
    <t>James</t>
  </si>
  <si>
    <t>Finance</t>
  </si>
  <si>
    <t>Director of Finance</t>
  </si>
  <si>
    <t>Civilian</t>
  </si>
  <si>
    <t>07/06/2010</t>
  </si>
  <si>
    <t/>
  </si>
  <si>
    <t/>
  </si>
  <si>
    <t>Murphy</t>
  </si>
  <si>
    <t>Hillory</t>
  </si>
  <si>
    <t>Police Department</t>
  </si>
  <si>
    <t>Police Lieutenant</t>
  </si>
  <si>
    <t>Uniform</t>
  </si>
  <si>
    <t>01/04/2010</t>
  </si>
  <si>
    <t/>
  </si>
  <si>
    <t/>
  </si>
  <si>
    <t>Kramer</t>
  </si>
  <si>
    <t>Daniel</t>
  </si>
  <si>
    <t>Fire Department</t>
  </si>
  <si>
    <t>Assistant Fire Chief</t>
  </si>
  <si>
    <t>Uniform</t>
  </si>
  <si>
    <t>11/07/2022</t>
  </si>
  <si>
    <t/>
  </si>
  <si>
    <t/>
  </si>
  <si>
    <t>Casas</t>
  </si>
  <si>
    <t>Manny</t>
  </si>
  <si>
    <t>Police Department</t>
  </si>
  <si>
    <t>Assistant Police Chief</t>
  </si>
  <si>
    <t>Uniform</t>
  </si>
  <si>
    <t>11/13/2000</t>
  </si>
  <si>
    <t/>
  </si>
  <si>
    <t/>
  </si>
  <si>
    <t>Shrum</t>
  </si>
  <si>
    <t>Lauren</t>
  </si>
  <si>
    <t>Parks, Recreation, and Co</t>
  </si>
  <si>
    <t>Director of Parks, Rec &amp; Community Services</t>
  </si>
  <si>
    <t>Civilian</t>
  </si>
  <si>
    <t>06/13/2016</t>
  </si>
  <si>
    <t/>
  </si>
  <si>
    <t/>
  </si>
  <si>
    <t>Rodriguez</t>
  </si>
  <si>
    <t>Eduardo</t>
  </si>
  <si>
    <t>EMS</t>
  </si>
  <si>
    <t>EMS Lieutenant</t>
  </si>
  <si>
    <t>Uniform</t>
  </si>
  <si>
    <t>01/08/2007</t>
  </si>
  <si>
    <t/>
  </si>
  <si>
    <t/>
  </si>
  <si>
    <t>Uhlhorn</t>
  </si>
  <si>
    <t>Melissa</t>
  </si>
  <si>
    <t>Library</t>
  </si>
  <si>
    <t>Library Director</t>
  </si>
  <si>
    <t>Civilian</t>
  </si>
  <si>
    <t>01/15/2002</t>
  </si>
  <si>
    <t/>
  </si>
  <si>
    <t/>
  </si>
  <si>
    <t>Trevino</t>
  </si>
  <si>
    <t>Martin</t>
  </si>
  <si>
    <t>Police Department</t>
  </si>
  <si>
    <t>Police Sergeant</t>
  </si>
  <si>
    <t>Uniform</t>
  </si>
  <si>
    <t>04/15/2004</t>
  </si>
  <si>
    <t/>
  </si>
  <si>
    <t/>
  </si>
  <si>
    <t>Roman</t>
  </si>
  <si>
    <t>Daniel</t>
  </si>
  <si>
    <t>Police Department</t>
  </si>
  <si>
    <t>Assistant Police Chief</t>
  </si>
  <si>
    <t>Uniform</t>
  </si>
  <si>
    <t>04/02/2007</t>
  </si>
  <si>
    <t/>
  </si>
  <si>
    <t/>
  </si>
  <si>
    <t/>
  </si>
  <si>
    <t>Bluebird</t>
  </si>
  <si>
    <t>Jack</t>
  </si>
  <si>
    <t>Information Technology</t>
  </si>
  <si>
    <t>Director of Information Technology (IT)</t>
  </si>
  <si>
    <t>Civilian</t>
  </si>
  <si>
    <t>02/22/2021</t>
  </si>
  <si>
    <t/>
  </si>
  <si>
    <t/>
  </si>
  <si>
    <t>Warner</t>
  </si>
  <si>
    <t>Richard</t>
  </si>
  <si>
    <t>Fire Department</t>
  </si>
  <si>
    <t>Fire Apparatus Operator</t>
  </si>
  <si>
    <t>Uniform</t>
  </si>
  <si>
    <t>08/10/2009</t>
  </si>
  <si>
    <t/>
  </si>
  <si>
    <t/>
  </si>
  <si>
    <t>Solitto</t>
  </si>
  <si>
    <t>Steven</t>
  </si>
  <si>
    <t>Police Department</t>
  </si>
  <si>
    <t>Police Sergeant</t>
  </si>
  <si>
    <t>Uniform</t>
  </si>
  <si>
    <t>04/08/2002</t>
  </si>
  <si>
    <t/>
  </si>
  <si>
    <t/>
  </si>
  <si>
    <t>Martinez</t>
  </si>
  <si>
    <t>Christopher</t>
  </si>
  <si>
    <t>Police Department</t>
  </si>
  <si>
    <t>Police Sergeant</t>
  </si>
  <si>
    <t>Uniform</t>
  </si>
  <si>
    <t>12/16/2006</t>
  </si>
  <si>
    <t/>
  </si>
  <si>
    <t/>
  </si>
  <si>
    <t>Kallies</t>
  </si>
  <si>
    <t>Kelly</t>
  </si>
  <si>
    <t>Police Department</t>
  </si>
  <si>
    <t>Police Lieutenant</t>
  </si>
  <si>
    <t>Uniform</t>
  </si>
  <si>
    <t>09/08/2007</t>
  </si>
  <si>
    <t/>
  </si>
  <si>
    <t/>
  </si>
  <si>
    <t>Krask</t>
  </si>
  <si>
    <t>Brian</t>
  </si>
  <si>
    <t>Fire Department</t>
  </si>
  <si>
    <t>Fire Lieutenant</t>
  </si>
  <si>
    <t>Uniform</t>
  </si>
  <si>
    <t>02/07/2008</t>
  </si>
  <si>
    <t/>
  </si>
  <si>
    <t/>
  </si>
  <si>
    <t>Arriaga</t>
  </si>
  <si>
    <t>Albert</t>
  </si>
  <si>
    <t>Police Department</t>
  </si>
  <si>
    <t>Police Sergeant</t>
  </si>
  <si>
    <t>Uniform</t>
  </si>
  <si>
    <t>04/09/2001</t>
  </si>
  <si>
    <t/>
  </si>
  <si>
    <t/>
  </si>
  <si>
    <t>Nowak</t>
  </si>
  <si>
    <t>John</t>
  </si>
  <si>
    <t>Engineering</t>
  </si>
  <si>
    <t>Assistant City Engineer</t>
  </si>
  <si>
    <t>Civilian</t>
  </si>
  <si>
    <t>05/15/2017</t>
  </si>
  <si>
    <t/>
  </si>
  <si>
    <t/>
  </si>
  <si>
    <t>Lowry</t>
  </si>
  <si>
    <t>Zachary</t>
  </si>
  <si>
    <t>Fire Department</t>
  </si>
  <si>
    <t>Fire Lieutenant</t>
  </si>
  <si>
    <t>Uniform</t>
  </si>
  <si>
    <t>11/30/2015</t>
  </si>
  <si>
    <t/>
  </si>
  <si>
    <t/>
  </si>
  <si>
    <t>Jones</t>
  </si>
  <si>
    <t>Virgil</t>
  </si>
  <si>
    <t>Police Department</t>
  </si>
  <si>
    <t>Police Lieutenant</t>
  </si>
  <si>
    <t>Uniform</t>
  </si>
  <si>
    <t>06/16/2002</t>
  </si>
  <si>
    <t/>
  </si>
  <si>
    <t/>
  </si>
  <si>
    <t>Klepper</t>
  </si>
  <si>
    <t>Linda</t>
  </si>
  <si>
    <t>Public Affairs</t>
  </si>
  <si>
    <t>Director of Public Affairs</t>
  </si>
  <si>
    <t>Civilian</t>
  </si>
  <si>
    <t>04/11/2011</t>
  </si>
  <si>
    <t/>
  </si>
  <si>
    <t/>
  </si>
  <si>
    <t>Schwersinske</t>
  </si>
  <si>
    <t>Justin</t>
  </si>
  <si>
    <t>Fire Department</t>
  </si>
  <si>
    <t>Fire Lieutenant</t>
  </si>
  <si>
    <t>Uniform</t>
  </si>
  <si>
    <t>06/07/2010</t>
  </si>
  <si>
    <t/>
  </si>
  <si>
    <t/>
  </si>
  <si>
    <t>Garcia</t>
  </si>
  <si>
    <t>Felipe</t>
  </si>
  <si>
    <t>EMS</t>
  </si>
  <si>
    <t>Paramedic</t>
  </si>
  <si>
    <t>Uniform</t>
  </si>
  <si>
    <t>04/12/2021</t>
  </si>
  <si>
    <t/>
  </si>
  <si>
    <t/>
  </si>
  <si>
    <t>Shown</t>
  </si>
  <si>
    <t>Michael</t>
  </si>
  <si>
    <t>EMS</t>
  </si>
  <si>
    <t>Assistant EMS Chief</t>
  </si>
  <si>
    <t>Uniform</t>
  </si>
  <si>
    <t>03/11/2013</t>
  </si>
  <si>
    <t/>
  </si>
  <si>
    <t/>
  </si>
  <si>
    <t>Eisen</t>
  </si>
  <si>
    <t>John</t>
  </si>
  <si>
    <t>Police Department</t>
  </si>
  <si>
    <t>Police Sergeant</t>
  </si>
  <si>
    <t>Uniform</t>
  </si>
  <si>
    <t>07/24/1996</t>
  </si>
  <si>
    <t/>
  </si>
  <si>
    <t/>
  </si>
  <si>
    <t>McGuire</t>
  </si>
  <si>
    <t>Mich</t>
  </si>
  <si>
    <t>Police Department</t>
  </si>
  <si>
    <t>Police Sergeant</t>
  </si>
  <si>
    <t>Uniform</t>
  </si>
  <si>
    <t>07/24/2003</t>
  </si>
  <si>
    <t/>
  </si>
  <si>
    <t/>
  </si>
  <si>
    <t>King</t>
  </si>
  <si>
    <t>Christopher</t>
  </si>
  <si>
    <t>Fire Department</t>
  </si>
  <si>
    <t>Fire Lieutenant</t>
  </si>
  <si>
    <t>Uniform</t>
  </si>
  <si>
    <t>02/15/2004</t>
  </si>
  <si>
    <t/>
  </si>
  <si>
    <t/>
  </si>
  <si>
    <t>La Cour</t>
  </si>
  <si>
    <t>Cour</t>
  </si>
  <si>
    <t>Police Department</t>
  </si>
  <si>
    <t>Police Lieutenant</t>
  </si>
  <si>
    <t>Uniform</t>
  </si>
  <si>
    <t>03/12/1995</t>
  </si>
  <si>
    <t/>
  </si>
  <si>
    <t/>
  </si>
  <si>
    <t>Hill</t>
  </si>
  <si>
    <t>Brandon</t>
  </si>
  <si>
    <t>EMS</t>
  </si>
  <si>
    <t>Assistant EMS Chief</t>
  </si>
  <si>
    <t>Uniform</t>
  </si>
  <si>
    <t>01/03/2011</t>
  </si>
  <si>
    <t/>
  </si>
  <si>
    <t/>
  </si>
  <si>
    <t>Morehouse</t>
  </si>
  <si>
    <t>Scott</t>
  </si>
  <si>
    <t>Police Department</t>
  </si>
  <si>
    <t>Police Sergeant</t>
  </si>
  <si>
    <t>Uniform</t>
  </si>
  <si>
    <t>05/12/2014</t>
  </si>
  <si>
    <t/>
  </si>
  <si>
    <t/>
  </si>
  <si>
    <t>Golden</t>
  </si>
  <si>
    <t>Joshua</t>
  </si>
  <si>
    <t>Fire Department</t>
  </si>
  <si>
    <t>Fire Apparatus Operator</t>
  </si>
  <si>
    <t>Uniform</t>
  </si>
  <si>
    <t>03/17/2003</t>
  </si>
  <si>
    <t/>
  </si>
  <si>
    <t/>
  </si>
  <si>
    <t>Von Hoven</t>
  </si>
  <si>
    <t>John</t>
  </si>
  <si>
    <t>Fire Department</t>
  </si>
  <si>
    <t>Fire Apparatus Operator</t>
  </si>
  <si>
    <t>Uniform</t>
  </si>
  <si>
    <t>11/27/2017</t>
  </si>
  <si>
    <t/>
  </si>
  <si>
    <t/>
  </si>
  <si>
    <t>Busch Jr</t>
  </si>
  <si>
    <t>Larry</t>
  </si>
  <si>
    <t>Water/Wastewater Services</t>
  </si>
  <si>
    <t>Director of Public Works</t>
  </si>
  <si>
    <t>Civilian</t>
  </si>
  <si>
    <t>06/02/2008</t>
  </si>
  <si>
    <t/>
  </si>
  <si>
    <t/>
  </si>
  <si>
    <t>Tymrak</t>
  </si>
  <si>
    <t>Jason</t>
  </si>
  <si>
    <t>Fire Department</t>
  </si>
  <si>
    <t>Fire Lieutenant</t>
  </si>
  <si>
    <t>Uniform</t>
  </si>
  <si>
    <t>01/13/2007</t>
  </si>
  <si>
    <t/>
  </si>
  <si>
    <t/>
  </si>
  <si>
    <t>Salge</t>
  </si>
  <si>
    <t>Bryan</t>
  </si>
  <si>
    <t>EMS</t>
  </si>
  <si>
    <t>EMS Battalion Chief</t>
  </si>
  <si>
    <t>Uniform</t>
  </si>
  <si>
    <t>04/04/2016</t>
  </si>
  <si>
    <t/>
  </si>
  <si>
    <t/>
  </si>
  <si>
    <t>Dailey</t>
  </si>
  <si>
    <t>Balis</t>
  </si>
  <si>
    <t>EMS</t>
  </si>
  <si>
    <t>Paramedic</t>
  </si>
  <si>
    <t>Uniform</t>
  </si>
  <si>
    <t>01/12/1998</t>
  </si>
  <si>
    <t/>
  </si>
  <si>
    <t/>
  </si>
  <si>
    <t>Schulze</t>
  </si>
  <si>
    <t>Eric</t>
  </si>
  <si>
    <t>Engineering</t>
  </si>
  <si>
    <t>Senior Engineer ‐ PE</t>
  </si>
  <si>
    <t>Civilian</t>
  </si>
  <si>
    <t>09/28/2020</t>
  </si>
  <si>
    <t/>
  </si>
  <si>
    <t/>
  </si>
  <si>
    <t>Wencka</t>
  </si>
  <si>
    <t>Tyler</t>
  </si>
  <si>
    <t>Fire Department</t>
  </si>
  <si>
    <t>Firefighter</t>
  </si>
  <si>
    <t>Uniform</t>
  </si>
  <si>
    <t>08/08/2016</t>
  </si>
  <si>
    <t/>
  </si>
  <si>
    <t/>
  </si>
  <si>
    <t>Kaiser</t>
  </si>
  <si>
    <t>Todd</t>
  </si>
  <si>
    <t>EMS</t>
  </si>
  <si>
    <t>Paramedic</t>
  </si>
  <si>
    <t>Uniform</t>
  </si>
  <si>
    <t>10/15/1996</t>
  </si>
  <si>
    <t/>
  </si>
  <si>
    <t/>
  </si>
  <si>
    <t>Malish</t>
  </si>
  <si>
    <t>Holly</t>
  </si>
  <si>
    <t>Economic Development</t>
  </si>
  <si>
    <t>Deputy Director of Economic Development</t>
  </si>
  <si>
    <t>Civilian</t>
  </si>
  <si>
    <t>02/28/2022</t>
  </si>
  <si>
    <t/>
  </si>
  <si>
    <t/>
  </si>
  <si>
    <t>Bowker</t>
  </si>
  <si>
    <t>Tyler</t>
  </si>
  <si>
    <t>EMS</t>
  </si>
  <si>
    <t>EMS Community Health Coordinator</t>
  </si>
  <si>
    <t>Uniform</t>
  </si>
  <si>
    <t>11/07/2016</t>
  </si>
  <si>
    <t/>
  </si>
  <si>
    <t/>
  </si>
  <si>
    <t>Gorzell</t>
  </si>
  <si>
    <t>Allison</t>
  </si>
  <si>
    <t>EMS</t>
  </si>
  <si>
    <t>EMS Billing Manager</t>
  </si>
  <si>
    <t>Civilian</t>
  </si>
  <si>
    <t>11/14/2002</t>
  </si>
  <si>
    <t/>
  </si>
  <si>
    <t/>
  </si>
  <si>
    <t>Ruiz</t>
  </si>
  <si>
    <t>Jesse</t>
  </si>
  <si>
    <t>Fire Department</t>
  </si>
  <si>
    <t>Firefighter</t>
  </si>
  <si>
    <t>Uniform</t>
  </si>
  <si>
    <t>01/03/2005</t>
  </si>
  <si>
    <t/>
  </si>
  <si>
    <t/>
  </si>
  <si>
    <t>Mathews</t>
  </si>
  <si>
    <t>Amanda</t>
  </si>
  <si>
    <t>Fire Department</t>
  </si>
  <si>
    <t>Firefighter</t>
  </si>
  <si>
    <t>Uniform</t>
  </si>
  <si>
    <t>05/24/2021</t>
  </si>
  <si>
    <t/>
  </si>
  <si>
    <t/>
  </si>
  <si>
    <t>Faschingbauer</t>
  </si>
  <si>
    <t>Danielle</t>
  </si>
  <si>
    <t>Fire Department</t>
  </si>
  <si>
    <t>Firefighter</t>
  </si>
  <si>
    <t>Uniform</t>
  </si>
  <si>
    <t>05/28/2019</t>
  </si>
  <si>
    <t/>
  </si>
  <si>
    <t/>
  </si>
  <si>
    <t>Everett</t>
  </si>
  <si>
    <t>Paige</t>
  </si>
  <si>
    <t>EMS</t>
  </si>
  <si>
    <t>Paramedic</t>
  </si>
  <si>
    <t>Uniform</t>
  </si>
  <si>
    <t>07/18/2022</t>
  </si>
  <si>
    <t/>
  </si>
  <si>
    <t/>
  </si>
  <si>
    <t>Trevino</t>
  </si>
  <si>
    <t>Daniel</t>
  </si>
  <si>
    <t>Police Department</t>
  </si>
  <si>
    <t>Police Sergeant</t>
  </si>
  <si>
    <t>Uniform</t>
  </si>
  <si>
    <t>03/05/2007</t>
  </si>
  <si>
    <t/>
  </si>
  <si>
    <t/>
  </si>
  <si>
    <t>Hardin</t>
  </si>
  <si>
    <t>Dawniecia</t>
  </si>
  <si>
    <t>Internal Services</t>
  </si>
  <si>
    <t>Internal Services Director</t>
  </si>
  <si>
    <t>Civilian</t>
  </si>
  <si>
    <t>11/27/2017</t>
  </si>
  <si>
    <t/>
  </si>
  <si>
    <t/>
  </si>
  <si>
    <t>Hopper</t>
  </si>
  <si>
    <t>Dallas</t>
  </si>
  <si>
    <t>Police Department</t>
  </si>
  <si>
    <t>Police Sergeant</t>
  </si>
  <si>
    <t>Uniform</t>
  </si>
  <si>
    <t>10/22/2012</t>
  </si>
  <si>
    <t/>
  </si>
  <si>
    <t/>
  </si>
  <si>
    <t>Sutton</t>
  </si>
  <si>
    <t>William</t>
  </si>
  <si>
    <t>Police Department</t>
  </si>
  <si>
    <t>Police Officer</t>
  </si>
  <si>
    <t>Uniform</t>
  </si>
  <si>
    <t>04/17/2004</t>
  </si>
  <si>
    <t/>
  </si>
  <si>
    <t/>
  </si>
  <si>
    <t>Krivacka</t>
  </si>
  <si>
    <t>Jeffrey</t>
  </si>
  <si>
    <t>Police Department</t>
  </si>
  <si>
    <t>Police Officer</t>
  </si>
  <si>
    <t>Uniform</t>
  </si>
  <si>
    <t>09/25/2006</t>
  </si>
  <si>
    <t/>
  </si>
  <si>
    <t/>
  </si>
  <si>
    <t>Jewett</t>
  </si>
  <si>
    <t>Zachary</t>
  </si>
  <si>
    <t>Fire Department</t>
  </si>
  <si>
    <t>Fire Apparatus Operator</t>
  </si>
  <si>
    <t>Uniform</t>
  </si>
  <si>
    <t>08/25/2014</t>
  </si>
  <si>
    <t/>
  </si>
  <si>
    <t/>
  </si>
  <si>
    <t>Delgado</t>
  </si>
  <si>
    <t>Emily</t>
  </si>
  <si>
    <t>Planning &amp; Zoning</t>
  </si>
  <si>
    <t>Planning Manager</t>
  </si>
  <si>
    <t>Civilian</t>
  </si>
  <si>
    <t>04/04/2016</t>
  </si>
  <si>
    <t/>
  </si>
  <si>
    <t/>
  </si>
  <si>
    <t>Hamilton</t>
  </si>
  <si>
    <t>Matt</t>
  </si>
  <si>
    <t>Fire Department</t>
  </si>
  <si>
    <t>Fire Apparatus Operator</t>
  </si>
  <si>
    <t>Uniform</t>
  </si>
  <si>
    <t>08/23/2006</t>
  </si>
  <si>
    <t/>
  </si>
  <si>
    <t/>
  </si>
  <si>
    <t>Hoes</t>
  </si>
  <si>
    <t>Kevin</t>
  </si>
  <si>
    <t>Fire Department</t>
  </si>
  <si>
    <t>Fire Apparatus Operator</t>
  </si>
  <si>
    <t>Uniform</t>
  </si>
  <si>
    <t>02/21/2017</t>
  </si>
  <si>
    <t/>
  </si>
  <si>
    <t/>
  </si>
  <si>
    <t>Kennedy</t>
  </si>
  <si>
    <t>Crittenden</t>
  </si>
  <si>
    <t>Fire Department</t>
  </si>
  <si>
    <t>Firefighter</t>
  </si>
  <si>
    <t>Uniform</t>
  </si>
  <si>
    <t>01/22/2019</t>
  </si>
  <si>
    <t/>
  </si>
  <si>
    <t/>
  </si>
  <si>
    <t>De Leon</t>
  </si>
  <si>
    <t>Raul</t>
  </si>
  <si>
    <t>EMS</t>
  </si>
  <si>
    <t>Paramedic</t>
  </si>
  <si>
    <t>Uniform</t>
  </si>
  <si>
    <t>05/04/2015</t>
  </si>
  <si>
    <t/>
  </si>
  <si>
    <t/>
  </si>
  <si>
    <t>Sanchez</t>
  </si>
  <si>
    <t>Luis</t>
  </si>
  <si>
    <t>EMS</t>
  </si>
  <si>
    <t>Paramedic</t>
  </si>
  <si>
    <t>Uniform</t>
  </si>
  <si>
    <t>01/02/2012</t>
  </si>
  <si>
    <t/>
  </si>
  <si>
    <t/>
  </si>
  <si>
    <t>Carpenter</t>
  </si>
  <si>
    <t>Angel</t>
  </si>
  <si>
    <t>EMS</t>
  </si>
  <si>
    <t>EMS Lieutenant</t>
  </si>
  <si>
    <t>Uniform</t>
  </si>
  <si>
    <t>03/27/2017</t>
  </si>
  <si>
    <t/>
  </si>
  <si>
    <t/>
  </si>
  <si>
    <t>Molleda</t>
  </si>
  <si>
    <t>Daniel</t>
  </si>
  <si>
    <t>Police Department</t>
  </si>
  <si>
    <t>Police Officer</t>
  </si>
  <si>
    <t>Uniform</t>
  </si>
  <si>
    <t>12/08/2008</t>
  </si>
  <si>
    <t/>
  </si>
  <si>
    <t/>
  </si>
  <si>
    <t>Wilson</t>
  </si>
  <si>
    <t>Ryan</t>
  </si>
  <si>
    <t>EMS</t>
  </si>
  <si>
    <t>EMS Lieutenant</t>
  </si>
  <si>
    <t>Uniform</t>
  </si>
  <si>
    <t>11/12/2019</t>
  </si>
  <si>
    <t/>
  </si>
  <si>
    <t/>
  </si>
  <si>
    <t>Kunz</t>
  </si>
  <si>
    <t>Richard</t>
  </si>
  <si>
    <t>Police Department</t>
  </si>
  <si>
    <t>Police Officer</t>
  </si>
  <si>
    <t>Uniform</t>
  </si>
  <si>
    <t>07/10/2002</t>
  </si>
  <si>
    <t/>
  </si>
  <si>
    <t/>
  </si>
  <si>
    <t>McFalls</t>
  </si>
  <si>
    <t>Antonio</t>
  </si>
  <si>
    <t>Information Technology</t>
  </si>
  <si>
    <t>GIS Manager</t>
  </si>
  <si>
    <t>Civilian</t>
  </si>
  <si>
    <t>07/09/2007</t>
  </si>
  <si>
    <t/>
  </si>
  <si>
    <t/>
  </si>
  <si>
    <t>Casas</t>
  </si>
  <si>
    <t>Patricia</t>
  </si>
  <si>
    <t>Municipal Court</t>
  </si>
  <si>
    <t>Court Administrator</t>
  </si>
  <si>
    <t>Civilian</t>
  </si>
  <si>
    <t>05/23/2002</t>
  </si>
  <si>
    <t/>
  </si>
  <si>
    <t/>
  </si>
  <si>
    <t>Martin</t>
  </si>
  <si>
    <t>Donney</t>
  </si>
  <si>
    <t>Information Technology</t>
  </si>
  <si>
    <t>Systems Administrator</t>
  </si>
  <si>
    <t>Civilian</t>
  </si>
  <si>
    <t>11/28/2016</t>
  </si>
  <si>
    <t/>
  </si>
  <si>
    <t/>
  </si>
  <si>
    <t>Hernandez</t>
  </si>
  <si>
    <t>Christopher</t>
  </si>
  <si>
    <t>Police Department</t>
  </si>
  <si>
    <t>Police Sergeant</t>
  </si>
  <si>
    <t>Uniform</t>
  </si>
  <si>
    <t>09/08/2007</t>
  </si>
  <si>
    <t/>
  </si>
  <si>
    <t/>
  </si>
  <si>
    <t>Lopez</t>
  </si>
  <si>
    <t>Dorian</t>
  </si>
  <si>
    <t>EMS</t>
  </si>
  <si>
    <t>Paramedic</t>
  </si>
  <si>
    <t>Uniform</t>
  </si>
  <si>
    <t>07/19/2022</t>
  </si>
  <si>
    <t/>
  </si>
  <si>
    <t/>
  </si>
  <si>
    <t>Scibienski</t>
  </si>
  <si>
    <t>Donald</t>
  </si>
  <si>
    <t>Fire Department</t>
  </si>
  <si>
    <t>Fire Apparatus Operator</t>
  </si>
  <si>
    <t>Uniform</t>
  </si>
  <si>
    <t>08/08/2016</t>
  </si>
  <si>
    <t/>
  </si>
  <si>
    <t/>
  </si>
  <si>
    <t>Cammack</t>
  </si>
  <si>
    <t>Ashley</t>
  </si>
  <si>
    <t>EMS</t>
  </si>
  <si>
    <t>PT Paramedic ‐ Irregular</t>
  </si>
  <si>
    <t>Uniform</t>
  </si>
  <si>
    <t>01/21/2020</t>
  </si>
  <si>
    <t/>
  </si>
  <si>
    <t/>
  </si>
  <si>
    <t>Trotter</t>
  </si>
  <si>
    <t>Darienn</t>
  </si>
  <si>
    <t>EMS</t>
  </si>
  <si>
    <t>EMS Lieutenant</t>
  </si>
  <si>
    <t>Uniform</t>
  </si>
  <si>
    <t>09/13/2021</t>
  </si>
  <si>
    <t/>
  </si>
  <si>
    <t/>
  </si>
  <si>
    <t>Retano</t>
  </si>
  <si>
    <t>David</t>
  </si>
  <si>
    <t>EMS</t>
  </si>
  <si>
    <t>EMS Training Coordinator</t>
  </si>
  <si>
    <t>Uniform</t>
  </si>
  <si>
    <t>11/05/2007</t>
  </si>
  <si>
    <t/>
  </si>
  <si>
    <t/>
  </si>
  <si>
    <t>Kurzban</t>
  </si>
  <si>
    <t>Frederick</t>
  </si>
  <si>
    <t>EMS</t>
  </si>
  <si>
    <t>Paramedic</t>
  </si>
  <si>
    <t>Uniform</t>
  </si>
  <si>
    <t>05/04/2015</t>
  </si>
  <si>
    <t/>
  </si>
  <si>
    <t/>
  </si>
  <si>
    <t>Freeman</t>
  </si>
  <si>
    <t>Bill</t>
  </si>
  <si>
    <t>Police Department</t>
  </si>
  <si>
    <t>Police Officer</t>
  </si>
  <si>
    <t>Uniform</t>
  </si>
  <si>
    <t>04/17/2006</t>
  </si>
  <si>
    <t/>
  </si>
  <si>
    <t/>
  </si>
  <si>
    <t>Haugen</t>
  </si>
  <si>
    <t>Eric</t>
  </si>
  <si>
    <t>Information Technology</t>
  </si>
  <si>
    <t>Systems Administrator</t>
  </si>
  <si>
    <t>Civilian</t>
  </si>
  <si>
    <t>01/21/2014</t>
  </si>
  <si>
    <t/>
  </si>
  <si>
    <t/>
  </si>
  <si>
    <t>Wilson</t>
  </si>
  <si>
    <t>Tyler</t>
  </si>
  <si>
    <t>EMS</t>
  </si>
  <si>
    <t>EMS Lieutenant</t>
  </si>
  <si>
    <t>Uniform</t>
  </si>
  <si>
    <t>03/15/2021</t>
  </si>
  <si>
    <t/>
  </si>
  <si>
    <t/>
  </si>
  <si>
    <t>Clauser</t>
  </si>
  <si>
    <t>Myles</t>
  </si>
  <si>
    <t>Information Technology</t>
  </si>
  <si>
    <t>Director of Information Technology (IT)</t>
  </si>
  <si>
    <t>Civilian</t>
  </si>
  <si>
    <t>01/07/2009</t>
  </si>
  <si>
    <t>03/31/2023</t>
  </si>
  <si>
    <t>Lopez</t>
  </si>
  <si>
    <t>Paul</t>
  </si>
  <si>
    <t>Water/Wastewater Services</t>
  </si>
  <si>
    <t>Water/Wastewater Crew Leader</t>
  </si>
  <si>
    <t>Civilian</t>
  </si>
  <si>
    <t>08/29/2011</t>
  </si>
  <si>
    <t/>
  </si>
  <si>
    <t/>
  </si>
  <si>
    <t>McKenna</t>
  </si>
  <si>
    <t>Sean</t>
  </si>
  <si>
    <t>Police Department</t>
  </si>
  <si>
    <t>Police Sergeant</t>
  </si>
  <si>
    <t>Uniform</t>
  </si>
  <si>
    <t>10/05/2015</t>
  </si>
  <si>
    <t/>
  </si>
  <si>
    <t/>
  </si>
  <si>
    <t>Letbetter</t>
  </si>
  <si>
    <t>Walter</t>
  </si>
  <si>
    <t>Streets</t>
  </si>
  <si>
    <t>Streets and Drainage Superintendent</t>
  </si>
  <si>
    <t>Civilian</t>
  </si>
  <si>
    <t>01/22/2008</t>
  </si>
  <si>
    <t>07/15/2023</t>
  </si>
  <si>
    <t>Dyer</t>
  </si>
  <si>
    <t>Timothy</t>
  </si>
  <si>
    <t>Fire Department</t>
  </si>
  <si>
    <t>Firefighter</t>
  </si>
  <si>
    <t>Uniform</t>
  </si>
  <si>
    <t>11/07/2022</t>
  </si>
  <si>
    <t/>
  </si>
  <si>
    <t/>
  </si>
  <si>
    <t>Surian</t>
  </si>
  <si>
    <t>Erik</t>
  </si>
  <si>
    <t>Fire Department</t>
  </si>
  <si>
    <t>Firefighter</t>
  </si>
  <si>
    <t>Uniform</t>
  </si>
  <si>
    <t>01/22/2019</t>
  </si>
  <si>
    <t/>
  </si>
  <si>
    <t/>
  </si>
  <si>
    <t>Martin</t>
  </si>
  <si>
    <t>Sandra</t>
  </si>
  <si>
    <t>Finance</t>
  </si>
  <si>
    <t>Assistant Director of Finance</t>
  </si>
  <si>
    <t>Civilian</t>
  </si>
  <si>
    <t>01/07/2019</t>
  </si>
  <si>
    <t>08/12/2023</t>
  </si>
  <si>
    <t>Kellum</t>
  </si>
  <si>
    <t>Dana</t>
  </si>
  <si>
    <t>Fire Department</t>
  </si>
  <si>
    <t>Fire Apparatus Operator</t>
  </si>
  <si>
    <t>Uniform</t>
  </si>
  <si>
    <t>04/30/2018</t>
  </si>
  <si>
    <t/>
  </si>
  <si>
    <t/>
  </si>
  <si>
    <t>Potts</t>
  </si>
  <si>
    <t>Benjamin</t>
  </si>
  <si>
    <t>EMS</t>
  </si>
  <si>
    <t>Paramedic</t>
  </si>
  <si>
    <t>Uniform</t>
  </si>
  <si>
    <t>07/23/2018</t>
  </si>
  <si>
    <t/>
  </si>
  <si>
    <t/>
  </si>
  <si>
    <t>Anderson</t>
  </si>
  <si>
    <t>Dane</t>
  </si>
  <si>
    <t>Fire Department</t>
  </si>
  <si>
    <t>Fire Apparatus Operator</t>
  </si>
  <si>
    <t>Uniform</t>
  </si>
  <si>
    <t>06/07/2010</t>
  </si>
  <si>
    <t/>
  </si>
  <si>
    <t/>
  </si>
  <si>
    <t>Garcia</t>
  </si>
  <si>
    <t>Matthew</t>
  </si>
  <si>
    <t>Fire Department</t>
  </si>
  <si>
    <t>Fire Apparatus Operator</t>
  </si>
  <si>
    <t>Uniform</t>
  </si>
  <si>
    <t>06/02/2014</t>
  </si>
  <si>
    <t/>
  </si>
  <si>
    <t/>
  </si>
  <si>
    <t>Brooks</t>
  </si>
  <si>
    <t>Thomas</t>
  </si>
  <si>
    <t>Facility Services</t>
  </si>
  <si>
    <t>Master Electrician</t>
  </si>
  <si>
    <t>Civilian</t>
  </si>
  <si>
    <t>02/28/2011</t>
  </si>
  <si>
    <t/>
  </si>
  <si>
    <t/>
  </si>
  <si>
    <t>Rapier</t>
  </si>
  <si>
    <t>Michael</t>
  </si>
  <si>
    <t>Police Department</t>
  </si>
  <si>
    <t>Police Officer</t>
  </si>
  <si>
    <t>Uniform</t>
  </si>
  <si>
    <t>05/22/2006</t>
  </si>
  <si>
    <t/>
  </si>
  <si>
    <t/>
  </si>
  <si>
    <t>Villarreal</t>
  </si>
  <si>
    <t>Joe</t>
  </si>
  <si>
    <t>Facility Services</t>
  </si>
  <si>
    <t>Facilities Maintenance Supervisor</t>
  </si>
  <si>
    <t>Civilian</t>
  </si>
  <si>
    <t>10/23/2001</t>
  </si>
  <si>
    <t/>
  </si>
  <si>
    <t/>
  </si>
  <si>
    <t>Moheit</t>
  </si>
  <si>
    <t>Jerad</t>
  </si>
  <si>
    <t>Water/Wastewater Services</t>
  </si>
  <si>
    <t>Water/Wastewater Supervisor</t>
  </si>
  <si>
    <t>Civilian</t>
  </si>
  <si>
    <t>11/06/2006</t>
  </si>
  <si>
    <t/>
  </si>
  <si>
    <t/>
  </si>
  <si>
    <t>Schmidt</t>
  </si>
  <si>
    <t>Frank</t>
  </si>
  <si>
    <t>Police Department</t>
  </si>
  <si>
    <t>Police Officer</t>
  </si>
  <si>
    <t>Uniform</t>
  </si>
  <si>
    <t>06/25/2005</t>
  </si>
  <si>
    <t/>
  </si>
  <si>
    <t/>
  </si>
  <si>
    <t>Edmondson</t>
  </si>
  <si>
    <t>Sheila</t>
  </si>
  <si>
    <t>City Secretary Office</t>
  </si>
  <si>
    <t>City Secretary</t>
  </si>
  <si>
    <t>Civilian</t>
  </si>
  <si>
    <t>03/01/2021</t>
  </si>
  <si>
    <t/>
  </si>
  <si>
    <t/>
  </si>
  <si>
    <t>Ceeko</t>
  </si>
  <si>
    <t>Shawn</t>
  </si>
  <si>
    <t>Police Department</t>
  </si>
  <si>
    <t>Police Sergeant</t>
  </si>
  <si>
    <t>Uniform</t>
  </si>
  <si>
    <t>10/31/2005</t>
  </si>
  <si>
    <t/>
  </si>
  <si>
    <t/>
  </si>
  <si>
    <t>De Leon</t>
  </si>
  <si>
    <t>Matthew</t>
  </si>
  <si>
    <t>Police Department</t>
  </si>
  <si>
    <t>Police Officer</t>
  </si>
  <si>
    <t>Uniform</t>
  </si>
  <si>
    <t>07/18/2022</t>
  </si>
  <si>
    <t/>
  </si>
  <si>
    <t/>
  </si>
  <si>
    <t>Guerra</t>
  </si>
  <si>
    <t>Sydney</t>
  </si>
  <si>
    <t>EMS</t>
  </si>
  <si>
    <t>Paramedic</t>
  </si>
  <si>
    <t>Uniform</t>
  </si>
  <si>
    <t>11/26/2018</t>
  </si>
  <si>
    <t/>
  </si>
  <si>
    <t/>
  </si>
  <si>
    <t>Flowers</t>
  </si>
  <si>
    <t>Gregg</t>
  </si>
  <si>
    <t>Police Department</t>
  </si>
  <si>
    <t>Police Officer</t>
  </si>
  <si>
    <t>Uniform</t>
  </si>
  <si>
    <t>10/05/2015</t>
  </si>
  <si>
    <t/>
  </si>
  <si>
    <t/>
  </si>
  <si>
    <t>Ferris</t>
  </si>
  <si>
    <t>Nicholas</t>
  </si>
  <si>
    <t>Water/Wastewater Services</t>
  </si>
  <si>
    <t>Assistant Director of Public Works</t>
  </si>
  <si>
    <t>Civilian</t>
  </si>
  <si>
    <t>01/03/2022</t>
  </si>
  <si>
    <t/>
  </si>
  <si>
    <t/>
  </si>
  <si>
    <t>Lelek</t>
  </si>
  <si>
    <t>Jason</t>
  </si>
  <si>
    <t>EMS</t>
  </si>
  <si>
    <t>EMS Lieutenant</t>
  </si>
  <si>
    <t>Uniform</t>
  </si>
  <si>
    <t>04/12/2021</t>
  </si>
  <si>
    <t/>
  </si>
  <si>
    <t/>
  </si>
  <si>
    <t>Marks</t>
  </si>
  <si>
    <t>Sawyer</t>
  </si>
  <si>
    <t>Fire Department</t>
  </si>
  <si>
    <t>Firefighter</t>
  </si>
  <si>
    <t>Uniform</t>
  </si>
  <si>
    <t>08/08/2016</t>
  </si>
  <si>
    <t/>
  </si>
  <si>
    <t/>
  </si>
  <si>
    <t>Latham</t>
  </si>
  <si>
    <t>Eva</t>
  </si>
  <si>
    <t>Human Resources</t>
  </si>
  <si>
    <t>Human Resources Manager</t>
  </si>
  <si>
    <t>Civilian</t>
  </si>
  <si>
    <t>03/28/2022</t>
  </si>
  <si>
    <t/>
  </si>
  <si>
    <t/>
  </si>
  <si>
    <t>Espronceda</t>
  </si>
  <si>
    <t>Amber</t>
  </si>
  <si>
    <t>EMS</t>
  </si>
  <si>
    <t>Paramedic</t>
  </si>
  <si>
    <t>Uniform</t>
  </si>
  <si>
    <t>01/21/2020</t>
  </si>
  <si>
    <t/>
  </si>
  <si>
    <t/>
  </si>
  <si>
    <t>Valdez</t>
  </si>
  <si>
    <t>Hunter</t>
  </si>
  <si>
    <t>EMS</t>
  </si>
  <si>
    <t>Paramedic</t>
  </si>
  <si>
    <t>Uniform</t>
  </si>
  <si>
    <t>01/04/2021</t>
  </si>
  <si>
    <t/>
  </si>
  <si>
    <t/>
  </si>
  <si>
    <t>Weston</t>
  </si>
  <si>
    <t>Justin</t>
  </si>
  <si>
    <t>Police Department</t>
  </si>
  <si>
    <t>Police Officer</t>
  </si>
  <si>
    <t>Uniform</t>
  </si>
  <si>
    <t>02/27/2012</t>
  </si>
  <si>
    <t/>
  </si>
  <si>
    <t/>
  </si>
  <si>
    <t>O'Leary</t>
  </si>
  <si>
    <t>Shawn</t>
  </si>
  <si>
    <t>Police Department</t>
  </si>
  <si>
    <t>Police Officer</t>
  </si>
  <si>
    <t>Uniform</t>
  </si>
  <si>
    <t>10/06/2014</t>
  </si>
  <si>
    <t/>
  </si>
  <si>
    <t/>
  </si>
  <si>
    <t>Ortiz</t>
  </si>
  <si>
    <t>John</t>
  </si>
  <si>
    <t>Police Department</t>
  </si>
  <si>
    <t>Police Officer</t>
  </si>
  <si>
    <t>Uniform</t>
  </si>
  <si>
    <t>11/07/2011</t>
  </si>
  <si>
    <t/>
  </si>
  <si>
    <t/>
  </si>
  <si>
    <t>Kuhlmann</t>
  </si>
  <si>
    <t>Nichole</t>
  </si>
  <si>
    <t>Police Department</t>
  </si>
  <si>
    <t>Public Safety Communications Manager</t>
  </si>
  <si>
    <t>Civilian</t>
  </si>
  <si>
    <t>10/04/2004</t>
  </si>
  <si>
    <t/>
  </si>
  <si>
    <t/>
  </si>
  <si>
    <t>Armstrong</t>
  </si>
  <si>
    <t>Colton</t>
  </si>
  <si>
    <t>Police Department</t>
  </si>
  <si>
    <t>Police Corporal</t>
  </si>
  <si>
    <t>Uniform</t>
  </si>
  <si>
    <t>04/22/2013</t>
  </si>
  <si>
    <t>08/05/2023</t>
  </si>
  <si>
    <t>Lonsberry</t>
  </si>
  <si>
    <t>Chad</t>
  </si>
  <si>
    <t>Facility Services</t>
  </si>
  <si>
    <t>Facilities Maintenance Superintendent</t>
  </si>
  <si>
    <t>Civilian</t>
  </si>
  <si>
    <t>09/16/2019</t>
  </si>
  <si>
    <t/>
  </si>
  <si>
    <t/>
  </si>
  <si>
    <t>Williams</t>
  </si>
  <si>
    <t>Jansin</t>
  </si>
  <si>
    <t>EMS</t>
  </si>
  <si>
    <t>Paramedic</t>
  </si>
  <si>
    <t>Uniform</t>
  </si>
  <si>
    <t>08/05/2019</t>
  </si>
  <si>
    <t/>
  </si>
  <si>
    <t/>
  </si>
  <si>
    <t>Jacobs</t>
  </si>
  <si>
    <t>Craig</t>
  </si>
  <si>
    <t>Fire Department</t>
  </si>
  <si>
    <t>Firefighter</t>
  </si>
  <si>
    <t>Uniform</t>
  </si>
  <si>
    <t>10/30/2017</t>
  </si>
  <si>
    <t/>
  </si>
  <si>
    <t/>
  </si>
  <si>
    <t>Rohach</t>
  </si>
  <si>
    <t>Adam</t>
  </si>
  <si>
    <t>EMS</t>
  </si>
  <si>
    <t>Paramedic</t>
  </si>
  <si>
    <t>Uniform</t>
  </si>
  <si>
    <t>03/04/2019</t>
  </si>
  <si>
    <t/>
  </si>
  <si>
    <t/>
  </si>
  <si>
    <t>Guerrero Jr</t>
  </si>
  <si>
    <t>Benjamin</t>
  </si>
  <si>
    <t>Police Department</t>
  </si>
  <si>
    <t>Police Officer</t>
  </si>
  <si>
    <t>Uniform</t>
  </si>
  <si>
    <t>07/19/2021</t>
  </si>
  <si>
    <t/>
  </si>
  <si>
    <t/>
  </si>
  <si>
    <t>Hernandez</t>
  </si>
  <si>
    <t>Mario</t>
  </si>
  <si>
    <t>Police Department</t>
  </si>
  <si>
    <t>Police Officer</t>
  </si>
  <si>
    <t>Uniform</t>
  </si>
  <si>
    <t>01/23/2017</t>
  </si>
  <si>
    <t/>
  </si>
  <si>
    <t/>
  </si>
  <si>
    <t>Keilholz</t>
  </si>
  <si>
    <t>Madeline</t>
  </si>
  <si>
    <t>EMS</t>
  </si>
  <si>
    <t>Paramedic</t>
  </si>
  <si>
    <t>Uniform</t>
  </si>
  <si>
    <t>09/14/2020</t>
  </si>
  <si>
    <t/>
  </si>
  <si>
    <t/>
  </si>
  <si>
    <t>Apgar</t>
  </si>
  <si>
    <t>Danielle</t>
  </si>
  <si>
    <t>Police Department</t>
  </si>
  <si>
    <t>Police Officer</t>
  </si>
  <si>
    <t>Uniform</t>
  </si>
  <si>
    <t>10/05/2015</t>
  </si>
  <si>
    <t/>
  </si>
  <si>
    <t/>
  </si>
  <si>
    <t>Reed</t>
  </si>
  <si>
    <t>Michael</t>
  </si>
  <si>
    <t>EMS</t>
  </si>
  <si>
    <t>EMS Instructor</t>
  </si>
  <si>
    <t>Uniform</t>
  </si>
  <si>
    <t>11/12/2019</t>
  </si>
  <si>
    <t/>
  </si>
  <si>
    <t/>
  </si>
  <si>
    <t>Bertoia</t>
  </si>
  <si>
    <t>Elizabeth</t>
  </si>
  <si>
    <t>Library</t>
  </si>
  <si>
    <t>Senior Librarian</t>
  </si>
  <si>
    <t>Civilian</t>
  </si>
  <si>
    <t>10/26/2009</t>
  </si>
  <si>
    <t/>
  </si>
  <si>
    <t/>
  </si>
  <si>
    <t>Pacheco</t>
  </si>
  <si>
    <t>Sylvia</t>
  </si>
  <si>
    <t>Human Resources</t>
  </si>
  <si>
    <t>Senior Human Resources Generalist</t>
  </si>
  <si>
    <t>Civilian</t>
  </si>
  <si>
    <t>02/26/2001</t>
  </si>
  <si>
    <t/>
  </si>
  <si>
    <t/>
  </si>
  <si>
    <t>De La Torre</t>
  </si>
  <si>
    <t>Alberto</t>
  </si>
  <si>
    <t>Police Department</t>
  </si>
  <si>
    <t>Police Officer</t>
  </si>
  <si>
    <t>Uniform</t>
  </si>
  <si>
    <t>09/28/2020</t>
  </si>
  <si>
    <t/>
  </si>
  <si>
    <t/>
  </si>
  <si>
    <t>Hanley</t>
  </si>
  <si>
    <t>Jason</t>
  </si>
  <si>
    <t>Police Department</t>
  </si>
  <si>
    <t>Police Corporal</t>
  </si>
  <si>
    <t>Uniform</t>
  </si>
  <si>
    <t>07/18/2011</t>
  </si>
  <si>
    <t>05/20/2023</t>
  </si>
  <si>
    <t>Sepeda</t>
  </si>
  <si>
    <t>Alicia</t>
  </si>
  <si>
    <t>Police Department</t>
  </si>
  <si>
    <t>Public Safety Communications Supervisor</t>
  </si>
  <si>
    <t>Civilian</t>
  </si>
  <si>
    <t>12/11/2000</t>
  </si>
  <si>
    <t/>
  </si>
  <si>
    <t/>
  </si>
  <si>
    <t>Samaniego</t>
  </si>
  <si>
    <t>Adam</t>
  </si>
  <si>
    <t>Police Department</t>
  </si>
  <si>
    <t>Police Officer</t>
  </si>
  <si>
    <t>Uniform</t>
  </si>
  <si>
    <t>10/06/2014</t>
  </si>
  <si>
    <t/>
  </si>
  <si>
    <t/>
  </si>
  <si>
    <t>Pena</t>
  </si>
  <si>
    <t>Rolando</t>
  </si>
  <si>
    <t>Police Department</t>
  </si>
  <si>
    <t>Police Officer</t>
  </si>
  <si>
    <t>Uniform</t>
  </si>
  <si>
    <t>09/28/2020</t>
  </si>
  <si>
    <t/>
  </si>
  <si>
    <t/>
  </si>
  <si>
    <t>Lara</t>
  </si>
  <si>
    <t>Aldo</t>
  </si>
  <si>
    <t>Police Department</t>
  </si>
  <si>
    <t>Police Officer</t>
  </si>
  <si>
    <t>Uniform</t>
  </si>
  <si>
    <t>05/28/2019</t>
  </si>
  <si>
    <t/>
  </si>
  <si>
    <t/>
  </si>
  <si>
    <t>Lafitte</t>
  </si>
  <si>
    <t>Helen</t>
  </si>
  <si>
    <t>Police Department</t>
  </si>
  <si>
    <t>Police Officer</t>
  </si>
  <si>
    <t>Uniform</t>
  </si>
  <si>
    <t>11/18/2013</t>
  </si>
  <si>
    <t/>
  </si>
  <si>
    <t/>
  </si>
  <si>
    <t>Martinez</t>
  </si>
  <si>
    <t>Robert</t>
  </si>
  <si>
    <t>Streets</t>
  </si>
  <si>
    <t>Street Maintenance Supervisor</t>
  </si>
  <si>
    <t>Civilian</t>
  </si>
  <si>
    <t>05/09/2011</t>
  </si>
  <si>
    <t/>
  </si>
  <si>
    <t/>
  </si>
  <si>
    <t>Anderson</t>
  </si>
  <si>
    <t>Amy</t>
  </si>
  <si>
    <t>EMS</t>
  </si>
  <si>
    <t>MIH Paramedic</t>
  </si>
  <si>
    <t>Uniform</t>
  </si>
  <si>
    <t>03/04/2019</t>
  </si>
  <si>
    <t/>
  </si>
  <si>
    <t/>
  </si>
  <si>
    <t>Buckley</t>
  </si>
  <si>
    <t>Tanner</t>
  </si>
  <si>
    <t>EMS</t>
  </si>
  <si>
    <t>Paramedic</t>
  </si>
  <si>
    <t>Uniform</t>
  </si>
  <si>
    <t>08/05/2019</t>
  </si>
  <si>
    <t/>
  </si>
  <si>
    <t/>
  </si>
  <si>
    <t>Ramirez Jr.</t>
  </si>
  <si>
    <t>Samuel</t>
  </si>
  <si>
    <t>Police Department</t>
  </si>
  <si>
    <t>Police Officer</t>
  </si>
  <si>
    <t>Uniform</t>
  </si>
  <si>
    <t>09/14/2020</t>
  </si>
  <si>
    <t/>
  </si>
  <si>
    <t/>
  </si>
  <si>
    <t>Yandell</t>
  </si>
  <si>
    <t>Jeremiah</t>
  </si>
  <si>
    <t>Facility Services</t>
  </si>
  <si>
    <t>Master Plumber</t>
  </si>
  <si>
    <t>Civilian</t>
  </si>
  <si>
    <t>01/18/2022</t>
  </si>
  <si>
    <t/>
  </si>
  <si>
    <t/>
  </si>
  <si>
    <t>McCallister</t>
  </si>
  <si>
    <t>Ryan</t>
  </si>
  <si>
    <t>Police Department</t>
  </si>
  <si>
    <t>Police Officer</t>
  </si>
  <si>
    <t>Uniform</t>
  </si>
  <si>
    <t>10/13/2020</t>
  </si>
  <si>
    <t/>
  </si>
  <si>
    <t/>
  </si>
  <si>
    <t>Gardner</t>
  </si>
  <si>
    <t>William</t>
  </si>
  <si>
    <t>Information Technology</t>
  </si>
  <si>
    <t>GIS Specialist</t>
  </si>
  <si>
    <t>Civilian</t>
  </si>
  <si>
    <t>06/09/2008</t>
  </si>
  <si>
    <t/>
  </si>
  <si>
    <t/>
  </si>
  <si>
    <t>Anderson</t>
  </si>
  <si>
    <t>Kevin</t>
  </si>
  <si>
    <t>Drainage</t>
  </si>
  <si>
    <t>Drainage Supervisor</t>
  </si>
  <si>
    <t>Civilian</t>
  </si>
  <si>
    <t>08/20/1996</t>
  </si>
  <si>
    <t/>
  </si>
  <si>
    <t/>
  </si>
  <si>
    <t>Perez</t>
  </si>
  <si>
    <t>Adrian</t>
  </si>
  <si>
    <t>Economic Development</t>
  </si>
  <si>
    <t>Executive Director, Economic Development</t>
  </si>
  <si>
    <t>Civilian</t>
  </si>
  <si>
    <t>01/13/2020</t>
  </si>
  <si>
    <t>02/09/2023</t>
  </si>
  <si>
    <t>Rinehart</t>
  </si>
  <si>
    <t>Elizabeth</t>
  </si>
  <si>
    <t>Police Department</t>
  </si>
  <si>
    <t>Police Records Manager</t>
  </si>
  <si>
    <t>Civilian</t>
  </si>
  <si>
    <t>11/18/2013</t>
  </si>
  <si>
    <t/>
  </si>
  <si>
    <t/>
  </si>
  <si>
    <t>Toman</t>
  </si>
  <si>
    <t>April</t>
  </si>
  <si>
    <t>Library</t>
  </si>
  <si>
    <t>Senior Librarian</t>
  </si>
  <si>
    <t>Civilian</t>
  </si>
  <si>
    <t>01/04/2010</t>
  </si>
  <si>
    <t/>
  </si>
  <si>
    <t/>
  </si>
  <si>
    <t>Matlock</t>
  </si>
  <si>
    <t>Erin</t>
  </si>
  <si>
    <t>Civic Center</t>
  </si>
  <si>
    <t>Civic Center Manager</t>
  </si>
  <si>
    <t>Civilian</t>
  </si>
  <si>
    <t>03/13/2003</t>
  </si>
  <si>
    <t/>
  </si>
  <si>
    <t/>
  </si>
  <si>
    <t>Vera</t>
  </si>
  <si>
    <t>Rebecca</t>
  </si>
  <si>
    <t>Neighborhood Services</t>
  </si>
  <si>
    <t>Neighborhood Services Manager</t>
  </si>
  <si>
    <t>Civilian</t>
  </si>
  <si>
    <t>09/03/2019</t>
  </si>
  <si>
    <t/>
  </si>
  <si>
    <t/>
  </si>
  <si>
    <t>Chavarria</t>
  </si>
  <si>
    <t>Frank</t>
  </si>
  <si>
    <t>Police Department</t>
  </si>
  <si>
    <t>Police Officer</t>
  </si>
  <si>
    <t>Uniform</t>
  </si>
  <si>
    <t>09/28/2020</t>
  </si>
  <si>
    <t/>
  </si>
  <si>
    <t/>
  </si>
  <si>
    <t>Zuniga</t>
  </si>
  <si>
    <t>Adrian</t>
  </si>
  <si>
    <t>Police Department</t>
  </si>
  <si>
    <t>Police Officer</t>
  </si>
  <si>
    <t>Uniform</t>
  </si>
  <si>
    <t>01/07/2019</t>
  </si>
  <si>
    <t/>
  </si>
  <si>
    <t/>
  </si>
  <si>
    <t>Montney</t>
  </si>
  <si>
    <t>Jared</t>
  </si>
  <si>
    <t>Parks, Recreation, and Co</t>
  </si>
  <si>
    <t>Parks Superintendent</t>
  </si>
  <si>
    <t>Civilian</t>
  </si>
  <si>
    <t>08/21/2017</t>
  </si>
  <si>
    <t/>
  </si>
  <si>
    <t/>
  </si>
  <si>
    <t>Puentes</t>
  </si>
  <si>
    <t>Adrian</t>
  </si>
  <si>
    <t>Fleet Services</t>
  </si>
  <si>
    <t>Fleet Supervisor</t>
  </si>
  <si>
    <t>Civilian</t>
  </si>
  <si>
    <t>10/25/2021</t>
  </si>
  <si>
    <t/>
  </si>
  <si>
    <t/>
  </si>
  <si>
    <t>Canseco‐Amescua</t>
  </si>
  <si>
    <t>Martha</t>
  </si>
  <si>
    <t>Finance</t>
  </si>
  <si>
    <t>Accounts Payable Coordinator</t>
  </si>
  <si>
    <t>Civilian</t>
  </si>
  <si>
    <t>08/21/2000</t>
  </si>
  <si>
    <t/>
  </si>
  <si>
    <t/>
  </si>
  <si>
    <t>Anderson</t>
  </si>
  <si>
    <t>LaSean</t>
  </si>
  <si>
    <t>EMS</t>
  </si>
  <si>
    <t>Paramedic</t>
  </si>
  <si>
    <t>Uniform</t>
  </si>
  <si>
    <t>07/19/2021</t>
  </si>
  <si>
    <t/>
  </si>
  <si>
    <t/>
  </si>
  <si>
    <t>Marquez</t>
  </si>
  <si>
    <t>Thomas</t>
  </si>
  <si>
    <t>Police Department</t>
  </si>
  <si>
    <t>Police Officer</t>
  </si>
  <si>
    <t>Uniform</t>
  </si>
  <si>
    <t>10/29/2018</t>
  </si>
  <si>
    <t/>
  </si>
  <si>
    <t/>
  </si>
  <si>
    <t>Dalrymple</t>
  </si>
  <si>
    <t>Ronald</t>
  </si>
  <si>
    <t>Inspections</t>
  </si>
  <si>
    <t>Plans Examiner</t>
  </si>
  <si>
    <t>Civilian</t>
  </si>
  <si>
    <t>09/06/2016</t>
  </si>
  <si>
    <t/>
  </si>
  <si>
    <t/>
  </si>
  <si>
    <t>Fowler IV</t>
  </si>
  <si>
    <t>William</t>
  </si>
  <si>
    <t>EMS</t>
  </si>
  <si>
    <t>Paramedic</t>
  </si>
  <si>
    <t>Uniform</t>
  </si>
  <si>
    <t>01/05/2021</t>
  </si>
  <si>
    <t/>
  </si>
  <si>
    <t/>
  </si>
  <si>
    <t>Gohlke</t>
  </si>
  <si>
    <t>Julie</t>
  </si>
  <si>
    <t>Purchasing</t>
  </si>
  <si>
    <t>Purchasing Manager</t>
  </si>
  <si>
    <t>Civilian</t>
  </si>
  <si>
    <t>05/14/2018</t>
  </si>
  <si>
    <t>06/20/2023</t>
  </si>
  <si>
    <t>Tumlinson</t>
  </si>
  <si>
    <t>Nancy</t>
  </si>
  <si>
    <t>Purchasing</t>
  </si>
  <si>
    <t>Risk &amp; Safety Specialist</t>
  </si>
  <si>
    <t>Civilian</t>
  </si>
  <si>
    <t>12/10/2007</t>
  </si>
  <si>
    <t/>
  </si>
  <si>
    <t/>
  </si>
  <si>
    <t>Westbrook</t>
  </si>
  <si>
    <t>Travis</t>
  </si>
  <si>
    <t>Engineering</t>
  </si>
  <si>
    <t>Associate Engineer</t>
  </si>
  <si>
    <t>Civilian</t>
  </si>
  <si>
    <t>10/25/2021</t>
  </si>
  <si>
    <t/>
  </si>
  <si>
    <t/>
  </si>
  <si>
    <t>McMath</t>
  </si>
  <si>
    <t>Ian</t>
  </si>
  <si>
    <t>Police Department</t>
  </si>
  <si>
    <t>Police Officer</t>
  </si>
  <si>
    <t>Uniform</t>
  </si>
  <si>
    <t>05/27/2020</t>
  </si>
  <si>
    <t/>
  </si>
  <si>
    <t/>
  </si>
  <si>
    <t>Balderas</t>
  </si>
  <si>
    <t>Derrick A</t>
  </si>
  <si>
    <t>Police Department</t>
  </si>
  <si>
    <t>Police Officer</t>
  </si>
  <si>
    <t>Uniform</t>
  </si>
  <si>
    <t>05/09/2022</t>
  </si>
  <si>
    <t/>
  </si>
  <si>
    <t/>
  </si>
  <si>
    <t>Sepeda</t>
  </si>
  <si>
    <t>Bruno</t>
  </si>
  <si>
    <t>Facility Services</t>
  </si>
  <si>
    <t>Facilities Maintenance Crew Leader</t>
  </si>
  <si>
    <t>Civilian</t>
  </si>
  <si>
    <t>01/05/1998</t>
  </si>
  <si>
    <t/>
  </si>
  <si>
    <t/>
  </si>
  <si>
    <t>Reiser</t>
  </si>
  <si>
    <t>Darcy</t>
  </si>
  <si>
    <t>EMS</t>
  </si>
  <si>
    <t>EMT</t>
  </si>
  <si>
    <t>Uniform</t>
  </si>
  <si>
    <t>02/28/2022</t>
  </si>
  <si>
    <t/>
  </si>
  <si>
    <t/>
  </si>
  <si>
    <t>Garcia</t>
  </si>
  <si>
    <t>Chelsea</t>
  </si>
  <si>
    <t>Police Department</t>
  </si>
  <si>
    <t>Property Room &amp; Crime Scene Technician</t>
  </si>
  <si>
    <t>Civilian</t>
  </si>
  <si>
    <t>04/02/2018</t>
  </si>
  <si>
    <t/>
  </si>
  <si>
    <t/>
  </si>
  <si>
    <t>Dammann</t>
  </si>
  <si>
    <t>Aa</t>
  </si>
  <si>
    <t>Drainage</t>
  </si>
  <si>
    <t>Drainage Worker II</t>
  </si>
  <si>
    <t>Civilian</t>
  </si>
  <si>
    <t>06/11/2002</t>
  </si>
  <si>
    <t/>
  </si>
  <si>
    <t/>
  </si>
  <si>
    <t>Rosales</t>
  </si>
  <si>
    <t>Rodolfo</t>
  </si>
  <si>
    <t>Utility Billing</t>
  </si>
  <si>
    <t>Utility Billing Manager</t>
  </si>
  <si>
    <t>Civilian</t>
  </si>
  <si>
    <t>06/18/2007</t>
  </si>
  <si>
    <t/>
  </si>
  <si>
    <t/>
  </si>
  <si>
    <t>Paddock</t>
  </si>
  <si>
    <t>Cassandra</t>
  </si>
  <si>
    <t>Parks, Recreation, and Co</t>
  </si>
  <si>
    <t>Recreation Manager</t>
  </si>
  <si>
    <t>Civilian</t>
  </si>
  <si>
    <t>07/05/2022</t>
  </si>
  <si>
    <t/>
  </si>
  <si>
    <t/>
  </si>
  <si>
    <t>Haas</t>
  </si>
  <si>
    <t>Samuel</t>
  </si>
  <si>
    <t>Planning &amp; Zoning</t>
  </si>
  <si>
    <t>Senior Planner</t>
  </si>
  <si>
    <t>Civilian</t>
  </si>
  <si>
    <t>06/20/2022</t>
  </si>
  <si>
    <t/>
  </si>
  <si>
    <t/>
  </si>
  <si>
    <t>Green</t>
  </si>
  <si>
    <t>Angela</t>
  </si>
  <si>
    <t>Municipal Court</t>
  </si>
  <si>
    <t>Senior Deputy Court Clerk</t>
  </si>
  <si>
    <t>Civilian</t>
  </si>
  <si>
    <t>11/03/2003</t>
  </si>
  <si>
    <t/>
  </si>
  <si>
    <t/>
  </si>
  <si>
    <t>Cantu</t>
  </si>
  <si>
    <t>Amanda</t>
  </si>
  <si>
    <t>Neighborhood Services</t>
  </si>
  <si>
    <t>Sanitarian</t>
  </si>
  <si>
    <t>Civilian</t>
  </si>
  <si>
    <t>10/25/2021</t>
  </si>
  <si>
    <t/>
  </si>
  <si>
    <t/>
  </si>
  <si>
    <t>Lagunas</t>
  </si>
  <si>
    <t>Megan</t>
  </si>
  <si>
    <t>Police Department</t>
  </si>
  <si>
    <t>Animal Services Manager</t>
  </si>
  <si>
    <t>Civilian</t>
  </si>
  <si>
    <t>10/03/2016</t>
  </si>
  <si>
    <t/>
  </si>
  <si>
    <t/>
  </si>
  <si>
    <t>Timmons</t>
  </si>
  <si>
    <t>Bryan</t>
  </si>
  <si>
    <t>Engineering</t>
  </si>
  <si>
    <t>Engineering Inspector</t>
  </si>
  <si>
    <t>Civilian</t>
  </si>
  <si>
    <t>08/14/2000</t>
  </si>
  <si>
    <t/>
  </si>
  <si>
    <t/>
  </si>
  <si>
    <t>Flickinger</t>
  </si>
  <si>
    <t>Levi</t>
  </si>
  <si>
    <t>EMS</t>
  </si>
  <si>
    <t>Paramedic</t>
  </si>
  <si>
    <t>Uniform</t>
  </si>
  <si>
    <t>03/15/2021</t>
  </si>
  <si>
    <t/>
  </si>
  <si>
    <t/>
  </si>
  <si>
    <t>Almanza</t>
  </si>
  <si>
    <t>Ayleen</t>
  </si>
  <si>
    <t>Police Department</t>
  </si>
  <si>
    <t>Police Officer</t>
  </si>
  <si>
    <t>Uniform</t>
  </si>
  <si>
    <t>11/23/2020</t>
  </si>
  <si>
    <t/>
  </si>
  <si>
    <t/>
  </si>
  <si>
    <t>Fisher</t>
  </si>
  <si>
    <t>Caleb</t>
  </si>
  <si>
    <t>Water/Wastewater Services</t>
  </si>
  <si>
    <t>Water/Wastewater Worker II</t>
  </si>
  <si>
    <t>Civilian</t>
  </si>
  <si>
    <t>09/13/2021</t>
  </si>
  <si>
    <t/>
  </si>
  <si>
    <t/>
  </si>
  <si>
    <t>Danhof</t>
  </si>
  <si>
    <t>Tiffany</t>
  </si>
  <si>
    <t>Inspections</t>
  </si>
  <si>
    <t>Administrative Assistant</t>
  </si>
  <si>
    <t>Civilian</t>
  </si>
  <si>
    <t>05/21/2012</t>
  </si>
  <si>
    <t/>
  </si>
  <si>
    <t/>
  </si>
  <si>
    <t>Pacheco</t>
  </si>
  <si>
    <t>Herman</t>
  </si>
  <si>
    <t>Engineering</t>
  </si>
  <si>
    <t>Engineering Inspector</t>
  </si>
  <si>
    <t>Civilian</t>
  </si>
  <si>
    <t>05/09/2022</t>
  </si>
  <si>
    <t/>
  </si>
  <si>
    <t/>
  </si>
  <si>
    <t>Christensen</t>
  </si>
  <si>
    <t>Devan</t>
  </si>
  <si>
    <t>Public Affairs</t>
  </si>
  <si>
    <t>Public Affairs Communications Manager</t>
  </si>
  <si>
    <t>Civilian</t>
  </si>
  <si>
    <t>03/21/2017</t>
  </si>
  <si>
    <t/>
  </si>
  <si>
    <t/>
  </si>
  <si>
    <t>Bruce</t>
  </si>
  <si>
    <t>James</t>
  </si>
  <si>
    <t>Inspections</t>
  </si>
  <si>
    <t>Chief Building Official</t>
  </si>
  <si>
    <t>Civilian</t>
  </si>
  <si>
    <t>03/19/2018</t>
  </si>
  <si>
    <t/>
  </si>
  <si>
    <t/>
  </si>
  <si>
    <t>Kraft</t>
  </si>
  <si>
    <t>Anna</t>
  </si>
  <si>
    <t>Police Department</t>
  </si>
  <si>
    <t>Police Officer</t>
  </si>
  <si>
    <t>Uniform</t>
  </si>
  <si>
    <t>09/05/2017</t>
  </si>
  <si>
    <t/>
  </si>
  <si>
    <t/>
  </si>
  <si>
    <t>Ryel</t>
  </si>
  <si>
    <t>Jeremy</t>
  </si>
  <si>
    <t>Water/Wastewater Services</t>
  </si>
  <si>
    <t>Water/Wastewater Crew Leader</t>
  </si>
  <si>
    <t>Civilian</t>
  </si>
  <si>
    <t>10/20/2015</t>
  </si>
  <si>
    <t/>
  </si>
  <si>
    <t/>
  </si>
  <si>
    <t>Potter</t>
  </si>
  <si>
    <t>Matthew Bry</t>
  </si>
  <si>
    <t>Police Department</t>
  </si>
  <si>
    <t>Police Officer</t>
  </si>
  <si>
    <t>Uniform</t>
  </si>
  <si>
    <t>10/24/2022</t>
  </si>
  <si>
    <t/>
  </si>
  <si>
    <t/>
  </si>
  <si>
    <t>Hernandez</t>
  </si>
  <si>
    <t>Christopher</t>
  </si>
  <si>
    <t>Fleet Services</t>
  </si>
  <si>
    <t>Fleet Superintendent</t>
  </si>
  <si>
    <t>Civilian</t>
  </si>
  <si>
    <t>01/21/2020</t>
  </si>
  <si>
    <t/>
  </si>
  <si>
    <t/>
  </si>
  <si>
    <t>Perez‐Ortiz</t>
  </si>
  <si>
    <t>Ortiz</t>
  </si>
  <si>
    <t>Finance</t>
  </si>
  <si>
    <t>Accountant</t>
  </si>
  <si>
    <t>Civilian</t>
  </si>
  <si>
    <t>09/05/2017</t>
  </si>
  <si>
    <t/>
  </si>
  <si>
    <t/>
  </si>
  <si>
    <t>Gillard</t>
  </si>
  <si>
    <t>Stephen</t>
  </si>
  <si>
    <t>Fleet Services</t>
  </si>
  <si>
    <t>Fleet Mechanic II</t>
  </si>
  <si>
    <t>Civilian</t>
  </si>
  <si>
    <t>09/19/2016</t>
  </si>
  <si>
    <t/>
  </si>
  <si>
    <t/>
  </si>
  <si>
    <t>Pardo</t>
  </si>
  <si>
    <t>Ismael</t>
  </si>
  <si>
    <t>Water/Wastewater Services</t>
  </si>
  <si>
    <t>Water/Wastewater Worker II</t>
  </si>
  <si>
    <t>Civilian</t>
  </si>
  <si>
    <t>12/29/2014</t>
  </si>
  <si>
    <t/>
  </si>
  <si>
    <t/>
  </si>
  <si>
    <t>Sanchez</t>
  </si>
  <si>
    <t>Jose</t>
  </si>
  <si>
    <t>Streets</t>
  </si>
  <si>
    <t>Street Maintenance Worker II</t>
  </si>
  <si>
    <t>Civilian</t>
  </si>
  <si>
    <t>11/22/2021</t>
  </si>
  <si>
    <t/>
  </si>
  <si>
    <t/>
  </si>
  <si>
    <t>Montes</t>
  </si>
  <si>
    <t>Joaquin</t>
  </si>
  <si>
    <t>Police Department</t>
  </si>
  <si>
    <t>Police Officer</t>
  </si>
  <si>
    <t>Uniform</t>
  </si>
  <si>
    <t>05/14/2018</t>
  </si>
  <si>
    <t/>
  </si>
  <si>
    <t/>
  </si>
  <si>
    <t>Alcala</t>
  </si>
  <si>
    <t>Armando</t>
  </si>
  <si>
    <t>Inspections</t>
  </si>
  <si>
    <t>Building Inspector</t>
  </si>
  <si>
    <t>Civilian</t>
  </si>
  <si>
    <t>10/29/2018</t>
  </si>
  <si>
    <t/>
  </si>
  <si>
    <t/>
  </si>
  <si>
    <t>Chandler</t>
  </si>
  <si>
    <t>Krista</t>
  </si>
  <si>
    <t>Police Department</t>
  </si>
  <si>
    <t>Crime Victim Liaison</t>
  </si>
  <si>
    <t>Civilian</t>
  </si>
  <si>
    <t>09/27/2021</t>
  </si>
  <si>
    <t/>
  </si>
  <si>
    <t/>
  </si>
  <si>
    <t>Zarate</t>
  </si>
  <si>
    <t>Rene</t>
  </si>
  <si>
    <t>Finance</t>
  </si>
  <si>
    <t>Accountant ‐ Senior</t>
  </si>
  <si>
    <t>Civilian</t>
  </si>
  <si>
    <t>03/06/2007</t>
  </si>
  <si>
    <t>05/31/2023</t>
  </si>
  <si>
    <t>Liles</t>
  </si>
  <si>
    <t>Charles</t>
  </si>
  <si>
    <t>EMS</t>
  </si>
  <si>
    <t>Paramedic</t>
  </si>
  <si>
    <t>Uniform</t>
  </si>
  <si>
    <t>09/14/2020</t>
  </si>
  <si>
    <t/>
  </si>
  <si>
    <t/>
  </si>
  <si>
    <t>Johnson</t>
  </si>
  <si>
    <t>Desiree</t>
  </si>
  <si>
    <t>Water/Wastewater Services</t>
  </si>
  <si>
    <t>Administrative Assistant</t>
  </si>
  <si>
    <t>Civilian</t>
  </si>
  <si>
    <t>08/02/2022</t>
  </si>
  <si>
    <t/>
  </si>
  <si>
    <t/>
  </si>
  <si>
    <t>Walkden</t>
  </si>
  <si>
    <t>Mike</t>
  </si>
  <si>
    <t>Finance</t>
  </si>
  <si>
    <t>Senior Financial Analyst</t>
  </si>
  <si>
    <t>Civilian</t>
  </si>
  <si>
    <t>06/06/2022</t>
  </si>
  <si>
    <t/>
  </si>
  <si>
    <t/>
  </si>
  <si>
    <t>Valdez</t>
  </si>
  <si>
    <t>Yolanda</t>
  </si>
  <si>
    <t>Human Resources</t>
  </si>
  <si>
    <t>Human Resources Generalist</t>
  </si>
  <si>
    <t>Civilian</t>
  </si>
  <si>
    <t>07/08/2019</t>
  </si>
  <si>
    <t/>
  </si>
  <si>
    <t/>
  </si>
  <si>
    <t>Sarten</t>
  </si>
  <si>
    <t>Donald</t>
  </si>
  <si>
    <t>Water/Wastewater Services</t>
  </si>
  <si>
    <t>Water/Wastewater Worker II</t>
  </si>
  <si>
    <t>Civilian</t>
  </si>
  <si>
    <t>03/19/2018</t>
  </si>
  <si>
    <t/>
  </si>
  <si>
    <t/>
  </si>
  <si>
    <t>Kuehn</t>
  </si>
  <si>
    <t>Monica</t>
  </si>
  <si>
    <t>Police Department</t>
  </si>
  <si>
    <t>Public Safety Communications Supervisor</t>
  </si>
  <si>
    <t>Civilian</t>
  </si>
  <si>
    <t>12/03/2014</t>
  </si>
  <si>
    <t/>
  </si>
  <si>
    <t/>
  </si>
  <si>
    <t>Sommers</t>
  </si>
  <si>
    <t>Samantha</t>
  </si>
  <si>
    <t>EMS</t>
  </si>
  <si>
    <t>Paramedic</t>
  </si>
  <si>
    <t>Uniform</t>
  </si>
  <si>
    <t>01/18/2022</t>
  </si>
  <si>
    <t>07/05/2023</t>
  </si>
  <si>
    <t>Patrick</t>
  </si>
  <si>
    <t>Jonathan</t>
  </si>
  <si>
    <t>Police Department</t>
  </si>
  <si>
    <t>Police Officer</t>
  </si>
  <si>
    <t>Uniform</t>
  </si>
  <si>
    <t>11/02/2015</t>
  </si>
  <si>
    <t>05/20/2023</t>
  </si>
  <si>
    <t>Quinones</t>
  </si>
  <si>
    <t>Karen</t>
  </si>
  <si>
    <t>Police Department</t>
  </si>
  <si>
    <t>Property Room &amp; Crime Scene Technician</t>
  </si>
  <si>
    <t>Civilian</t>
  </si>
  <si>
    <t>04/30/2018</t>
  </si>
  <si>
    <t/>
  </si>
  <si>
    <t/>
  </si>
  <si>
    <t>Flores</t>
  </si>
  <si>
    <t>Moses</t>
  </si>
  <si>
    <t>Water/Wastewater Services</t>
  </si>
  <si>
    <t>Water/Wastewater Worker II</t>
  </si>
  <si>
    <t>Civilian</t>
  </si>
  <si>
    <t>03/19/2018</t>
  </si>
  <si>
    <t/>
  </si>
  <si>
    <t/>
  </si>
  <si>
    <t>Burdick</t>
  </si>
  <si>
    <t>Crystal</t>
  </si>
  <si>
    <t>Police Department</t>
  </si>
  <si>
    <t>Public Safety Communications Officer</t>
  </si>
  <si>
    <t>Civilian</t>
  </si>
  <si>
    <t>02/14/2022</t>
  </si>
  <si>
    <t/>
  </si>
  <si>
    <t/>
  </si>
  <si>
    <t>Krauss</t>
  </si>
  <si>
    <t>Shelley</t>
  </si>
  <si>
    <t>Finance</t>
  </si>
  <si>
    <t>Administrative Assistant</t>
  </si>
  <si>
    <t>Civilian</t>
  </si>
  <si>
    <t>10/02/2000</t>
  </si>
  <si>
    <t/>
  </si>
  <si>
    <t/>
  </si>
  <si>
    <t>Maldonado Jr</t>
  </si>
  <si>
    <t>Alberto</t>
  </si>
  <si>
    <t>Fleet Services</t>
  </si>
  <si>
    <t>Fleet Mechanic I</t>
  </si>
  <si>
    <t>Civilian</t>
  </si>
  <si>
    <t>08/22/2022</t>
  </si>
  <si>
    <t/>
  </si>
  <si>
    <t/>
  </si>
  <si>
    <t>Lozano</t>
  </si>
  <si>
    <t>Ricardo</t>
  </si>
  <si>
    <t>Police Department</t>
  </si>
  <si>
    <t>Police Officer</t>
  </si>
  <si>
    <t>Uniform</t>
  </si>
  <si>
    <t>09/28/2020</t>
  </si>
  <si>
    <t>06/19/2023</t>
  </si>
  <si>
    <t>Hilla</t>
  </si>
  <si>
    <t>Sean</t>
  </si>
  <si>
    <t>EMS</t>
  </si>
  <si>
    <t>EMT</t>
  </si>
  <si>
    <t>Uniform</t>
  </si>
  <si>
    <t>09/13/2021</t>
  </si>
  <si>
    <t/>
  </si>
  <si>
    <t/>
  </si>
  <si>
    <t>Blake</t>
  </si>
  <si>
    <t>Starla</t>
  </si>
  <si>
    <t>Police Department</t>
  </si>
  <si>
    <t>Public Safety Communications Supervisor</t>
  </si>
  <si>
    <t>Civilian</t>
  </si>
  <si>
    <t>03/19/2018</t>
  </si>
  <si>
    <t/>
  </si>
  <si>
    <t/>
  </si>
  <si>
    <t>Callicoat</t>
  </si>
  <si>
    <t>Jennifer</t>
  </si>
  <si>
    <t>Police Department</t>
  </si>
  <si>
    <t>Public Safety Communications Supervisor</t>
  </si>
  <si>
    <t>Civilian</t>
  </si>
  <si>
    <t>01/30/2012</t>
  </si>
  <si>
    <t/>
  </si>
  <si>
    <t/>
  </si>
  <si>
    <t>Hausman</t>
  </si>
  <si>
    <t>Amanda</t>
  </si>
  <si>
    <t>EMS</t>
  </si>
  <si>
    <t>EMS Lieutenant</t>
  </si>
  <si>
    <t>Uniform</t>
  </si>
  <si>
    <t>08/07/2017</t>
  </si>
  <si>
    <t>05/05/2023</t>
  </si>
  <si>
    <t>Quast</t>
  </si>
  <si>
    <t>Carl</t>
  </si>
  <si>
    <t>Inspections</t>
  </si>
  <si>
    <t>Building Inspector</t>
  </si>
  <si>
    <t>Civilian</t>
  </si>
  <si>
    <t>01/22/2003</t>
  </si>
  <si>
    <t/>
  </si>
  <si>
    <t/>
  </si>
  <si>
    <t>Miller</t>
  </si>
  <si>
    <t>Dominga</t>
  </si>
  <si>
    <t>EMS</t>
  </si>
  <si>
    <t>EMS Billing Specialist</t>
  </si>
  <si>
    <t>Civilian</t>
  </si>
  <si>
    <t>09/26/2011</t>
  </si>
  <si>
    <t/>
  </si>
  <si>
    <t/>
  </si>
  <si>
    <t>Herrera</t>
  </si>
  <si>
    <t>Victoria</t>
  </si>
  <si>
    <t>EMS</t>
  </si>
  <si>
    <t>EMT</t>
  </si>
  <si>
    <t>Uniform</t>
  </si>
  <si>
    <t>02/28/2022</t>
  </si>
  <si>
    <t/>
  </si>
  <si>
    <t/>
  </si>
  <si>
    <t>Redman</t>
  </si>
  <si>
    <t>Austin</t>
  </si>
  <si>
    <t>EMS</t>
  </si>
  <si>
    <t>Paramedic</t>
  </si>
  <si>
    <t>Uniform</t>
  </si>
  <si>
    <t>09/13/2021</t>
  </si>
  <si>
    <t/>
  </si>
  <si>
    <t/>
  </si>
  <si>
    <t>Dempsey</t>
  </si>
  <si>
    <t>Jeffery</t>
  </si>
  <si>
    <t>Fleet Services</t>
  </si>
  <si>
    <t>Fleet Mechanic I</t>
  </si>
  <si>
    <t>Civilian</t>
  </si>
  <si>
    <t>10/13/2020</t>
  </si>
  <si>
    <t/>
  </si>
  <si>
    <t/>
  </si>
  <si>
    <t>Martinez</t>
  </si>
  <si>
    <t>Alexis</t>
  </si>
  <si>
    <t>EMS</t>
  </si>
  <si>
    <t>EMT</t>
  </si>
  <si>
    <t>Uniform</t>
  </si>
  <si>
    <t>02/28/2022</t>
  </si>
  <si>
    <t/>
  </si>
  <si>
    <t/>
  </si>
  <si>
    <t>Martinez</t>
  </si>
  <si>
    <t>Demetrio</t>
  </si>
  <si>
    <t>Streets</t>
  </si>
  <si>
    <t>Street Maintenance Crew Leader</t>
  </si>
  <si>
    <t>Civilian</t>
  </si>
  <si>
    <t>01/22/2008</t>
  </si>
  <si>
    <t/>
  </si>
  <si>
    <t/>
  </si>
  <si>
    <t>Montoya</t>
  </si>
  <si>
    <t>Beatrice</t>
  </si>
  <si>
    <t>Police Department</t>
  </si>
  <si>
    <t>Public Safety Communications Officer</t>
  </si>
  <si>
    <t>Civilian</t>
  </si>
  <si>
    <t>02/14/2022</t>
  </si>
  <si>
    <t>09/22/2023</t>
  </si>
  <si>
    <t>Warneke</t>
  </si>
  <si>
    <t>Tyler</t>
  </si>
  <si>
    <t>EMS</t>
  </si>
  <si>
    <t>Paramedic</t>
  </si>
  <si>
    <t>Uniform</t>
  </si>
  <si>
    <t>08/13/2012</t>
  </si>
  <si>
    <t/>
  </si>
  <si>
    <t/>
  </si>
  <si>
    <t>Barbosa</t>
  </si>
  <si>
    <t>Stephanie</t>
  </si>
  <si>
    <t>Library</t>
  </si>
  <si>
    <t>Senior Librarian</t>
  </si>
  <si>
    <t>Civilian</t>
  </si>
  <si>
    <t>07/25/2022</t>
  </si>
  <si>
    <t/>
  </si>
  <si>
    <t/>
  </si>
  <si>
    <t>Wayman</t>
  </si>
  <si>
    <t>David</t>
  </si>
  <si>
    <t>Economic Development</t>
  </si>
  <si>
    <t>Executive Director, Economic Development</t>
  </si>
  <si>
    <t>Civilian</t>
  </si>
  <si>
    <t>05/08/2023</t>
  </si>
  <si>
    <t/>
  </si>
  <si>
    <t/>
  </si>
  <si>
    <t>Horak</t>
  </si>
  <si>
    <t>Miranda</t>
  </si>
  <si>
    <t>EMS</t>
  </si>
  <si>
    <t>Paramedic</t>
  </si>
  <si>
    <t>Uniform</t>
  </si>
  <si>
    <t>09/13/2021</t>
  </si>
  <si>
    <t/>
  </si>
  <si>
    <t/>
  </si>
  <si>
    <t>Marbach</t>
  </si>
  <si>
    <t>Jaclyn</t>
  </si>
  <si>
    <t>Police Department</t>
  </si>
  <si>
    <t>Administrative Assistant</t>
  </si>
  <si>
    <t>Civilian</t>
  </si>
  <si>
    <t>06/18/2007</t>
  </si>
  <si>
    <t/>
  </si>
  <si>
    <t/>
  </si>
  <si>
    <t>Aris</t>
  </si>
  <si>
    <t>Daniel</t>
  </si>
  <si>
    <t>Water/Wastewater Services</t>
  </si>
  <si>
    <t>Water/Wastewater Worker II</t>
  </si>
  <si>
    <t>Civilian</t>
  </si>
  <si>
    <t>06/06/2022</t>
  </si>
  <si>
    <t/>
  </si>
  <si>
    <t/>
  </si>
  <si>
    <t>Dobratz</t>
  </si>
  <si>
    <t>Robert</t>
  </si>
  <si>
    <t>Parks, Recreation, and Co</t>
  </si>
  <si>
    <t>Parks Supervisor</t>
  </si>
  <si>
    <t>Civilian</t>
  </si>
  <si>
    <t>12/11/2017</t>
  </si>
  <si>
    <t/>
  </si>
  <si>
    <t/>
  </si>
  <si>
    <t>Garza</t>
  </si>
  <si>
    <t>Katrina</t>
  </si>
  <si>
    <t>Library</t>
  </si>
  <si>
    <t>Library Technician</t>
  </si>
  <si>
    <t>Civilian</t>
  </si>
  <si>
    <t>06/16/2014</t>
  </si>
  <si>
    <t/>
  </si>
  <si>
    <t/>
  </si>
  <si>
    <t>Medina</t>
  </si>
  <si>
    <t>Oscar</t>
  </si>
  <si>
    <t>Information Technology</t>
  </si>
  <si>
    <t>Senior IT Support Specialist</t>
  </si>
  <si>
    <t>Civilian</t>
  </si>
  <si>
    <t>07/18/2022</t>
  </si>
  <si>
    <t/>
  </si>
  <si>
    <t/>
  </si>
  <si>
    <t>Mays‐Thompson</t>
  </si>
  <si>
    <t>John</t>
  </si>
  <si>
    <t>EMS</t>
  </si>
  <si>
    <t>EMT</t>
  </si>
  <si>
    <t>Uniform</t>
  </si>
  <si>
    <t>09/13/2021</t>
  </si>
  <si>
    <t/>
  </si>
  <si>
    <t/>
  </si>
  <si>
    <t>McFarland</t>
  </si>
  <si>
    <t>Yvonne</t>
  </si>
  <si>
    <t>Municipal Court</t>
  </si>
  <si>
    <t>Deputy Court Clerk</t>
  </si>
  <si>
    <t>Civilian</t>
  </si>
  <si>
    <t>05/25/2006</t>
  </si>
  <si>
    <t/>
  </si>
  <si>
    <t/>
  </si>
  <si>
    <t>Pequeno</t>
  </si>
  <si>
    <t>Daniel</t>
  </si>
  <si>
    <t>Drainage</t>
  </si>
  <si>
    <t>Drainage Worker II</t>
  </si>
  <si>
    <t>Civilian</t>
  </si>
  <si>
    <t>05/11/1998</t>
  </si>
  <si>
    <t/>
  </si>
  <si>
    <t/>
  </si>
  <si>
    <t>Yanez</t>
  </si>
  <si>
    <t>Lillian</t>
  </si>
  <si>
    <t>Police Department</t>
  </si>
  <si>
    <t>Public Safety Communications Officer</t>
  </si>
  <si>
    <t>Civilian</t>
  </si>
  <si>
    <t>02/14/2022</t>
  </si>
  <si>
    <t/>
  </si>
  <si>
    <t/>
  </si>
  <si>
    <t>Rodriguez</t>
  </si>
  <si>
    <t>Adam</t>
  </si>
  <si>
    <t>Water/Wastewater Services</t>
  </si>
  <si>
    <t>Water/Wastewater Worker I</t>
  </si>
  <si>
    <t>Civilian</t>
  </si>
  <si>
    <t>08/15/2022</t>
  </si>
  <si>
    <t/>
  </si>
  <si>
    <t/>
  </si>
  <si>
    <t>Tellez</t>
  </si>
  <si>
    <t>Zue</t>
  </si>
  <si>
    <t>Police Department</t>
  </si>
  <si>
    <t>Public Safety Communications Officer</t>
  </si>
  <si>
    <t>Civilian</t>
  </si>
  <si>
    <t>04/13/2020</t>
  </si>
  <si>
    <t/>
  </si>
  <si>
    <t/>
  </si>
  <si>
    <t>Perez</t>
  </si>
  <si>
    <t>Jerry</t>
  </si>
  <si>
    <t>Inspections</t>
  </si>
  <si>
    <t>Building Inspector</t>
  </si>
  <si>
    <t>Civilian</t>
  </si>
  <si>
    <t>07/23/2018</t>
  </si>
  <si>
    <t/>
  </si>
  <si>
    <t/>
  </si>
  <si>
    <t>Leahy</t>
  </si>
  <si>
    <t>Regina</t>
  </si>
  <si>
    <t>Library</t>
  </si>
  <si>
    <t>Library Technician</t>
  </si>
  <si>
    <t>Civilian</t>
  </si>
  <si>
    <t>08/09/1999</t>
  </si>
  <si>
    <t/>
  </si>
  <si>
    <t/>
  </si>
  <si>
    <t>Mayorga</t>
  </si>
  <si>
    <t>Cresencio</t>
  </si>
  <si>
    <t>Facility Services</t>
  </si>
  <si>
    <t>Facilities Maintenance Technician</t>
  </si>
  <si>
    <t>Civilian</t>
  </si>
  <si>
    <t>12/05/2011</t>
  </si>
  <si>
    <t/>
  </si>
  <si>
    <t/>
  </si>
  <si>
    <t>Hampton</t>
  </si>
  <si>
    <t>Dawn</t>
  </si>
  <si>
    <t>Water/Wastewater Services</t>
  </si>
  <si>
    <t>Service Representative</t>
  </si>
  <si>
    <t>Civilian</t>
  </si>
  <si>
    <t>06/13/2016</t>
  </si>
  <si>
    <t/>
  </si>
  <si>
    <t/>
  </si>
  <si>
    <t>Bowerman</t>
  </si>
  <si>
    <t>Karen</t>
  </si>
  <si>
    <t>Library</t>
  </si>
  <si>
    <t>Library Assistant</t>
  </si>
  <si>
    <t>Civilian</t>
  </si>
  <si>
    <t>11/06/2002</t>
  </si>
  <si>
    <t/>
  </si>
  <si>
    <t/>
  </si>
  <si>
    <t>Gibbs</t>
  </si>
  <si>
    <t>Catherine</t>
  </si>
  <si>
    <t>Police Department</t>
  </si>
  <si>
    <t>Public Safety Communications Officer</t>
  </si>
  <si>
    <t>Civilian</t>
  </si>
  <si>
    <t>01/03/2022</t>
  </si>
  <si>
    <t/>
  </si>
  <si>
    <t/>
  </si>
  <si>
    <t>Browne</t>
  </si>
  <si>
    <t>James</t>
  </si>
  <si>
    <t>City Management Office</t>
  </si>
  <si>
    <t>City Manager</t>
  </si>
  <si>
    <t>Civilian</t>
  </si>
  <si>
    <t>01/02/2019</t>
  </si>
  <si>
    <t>01/02/2023</t>
  </si>
  <si>
    <t>Jackson</t>
  </si>
  <si>
    <t>Bryan</t>
  </si>
  <si>
    <t>Information Technology</t>
  </si>
  <si>
    <t>Senior IT Support Specialist</t>
  </si>
  <si>
    <t>Civilian</t>
  </si>
  <si>
    <t>05/14/2018</t>
  </si>
  <si>
    <t/>
  </si>
  <si>
    <t/>
  </si>
  <si>
    <t>Pfeil</t>
  </si>
  <si>
    <t>Robert</t>
  </si>
  <si>
    <t>Water/Wastewater Services</t>
  </si>
  <si>
    <t>Service Worker I</t>
  </si>
  <si>
    <t>Civilian</t>
  </si>
  <si>
    <t>12/06/2021</t>
  </si>
  <si>
    <t/>
  </si>
  <si>
    <t/>
  </si>
  <si>
    <t>Noah‐Rastgoo</t>
  </si>
  <si>
    <t>Erin</t>
  </si>
  <si>
    <t>Inspections</t>
  </si>
  <si>
    <t>Plans Examiner</t>
  </si>
  <si>
    <t>Civilian</t>
  </si>
  <si>
    <t>07/19/2021</t>
  </si>
  <si>
    <t/>
  </si>
  <si>
    <t/>
  </si>
  <si>
    <t>Sand</t>
  </si>
  <si>
    <t>Ronald</t>
  </si>
  <si>
    <t>Streets</t>
  </si>
  <si>
    <t>Civilian</t>
  </si>
  <si>
    <t>01/08/2007</t>
  </si>
  <si>
    <t/>
  </si>
  <si>
    <t/>
  </si>
  <si>
    <t>Ruiz</t>
  </si>
  <si>
    <t>Moises</t>
  </si>
  <si>
    <t>Police Department</t>
  </si>
  <si>
    <t>Police Officer</t>
  </si>
  <si>
    <t>Uniform</t>
  </si>
  <si>
    <t>01/17/2023</t>
  </si>
  <si>
    <t/>
  </si>
  <si>
    <t/>
  </si>
  <si>
    <t>Gutierrez</t>
  </si>
  <si>
    <t>Mercedes</t>
  </si>
  <si>
    <t>Human Resources</t>
  </si>
  <si>
    <t>Human Resources Assistant</t>
  </si>
  <si>
    <t>Civilian</t>
  </si>
  <si>
    <t>09/03/2019</t>
  </si>
  <si>
    <t/>
  </si>
  <si>
    <t/>
  </si>
  <si>
    <t>Weaver</t>
  </si>
  <si>
    <t>Jeremy</t>
  </si>
  <si>
    <t>Utility Billing</t>
  </si>
  <si>
    <t>Meter Technician</t>
  </si>
  <si>
    <t>Civilian</t>
  </si>
  <si>
    <t>12/10/2018</t>
  </si>
  <si>
    <t/>
  </si>
  <si>
    <t/>
  </si>
  <si>
    <t>Casares</t>
  </si>
  <si>
    <t>Armando</t>
  </si>
  <si>
    <t>Drainage</t>
  </si>
  <si>
    <t>Drainage Worker I</t>
  </si>
  <si>
    <t>Civilian</t>
  </si>
  <si>
    <t>11/25/2019</t>
  </si>
  <si>
    <t/>
  </si>
  <si>
    <t/>
  </si>
  <si>
    <t>Simmons</t>
  </si>
  <si>
    <t>Cynthia</t>
  </si>
  <si>
    <t>City Management Office</t>
  </si>
  <si>
    <t>Administrative Assistant</t>
  </si>
  <si>
    <t>Civilian</t>
  </si>
  <si>
    <t>08/31/2020</t>
  </si>
  <si>
    <t/>
  </si>
  <si>
    <t/>
  </si>
  <si>
    <t>Morales</t>
  </si>
  <si>
    <t>Mark</t>
  </si>
  <si>
    <t>Utility Billing</t>
  </si>
  <si>
    <t>Meter Technician</t>
  </si>
  <si>
    <t>Civilian</t>
  </si>
  <si>
    <t>06/12/2006</t>
  </si>
  <si>
    <t/>
  </si>
  <si>
    <t/>
  </si>
  <si>
    <t>Orosco</t>
  </si>
  <si>
    <t>Albert</t>
  </si>
  <si>
    <t>Civic Center</t>
  </si>
  <si>
    <t>Events Attendant</t>
  </si>
  <si>
    <t>Civilian</t>
  </si>
  <si>
    <t>12/01/2008</t>
  </si>
  <si>
    <t/>
  </si>
  <si>
    <t/>
  </si>
  <si>
    <t>Richards</t>
  </si>
  <si>
    <t>James</t>
  </si>
  <si>
    <t>Fire Department</t>
  </si>
  <si>
    <t>Deputy Fire Marshal</t>
  </si>
  <si>
    <t>Uniform</t>
  </si>
  <si>
    <t>02/13/2023</t>
  </si>
  <si>
    <t/>
  </si>
  <si>
    <t/>
  </si>
  <si>
    <t>Flores</t>
  </si>
  <si>
    <t>Jordan</t>
  </si>
  <si>
    <t>Police Department</t>
  </si>
  <si>
    <t>PT Pub Saf Communications Officer ‐ Irr</t>
  </si>
  <si>
    <t>Civilian</t>
  </si>
  <si>
    <t>09/16/2019</t>
  </si>
  <si>
    <t/>
  </si>
  <si>
    <t/>
  </si>
  <si>
    <t>Hill</t>
  </si>
  <si>
    <t>Blü</t>
  </si>
  <si>
    <t>Information Technology</t>
  </si>
  <si>
    <t>IT Support Specialist</t>
  </si>
  <si>
    <t>Civilian</t>
  </si>
  <si>
    <t>07/18/2022</t>
  </si>
  <si>
    <t/>
  </si>
  <si>
    <t/>
  </si>
  <si>
    <t>Rantz</t>
  </si>
  <si>
    <t>Benjimin</t>
  </si>
  <si>
    <t>Water/Wastewater Services</t>
  </si>
  <si>
    <t>Water/Wastewater Worker II</t>
  </si>
  <si>
    <t>Civilian</t>
  </si>
  <si>
    <t>08/02/2021</t>
  </si>
  <si>
    <t/>
  </si>
  <si>
    <t/>
  </si>
  <si>
    <t>Guzman</t>
  </si>
  <si>
    <t>Jorge</t>
  </si>
  <si>
    <t>Water/Wastewater Services</t>
  </si>
  <si>
    <t>Water/Wastewater Worker I</t>
  </si>
  <si>
    <t>Civilian</t>
  </si>
  <si>
    <t>10/12/2021</t>
  </si>
  <si>
    <t/>
  </si>
  <si>
    <t/>
  </si>
  <si>
    <t>Castillo</t>
  </si>
  <si>
    <t>Guadalupe</t>
  </si>
  <si>
    <t>Streets</t>
  </si>
  <si>
    <t>Street Maintenance Worker II</t>
  </si>
  <si>
    <t>Civilian</t>
  </si>
  <si>
    <t>08/08/2006</t>
  </si>
  <si>
    <t/>
  </si>
  <si>
    <t/>
  </si>
  <si>
    <t>Sandberg</t>
  </si>
  <si>
    <t>Dylan</t>
  </si>
  <si>
    <t>Facility Services</t>
  </si>
  <si>
    <t>Journeyman Electrician</t>
  </si>
  <si>
    <t>Civilian</t>
  </si>
  <si>
    <t>08/02/2022</t>
  </si>
  <si>
    <t/>
  </si>
  <si>
    <t/>
  </si>
  <si>
    <t>Stevens</t>
  </si>
  <si>
    <t>Meghan</t>
  </si>
  <si>
    <t>EMS</t>
  </si>
  <si>
    <t>EMS Billing Specialist</t>
  </si>
  <si>
    <t>Civilian</t>
  </si>
  <si>
    <t>04/12/2021</t>
  </si>
  <si>
    <t/>
  </si>
  <si>
    <t/>
  </si>
  <si>
    <t>Cockrum</t>
  </si>
  <si>
    <t>Amber</t>
  </si>
  <si>
    <t>EMS</t>
  </si>
  <si>
    <t>EMS Billing Specialist</t>
  </si>
  <si>
    <t>Civilian</t>
  </si>
  <si>
    <t>07/19/2021</t>
  </si>
  <si>
    <t/>
  </si>
  <si>
    <t/>
  </si>
  <si>
    <t>Humphrey</t>
  </si>
  <si>
    <t>Haylee</t>
  </si>
  <si>
    <t>Police Department</t>
  </si>
  <si>
    <t>Public Safety Communications Officer</t>
  </si>
  <si>
    <t>Civilian</t>
  </si>
  <si>
    <t>11/22/2021</t>
  </si>
  <si>
    <t/>
  </si>
  <si>
    <t/>
  </si>
  <si>
    <t>Hansen</t>
  </si>
  <si>
    <t>Nicole</t>
  </si>
  <si>
    <t>Police Department</t>
  </si>
  <si>
    <t>Animal Services Officer</t>
  </si>
  <si>
    <t>Civilian</t>
  </si>
  <si>
    <t>03/04/2019</t>
  </si>
  <si>
    <t/>
  </si>
  <si>
    <t/>
  </si>
  <si>
    <t>Bond</t>
  </si>
  <si>
    <t>Korrin</t>
  </si>
  <si>
    <t>Information Technology</t>
  </si>
  <si>
    <t>Administrative Assistant</t>
  </si>
  <si>
    <t>Civilian</t>
  </si>
  <si>
    <t>10/01/2018</t>
  </si>
  <si>
    <t/>
  </si>
  <si>
    <t/>
  </si>
  <si>
    <t>Caraway</t>
  </si>
  <si>
    <t>Waylin</t>
  </si>
  <si>
    <t>Inspections</t>
  </si>
  <si>
    <t>Building Inspector</t>
  </si>
  <si>
    <t>Civilian</t>
  </si>
  <si>
    <t>09/26/2011</t>
  </si>
  <si>
    <t/>
  </si>
  <si>
    <t/>
  </si>
  <si>
    <t>Locken</t>
  </si>
  <si>
    <t>Lisa</t>
  </si>
  <si>
    <t>Neighborhood Services</t>
  </si>
  <si>
    <t>Sanitarian</t>
  </si>
  <si>
    <t>Civilian</t>
  </si>
  <si>
    <t>05/30/2017</t>
  </si>
  <si>
    <t/>
  </si>
  <si>
    <t/>
  </si>
  <si>
    <t>Silva</t>
  </si>
  <si>
    <t>Teresa</t>
  </si>
  <si>
    <t>Civic Center</t>
  </si>
  <si>
    <t>Civic &amp; Community Center Coordinator</t>
  </si>
  <si>
    <t>Civilian</t>
  </si>
  <si>
    <t>01/19/2021</t>
  </si>
  <si>
    <t/>
  </si>
  <si>
    <t/>
  </si>
  <si>
    <t>Diggs</t>
  </si>
  <si>
    <t>Eddie</t>
  </si>
  <si>
    <t>Engineering</t>
  </si>
  <si>
    <t>Engineering Inspector</t>
  </si>
  <si>
    <t>Civilian</t>
  </si>
  <si>
    <t>07/10/2006</t>
  </si>
  <si>
    <t>06/02/2023</t>
  </si>
  <si>
    <t>King</t>
  </si>
  <si>
    <t>Ian</t>
  </si>
  <si>
    <t>Parks, Recreation, and Co</t>
  </si>
  <si>
    <t>Parks Maintenance Technician II</t>
  </si>
  <si>
    <t>Civilian</t>
  </si>
  <si>
    <t>02/22/2022</t>
  </si>
  <si>
    <t/>
  </si>
  <si>
    <t/>
  </si>
  <si>
    <t>Tyquiengco</t>
  </si>
  <si>
    <t>Raymond</t>
  </si>
  <si>
    <t>Parks, Recreation, and Co</t>
  </si>
  <si>
    <t>Park Maintenance Technician</t>
  </si>
  <si>
    <t>Civilian</t>
  </si>
  <si>
    <t>05/17/2022</t>
  </si>
  <si>
    <t/>
  </si>
  <si>
    <t/>
  </si>
  <si>
    <t>Sifuentez</t>
  </si>
  <si>
    <t>Renee</t>
  </si>
  <si>
    <t>Police Department</t>
  </si>
  <si>
    <t>Public Safety Communications Officer</t>
  </si>
  <si>
    <t>Civilian</t>
  </si>
  <si>
    <t>04/11/2022</t>
  </si>
  <si>
    <t/>
  </si>
  <si>
    <t/>
  </si>
  <si>
    <t>Sutton</t>
  </si>
  <si>
    <t>Heather</t>
  </si>
  <si>
    <t>Municipal Court</t>
  </si>
  <si>
    <t>Deputy Court Clerk</t>
  </si>
  <si>
    <t>Civilian</t>
  </si>
  <si>
    <t>07/24/2017</t>
  </si>
  <si>
    <t/>
  </si>
  <si>
    <t/>
  </si>
  <si>
    <t>Maeda</t>
  </si>
  <si>
    <t>Samuel</t>
  </si>
  <si>
    <t>Facility Services</t>
  </si>
  <si>
    <t>Apprentice HVAC Technician</t>
  </si>
  <si>
    <t>Civilian</t>
  </si>
  <si>
    <t>11/30/2015</t>
  </si>
  <si>
    <t/>
  </si>
  <si>
    <t/>
  </si>
  <si>
    <t>Shortess</t>
  </si>
  <si>
    <t>Jennifer</t>
  </si>
  <si>
    <t>Engineering</t>
  </si>
  <si>
    <t>Engineer</t>
  </si>
  <si>
    <t>Civilian</t>
  </si>
  <si>
    <t>11/09/2020</t>
  </si>
  <si>
    <t>03/31/2023</t>
  </si>
  <si>
    <t>Rutledge</t>
  </si>
  <si>
    <t>Adriana</t>
  </si>
  <si>
    <t>EMS</t>
  </si>
  <si>
    <t>Administrative Assistant</t>
  </si>
  <si>
    <t>Civilian</t>
  </si>
  <si>
    <t>02/22/2021</t>
  </si>
  <si>
    <t/>
  </si>
  <si>
    <t/>
  </si>
  <si>
    <t>Courney</t>
  </si>
  <si>
    <t>Sheree</t>
  </si>
  <si>
    <t>City Secretary Office</t>
  </si>
  <si>
    <t>Deputy City Secretary</t>
  </si>
  <si>
    <t>Civilian</t>
  </si>
  <si>
    <t>06/22/2021</t>
  </si>
  <si>
    <t/>
  </si>
  <si>
    <t/>
  </si>
  <si>
    <t>Rodriguez</t>
  </si>
  <si>
    <t>Sarah</t>
  </si>
  <si>
    <t>Inspections</t>
  </si>
  <si>
    <t>Permit Technician</t>
  </si>
  <si>
    <t>Civilian</t>
  </si>
  <si>
    <t>11/07/2022</t>
  </si>
  <si>
    <t/>
  </si>
  <si>
    <t/>
  </si>
  <si>
    <t>Mayfield</t>
  </si>
  <si>
    <t>Stephen</t>
  </si>
  <si>
    <t>Water/Wastewater Services</t>
  </si>
  <si>
    <t>Water/Wastewater Manager</t>
  </si>
  <si>
    <t>Civilian</t>
  </si>
  <si>
    <t>11/23/2020</t>
  </si>
  <si>
    <t>03/28/2023</t>
  </si>
  <si>
    <t>Paprocki</t>
  </si>
  <si>
    <t>Traci</t>
  </si>
  <si>
    <t>Civic Center</t>
  </si>
  <si>
    <t>Administrative Assistant</t>
  </si>
  <si>
    <t>Civilian</t>
  </si>
  <si>
    <t>08/16/2004</t>
  </si>
  <si>
    <t/>
  </si>
  <si>
    <t/>
  </si>
  <si>
    <t>McClendon</t>
  </si>
  <si>
    <t>John</t>
  </si>
  <si>
    <t>Police Department</t>
  </si>
  <si>
    <t>Police Officer</t>
  </si>
  <si>
    <t>Uniform</t>
  </si>
  <si>
    <t>09/28/2020</t>
  </si>
  <si>
    <t>04/22/2023</t>
  </si>
  <si>
    <t>Cavazos</t>
  </si>
  <si>
    <t>Andrew</t>
  </si>
  <si>
    <t>Police Department</t>
  </si>
  <si>
    <t>Police Officer</t>
  </si>
  <si>
    <t>Uniform</t>
  </si>
  <si>
    <t>01/17/2023</t>
  </si>
  <si>
    <t/>
  </si>
  <si>
    <t/>
  </si>
  <si>
    <t>Canales</t>
  </si>
  <si>
    <t>Felicia</t>
  </si>
  <si>
    <t>Fire Department</t>
  </si>
  <si>
    <t>Fire Prevention Specialist</t>
  </si>
  <si>
    <t>Civilian</t>
  </si>
  <si>
    <t>05/11/2021</t>
  </si>
  <si>
    <t/>
  </si>
  <si>
    <t/>
  </si>
  <si>
    <t>French</t>
  </si>
  <si>
    <t>Coyle</t>
  </si>
  <si>
    <t>Drainage</t>
  </si>
  <si>
    <t>Drainage Worker II</t>
  </si>
  <si>
    <t>Civilian</t>
  </si>
  <si>
    <t>10/28/2019</t>
  </si>
  <si>
    <t/>
  </si>
  <si>
    <t/>
  </si>
  <si>
    <t>Valle</t>
  </si>
  <si>
    <t>Antonio</t>
  </si>
  <si>
    <t>Streets</t>
  </si>
  <si>
    <t>Traffic Signal &amp; Sign Technician</t>
  </si>
  <si>
    <t>Civilian</t>
  </si>
  <si>
    <t>07/29/2013</t>
  </si>
  <si>
    <t/>
  </si>
  <si>
    <t/>
  </si>
  <si>
    <t>Rodriguez</t>
  </si>
  <si>
    <t>Jeremiah</t>
  </si>
  <si>
    <t>EMS</t>
  </si>
  <si>
    <t>Paramedic</t>
  </si>
  <si>
    <t>Uniform</t>
  </si>
  <si>
    <t>02/27/2023</t>
  </si>
  <si>
    <t/>
  </si>
  <si>
    <t/>
  </si>
  <si>
    <t>Owens</t>
  </si>
  <si>
    <t>Jamelle</t>
  </si>
  <si>
    <t>Fire Department</t>
  </si>
  <si>
    <t>Firefighter</t>
  </si>
  <si>
    <t>Uniform</t>
  </si>
  <si>
    <t>01/03/2023</t>
  </si>
  <si>
    <t/>
  </si>
  <si>
    <t/>
  </si>
  <si>
    <t>Chavez</t>
  </si>
  <si>
    <t>Irene</t>
  </si>
  <si>
    <t>Fleet Services</t>
  </si>
  <si>
    <t>Administrative Assistant</t>
  </si>
  <si>
    <t>Civilian</t>
  </si>
  <si>
    <t>06/02/2014</t>
  </si>
  <si>
    <t/>
  </si>
  <si>
    <t/>
  </si>
  <si>
    <t>Hall</t>
  </si>
  <si>
    <t>Summer</t>
  </si>
  <si>
    <t>Fire Department</t>
  </si>
  <si>
    <t>Emergency Management Coordinator</t>
  </si>
  <si>
    <t>Civilian</t>
  </si>
  <si>
    <t>09/28/2020</t>
  </si>
  <si>
    <t>03/31/2023</t>
  </si>
  <si>
    <t>Allen</t>
  </si>
  <si>
    <t>Logan</t>
  </si>
  <si>
    <t>Fleet Services</t>
  </si>
  <si>
    <t>Fleet Mechanic I</t>
  </si>
  <si>
    <t>Civilian</t>
  </si>
  <si>
    <t>12/19/2022</t>
  </si>
  <si>
    <t/>
  </si>
  <si>
    <t/>
  </si>
  <si>
    <t>Padilla</t>
  </si>
  <si>
    <t>Cleotilde</t>
  </si>
  <si>
    <t>Police Department</t>
  </si>
  <si>
    <t>Animal Services Officer</t>
  </si>
  <si>
    <t>Civilian</t>
  </si>
  <si>
    <t>09/26/2022</t>
  </si>
  <si>
    <t/>
  </si>
  <si>
    <t/>
  </si>
  <si>
    <t>De Leon</t>
  </si>
  <si>
    <t>Nathaniel</t>
  </si>
  <si>
    <t>EMS</t>
  </si>
  <si>
    <t>EMT</t>
  </si>
  <si>
    <t>Uniform</t>
  </si>
  <si>
    <t>01/03/2023</t>
  </si>
  <si>
    <t/>
  </si>
  <si>
    <t/>
  </si>
  <si>
    <t>King ‐ Wilson</t>
  </si>
  <si>
    <t>Vanessa</t>
  </si>
  <si>
    <t>Police Department</t>
  </si>
  <si>
    <t>Public Safety Communications Officer</t>
  </si>
  <si>
    <t>Civilian</t>
  </si>
  <si>
    <t>07/18/2022</t>
  </si>
  <si>
    <t>07/14/2023</t>
  </si>
  <si>
    <t>Burch</t>
  </si>
  <si>
    <t>Jason</t>
  </si>
  <si>
    <t>EMS</t>
  </si>
  <si>
    <t>EMS Battalion Chief</t>
  </si>
  <si>
    <t>Uniform</t>
  </si>
  <si>
    <t>01/03/2011</t>
  </si>
  <si>
    <t>01/09/2023</t>
  </si>
  <si>
    <t>Paredes</t>
  </si>
  <si>
    <t>Sydney</t>
  </si>
  <si>
    <t>Parks, Recreation, and Co</t>
  </si>
  <si>
    <t>Recreation Coordinator</t>
  </si>
  <si>
    <t>Civilian</t>
  </si>
  <si>
    <t>12/05/2022</t>
  </si>
  <si>
    <t/>
  </si>
  <si>
    <t/>
  </si>
  <si>
    <t>Clark</t>
  </si>
  <si>
    <t>Randy</t>
  </si>
  <si>
    <t>Drainage</t>
  </si>
  <si>
    <t>Drainage Worker I</t>
  </si>
  <si>
    <t>Civilian</t>
  </si>
  <si>
    <t>06/06/2022</t>
  </si>
  <si>
    <t/>
  </si>
  <si>
    <t/>
  </si>
  <si>
    <t>Evans</t>
  </si>
  <si>
    <t>Ashley</t>
  </si>
  <si>
    <t>Police Department</t>
  </si>
  <si>
    <t>Animal Services Officer</t>
  </si>
  <si>
    <t>Civilian</t>
  </si>
  <si>
    <t>09/13/2021</t>
  </si>
  <si>
    <t/>
  </si>
  <si>
    <t/>
  </si>
  <si>
    <t>Laughridge</t>
  </si>
  <si>
    <t>Brad</t>
  </si>
  <si>
    <t>EMS</t>
  </si>
  <si>
    <t>Paramedic</t>
  </si>
  <si>
    <t>Uniform</t>
  </si>
  <si>
    <t>07/19/2021</t>
  </si>
  <si>
    <t/>
  </si>
  <si>
    <t/>
  </si>
  <si>
    <t>Gray</t>
  </si>
  <si>
    <t>Nicole</t>
  </si>
  <si>
    <t>Utility Billing</t>
  </si>
  <si>
    <t>Utility Billing Specialist</t>
  </si>
  <si>
    <t>Civilian</t>
  </si>
  <si>
    <t>02/14/2022</t>
  </si>
  <si>
    <t/>
  </si>
  <si>
    <t/>
  </si>
  <si>
    <t>Points</t>
  </si>
  <si>
    <t>Tyler</t>
  </si>
  <si>
    <t>EMS</t>
  </si>
  <si>
    <t>EMT</t>
  </si>
  <si>
    <t>Uniform</t>
  </si>
  <si>
    <t>01/03/2023</t>
  </si>
  <si>
    <t/>
  </si>
  <si>
    <t/>
  </si>
  <si>
    <t>Johnson</t>
  </si>
  <si>
    <t>Joni</t>
  </si>
  <si>
    <t>Library</t>
  </si>
  <si>
    <t>Library Assistant</t>
  </si>
  <si>
    <t>Civilian</t>
  </si>
  <si>
    <t>03/25/2013</t>
  </si>
  <si>
    <t/>
  </si>
  <si>
    <t/>
  </si>
  <si>
    <t>Moody</t>
  </si>
  <si>
    <t>Cole</t>
  </si>
  <si>
    <t>Parks, Recreation, and Co</t>
  </si>
  <si>
    <t>Parks Maintenance Technician II</t>
  </si>
  <si>
    <t>Civilian</t>
  </si>
  <si>
    <t>01/19/2021</t>
  </si>
  <si>
    <t/>
  </si>
  <si>
    <t/>
  </si>
  <si>
    <t>Rhodes</t>
  </si>
  <si>
    <t>Samuel</t>
  </si>
  <si>
    <t>Streets</t>
  </si>
  <si>
    <t>Street Maintenance Worker I</t>
  </si>
  <si>
    <t>Civilian</t>
  </si>
  <si>
    <t>10/26/2009</t>
  </si>
  <si>
    <t/>
  </si>
  <si>
    <t/>
  </si>
  <si>
    <t>Michael</t>
  </si>
  <si>
    <t>Lexis</t>
  </si>
  <si>
    <t>Parks, Recreation, and Co</t>
  </si>
  <si>
    <t>Administrative Assistant</t>
  </si>
  <si>
    <t>Civilian</t>
  </si>
  <si>
    <t>08/29/2022</t>
  </si>
  <si>
    <t/>
  </si>
  <si>
    <t/>
  </si>
  <si>
    <t>Madison</t>
  </si>
  <si>
    <t>LaSonya</t>
  </si>
  <si>
    <t>Police Department</t>
  </si>
  <si>
    <t>Police Records Specialist</t>
  </si>
  <si>
    <t>Civilian</t>
  </si>
  <si>
    <t>06/08/2020</t>
  </si>
  <si>
    <t/>
  </si>
  <si>
    <t/>
  </si>
  <si>
    <t>Martinez</t>
  </si>
  <si>
    <t>Diego</t>
  </si>
  <si>
    <t>Parks, Recreation, and Co</t>
  </si>
  <si>
    <t>Park Maintenance Technician</t>
  </si>
  <si>
    <t>Civilian</t>
  </si>
  <si>
    <t>06/18/2021</t>
  </si>
  <si>
    <t/>
  </si>
  <si>
    <t/>
  </si>
  <si>
    <t>Durant</t>
  </si>
  <si>
    <t>Gilbert</t>
  </si>
  <si>
    <t>Inspections</t>
  </si>
  <si>
    <t>Chief Building Official</t>
  </si>
  <si>
    <t>Civilian</t>
  </si>
  <si>
    <t>10/20/2014</t>
  </si>
  <si>
    <t>01/31/2023</t>
  </si>
  <si>
    <t>Monserrate</t>
  </si>
  <si>
    <t>Noelle</t>
  </si>
  <si>
    <t>Police Department</t>
  </si>
  <si>
    <t>Kennel Technician</t>
  </si>
  <si>
    <t>Civilian</t>
  </si>
  <si>
    <t>01/30/2019</t>
  </si>
  <si>
    <t/>
  </si>
  <si>
    <t/>
  </si>
  <si>
    <t>Yamazi</t>
  </si>
  <si>
    <t>Marc</t>
  </si>
  <si>
    <t>Neighborhood Services</t>
  </si>
  <si>
    <t>Code Enforcement Officer</t>
  </si>
  <si>
    <t>Civilian</t>
  </si>
  <si>
    <t>03/04/2019</t>
  </si>
  <si>
    <t/>
  </si>
  <si>
    <t/>
  </si>
  <si>
    <t>Sumner</t>
  </si>
  <si>
    <t>Alanna</t>
  </si>
  <si>
    <t>Inspections</t>
  </si>
  <si>
    <t>Development Specialist</t>
  </si>
  <si>
    <t>Civilian</t>
  </si>
  <si>
    <t>07/05/2022</t>
  </si>
  <si>
    <t/>
  </si>
  <si>
    <t/>
  </si>
  <si>
    <t>Fennesy</t>
  </si>
  <si>
    <t>Megan</t>
  </si>
  <si>
    <t>Police Department</t>
  </si>
  <si>
    <t>Police Corporal</t>
  </si>
  <si>
    <t>Uniform</t>
  </si>
  <si>
    <t>05/29/2018</t>
  </si>
  <si>
    <t>04/30/2023</t>
  </si>
  <si>
    <t>May</t>
  </si>
  <si>
    <t>Larry</t>
  </si>
  <si>
    <t>Parks, Recreation, and Co</t>
  </si>
  <si>
    <t>Park Maintenance Technician</t>
  </si>
  <si>
    <t>Civilian</t>
  </si>
  <si>
    <t>11/09/2020</t>
  </si>
  <si>
    <t/>
  </si>
  <si>
    <t/>
  </si>
  <si>
    <t>Lawry</t>
  </si>
  <si>
    <t>Charis</t>
  </si>
  <si>
    <t>Utility Billing</t>
  </si>
  <si>
    <t>Senior Utility Billing Specialist</t>
  </si>
  <si>
    <t>Civilian</t>
  </si>
  <si>
    <t>10/17/2016</t>
  </si>
  <si>
    <t/>
  </si>
  <si>
    <t/>
  </si>
  <si>
    <t>Davis</t>
  </si>
  <si>
    <t>Sherry</t>
  </si>
  <si>
    <t>Customer Relations/311</t>
  </si>
  <si>
    <t>Service Representative</t>
  </si>
  <si>
    <t>Civilian</t>
  </si>
  <si>
    <t>03/30/2009</t>
  </si>
  <si>
    <t/>
  </si>
  <si>
    <t/>
  </si>
  <si>
    <t>Schneider</t>
  </si>
  <si>
    <t>Ethan</t>
  </si>
  <si>
    <t>Fire Department</t>
  </si>
  <si>
    <t>Firefighter</t>
  </si>
  <si>
    <t>Uniform</t>
  </si>
  <si>
    <t>01/03/2023</t>
  </si>
  <si>
    <t/>
  </si>
  <si>
    <t/>
  </si>
  <si>
    <t>Moore</t>
  </si>
  <si>
    <t>Ryan</t>
  </si>
  <si>
    <t>EMS</t>
  </si>
  <si>
    <t>EMT</t>
  </si>
  <si>
    <t>Uniform</t>
  </si>
  <si>
    <t>01/03/2023</t>
  </si>
  <si>
    <t/>
  </si>
  <si>
    <t/>
  </si>
  <si>
    <t>Huser</t>
  </si>
  <si>
    <t>Racheal</t>
  </si>
  <si>
    <t>EMS</t>
  </si>
  <si>
    <t>Paramedic</t>
  </si>
  <si>
    <t>Uniform</t>
  </si>
  <si>
    <t>02/27/2023</t>
  </si>
  <si>
    <t/>
  </si>
  <si>
    <t/>
  </si>
  <si>
    <t>Lopez</t>
  </si>
  <si>
    <t>Lopez</t>
  </si>
  <si>
    <t>Police Department</t>
  </si>
  <si>
    <t>Police Officer</t>
  </si>
  <si>
    <t>Uniform</t>
  </si>
  <si>
    <t>02/27/2023</t>
  </si>
  <si>
    <t/>
  </si>
  <si>
    <t/>
  </si>
  <si>
    <t>Pitts jr</t>
  </si>
  <si>
    <t>Silas</t>
  </si>
  <si>
    <t>Streets</t>
  </si>
  <si>
    <t>Street Maintenance Worker I</t>
  </si>
  <si>
    <t>Civilian</t>
  </si>
  <si>
    <t>09/12/2022</t>
  </si>
  <si>
    <t/>
  </si>
  <si>
    <t/>
  </si>
  <si>
    <t>Gamez</t>
  </si>
  <si>
    <t>Ameriz</t>
  </si>
  <si>
    <t>Planning &amp; Zoning</t>
  </si>
  <si>
    <t>Planner</t>
  </si>
  <si>
    <t>Civilian</t>
  </si>
  <si>
    <t>02/13/2023</t>
  </si>
  <si>
    <t/>
  </si>
  <si>
    <t/>
  </si>
  <si>
    <t>Wiggins</t>
  </si>
  <si>
    <t>Keith</t>
  </si>
  <si>
    <t>Water/Wastewater Services</t>
  </si>
  <si>
    <t>Water/Wastewater Worker I</t>
  </si>
  <si>
    <t>Civilian</t>
  </si>
  <si>
    <t>11/21/2022</t>
  </si>
  <si>
    <t/>
  </si>
  <si>
    <t/>
  </si>
  <si>
    <t>Perrone</t>
  </si>
  <si>
    <t>Angela</t>
  </si>
  <si>
    <t>Purchasing</t>
  </si>
  <si>
    <t>Purchasing Specialist</t>
  </si>
  <si>
    <t>Civilian</t>
  </si>
  <si>
    <t>12/19/2022</t>
  </si>
  <si>
    <t/>
  </si>
  <si>
    <t/>
  </si>
  <si>
    <t>Burch</t>
  </si>
  <si>
    <t>Bryce</t>
  </si>
  <si>
    <t>Streets</t>
  </si>
  <si>
    <t>Traffic Signal &amp; Sign Technician</t>
  </si>
  <si>
    <t>Civilian</t>
  </si>
  <si>
    <t>01/19/2021</t>
  </si>
  <si>
    <t/>
  </si>
  <si>
    <t/>
  </si>
  <si>
    <t>Sandoval</t>
  </si>
  <si>
    <t>Miguel</t>
  </si>
  <si>
    <t>Water/Wastewater Services</t>
  </si>
  <si>
    <t>Water/Wastewater Worker I</t>
  </si>
  <si>
    <t>Civilian</t>
  </si>
  <si>
    <t>11/21/2022</t>
  </si>
  <si>
    <t/>
  </si>
  <si>
    <t/>
  </si>
  <si>
    <t>Phillips</t>
  </si>
  <si>
    <t>Bernice</t>
  </si>
  <si>
    <t>Police Department</t>
  </si>
  <si>
    <t>Kennel Technician</t>
  </si>
  <si>
    <t>Civilian</t>
  </si>
  <si>
    <t>01/06/2020</t>
  </si>
  <si>
    <t/>
  </si>
  <si>
    <t/>
  </si>
  <si>
    <t>Gomez</t>
  </si>
  <si>
    <t>Richard</t>
  </si>
  <si>
    <t>Neighborhood Services</t>
  </si>
  <si>
    <t>Code Enforcement Officer</t>
  </si>
  <si>
    <t>Civilian</t>
  </si>
  <si>
    <t>11/07/2022</t>
  </si>
  <si>
    <t/>
  </si>
  <si>
    <t/>
  </si>
  <si>
    <t>Galan</t>
  </si>
  <si>
    <t>Ernesto</t>
  </si>
  <si>
    <t>Streets</t>
  </si>
  <si>
    <t>Street Maintenance Worker I</t>
  </si>
  <si>
    <t>Civilian</t>
  </si>
  <si>
    <t>05/09/2022</t>
  </si>
  <si>
    <t/>
  </si>
  <si>
    <t/>
  </si>
  <si>
    <t>Martin</t>
  </si>
  <si>
    <t>Aidan</t>
  </si>
  <si>
    <t>EMS</t>
  </si>
  <si>
    <t>Paramedic</t>
  </si>
  <si>
    <t>Uniform</t>
  </si>
  <si>
    <t>01/03/2023</t>
  </si>
  <si>
    <t/>
  </si>
  <si>
    <t/>
  </si>
  <si>
    <t>Cottenden</t>
  </si>
  <si>
    <t>Kylee</t>
  </si>
  <si>
    <t>EMS</t>
  </si>
  <si>
    <t>Paramedic</t>
  </si>
  <si>
    <t>Uniform</t>
  </si>
  <si>
    <t>03/27/2023</t>
  </si>
  <si>
    <t/>
  </si>
  <si>
    <t/>
  </si>
  <si>
    <t>Davis</t>
  </si>
  <si>
    <t>Richard</t>
  </si>
  <si>
    <t>EMS</t>
  </si>
  <si>
    <t>Paramedic</t>
  </si>
  <si>
    <t>Uniform</t>
  </si>
  <si>
    <t>03/27/2023</t>
  </si>
  <si>
    <t/>
  </si>
  <si>
    <t/>
  </si>
  <si>
    <t>Hernandez</t>
  </si>
  <si>
    <t>Michael</t>
  </si>
  <si>
    <t>Facility Services</t>
  </si>
  <si>
    <t>Facilities Maintenance Technician</t>
  </si>
  <si>
    <t>Civilian</t>
  </si>
  <si>
    <t>09/12/2022</t>
  </si>
  <si>
    <t/>
  </si>
  <si>
    <t/>
  </si>
  <si>
    <t>Dinh</t>
  </si>
  <si>
    <t>Hai</t>
  </si>
  <si>
    <t>EMS</t>
  </si>
  <si>
    <t>PT Paramedic ‐ Irregular</t>
  </si>
  <si>
    <t>Uniform</t>
  </si>
  <si>
    <t>07/19/2021</t>
  </si>
  <si>
    <t/>
  </si>
  <si>
    <t>PRN</t>
  </si>
  <si>
    <t/>
  </si>
  <si>
    <t>Martinez</t>
  </si>
  <si>
    <t>Lidia</t>
  </si>
  <si>
    <t>Customer Relations/311</t>
  </si>
  <si>
    <t>Service Representative</t>
  </si>
  <si>
    <t>Civilian</t>
  </si>
  <si>
    <t>09/05/2017</t>
  </si>
  <si>
    <t/>
  </si>
  <si>
    <t/>
  </si>
  <si>
    <t>Couch</t>
  </si>
  <si>
    <t>Christopher</t>
  </si>
  <si>
    <t>EMS</t>
  </si>
  <si>
    <t>PT Paramedic ‐ Irregular</t>
  </si>
  <si>
    <t>Uniform</t>
  </si>
  <si>
    <t>10/28/2013</t>
  </si>
  <si>
    <t/>
  </si>
  <si>
    <t>PRN</t>
  </si>
  <si>
    <t/>
  </si>
  <si>
    <t>Amerson</t>
  </si>
  <si>
    <t>Jacob</t>
  </si>
  <si>
    <t>Fire Department</t>
  </si>
  <si>
    <t>Firefighter</t>
  </si>
  <si>
    <t>Uniform</t>
  </si>
  <si>
    <t>02/13/2023</t>
  </si>
  <si>
    <t/>
  </si>
  <si>
    <t/>
  </si>
  <si>
    <t>Martin</t>
  </si>
  <si>
    <t>Miranda</t>
  </si>
  <si>
    <t>Police Department</t>
  </si>
  <si>
    <t>Police Officer</t>
  </si>
  <si>
    <t>Uniform</t>
  </si>
  <si>
    <t>07/24/2017</t>
  </si>
  <si>
    <t>03/31/2023</t>
  </si>
  <si>
    <t>Howard</t>
  </si>
  <si>
    <t>Tori</t>
  </si>
  <si>
    <t>Fire Department</t>
  </si>
  <si>
    <t>Firefighter</t>
  </si>
  <si>
    <t>Uniform</t>
  </si>
  <si>
    <t>02/13/2023</t>
  </si>
  <si>
    <t/>
  </si>
  <si>
    <t/>
  </si>
  <si>
    <t>Rubio</t>
  </si>
  <si>
    <t>Crystal</t>
  </si>
  <si>
    <t>Utility Billing</t>
  </si>
  <si>
    <t>Utility Billing Specialist</t>
  </si>
  <si>
    <t>Civilian</t>
  </si>
  <si>
    <t>10/11/2022</t>
  </si>
  <si>
    <t/>
  </si>
  <si>
    <t/>
  </si>
  <si>
    <t>Lewis</t>
  </si>
  <si>
    <t>William</t>
  </si>
  <si>
    <t>Water/Wastewater Services</t>
  </si>
  <si>
    <t>Water/Wastewater Worker I</t>
  </si>
  <si>
    <t>Civilian</t>
  </si>
  <si>
    <t>08/02/2022</t>
  </si>
  <si>
    <t/>
  </si>
  <si>
    <t/>
  </si>
  <si>
    <t>Hydes</t>
  </si>
  <si>
    <t>Ethan</t>
  </si>
  <si>
    <t>EMS</t>
  </si>
  <si>
    <t>Paramedic</t>
  </si>
  <si>
    <t>Uniform</t>
  </si>
  <si>
    <t>01/03/2023</t>
  </si>
  <si>
    <t/>
  </si>
  <si>
    <t/>
  </si>
  <si>
    <t>Venezia</t>
  </si>
  <si>
    <t>Alexa</t>
  </si>
  <si>
    <t>Information Technology</t>
  </si>
  <si>
    <t>GIS Specialist</t>
  </si>
  <si>
    <t>Civilian</t>
  </si>
  <si>
    <t>01/17/2023</t>
  </si>
  <si>
    <t/>
  </si>
  <si>
    <t/>
  </si>
  <si>
    <t>Raines</t>
  </si>
  <si>
    <t>Cody</t>
  </si>
  <si>
    <t>Inspections</t>
  </si>
  <si>
    <t>Building Inspector</t>
  </si>
  <si>
    <t>Civilian</t>
  </si>
  <si>
    <t>12/19/2022</t>
  </si>
  <si>
    <t/>
  </si>
  <si>
    <t/>
  </si>
  <si>
    <t>Jaramillo</t>
  </si>
  <si>
    <t>Terran</t>
  </si>
  <si>
    <t>EMS</t>
  </si>
  <si>
    <t>Paramedic</t>
  </si>
  <si>
    <t>Uniform</t>
  </si>
  <si>
    <t>01/03/2023</t>
  </si>
  <si>
    <t/>
  </si>
  <si>
    <t/>
  </si>
  <si>
    <t>Ybarra</t>
  </si>
  <si>
    <t>Abigail</t>
  </si>
  <si>
    <t>Police Department</t>
  </si>
  <si>
    <t>Public Safety Communications Officer</t>
  </si>
  <si>
    <t>Civilian</t>
  </si>
  <si>
    <t>12/05/2022</t>
  </si>
  <si>
    <t/>
  </si>
  <si>
    <t/>
  </si>
  <si>
    <t>Gonzales</t>
  </si>
  <si>
    <t>Eddie</t>
  </si>
  <si>
    <t>Police Department</t>
  </si>
  <si>
    <t>Police Officer</t>
  </si>
  <si>
    <t>Uniform</t>
  </si>
  <si>
    <t>01/03/2011</t>
  </si>
  <si>
    <t>02/28/2023</t>
  </si>
  <si>
    <t>Cook</t>
  </si>
  <si>
    <t>William</t>
  </si>
  <si>
    <t>EMS</t>
  </si>
  <si>
    <t>Paramedic</t>
  </si>
  <si>
    <t>Uniform</t>
  </si>
  <si>
    <t>03/19/2018</t>
  </si>
  <si>
    <t/>
  </si>
  <si>
    <t>PRN</t>
  </si>
  <si>
    <t/>
  </si>
  <si>
    <t>Gibbons</t>
  </si>
  <si>
    <t>Caanon</t>
  </si>
  <si>
    <t>Public Affairs</t>
  </si>
  <si>
    <t>Marketing &amp; Communication Specialist</t>
  </si>
  <si>
    <t>Civilian</t>
  </si>
  <si>
    <t>09/12/2022</t>
  </si>
  <si>
    <t>07/22/2023</t>
  </si>
  <si>
    <t>Walker</t>
  </si>
  <si>
    <t>Trevor</t>
  </si>
  <si>
    <t>Drainage</t>
  </si>
  <si>
    <t>Drainage Worker I</t>
  </si>
  <si>
    <t>Civilian</t>
  </si>
  <si>
    <t>03/14/2022</t>
  </si>
  <si>
    <t/>
  </si>
  <si>
    <t/>
  </si>
  <si>
    <t>Ortiz</t>
  </si>
  <si>
    <t>Nancy</t>
  </si>
  <si>
    <t>Streets</t>
  </si>
  <si>
    <t>Street Maintenance Worker I</t>
  </si>
  <si>
    <t>Civilian</t>
  </si>
  <si>
    <t>10/24/2022</t>
  </si>
  <si>
    <t/>
  </si>
  <si>
    <t/>
  </si>
  <si>
    <t>Jimenez</t>
  </si>
  <si>
    <t>Anthony</t>
  </si>
  <si>
    <t>Water/Wastewater Services</t>
  </si>
  <si>
    <t>Water/Wastewater Worker II</t>
  </si>
  <si>
    <t>Civilian</t>
  </si>
  <si>
    <t>03/21/2017</t>
  </si>
  <si>
    <t/>
  </si>
  <si>
    <t/>
  </si>
  <si>
    <t>Biggs</t>
  </si>
  <si>
    <t>Jaralynne</t>
  </si>
  <si>
    <t>Police Department</t>
  </si>
  <si>
    <t>Kennel Technician</t>
  </si>
  <si>
    <t>Civilian</t>
  </si>
  <si>
    <t>08/30/2021</t>
  </si>
  <si>
    <t/>
  </si>
  <si>
    <t/>
  </si>
  <si>
    <t>Garza</t>
  </si>
  <si>
    <t>Justin</t>
  </si>
  <si>
    <t>Police Department</t>
  </si>
  <si>
    <t>Police Officer</t>
  </si>
  <si>
    <t>Uniform</t>
  </si>
  <si>
    <t>05/08/2023</t>
  </si>
  <si>
    <t/>
  </si>
  <si>
    <t/>
  </si>
  <si>
    <t>Ortiz</t>
  </si>
  <si>
    <t>Arturo</t>
  </si>
  <si>
    <t>Civic Center</t>
  </si>
  <si>
    <t>Events Attendant</t>
  </si>
  <si>
    <t>Civilian</t>
  </si>
  <si>
    <t>07/28/2018</t>
  </si>
  <si>
    <t/>
  </si>
  <si>
    <t/>
  </si>
  <si>
    <t>Ritchey</t>
  </si>
  <si>
    <t>Ashley</t>
  </si>
  <si>
    <t>Economic Development</t>
  </si>
  <si>
    <t>Business Engagement Manager</t>
  </si>
  <si>
    <t>Civilian</t>
  </si>
  <si>
    <t>03/13/2023</t>
  </si>
  <si>
    <t/>
  </si>
  <si>
    <t/>
  </si>
  <si>
    <t>Marquez</t>
  </si>
  <si>
    <t>Daisy</t>
  </si>
  <si>
    <t>Planning &amp; Zoning</t>
  </si>
  <si>
    <t>Planner</t>
  </si>
  <si>
    <t>Civilian</t>
  </si>
  <si>
    <t>04/10/2023</t>
  </si>
  <si>
    <t/>
  </si>
  <si>
    <t/>
  </si>
  <si>
    <t>Conley</t>
  </si>
  <si>
    <t>Andrew</t>
  </si>
  <si>
    <t>Information Technology</t>
  </si>
  <si>
    <t>Senior Systems Administrator</t>
  </si>
  <si>
    <t>Civilian</t>
  </si>
  <si>
    <t>02/22/2021</t>
  </si>
  <si>
    <t/>
  </si>
  <si>
    <t/>
  </si>
  <si>
    <t>Ellis</t>
  </si>
  <si>
    <t>Jason</t>
  </si>
  <si>
    <t>Fire Department</t>
  </si>
  <si>
    <t>Firefighter</t>
  </si>
  <si>
    <t>Uniform</t>
  </si>
  <si>
    <t>02/06/2008</t>
  </si>
  <si>
    <t>12/17/2022</t>
  </si>
  <si>
    <t>Flores</t>
  </si>
  <si>
    <t>Eric</t>
  </si>
  <si>
    <t>Fire Department</t>
  </si>
  <si>
    <t>Firefighter</t>
  </si>
  <si>
    <t>Uniform</t>
  </si>
  <si>
    <t>02/28/2022</t>
  </si>
  <si>
    <t>02/26/2023</t>
  </si>
  <si>
    <t>Tannert</t>
  </si>
  <si>
    <t>Joshua</t>
  </si>
  <si>
    <t>Fire Department</t>
  </si>
  <si>
    <t>Firefighter</t>
  </si>
  <si>
    <t>Uniform</t>
  </si>
  <si>
    <t>03/27/2023</t>
  </si>
  <si>
    <t/>
  </si>
  <si>
    <t/>
  </si>
  <si>
    <t>Ivey</t>
  </si>
  <si>
    <t>Haskell</t>
  </si>
  <si>
    <t>Police Department</t>
  </si>
  <si>
    <t>Police Officer</t>
  </si>
  <si>
    <t>Uniform</t>
  </si>
  <si>
    <t>07/17/2010</t>
  </si>
  <si>
    <t>01/13/2023</t>
  </si>
  <si>
    <t>Gutierrez Barajas</t>
  </si>
  <si>
    <t>Vicente</t>
  </si>
  <si>
    <t>Police Department</t>
  </si>
  <si>
    <t>Police Officer</t>
  </si>
  <si>
    <t>Uniform</t>
  </si>
  <si>
    <t>02/27/2023</t>
  </si>
  <si>
    <t>07/24/2023</t>
  </si>
  <si>
    <t>Garcia</t>
  </si>
  <si>
    <t>Raymond</t>
  </si>
  <si>
    <t>Water/Wastewater Services</t>
  </si>
  <si>
    <t>Service Worker I</t>
  </si>
  <si>
    <t>Civilian</t>
  </si>
  <si>
    <t>08/02/2021</t>
  </si>
  <si>
    <t>04/24/2023</t>
  </si>
  <si>
    <t>Scheel</t>
  </si>
  <si>
    <t>Kathryn</t>
  </si>
  <si>
    <t>Parks, Recreation, and Co</t>
  </si>
  <si>
    <t>Recreation Specialist</t>
  </si>
  <si>
    <t>Civilian</t>
  </si>
  <si>
    <t>02/27/2023</t>
  </si>
  <si>
    <t/>
  </si>
  <si>
    <t/>
  </si>
  <si>
    <t>Billig</t>
  </si>
  <si>
    <t>David</t>
  </si>
  <si>
    <t>Police Department</t>
  </si>
  <si>
    <t>Police Records Specialist</t>
  </si>
  <si>
    <t>Civilian</t>
  </si>
  <si>
    <t>11/21/2022</t>
  </si>
  <si>
    <t/>
  </si>
  <si>
    <t/>
  </si>
  <si>
    <t>Corso</t>
  </si>
  <si>
    <t>Lonnie</t>
  </si>
  <si>
    <t>Civic Center</t>
  </si>
  <si>
    <t>Events Attendant</t>
  </si>
  <si>
    <t>Civilian</t>
  </si>
  <si>
    <t>10/24/2022</t>
  </si>
  <si>
    <t/>
  </si>
  <si>
    <t/>
  </si>
  <si>
    <t>Woodward</t>
  </si>
  <si>
    <t>Cooper</t>
  </si>
  <si>
    <t>EMS</t>
  </si>
  <si>
    <t>Paramedic</t>
  </si>
  <si>
    <t>Uniform</t>
  </si>
  <si>
    <t>06/19/2023</t>
  </si>
  <si>
    <t/>
  </si>
  <si>
    <t/>
  </si>
  <si>
    <t>Salazar</t>
  </si>
  <si>
    <t>Tobie</t>
  </si>
  <si>
    <t>Facility Services</t>
  </si>
  <si>
    <t>Plumber Apprentice</t>
  </si>
  <si>
    <t>Civilian</t>
  </si>
  <si>
    <t>10/11/2022</t>
  </si>
  <si>
    <t>05/31/2023</t>
  </si>
  <si>
    <t>Rodriguez</t>
  </si>
  <si>
    <t>Melissa</t>
  </si>
  <si>
    <t>Fire Department</t>
  </si>
  <si>
    <t>Administrative Assistant</t>
  </si>
  <si>
    <t>Civilian</t>
  </si>
  <si>
    <t>03/18/2021</t>
  </si>
  <si>
    <t/>
  </si>
  <si>
    <t/>
  </si>
  <si>
    <t>Young</t>
  </si>
  <si>
    <t>Lynda</t>
  </si>
  <si>
    <t>Utility Billing</t>
  </si>
  <si>
    <t>Utility Billing Clerk</t>
  </si>
  <si>
    <t>Civilian</t>
  </si>
  <si>
    <t>02/14/2022</t>
  </si>
  <si>
    <t>04/22/2023</t>
  </si>
  <si>
    <t>Wheeler</t>
  </si>
  <si>
    <t>Alexsaray</t>
  </si>
  <si>
    <t>Library</t>
  </si>
  <si>
    <t>Library Assistant</t>
  </si>
  <si>
    <t>Civilian</t>
  </si>
  <si>
    <t>06/27/2016</t>
  </si>
  <si>
    <t/>
  </si>
  <si>
    <t/>
  </si>
  <si>
    <t>Miller</t>
  </si>
  <si>
    <t>Tracy</t>
  </si>
  <si>
    <t>Economic Development</t>
  </si>
  <si>
    <t>Administrative Assistant</t>
  </si>
  <si>
    <t>Civilian</t>
  </si>
  <si>
    <t>05/10/2023</t>
  </si>
  <si>
    <t/>
  </si>
  <si>
    <t/>
  </si>
  <si>
    <t>Ramirez</t>
  </si>
  <si>
    <t>Blanca</t>
  </si>
  <si>
    <t>Civic Center</t>
  </si>
  <si>
    <t>Events Attendant</t>
  </si>
  <si>
    <t>Civilian</t>
  </si>
  <si>
    <t>10/17/2016</t>
  </si>
  <si>
    <t>05/01/2023</t>
  </si>
  <si>
    <t>Martinez</t>
  </si>
  <si>
    <t>Joel</t>
  </si>
  <si>
    <t>Fleet Services</t>
  </si>
  <si>
    <t>Inventory &amp; Parts Clerk</t>
  </si>
  <si>
    <t>Civilian</t>
  </si>
  <si>
    <t>01/17/2023</t>
  </si>
  <si>
    <t/>
  </si>
  <si>
    <t/>
  </si>
  <si>
    <t>Delong</t>
  </si>
  <si>
    <t>Daniel</t>
  </si>
  <si>
    <t>Parks, Recreation, and Co</t>
  </si>
  <si>
    <t>Park Maintenance Technician</t>
  </si>
  <si>
    <t>Civilian</t>
  </si>
  <si>
    <t>03/13/2023</t>
  </si>
  <si>
    <t/>
  </si>
  <si>
    <t/>
  </si>
  <si>
    <t>Womack</t>
  </si>
  <si>
    <t>Isabel</t>
  </si>
  <si>
    <t>Inspections</t>
  </si>
  <si>
    <t>Permit Technician</t>
  </si>
  <si>
    <t>Civilian</t>
  </si>
  <si>
    <t>01/03/2023</t>
  </si>
  <si>
    <t>07/29/2023</t>
  </si>
  <si>
    <t>Jacoway</t>
  </si>
  <si>
    <t>Jeremy</t>
  </si>
  <si>
    <t>Parks, Recreation, and Co</t>
  </si>
  <si>
    <t>Park Maintenance Technician</t>
  </si>
  <si>
    <t>Civilian</t>
  </si>
  <si>
    <t>03/13/2023</t>
  </si>
  <si>
    <t/>
  </si>
  <si>
    <t/>
  </si>
  <si>
    <t>Dennis</t>
  </si>
  <si>
    <t>Brenda</t>
  </si>
  <si>
    <t>City Secretary Office</t>
  </si>
  <si>
    <t>City Secretary</t>
  </si>
  <si>
    <t>Civilian</t>
  </si>
  <si>
    <t>01/01/2008</t>
  </si>
  <si>
    <t>10/12/2022</t>
  </si>
  <si>
    <t>Woolston</t>
  </si>
  <si>
    <t>John</t>
  </si>
  <si>
    <t>Facility Services</t>
  </si>
  <si>
    <t>Facilities Manager</t>
  </si>
  <si>
    <t>Civilian</t>
  </si>
  <si>
    <t>08/30/2021</t>
  </si>
  <si>
    <t>01/17/2023</t>
  </si>
  <si>
    <t>Belfield</t>
  </si>
  <si>
    <t>LaTonji</t>
  </si>
  <si>
    <t>Police Department</t>
  </si>
  <si>
    <t>Police Records Specialist</t>
  </si>
  <si>
    <t>Civilian</t>
  </si>
  <si>
    <t>04/24/2023</t>
  </si>
  <si>
    <t/>
  </si>
  <si>
    <t/>
  </si>
  <si>
    <t>Southwell</t>
  </si>
  <si>
    <t>Mark</t>
  </si>
  <si>
    <t>EMS</t>
  </si>
  <si>
    <t>PT Paramedic ‐ Irregular</t>
  </si>
  <si>
    <t>Uniform</t>
  </si>
  <si>
    <t>01/03/2011</t>
  </si>
  <si>
    <t/>
  </si>
  <si>
    <t>PRN</t>
  </si>
  <si>
    <t/>
  </si>
  <si>
    <t>Pearson</t>
  </si>
  <si>
    <t>Jennifer</t>
  </si>
  <si>
    <t>Library</t>
  </si>
  <si>
    <t>Library Assistant</t>
  </si>
  <si>
    <t>Civilian</t>
  </si>
  <si>
    <t>06/27/2016</t>
  </si>
  <si>
    <t>04/08/2023</t>
  </si>
  <si>
    <t/>
  </si>
  <si>
    <t>Strong</t>
  </si>
  <si>
    <t>Samantha</t>
  </si>
  <si>
    <t>Utility Billing</t>
  </si>
  <si>
    <t>Utility Billing Specialist</t>
  </si>
  <si>
    <t>Civilian</t>
  </si>
  <si>
    <t>03/13/2023</t>
  </si>
  <si>
    <t/>
  </si>
  <si>
    <t/>
  </si>
  <si>
    <t/>
  </si>
  <si>
    <t>Lee</t>
  </si>
  <si>
    <t>Jesse</t>
  </si>
  <si>
    <t>Neighborhood Services</t>
  </si>
  <si>
    <t>Code Enforcement Officer</t>
  </si>
  <si>
    <t>Civilian</t>
  </si>
  <si>
    <t>04/24/2023</t>
  </si>
  <si>
    <t/>
  </si>
  <si>
    <t/>
  </si>
  <si>
    <t/>
  </si>
  <si>
    <t>Williams</t>
  </si>
  <si>
    <t>Suzanne</t>
  </si>
  <si>
    <t>Water/Wastewater Services</t>
  </si>
  <si>
    <t>Director of Public Works</t>
  </si>
  <si>
    <t>Civilian</t>
  </si>
  <si>
    <t>10/28/2019</t>
  </si>
  <si>
    <t>10/15/2022</t>
  </si>
  <si>
    <t>Moore</t>
  </si>
  <si>
    <t>Phillip</t>
  </si>
  <si>
    <t>Fire Department</t>
  </si>
  <si>
    <t>Firefighter</t>
  </si>
  <si>
    <t>Uniform</t>
  </si>
  <si>
    <t>06/19/2023</t>
  </si>
  <si>
    <t/>
  </si>
  <si>
    <t/>
  </si>
  <si>
    <t>Nauta</t>
  </si>
  <si>
    <t>Jesse</t>
  </si>
  <si>
    <t>Streets</t>
  </si>
  <si>
    <t>Street Maintenance Worker I</t>
  </si>
  <si>
    <t>Civilian</t>
  </si>
  <si>
    <t>03/28/2022</t>
  </si>
  <si>
    <t/>
  </si>
  <si>
    <t/>
  </si>
  <si>
    <t/>
  </si>
  <si>
    <t>Wilson</t>
  </si>
  <si>
    <t>Ethan</t>
  </si>
  <si>
    <t>Police Department</t>
  </si>
  <si>
    <t>Animal Services Technician</t>
  </si>
  <si>
    <t>Civilian</t>
  </si>
  <si>
    <t>03/28/2022</t>
  </si>
  <si>
    <t>04/05/2023</t>
  </si>
  <si>
    <t/>
  </si>
  <si>
    <t>Seiler</t>
  </si>
  <si>
    <t>Kirsten</t>
  </si>
  <si>
    <t>EMS</t>
  </si>
  <si>
    <t>Paramedic</t>
  </si>
  <si>
    <t>Uniform</t>
  </si>
  <si>
    <t>06/19/2023</t>
  </si>
  <si>
    <t/>
  </si>
  <si>
    <t/>
  </si>
  <si>
    <t/>
  </si>
  <si>
    <t>Rees‐Eissler</t>
  </si>
  <si>
    <t>Andru</t>
  </si>
  <si>
    <t>EMS</t>
  </si>
  <si>
    <t>Paramedic</t>
  </si>
  <si>
    <t>Uniform</t>
  </si>
  <si>
    <t>06/19/2023</t>
  </si>
  <si>
    <t/>
  </si>
  <si>
    <t/>
  </si>
  <si>
    <t/>
  </si>
  <si>
    <t>Michalec</t>
  </si>
  <si>
    <t>Joshua</t>
  </si>
  <si>
    <t>EMS</t>
  </si>
  <si>
    <t>PT EMT ‐ Irregular</t>
  </si>
  <si>
    <t>Uniform</t>
  </si>
  <si>
    <t>07/18/2022</t>
  </si>
  <si>
    <t>03/10/2023</t>
  </si>
  <si>
    <t>PRN</t>
  </si>
  <si>
    <t/>
  </si>
  <si>
    <t>McCosh</t>
  </si>
  <si>
    <t>Ryan</t>
  </si>
  <si>
    <t>Police Department</t>
  </si>
  <si>
    <t>Reserve Officer</t>
  </si>
  <si>
    <t>Uniform</t>
  </si>
  <si>
    <t>04/09/2012</t>
  </si>
  <si>
    <t/>
  </si>
  <si>
    <t/>
  </si>
  <si>
    <t/>
  </si>
  <si>
    <t>McClelland</t>
  </si>
  <si>
    <t>Scott</t>
  </si>
  <si>
    <t>Fleet Services</t>
  </si>
  <si>
    <t>Interim Public Works Director</t>
  </si>
  <si>
    <t>Civilian</t>
  </si>
  <si>
    <t>06/12/2017</t>
  </si>
  <si>
    <t>11/04/2022</t>
  </si>
  <si>
    <t/>
  </si>
  <si>
    <t>Rehfeld</t>
  </si>
  <si>
    <t>Ryan</t>
  </si>
  <si>
    <t>Water/Wastewater Services</t>
  </si>
  <si>
    <t>Service Worker I</t>
  </si>
  <si>
    <t>Civilian</t>
  </si>
  <si>
    <t>11/21/2022</t>
  </si>
  <si>
    <t>03/09/2023</t>
  </si>
  <si>
    <t/>
  </si>
  <si>
    <t>Nunez</t>
  </si>
  <si>
    <t>Venancio</t>
  </si>
  <si>
    <t>Information Technology</t>
  </si>
  <si>
    <t>IT Support Specialist</t>
  </si>
  <si>
    <t>Civilian</t>
  </si>
  <si>
    <t>06/05/2023</t>
  </si>
  <si>
    <t/>
  </si>
  <si>
    <t/>
  </si>
  <si>
    <t/>
  </si>
  <si>
    <t>Sears</t>
  </si>
  <si>
    <t>Brayton</t>
  </si>
  <si>
    <t>EMS</t>
  </si>
  <si>
    <t>EMT</t>
  </si>
  <si>
    <t>Uniform</t>
  </si>
  <si>
    <t>02/28/2022</t>
  </si>
  <si>
    <t>01/28/2023</t>
  </si>
  <si>
    <t/>
  </si>
  <si>
    <t>Tippett</t>
  </si>
  <si>
    <t>Christopher</t>
  </si>
  <si>
    <t>Fire Department</t>
  </si>
  <si>
    <t>Firefighter</t>
  </si>
  <si>
    <t>Uniform</t>
  </si>
  <si>
    <t>02/13/2023</t>
  </si>
  <si>
    <t>05/02/2023</t>
  </si>
  <si>
    <t/>
  </si>
  <si>
    <t>Schultz</t>
  </si>
  <si>
    <t>Tanner</t>
  </si>
  <si>
    <t>Fire Department</t>
  </si>
  <si>
    <t>Firefighter</t>
  </si>
  <si>
    <t>Uniform</t>
  </si>
  <si>
    <t>06/19/2023</t>
  </si>
  <si>
    <t/>
  </si>
  <si>
    <t/>
  </si>
  <si>
    <t/>
  </si>
  <si>
    <t>Garcia</t>
  </si>
  <si>
    <t>James</t>
  </si>
  <si>
    <t>EMS</t>
  </si>
  <si>
    <t>PT EMT ‐ Irregular</t>
  </si>
  <si>
    <t>Uniform</t>
  </si>
  <si>
    <t>03/15/2021</t>
  </si>
  <si>
    <t/>
  </si>
  <si>
    <t>PRN</t>
  </si>
  <si>
    <t/>
  </si>
  <si>
    <t/>
  </si>
  <si>
    <t>Patterson</t>
  </si>
  <si>
    <t>Angelica</t>
  </si>
  <si>
    <t>Police Department</t>
  </si>
  <si>
    <t>Administrative Assistant</t>
  </si>
  <si>
    <t>Civilian</t>
  </si>
  <si>
    <t>04/24/2023</t>
  </si>
  <si>
    <t/>
  </si>
  <si>
    <t/>
  </si>
  <si>
    <t/>
  </si>
  <si>
    <t>Graham</t>
  </si>
  <si>
    <t>David</t>
  </si>
  <si>
    <t>EMS</t>
  </si>
  <si>
    <t>Supply Coordinator (P/T)</t>
  </si>
  <si>
    <t>Uniform</t>
  </si>
  <si>
    <t>02/28/2022</t>
  </si>
  <si>
    <t/>
  </si>
  <si>
    <t/>
  </si>
  <si>
    <t/>
  </si>
  <si>
    <t>Moeller</t>
  </si>
  <si>
    <t>Casey</t>
  </si>
  <si>
    <t>Economic Development</t>
  </si>
  <si>
    <t>Business Engagement Manager</t>
  </si>
  <si>
    <t>Civilian</t>
  </si>
  <si>
    <t>12/20/2021</t>
  </si>
  <si>
    <t>12/23/2022</t>
  </si>
  <si>
    <t/>
  </si>
  <si>
    <t>Streton</t>
  </si>
  <si>
    <t>Pamela</t>
  </si>
  <si>
    <t>Library</t>
  </si>
  <si>
    <t>Library Assistant</t>
  </si>
  <si>
    <t>Civilian</t>
  </si>
  <si>
    <t>08/18/2007</t>
  </si>
  <si>
    <t/>
  </si>
  <si>
    <t/>
  </si>
  <si>
    <t/>
  </si>
  <si>
    <t>Garcia</t>
  </si>
  <si>
    <t>Brandon</t>
  </si>
  <si>
    <t>Civic Center</t>
  </si>
  <si>
    <t>Events Attendant</t>
  </si>
  <si>
    <t>Civilian</t>
  </si>
  <si>
    <t>06/20/2022</t>
  </si>
  <si>
    <t>07/10/2023</t>
  </si>
  <si>
    <t/>
  </si>
  <si>
    <t>Partington</t>
  </si>
  <si>
    <t>Judith</t>
  </si>
  <si>
    <t>Police Department</t>
  </si>
  <si>
    <t>Crossing Guard</t>
  </si>
  <si>
    <t>Civilian</t>
  </si>
  <si>
    <t>08/25/2017</t>
  </si>
  <si>
    <t/>
  </si>
  <si>
    <t>Seasonal</t>
  </si>
  <si>
    <t/>
  </si>
  <si>
    <t/>
  </si>
  <si>
    <t>Lopez</t>
  </si>
  <si>
    <t>Samuel</t>
  </si>
  <si>
    <t>Engineering</t>
  </si>
  <si>
    <t>Engineering Inspector</t>
  </si>
  <si>
    <t>Civilian</t>
  </si>
  <si>
    <t>07/31/2023</t>
  </si>
  <si>
    <t/>
  </si>
  <si>
    <t/>
  </si>
  <si>
    <t/>
  </si>
  <si>
    <t>Williams</t>
  </si>
  <si>
    <t>Anthony</t>
  </si>
  <si>
    <t>Fire Department</t>
  </si>
  <si>
    <t>Firefighter</t>
  </si>
  <si>
    <t>Uniform</t>
  </si>
  <si>
    <t>06/19/2023</t>
  </si>
  <si>
    <t/>
  </si>
  <si>
    <t/>
  </si>
  <si>
    <t/>
  </si>
  <si>
    <t>Kurczewski</t>
  </si>
  <si>
    <t>Pamela</t>
  </si>
  <si>
    <t>Library</t>
  </si>
  <si>
    <t>Library Assistant</t>
  </si>
  <si>
    <t>Civilian</t>
  </si>
  <si>
    <t>02/05/2018</t>
  </si>
  <si>
    <t/>
  </si>
  <si>
    <t/>
  </si>
  <si>
    <t/>
  </si>
  <si>
    <t>Norman</t>
  </si>
  <si>
    <t>Michelle</t>
  </si>
  <si>
    <t>Library</t>
  </si>
  <si>
    <t>Programming Specialist</t>
  </si>
  <si>
    <t>Civilian</t>
  </si>
  <si>
    <t>10/28/2013</t>
  </si>
  <si>
    <t/>
  </si>
  <si>
    <t/>
  </si>
  <si>
    <t/>
  </si>
  <si>
    <t>Wilson</t>
  </si>
  <si>
    <t>Antonio</t>
  </si>
  <si>
    <t>Facility Services</t>
  </si>
  <si>
    <t>HVAC Technician</t>
  </si>
  <si>
    <t>Civilian</t>
  </si>
  <si>
    <t>08/28/2023</t>
  </si>
  <si>
    <t/>
  </si>
  <si>
    <t/>
  </si>
  <si>
    <t>Fabela</t>
  </si>
  <si>
    <t>Jon</t>
  </si>
  <si>
    <t>Streets</t>
  </si>
  <si>
    <t>Street Maintenance Worker II</t>
  </si>
  <si>
    <t>Civilian</t>
  </si>
  <si>
    <t>11/21/2022</t>
  </si>
  <si>
    <t>04/13/2023</t>
  </si>
  <si>
    <t/>
  </si>
  <si>
    <t>Martinez</t>
  </si>
  <si>
    <t>Guadalupe</t>
  </si>
  <si>
    <t>Customer Relations/311</t>
  </si>
  <si>
    <t>Service Representative</t>
  </si>
  <si>
    <t>Civilian</t>
  </si>
  <si>
    <t>12/20/2021</t>
  </si>
  <si>
    <t/>
  </si>
  <si>
    <t/>
  </si>
  <si>
    <t/>
  </si>
  <si>
    <t>Machado</t>
  </si>
  <si>
    <t>Julio</t>
  </si>
  <si>
    <t>Library</t>
  </si>
  <si>
    <t>Library Assistant</t>
  </si>
  <si>
    <t>Civilian</t>
  </si>
  <si>
    <t>06/04/2018</t>
  </si>
  <si>
    <t/>
  </si>
  <si>
    <t/>
  </si>
  <si>
    <t/>
  </si>
  <si>
    <t>High</t>
  </si>
  <si>
    <t>Brandon</t>
  </si>
  <si>
    <t>Fire Department</t>
  </si>
  <si>
    <t>Emergency Management Coordinator</t>
  </si>
  <si>
    <t>Civilian</t>
  </si>
  <si>
    <t>07/17/2023</t>
  </si>
  <si>
    <t/>
  </si>
  <si>
    <t/>
  </si>
  <si>
    <t/>
  </si>
  <si>
    <t>Perez</t>
  </si>
  <si>
    <t>Tommy</t>
  </si>
  <si>
    <t>Utility Billing</t>
  </si>
  <si>
    <t>Senior Utility Billing Specialist</t>
  </si>
  <si>
    <t>Civilian</t>
  </si>
  <si>
    <t>06/05/2023</t>
  </si>
  <si>
    <t/>
  </si>
  <si>
    <t/>
  </si>
  <si>
    <t/>
  </si>
  <si>
    <t>Hudson</t>
  </si>
  <si>
    <t>Lila</t>
  </si>
  <si>
    <t>Library</t>
  </si>
  <si>
    <t>Library Assistant</t>
  </si>
  <si>
    <t>Civilian</t>
  </si>
  <si>
    <t>11/22/2021</t>
  </si>
  <si>
    <t/>
  </si>
  <si>
    <t/>
  </si>
  <si>
    <t/>
  </si>
  <si>
    <t>Shaw</t>
  </si>
  <si>
    <t>Ian</t>
  </si>
  <si>
    <t>EMS</t>
  </si>
  <si>
    <t>Paramedic</t>
  </si>
  <si>
    <t>Uniform</t>
  </si>
  <si>
    <t>07/18/2022</t>
  </si>
  <si>
    <t>11/26/2022</t>
  </si>
  <si>
    <t>Schindler</t>
  </si>
  <si>
    <t>Laurie</t>
  </si>
  <si>
    <t>Library</t>
  </si>
  <si>
    <t>Library Assistant</t>
  </si>
  <si>
    <t>Civilian</t>
  </si>
  <si>
    <t>08/30/2010</t>
  </si>
  <si>
    <t/>
  </si>
  <si>
    <t/>
  </si>
  <si>
    <t>Miranda</t>
  </si>
  <si>
    <t>Analyse</t>
  </si>
  <si>
    <t>Parks, Recreation, and Co</t>
  </si>
  <si>
    <t>Events Specialist</t>
  </si>
  <si>
    <t>Civilian</t>
  </si>
  <si>
    <t>01/04/2021</t>
  </si>
  <si>
    <t>01/07/2023</t>
  </si>
  <si>
    <t>Gaitan</t>
  </si>
  <si>
    <t>Roberto</t>
  </si>
  <si>
    <t>Civic Center</t>
  </si>
  <si>
    <t>Events Attendant</t>
  </si>
  <si>
    <t>Civilian</t>
  </si>
  <si>
    <t>05/22/2023</t>
  </si>
  <si>
    <t/>
  </si>
  <si>
    <t/>
  </si>
  <si>
    <t>Neuburger</t>
  </si>
  <si>
    <t>Lisa</t>
  </si>
  <si>
    <t>Library</t>
  </si>
  <si>
    <t>Library Assistant</t>
  </si>
  <si>
    <t>Civilian</t>
  </si>
  <si>
    <t>06/19/2003</t>
  </si>
  <si>
    <t>06/30/2023</t>
  </si>
  <si>
    <t>Hurst</t>
  </si>
  <si>
    <t>Melissa</t>
  </si>
  <si>
    <t>Police Department</t>
  </si>
  <si>
    <t>Civilian Evidence Technician</t>
  </si>
  <si>
    <t>Civilian</t>
  </si>
  <si>
    <t>01/03/2022</t>
  </si>
  <si>
    <t>12/21/2022</t>
  </si>
  <si>
    <t>Sanders</t>
  </si>
  <si>
    <t>Jeremy</t>
  </si>
  <si>
    <t>EMS</t>
  </si>
  <si>
    <t>PT Paramedic ‐ Irregular</t>
  </si>
  <si>
    <t>Uniform</t>
  </si>
  <si>
    <t>07/19/2021</t>
  </si>
  <si>
    <t/>
  </si>
  <si>
    <t>PRN</t>
  </si>
  <si>
    <t/>
  </si>
  <si>
    <t>Arroyo</t>
  </si>
  <si>
    <t>Richard</t>
  </si>
  <si>
    <t>Water/Wastewater Services</t>
  </si>
  <si>
    <t>Water/Wastewater Worker I</t>
  </si>
  <si>
    <t>Civilian</t>
  </si>
  <si>
    <t>07/31/2023</t>
  </si>
  <si>
    <t/>
  </si>
  <si>
    <t/>
  </si>
  <si>
    <t>Vargas</t>
  </si>
  <si>
    <t>Lauren</t>
  </si>
  <si>
    <t>Facility Services</t>
  </si>
  <si>
    <t>Apprentice Plumber</t>
  </si>
  <si>
    <t>Civilian</t>
  </si>
  <si>
    <t>07/31/2023</t>
  </si>
  <si>
    <t/>
  </si>
  <si>
    <t/>
  </si>
  <si>
    <t>McFarland</t>
  </si>
  <si>
    <t>Jerry</t>
  </si>
  <si>
    <t>Purchasing</t>
  </si>
  <si>
    <t>Purchasing Specialist</t>
  </si>
  <si>
    <t>Civilian</t>
  </si>
  <si>
    <t>10/29/2007</t>
  </si>
  <si>
    <t>12/07/2022</t>
  </si>
  <si>
    <t>Flores</t>
  </si>
  <si>
    <t>Garrett</t>
  </si>
  <si>
    <t>Water/Wastewater Services</t>
  </si>
  <si>
    <t>Water/Wastewater Worker I</t>
  </si>
  <si>
    <t>Civilian</t>
  </si>
  <si>
    <t>07/31/2023</t>
  </si>
  <si>
    <t/>
  </si>
  <si>
    <t/>
  </si>
  <si>
    <t>Kromer</t>
  </si>
  <si>
    <t>Nicole</t>
  </si>
  <si>
    <t>Parks, Recreation, and Co</t>
  </si>
  <si>
    <t>Park Maintenance Technician</t>
  </si>
  <si>
    <t>Civilian</t>
  </si>
  <si>
    <t>12/09/2019</t>
  </si>
  <si>
    <t>01/14/2023</t>
  </si>
  <si>
    <t>Friedrichs</t>
  </si>
  <si>
    <t>Warren</t>
  </si>
  <si>
    <t>EMS</t>
  </si>
  <si>
    <t>PT EMT ‐ Irregular</t>
  </si>
  <si>
    <t>Uniform</t>
  </si>
  <si>
    <t>04/15/2019</t>
  </si>
  <si>
    <t/>
  </si>
  <si>
    <t>PRN</t>
  </si>
  <si>
    <t/>
  </si>
  <si>
    <t>Hernandez</t>
  </si>
  <si>
    <t>Joe</t>
  </si>
  <si>
    <t>Fire Department</t>
  </si>
  <si>
    <t>Firefighter</t>
  </si>
  <si>
    <t>Uniform</t>
  </si>
  <si>
    <t>02/13/2023</t>
  </si>
  <si>
    <t>04/20/2023</t>
  </si>
  <si>
    <t>‐</t>
  </si>
  <si>
    <t>Arambula</t>
  </si>
  <si>
    <t>Bridget</t>
  </si>
  <si>
    <t>Police Department</t>
  </si>
  <si>
    <t>Police Records Specialist</t>
  </si>
  <si>
    <t>Civilian</t>
  </si>
  <si>
    <t>11/08/2021</t>
  </si>
  <si>
    <t>01/07/2023</t>
  </si>
  <si>
    <t>Wiegand</t>
  </si>
  <si>
    <t>Michelle</t>
  </si>
  <si>
    <t>Library</t>
  </si>
  <si>
    <t>Library Assistant</t>
  </si>
  <si>
    <t>Civilian</t>
  </si>
  <si>
    <t>11/08/2021</t>
  </si>
  <si>
    <t/>
  </si>
  <si>
    <t/>
  </si>
  <si>
    <t>Fleck</t>
  </si>
  <si>
    <t>Melissa</t>
  </si>
  <si>
    <t>Police Department</t>
  </si>
  <si>
    <t>Administrative Assistant</t>
  </si>
  <si>
    <t>Civilian</t>
  </si>
  <si>
    <t>01/22/2019</t>
  </si>
  <si>
    <t>12/31/2022</t>
  </si>
  <si>
    <t>Shapiro</t>
  </si>
  <si>
    <t>Daniella</t>
  </si>
  <si>
    <t>Police Department</t>
  </si>
  <si>
    <t>Animal Services Officer</t>
  </si>
  <si>
    <t>Civilian</t>
  </si>
  <si>
    <t>10/24/2022</t>
  </si>
  <si>
    <t>03/02/2023</t>
  </si>
  <si>
    <t>Koerner</t>
  </si>
  <si>
    <t>Michael</t>
  </si>
  <si>
    <t>EMS</t>
  </si>
  <si>
    <t>PT Paramedic ‐ Irregular</t>
  </si>
  <si>
    <t>Uniform</t>
  </si>
  <si>
    <t>03/15/2021</t>
  </si>
  <si>
    <t/>
  </si>
  <si>
    <t>PRN</t>
  </si>
  <si>
    <t/>
  </si>
  <si>
    <t>Pauly</t>
  </si>
  <si>
    <t>Hailey</t>
  </si>
  <si>
    <t>Police Department</t>
  </si>
  <si>
    <t>Animal Services Technician</t>
  </si>
  <si>
    <t>Civilian</t>
  </si>
  <si>
    <t>06/19/2023</t>
  </si>
  <si>
    <t>09/03/2023</t>
  </si>
  <si>
    <t>Calhoun</t>
  </si>
  <si>
    <t>Caitlyn</t>
  </si>
  <si>
    <t>Utility Billing</t>
  </si>
  <si>
    <t>Utility Billing Clerk</t>
  </si>
  <si>
    <t>Civilian</t>
  </si>
  <si>
    <t>02/14/2022</t>
  </si>
  <si>
    <t>01/05/2023</t>
  </si>
  <si>
    <t>Fahnert</t>
  </si>
  <si>
    <t>Henry</t>
  </si>
  <si>
    <t>Police Department</t>
  </si>
  <si>
    <t>Police Officer</t>
  </si>
  <si>
    <t>Uniform</t>
  </si>
  <si>
    <t>08/28/2023</t>
  </si>
  <si>
    <t/>
  </si>
  <si>
    <t/>
  </si>
  <si>
    <t>Borg</t>
  </si>
  <si>
    <t>Nina</t>
  </si>
  <si>
    <t>Police Department</t>
  </si>
  <si>
    <t>Crossing Guard</t>
  </si>
  <si>
    <t>Civilian</t>
  </si>
  <si>
    <t>08/20/2010</t>
  </si>
  <si>
    <t>07/26/2023</t>
  </si>
  <si>
    <t>Seasonal</t>
  </si>
  <si>
    <t>Tayloe</t>
  </si>
  <si>
    <t>Stephen</t>
  </si>
  <si>
    <t>Library</t>
  </si>
  <si>
    <t>Library Assistant</t>
  </si>
  <si>
    <t>Civilian</t>
  </si>
  <si>
    <t>10/31/2016</t>
  </si>
  <si>
    <t/>
  </si>
  <si>
    <t/>
  </si>
  <si>
    <t>Arce</t>
  </si>
  <si>
    <t>David</t>
  </si>
  <si>
    <t>Streets</t>
  </si>
  <si>
    <t>Street Maintenance Worker II</t>
  </si>
  <si>
    <t>Civilian</t>
  </si>
  <si>
    <t>08/14/2023</t>
  </si>
  <si>
    <t/>
  </si>
  <si>
    <t/>
  </si>
  <si>
    <t>Connell</t>
  </si>
  <si>
    <t>Taiya</t>
  </si>
  <si>
    <t>Police Department</t>
  </si>
  <si>
    <t>Public Safety Communications Officer</t>
  </si>
  <si>
    <t>Civilian</t>
  </si>
  <si>
    <t>08/28/2023</t>
  </si>
  <si>
    <t/>
  </si>
  <si>
    <t/>
  </si>
  <si>
    <t>Sams</t>
  </si>
  <si>
    <t>Samaria</t>
  </si>
  <si>
    <t>Library</t>
  </si>
  <si>
    <t>Library Assistant</t>
  </si>
  <si>
    <t>Civilian</t>
  </si>
  <si>
    <t>10/13/2020</t>
  </si>
  <si>
    <t/>
  </si>
  <si>
    <t/>
  </si>
  <si>
    <t>Rodriguez</t>
  </si>
  <si>
    <t>Paul</t>
  </si>
  <si>
    <t>Parks, Recreation, and Co</t>
  </si>
  <si>
    <t>Park Maintenance Technician</t>
  </si>
  <si>
    <t>Civilian</t>
  </si>
  <si>
    <t>05/23/2022</t>
  </si>
  <si>
    <t>05/01/2023</t>
  </si>
  <si>
    <t>Scherr</t>
  </si>
  <si>
    <t>Carah</t>
  </si>
  <si>
    <t>Library</t>
  </si>
  <si>
    <t>Library Assistant</t>
  </si>
  <si>
    <t>Civilian</t>
  </si>
  <si>
    <t>07/19/2021</t>
  </si>
  <si>
    <t>03/08/2023</t>
  </si>
  <si>
    <t>Stornelli</t>
  </si>
  <si>
    <t>Michael</t>
  </si>
  <si>
    <t>Parks, Recreation, and Co</t>
  </si>
  <si>
    <t>Park Maintenance Technician</t>
  </si>
  <si>
    <t>Civilian</t>
  </si>
  <si>
    <t>12/05/2022</t>
  </si>
  <si>
    <t>02/25/2023</t>
  </si>
  <si>
    <t>Williams</t>
  </si>
  <si>
    <t>Kimberly</t>
  </si>
  <si>
    <t>Police Department</t>
  </si>
  <si>
    <t>Crossing Guard</t>
  </si>
  <si>
    <t>Civilian</t>
  </si>
  <si>
    <t>01/07/2019</t>
  </si>
  <si>
    <t/>
  </si>
  <si>
    <t>Seasonal</t>
  </si>
  <si>
    <t/>
  </si>
  <si>
    <t>Villarreal</t>
  </si>
  <si>
    <t>Jennifer</t>
  </si>
  <si>
    <t>EMS</t>
  </si>
  <si>
    <t>Paramedic</t>
  </si>
  <si>
    <t>Uniform</t>
  </si>
  <si>
    <t>03/27/2023</t>
  </si>
  <si>
    <t/>
  </si>
  <si>
    <t>PRN</t>
  </si>
  <si>
    <t/>
  </si>
  <si>
    <t>Kock</t>
  </si>
  <si>
    <t>Jenna</t>
  </si>
  <si>
    <t>Public Affairs</t>
  </si>
  <si>
    <t>Marketing &amp; Communication Specialist</t>
  </si>
  <si>
    <t>Civilian</t>
  </si>
  <si>
    <t>08/28/2023</t>
  </si>
  <si>
    <t/>
  </si>
  <si>
    <t/>
  </si>
  <si>
    <t>Garcia</t>
  </si>
  <si>
    <t>David</t>
  </si>
  <si>
    <t>Neighborhood Services</t>
  </si>
  <si>
    <t>Code Enforcement Officer</t>
  </si>
  <si>
    <t>Civilian</t>
  </si>
  <si>
    <t>01/30/2023</t>
  </si>
  <si>
    <t>03/28/2023</t>
  </si>
  <si>
    <t>Trifilio</t>
  </si>
  <si>
    <t>Frank</t>
  </si>
  <si>
    <t>EMS</t>
  </si>
  <si>
    <t>PT EMT ‐ Irregular</t>
  </si>
  <si>
    <t>Uniform</t>
  </si>
  <si>
    <t>03/27/2017</t>
  </si>
  <si>
    <t/>
  </si>
  <si>
    <t>PRN</t>
  </si>
  <si>
    <t/>
  </si>
  <si>
    <t>Trujillo</t>
  </si>
  <si>
    <t>Sonia</t>
  </si>
  <si>
    <t>Library</t>
  </si>
  <si>
    <t>Library Assistant</t>
  </si>
  <si>
    <t>Civilian</t>
  </si>
  <si>
    <t>05/08/2023</t>
  </si>
  <si>
    <t>09/29/2023</t>
  </si>
  <si>
    <t>Forrest</t>
  </si>
  <si>
    <t>Dawn</t>
  </si>
  <si>
    <t>EMS</t>
  </si>
  <si>
    <t>PT Paramedic ‐ Irregular</t>
  </si>
  <si>
    <t>Uniform</t>
  </si>
  <si>
    <t>02/27/2023</t>
  </si>
  <si>
    <t>09/14/2023</t>
  </si>
  <si>
    <t>PRN</t>
  </si>
  <si>
    <t>Wheless</t>
  </si>
  <si>
    <t>Jessica</t>
  </si>
  <si>
    <t>Library</t>
  </si>
  <si>
    <t>Library Assistant</t>
  </si>
  <si>
    <t>Civilian</t>
  </si>
  <si>
    <t>05/19/2023</t>
  </si>
  <si>
    <t/>
  </si>
  <si>
    <t/>
  </si>
  <si>
    <t>Gonzalez</t>
  </si>
  <si>
    <t>Rolando</t>
  </si>
  <si>
    <t>EMS</t>
  </si>
  <si>
    <t>Paramedic</t>
  </si>
  <si>
    <t>Uniform</t>
  </si>
  <si>
    <t>06/19/2023</t>
  </si>
  <si>
    <t/>
  </si>
  <si>
    <t>PRN</t>
  </si>
  <si>
    <t/>
  </si>
  <si>
    <t>Gutierrez</t>
  </si>
  <si>
    <t>Rafael</t>
  </si>
  <si>
    <t>City Council</t>
  </si>
  <si>
    <t>Mayor</t>
  </si>
  <si>
    <t>Civilian</t>
  </si>
  <si>
    <t>11/21/2016</t>
  </si>
  <si>
    <t/>
  </si>
  <si>
    <t>N/A</t>
  </si>
  <si>
    <t/>
  </si>
  <si>
    <t>Morin</t>
  </si>
  <si>
    <t>Sarah</t>
  </si>
  <si>
    <t>Police Department</t>
  </si>
  <si>
    <t>PT Pub Saf Communications Officer ‐ Irr</t>
  </si>
  <si>
    <t>Civilian</t>
  </si>
  <si>
    <t>05/14/2018</t>
  </si>
  <si>
    <t/>
  </si>
  <si>
    <t>PRN</t>
  </si>
  <si>
    <t/>
  </si>
  <si>
    <t>Fielder</t>
  </si>
  <si>
    <t>Annaliese</t>
  </si>
  <si>
    <t>Fire Department</t>
  </si>
  <si>
    <t>Firefighter</t>
  </si>
  <si>
    <t>Uniform</t>
  </si>
  <si>
    <t>12/06/2021</t>
  </si>
  <si>
    <t>10/21/2022</t>
  </si>
  <si>
    <t>Corbin</t>
  </si>
  <si>
    <t>Michael</t>
  </si>
  <si>
    <t>Parks, Recreation, and Co</t>
  </si>
  <si>
    <t>Park Maintenance Technician</t>
  </si>
  <si>
    <t>Civilian</t>
  </si>
  <si>
    <t>06/19/2023</t>
  </si>
  <si>
    <t>09/26/2023</t>
  </si>
  <si>
    <t>Seasonal</t>
  </si>
  <si>
    <t>Staudt</t>
  </si>
  <si>
    <t>John</t>
  </si>
  <si>
    <t>Police Department</t>
  </si>
  <si>
    <t>Crossing Guard</t>
  </si>
  <si>
    <t>Civilian</t>
  </si>
  <si>
    <t>04/02/2018</t>
  </si>
  <si>
    <t/>
  </si>
  <si>
    <t>Seasonal</t>
  </si>
  <si>
    <t/>
  </si>
  <si>
    <t>Allen</t>
  </si>
  <si>
    <t>Elijah</t>
  </si>
  <si>
    <t>Streets</t>
  </si>
  <si>
    <t>Street Maintenance Worker I</t>
  </si>
  <si>
    <t>Civilian</t>
  </si>
  <si>
    <t>12/06/2021</t>
  </si>
  <si>
    <t>12/15/2022</t>
  </si>
  <si>
    <t>Ikea‐Moore</t>
  </si>
  <si>
    <t>Moore</t>
  </si>
  <si>
    <t>Police Department</t>
  </si>
  <si>
    <t>Crossing Guard</t>
  </si>
  <si>
    <t>Civilian</t>
  </si>
  <si>
    <t>08/02/2022</t>
  </si>
  <si>
    <t/>
  </si>
  <si>
    <t>Seasonal</t>
  </si>
  <si>
    <t/>
  </si>
  <si>
    <t>Saucier</t>
  </si>
  <si>
    <t>Matthew</t>
  </si>
  <si>
    <t>Library</t>
  </si>
  <si>
    <t>Library Assistant</t>
  </si>
  <si>
    <t>Civilian</t>
  </si>
  <si>
    <t>05/08/2023</t>
  </si>
  <si>
    <t>09/13/2023</t>
  </si>
  <si>
    <t>Wait</t>
  </si>
  <si>
    <t>Dudley</t>
  </si>
  <si>
    <t>EMS</t>
  </si>
  <si>
    <t>PT Paramedic ‐ Irregular</t>
  </si>
  <si>
    <t>Uniform</t>
  </si>
  <si>
    <t>06/11/2001</t>
  </si>
  <si>
    <t>06/11/2023PRN</t>
  </si>
  <si>
    <t/>
  </si>
  <si>
    <t>Clary</t>
  </si>
  <si>
    <t>James</t>
  </si>
  <si>
    <t>EMS</t>
  </si>
  <si>
    <t>PT Paramedic ‐ Irregular</t>
  </si>
  <si>
    <t>Uniform</t>
  </si>
  <si>
    <t>03/27/2023</t>
  </si>
  <si>
    <t/>
  </si>
  <si>
    <t>PRN</t>
  </si>
  <si>
    <t/>
  </si>
  <si>
    <t>Alfaro</t>
  </si>
  <si>
    <t>Sally</t>
  </si>
  <si>
    <t>Police Department</t>
  </si>
  <si>
    <t>Crossing Guard</t>
  </si>
  <si>
    <t>Civilian</t>
  </si>
  <si>
    <t>08/31/2020</t>
  </si>
  <si>
    <t/>
  </si>
  <si>
    <t>Seasonal</t>
  </si>
  <si>
    <t/>
  </si>
  <si>
    <t>Sibdhannie</t>
  </si>
  <si>
    <t>Annemarie</t>
  </si>
  <si>
    <t>Police Department</t>
  </si>
  <si>
    <t>Crossing Guard</t>
  </si>
  <si>
    <t>Civilian</t>
  </si>
  <si>
    <t>08/31/2020</t>
  </si>
  <si>
    <t/>
  </si>
  <si>
    <t>Seasonal</t>
  </si>
  <si>
    <t/>
  </si>
  <si>
    <t>Beecham</t>
  </si>
  <si>
    <t>Rashad</t>
  </si>
  <si>
    <t>Police Department</t>
  </si>
  <si>
    <t>Police Officer</t>
  </si>
  <si>
    <t>Uniform</t>
  </si>
  <si>
    <t>08/14/2023</t>
  </si>
  <si>
    <t/>
  </si>
  <si>
    <t>N/A</t>
  </si>
  <si>
    <t/>
  </si>
  <si>
    <t>Luna</t>
  </si>
  <si>
    <t>Cody</t>
  </si>
  <si>
    <t>Streets</t>
  </si>
  <si>
    <t>Street Maintenance Worker I</t>
  </si>
  <si>
    <t>Civilian</t>
  </si>
  <si>
    <t>07/31/2023</t>
  </si>
  <si>
    <t/>
  </si>
  <si>
    <t/>
  </si>
  <si>
    <t>Bates</t>
  </si>
  <si>
    <t>Benjamin</t>
  </si>
  <si>
    <t>Police Department</t>
  </si>
  <si>
    <t>Crossing Guard</t>
  </si>
  <si>
    <t>Civilian</t>
  </si>
  <si>
    <t>08/29/2022</t>
  </si>
  <si>
    <t/>
  </si>
  <si>
    <t>Seasonal</t>
  </si>
  <si>
    <t/>
  </si>
  <si>
    <t>Noussairi</t>
  </si>
  <si>
    <t>Ryan</t>
  </si>
  <si>
    <t>EMS</t>
  </si>
  <si>
    <t>PT EMT ‐ Irregular</t>
  </si>
  <si>
    <t>Uniform</t>
  </si>
  <si>
    <t>03/17/2021</t>
  </si>
  <si>
    <t/>
  </si>
  <si>
    <t>PRN</t>
  </si>
  <si>
    <t/>
  </si>
  <si>
    <t>Ennis</t>
  </si>
  <si>
    <t>Kasha</t>
  </si>
  <si>
    <t>Civic Center</t>
  </si>
  <si>
    <t>Events Attendant</t>
  </si>
  <si>
    <t>Civilian</t>
  </si>
  <si>
    <t>07/17/2023</t>
  </si>
  <si>
    <t/>
  </si>
  <si>
    <t/>
  </si>
  <si>
    <t>Waller</t>
  </si>
  <si>
    <t>William</t>
  </si>
  <si>
    <t>EMS</t>
  </si>
  <si>
    <t>PT Paramedic ‐ Irregular</t>
  </si>
  <si>
    <t>Uniform</t>
  </si>
  <si>
    <t>06/21/2023</t>
  </si>
  <si>
    <t/>
  </si>
  <si>
    <t>PRN</t>
  </si>
  <si>
    <t/>
  </si>
  <si>
    <t>Acevedo</t>
  </si>
  <si>
    <t>Isabel</t>
  </si>
  <si>
    <t>Police Department</t>
  </si>
  <si>
    <t>Crossing Guard</t>
  </si>
  <si>
    <t>Civilian</t>
  </si>
  <si>
    <t>01/07/2019</t>
  </si>
  <si>
    <t/>
  </si>
  <si>
    <t>Seasonal</t>
  </si>
  <si>
    <t/>
  </si>
  <si>
    <t>Brown</t>
  </si>
  <si>
    <t>Timothy</t>
  </si>
  <si>
    <t>City Council</t>
  </si>
  <si>
    <t>Council Member</t>
  </si>
  <si>
    <t>Civilian</t>
  </si>
  <si>
    <t>11/20/2018</t>
  </si>
  <si>
    <t/>
  </si>
  <si>
    <t>N/A</t>
  </si>
  <si>
    <t/>
  </si>
  <si>
    <t>Davis</t>
  </si>
  <si>
    <t>Mark</t>
  </si>
  <si>
    <t>City Council</t>
  </si>
  <si>
    <t>Council Member</t>
  </si>
  <si>
    <t>Civilian</t>
  </si>
  <si>
    <t>11/21/2016</t>
  </si>
  <si>
    <t/>
  </si>
  <si>
    <t>N/A</t>
  </si>
  <si>
    <t/>
  </si>
  <si>
    <t>Heyward</t>
  </si>
  <si>
    <t>Allison</t>
  </si>
  <si>
    <t>City Council</t>
  </si>
  <si>
    <t>Council Member</t>
  </si>
  <si>
    <t>Civilian</t>
  </si>
  <si>
    <t>11/20/2018</t>
  </si>
  <si>
    <t/>
  </si>
  <si>
    <t>N/A</t>
  </si>
  <si>
    <t/>
  </si>
  <si>
    <t>Dahle</t>
  </si>
  <si>
    <t>Michael</t>
  </si>
  <si>
    <t>City Council</t>
  </si>
  <si>
    <t>Council Member</t>
  </si>
  <si>
    <t>Civilian</t>
  </si>
  <si>
    <t>11/18/2019</t>
  </si>
  <si>
    <t/>
  </si>
  <si>
    <t>N/A</t>
  </si>
  <si>
    <t/>
  </si>
  <si>
    <t>Scagliola</t>
  </si>
  <si>
    <t>David</t>
  </si>
  <si>
    <t>City Council</t>
  </si>
  <si>
    <t>Council Member</t>
  </si>
  <si>
    <t>Civilian</t>
  </si>
  <si>
    <t>11/21/2017</t>
  </si>
  <si>
    <t/>
  </si>
  <si>
    <t>N/A</t>
  </si>
  <si>
    <t/>
  </si>
  <si>
    <t>Todd</t>
  </si>
  <si>
    <t>Elizabeth</t>
  </si>
  <si>
    <t>Police Department</t>
  </si>
  <si>
    <t>Crossing Guard</t>
  </si>
  <si>
    <t>Civilian</t>
  </si>
  <si>
    <t>09/13/2021</t>
  </si>
  <si>
    <t/>
  </si>
  <si>
    <t>Seasonal</t>
  </si>
  <si>
    <t/>
  </si>
  <si>
    <t>Gonzalez</t>
  </si>
  <si>
    <t>Carolina</t>
  </si>
  <si>
    <t>Police Department</t>
  </si>
  <si>
    <t>Crossing Guard</t>
  </si>
  <si>
    <t>Civilian</t>
  </si>
  <si>
    <t>02/22/2016</t>
  </si>
  <si>
    <t/>
  </si>
  <si>
    <t>Seasonal</t>
  </si>
  <si>
    <t/>
  </si>
  <si>
    <t>Whittaker</t>
  </si>
  <si>
    <t>Jill</t>
  </si>
  <si>
    <t>City Council</t>
  </si>
  <si>
    <t>Council Member</t>
  </si>
  <si>
    <t>Civilian</t>
  </si>
  <si>
    <t>11/16/2020</t>
  </si>
  <si>
    <t/>
  </si>
  <si>
    <t>N/A</t>
  </si>
  <si>
    <t/>
  </si>
  <si>
    <t>Davis</t>
  </si>
  <si>
    <t>Michael</t>
  </si>
  <si>
    <t>EMS</t>
  </si>
  <si>
    <t>PT Paramedic ‐ Irregular</t>
  </si>
  <si>
    <t>Uniform</t>
  </si>
  <si>
    <t>08/17/2009</t>
  </si>
  <si>
    <t/>
  </si>
  <si>
    <t>PRN</t>
  </si>
  <si>
    <t/>
  </si>
  <si>
    <t>Ferguson</t>
  </si>
  <si>
    <t>Ladonna</t>
  </si>
  <si>
    <t>Library</t>
  </si>
  <si>
    <t>Library Assistant</t>
  </si>
  <si>
    <t>Civilian</t>
  </si>
  <si>
    <t>06/04/2018</t>
  </si>
  <si>
    <t/>
  </si>
  <si>
    <t/>
  </si>
  <si>
    <t>Bilinski</t>
  </si>
  <si>
    <t>Steven</t>
  </si>
  <si>
    <t>Police Department</t>
  </si>
  <si>
    <t>Crossing Guard</t>
  </si>
  <si>
    <t>Civilian</t>
  </si>
  <si>
    <t>12/19/2022</t>
  </si>
  <si>
    <t/>
  </si>
  <si>
    <t>Seasonal</t>
  </si>
  <si>
    <t/>
  </si>
  <si>
    <t>Hernandez</t>
  </si>
  <si>
    <t>Debbie</t>
  </si>
  <si>
    <t>Police Department</t>
  </si>
  <si>
    <t>Crossing Guard</t>
  </si>
  <si>
    <t>Civilian</t>
  </si>
  <si>
    <t>08/02/2022</t>
  </si>
  <si>
    <t/>
  </si>
  <si>
    <t>Seasonal</t>
  </si>
  <si>
    <t/>
  </si>
  <si>
    <t>Ricker</t>
  </si>
  <si>
    <t>Brian</t>
  </si>
  <si>
    <t>Water/Wastewater Services</t>
  </si>
  <si>
    <t>Service Worker I</t>
  </si>
  <si>
    <t>Civilian</t>
  </si>
  <si>
    <t>03/28/2022</t>
  </si>
  <si>
    <t>10/15/2022</t>
  </si>
  <si>
    <t>Vaughn</t>
  </si>
  <si>
    <t>Jeffrey</t>
  </si>
  <si>
    <t>EMS</t>
  </si>
  <si>
    <t>PT Paramedic ‐ Irregular</t>
  </si>
  <si>
    <t>Uniform</t>
  </si>
  <si>
    <t>12/12/2006</t>
  </si>
  <si>
    <t/>
  </si>
  <si>
    <t>PRN</t>
  </si>
  <si>
    <t/>
  </si>
  <si>
    <t>Hebert</t>
  </si>
  <si>
    <t>Dana</t>
  </si>
  <si>
    <t>Police Department</t>
  </si>
  <si>
    <t>Crossing Guard</t>
  </si>
  <si>
    <t>Civilian</t>
  </si>
  <si>
    <t>11/13/2017</t>
  </si>
  <si>
    <t/>
  </si>
  <si>
    <t>Seasonal</t>
  </si>
  <si>
    <t/>
  </si>
  <si>
    <t>Martinez</t>
  </si>
  <si>
    <t>Max</t>
  </si>
  <si>
    <t>Parks, Recreation, and Co</t>
  </si>
  <si>
    <t>Park Maintenance Technician</t>
  </si>
  <si>
    <t>Civilian</t>
  </si>
  <si>
    <t>06/19/2023</t>
  </si>
  <si>
    <t>09/11/2023</t>
  </si>
  <si>
    <t>Seasonal</t>
  </si>
  <si>
    <t>Watson</t>
  </si>
  <si>
    <t>Michelle</t>
  </si>
  <si>
    <t>City Council</t>
  </si>
  <si>
    <t>Council Member</t>
  </si>
  <si>
    <t>Civilian</t>
  </si>
  <si>
    <t>01/17/2023</t>
  </si>
  <si>
    <t/>
  </si>
  <si>
    <t>N/A</t>
  </si>
  <si>
    <t/>
  </si>
  <si>
    <t>Klopp</t>
  </si>
  <si>
    <t>Erica</t>
  </si>
  <si>
    <t>Police Department</t>
  </si>
  <si>
    <t>Crossing Guard</t>
  </si>
  <si>
    <t>Civilian</t>
  </si>
  <si>
    <t>04/24/2023</t>
  </si>
  <si>
    <t/>
  </si>
  <si>
    <t>Seasonal</t>
  </si>
  <si>
    <t/>
  </si>
  <si>
    <t>Calame</t>
  </si>
  <si>
    <t>Scott</t>
  </si>
  <si>
    <t>EMS</t>
  </si>
  <si>
    <t>PT EMT ‐ Irregular</t>
  </si>
  <si>
    <t>Uniform</t>
  </si>
  <si>
    <t>02/28/2022</t>
  </si>
  <si>
    <t>01/31/2023</t>
  </si>
  <si>
    <t>PRN</t>
  </si>
  <si>
    <t>Mangrum</t>
  </si>
  <si>
    <t>James</t>
  </si>
  <si>
    <t>EMS</t>
  </si>
  <si>
    <t>PT Paramedic ‐ Irregular</t>
  </si>
  <si>
    <t>Uniform</t>
  </si>
  <si>
    <t>05/30/2017</t>
  </si>
  <si>
    <t>06/29/2023</t>
  </si>
  <si>
    <t>PRN</t>
  </si>
  <si>
    <t>Gentry</t>
  </si>
  <si>
    <t>Abigail</t>
  </si>
  <si>
    <t>EMS</t>
  </si>
  <si>
    <t>PT EMT ‐ Irregular</t>
  </si>
  <si>
    <t>Uniform</t>
  </si>
  <si>
    <t>07/18/2022</t>
  </si>
  <si>
    <t>10/25/2022</t>
  </si>
  <si>
    <t/>
  </si>
  <si>
    <t/>
  </si>
  <si>
    <t>Cherry</t>
  </si>
  <si>
    <t>Michelle</t>
  </si>
  <si>
    <t>Inspections</t>
  </si>
  <si>
    <t>Permit Technician</t>
  </si>
  <si>
    <t>Civilian</t>
  </si>
  <si>
    <t>09/18/2023</t>
  </si>
  <si>
    <t/>
  </si>
  <si>
    <t/>
  </si>
  <si>
    <t/>
  </si>
  <si>
    <t>Timke</t>
  </si>
  <si>
    <t>Christina</t>
  </si>
  <si>
    <t>Inspections</t>
  </si>
  <si>
    <t>Permit Technician</t>
  </si>
  <si>
    <t>Civilian</t>
  </si>
  <si>
    <t>09/18/2023</t>
  </si>
  <si>
    <t/>
  </si>
  <si>
    <t/>
  </si>
  <si>
    <t/>
  </si>
  <si>
    <t>Badraun</t>
  </si>
  <si>
    <t>Nichole</t>
  </si>
  <si>
    <t>Library</t>
  </si>
  <si>
    <t>Programming Specialist</t>
  </si>
  <si>
    <t>Civilian</t>
  </si>
  <si>
    <t>09/11/2023</t>
  </si>
  <si>
    <t/>
  </si>
  <si>
    <t/>
  </si>
  <si>
    <t/>
  </si>
  <si>
    <t>Hirshberg</t>
  </si>
  <si>
    <t>Sidney</t>
  </si>
  <si>
    <t>EMS</t>
  </si>
  <si>
    <t>PT Paramedic ‐ Irregular</t>
  </si>
  <si>
    <t>Uniform</t>
  </si>
  <si>
    <t>06/13/2006</t>
  </si>
  <si>
    <t>06/01/2023</t>
  </si>
  <si>
    <t>PRN</t>
  </si>
  <si>
    <t>‐</t>
  </si>
  <si>
    <t>Guerra</t>
  </si>
  <si>
    <t>Olga</t>
  </si>
  <si>
    <t>Police Department</t>
  </si>
  <si>
    <t>Crossing Guard</t>
  </si>
  <si>
    <t>Civilian</t>
  </si>
  <si>
    <t>09/05/2023</t>
  </si>
  <si>
    <t>09/22/2023</t>
  </si>
  <si>
    <t>Seasonal</t>
  </si>
  <si>
    <t>‐</t>
  </si>
  <si>
    <t>Chenique</t>
  </si>
  <si>
    <t>Tiana</t>
  </si>
  <si>
    <t>Police Department</t>
  </si>
  <si>
    <t>Crossing Guard</t>
  </si>
  <si>
    <t>Civilian</t>
  </si>
  <si>
    <t>12/19/2022</t>
  </si>
  <si>
    <t>01/07/2023</t>
  </si>
  <si>
    <t>Seasonal</t>
  </si>
  <si>
    <t>‐</t>
  </si>
  <si>
    <t>Crenshaw</t>
  </si>
  <si>
    <t>Catherine</t>
  </si>
  <si>
    <t>Police Department</t>
  </si>
  <si>
    <t>Crossing Guard</t>
  </si>
  <si>
    <t>Civilian</t>
  </si>
  <si>
    <t>09/08/2020</t>
  </si>
  <si>
    <t/>
  </si>
  <si>
    <t>Seasonal</t>
  </si>
  <si>
    <t/>
  </si>
  <si>
    <t/>
  </si>
  <si>
    <t/>
  </si>
  <si>
    <t/>
  </si>
  <si>
    <t/>
  </si>
  <si>
    <t>Compensation Endnotes</t>
  </si>
  <si>
    <t>1 Annual Salary reflects what the employee's current base salary would be for a year based on the position held at September 30, 2023.</t>
  </si>
  <si>
    <t xml:space="preserve">2 Leave Payout reflects accrued leave sold back to the City upon separation. </t>
  </si>
  <si>
    <t>3 Regular Earnings reflects the regular salary the employee actually earned during the fiscal year regardless of position held. It is possible with position changes, 
length of time with the City, etc. that an employee's Base Pay will not equal their Annual Salary.</t>
  </si>
  <si>
    <t>4 Overtime Earnings. Includes scheduled and non-scheduled OT for Fire and EMS. Reflects 7(k) exemption (FLSA) for Fire.</t>
  </si>
  <si>
    <t>5 Additional Earnings reflects various incentives paid to City employees based on their job position and education level. Incentives include but are not limited to 
certification pay, education pay, longevity, allowances, on-call pay, wellness, and holiday pay (worked).</t>
  </si>
  <si>
    <t>6 TIFMAS Deployments (Fire only). 100% reimbursable by the state.</t>
  </si>
  <si>
    <t xml:space="preserve">7 Total Earnings reflects the total pay employees received between October 1st and September 30th. Sum of Leave Payout, Regular Earnings, Overtime Earnings, </t>
  </si>
  <si>
    <t>Additional Earnings, Deployment Earnings and Arbitration/Settlements.</t>
  </si>
  <si>
    <t>8 Additional Benefits are incremental costs incurred by the City of behalf of employees to include the employer's share of FICA/Medicare, TMRS [Pension], healthcare 
premiums, and other related fringe provided to employees</t>
  </si>
  <si>
    <t>9 Total Compensation reflects the total cost the City incurred for the employee's services received between October 1st and September 30th.</t>
  </si>
  <si>
    <r>
      <rPr>
        <b/>
        <u/>
        <sz val="12"/>
        <rFont val="Calibri"/>
        <family val="2"/>
      </rPr>
      <t>FY23
ANNUAL</t>
    </r>
    <r>
      <rPr>
        <b/>
        <sz val="12"/>
        <rFont val="Calibri"/>
        <family val="2"/>
      </rPr>
      <t xml:space="preserve">
SALARY</t>
    </r>
    <r>
      <rPr>
        <b/>
        <vertAlign val="superscript"/>
        <sz val="12"/>
        <rFont val="Calibri"/>
        <family val="2"/>
      </rPr>
      <t>1</t>
    </r>
  </si>
  <si>
    <r>
      <rPr>
        <b/>
        <u/>
        <sz val="12"/>
        <rFont val="Calibri"/>
        <family val="2"/>
      </rPr>
      <t>FY23
LEAVE</t>
    </r>
    <r>
      <rPr>
        <b/>
        <sz val="12"/>
        <rFont val="Calibri"/>
        <family val="2"/>
      </rPr>
      <t xml:space="preserve">
PAYOUT</t>
    </r>
    <r>
      <rPr>
        <b/>
        <vertAlign val="superscript"/>
        <sz val="12"/>
        <rFont val="Calibri"/>
        <family val="2"/>
      </rPr>
      <t>2</t>
    </r>
  </si>
  <si>
    <r>
      <rPr>
        <b/>
        <sz val="12"/>
        <rFont val="Calibri"/>
        <family val="2"/>
      </rPr>
      <t>FY23 
REGULAR 
EARNINGS</t>
    </r>
    <r>
      <rPr>
        <b/>
        <vertAlign val="superscript"/>
        <sz val="12"/>
        <rFont val="Calibri"/>
        <family val="2"/>
      </rPr>
      <t>3</t>
    </r>
  </si>
  <si>
    <r>
      <rPr>
        <b/>
        <u/>
        <sz val="12"/>
        <rFont val="Calibri"/>
        <family val="2"/>
      </rPr>
      <t>FY23
OVERTIME</t>
    </r>
    <r>
      <rPr>
        <b/>
        <sz val="12"/>
        <rFont val="Calibri"/>
        <family val="2"/>
      </rPr>
      <t xml:space="preserve">
EARNINGS</t>
    </r>
    <r>
      <rPr>
        <b/>
        <vertAlign val="superscript"/>
        <sz val="12"/>
        <rFont val="Calibri"/>
        <family val="2"/>
      </rPr>
      <t>4</t>
    </r>
  </si>
  <si>
    <r>
      <rPr>
        <b/>
        <u/>
        <sz val="12"/>
        <rFont val="Calibri"/>
        <family val="2"/>
      </rPr>
      <t>FY23
ADDITIONAL</t>
    </r>
    <r>
      <rPr>
        <b/>
        <sz val="12"/>
        <rFont val="Calibri"/>
        <family val="2"/>
      </rPr>
      <t xml:space="preserve">
EARNINGS</t>
    </r>
    <r>
      <rPr>
        <b/>
        <vertAlign val="superscript"/>
        <sz val="12"/>
        <rFont val="Calibri"/>
        <family val="2"/>
      </rPr>
      <t>5</t>
    </r>
  </si>
  <si>
    <r>
      <rPr>
        <b/>
        <u/>
        <sz val="12"/>
        <rFont val="Calibri"/>
        <family val="2"/>
      </rPr>
      <t>FY23
DEPLOYMENT</t>
    </r>
    <r>
      <rPr>
        <b/>
        <sz val="12"/>
        <rFont val="Calibri"/>
        <family val="2"/>
      </rPr>
      <t xml:space="preserve">
EARNINGS</t>
    </r>
    <r>
      <rPr>
        <b/>
        <vertAlign val="superscript"/>
        <sz val="12"/>
        <rFont val="Calibri"/>
        <family val="2"/>
      </rPr>
      <t>6</t>
    </r>
  </si>
  <si>
    <r>
      <rPr>
        <b/>
        <u/>
        <sz val="12"/>
        <rFont val="Calibri"/>
        <family val="2"/>
      </rPr>
      <t>FY23</t>
    </r>
    <r>
      <rPr>
        <b/>
        <sz val="12"/>
        <rFont val="Calibri"/>
        <family val="2"/>
      </rPr>
      <t xml:space="preserve">
TOTAL 
EARNINGS</t>
    </r>
    <r>
      <rPr>
        <b/>
        <vertAlign val="superscript"/>
        <sz val="12"/>
        <rFont val="Calibri"/>
        <family val="2"/>
      </rPr>
      <t>7</t>
    </r>
  </si>
  <si>
    <r>
      <rPr>
        <b/>
        <sz val="12"/>
        <rFont val="Calibri"/>
        <family val="2"/>
      </rPr>
      <t>FY23 </t>
    </r>
    <r>
      <rPr>
        <b/>
        <u/>
        <sz val="12"/>
        <rFont val="Calibri"/>
        <family val="2"/>
      </rPr>
      <t xml:space="preserve">
ADDITIONAL</t>
    </r>
    <r>
      <rPr>
        <b/>
        <sz val="12"/>
        <rFont val="Calibri"/>
        <family val="2"/>
      </rPr>
      <t xml:space="preserve">
BENEFITS</t>
    </r>
    <r>
      <rPr>
        <b/>
        <vertAlign val="superscript"/>
        <sz val="12"/>
        <rFont val="Calibri"/>
        <family val="2"/>
      </rPr>
      <t>8</t>
    </r>
  </si>
  <si>
    <r>
      <rPr>
        <b/>
        <u/>
        <sz val="12"/>
        <rFont val="Calibri"/>
        <family val="2"/>
      </rPr>
      <t>FY23</t>
    </r>
    <r>
      <rPr>
        <b/>
        <sz val="12"/>
        <rFont val="Calibri"/>
        <family val="2"/>
      </rPr>
      <t xml:space="preserve">
TOTAL 
COMPENSATION</t>
    </r>
    <r>
      <rPr>
        <b/>
        <vertAlign val="superscript"/>
        <sz val="12"/>
        <rFont val="Calibri"/>
        <family val="2"/>
      </rPr>
      <t>9</t>
    </r>
  </si>
  <si>
    <t>recalc</t>
  </si>
  <si>
    <t>diff</t>
  </si>
  <si>
    <t>FY23 
REGULAR 
EARNINGS</t>
  </si>
  <si>
    <r>
      <rPr>
        <b/>
        <u/>
        <sz val="12"/>
        <rFont val="Calibri"/>
        <family val="2"/>
      </rPr>
      <t>FY23
ANNUAL</t>
    </r>
    <r>
      <rPr>
        <b/>
        <sz val="12"/>
        <rFont val="Calibri"/>
        <family val="2"/>
      </rPr>
      <t xml:space="preserve">
SALARY</t>
    </r>
  </si>
  <si>
    <r>
      <rPr>
        <b/>
        <u/>
        <sz val="12"/>
        <rFont val="Calibri"/>
        <family val="2"/>
      </rPr>
      <t>FY23
LEAVE</t>
    </r>
    <r>
      <rPr>
        <b/>
        <sz val="12"/>
        <rFont val="Calibri"/>
        <family val="2"/>
      </rPr>
      <t xml:space="preserve">
PAYOUT</t>
    </r>
  </si>
  <si>
    <r>
      <rPr>
        <b/>
        <u/>
        <sz val="12"/>
        <rFont val="Calibri"/>
        <family val="2"/>
      </rPr>
      <t>FY23
OVERTIME</t>
    </r>
    <r>
      <rPr>
        <b/>
        <sz val="12"/>
        <rFont val="Calibri"/>
        <family val="2"/>
      </rPr>
      <t xml:space="preserve">
EARNINGS</t>
    </r>
  </si>
  <si>
    <r>
      <rPr>
        <b/>
        <u/>
        <sz val="12"/>
        <rFont val="Calibri"/>
        <family val="2"/>
      </rPr>
      <t>FY23
ADDITIONAL</t>
    </r>
    <r>
      <rPr>
        <b/>
        <sz val="12"/>
        <rFont val="Calibri"/>
        <family val="2"/>
      </rPr>
      <t xml:space="preserve">
EARNINGS</t>
    </r>
  </si>
  <si>
    <r>
      <rPr>
        <b/>
        <u/>
        <sz val="12"/>
        <rFont val="Calibri"/>
        <family val="2"/>
      </rPr>
      <t>FY23
DEPLOYMENT</t>
    </r>
    <r>
      <rPr>
        <b/>
        <sz val="12"/>
        <rFont val="Calibri"/>
        <family val="2"/>
      </rPr>
      <t xml:space="preserve">
EARNINGS</t>
    </r>
  </si>
  <si>
    <r>
      <rPr>
        <b/>
        <sz val="12"/>
        <rFont val="Calibri"/>
        <family val="2"/>
      </rPr>
      <t>FY23 </t>
    </r>
    <r>
      <rPr>
        <b/>
        <u/>
        <sz val="12"/>
        <rFont val="Calibri"/>
        <family val="2"/>
      </rPr>
      <t xml:space="preserve">
ADDITIONAL</t>
    </r>
    <r>
      <rPr>
        <b/>
        <sz val="12"/>
        <rFont val="Calibri"/>
        <family val="2"/>
      </rPr>
      <t xml:space="preserve">
BENEFITS</t>
    </r>
  </si>
  <si>
    <r>
      <rPr>
        <b/>
        <u/>
        <sz val="12"/>
        <rFont val="Calibri"/>
        <family val="2"/>
      </rPr>
      <t>FY23</t>
    </r>
    <r>
      <rPr>
        <b/>
        <sz val="12"/>
        <rFont val="Calibri"/>
        <family val="2"/>
      </rPr>
      <t xml:space="preserve">
TOTAL 
COMPENSATION</t>
    </r>
  </si>
  <si>
    <r>
      <rPr>
        <b/>
        <u/>
        <sz val="12"/>
        <rFont val="Calibri"/>
        <family val="2"/>
      </rPr>
      <t>FY23</t>
    </r>
    <r>
      <rPr>
        <b/>
        <sz val="12"/>
        <rFont val="Calibri"/>
        <family val="2"/>
      </rPr>
      <t xml:space="preserve">
TOTAL 
EARNINGS</t>
    </r>
  </si>
  <si>
    <r>
      <t>FY23</t>
    </r>
    <r>
      <rPr>
        <b/>
        <sz val="12"/>
        <rFont val="Calibri"/>
        <family val="2"/>
      </rPr>
      <t xml:space="preserve">
TOTAL 
EARNINGS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</si>
</sst>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name val="Calibri"/>
      <family val="2"/>
    </font>
    <font>
      <sz val="12"/>
      <name val="Calibri"/>
      <family val="2"/>
    </font>
    <font>
      <sz val="11"/>
      <name val="Calibri"/>
      <family val="2"/>
    </font>
    <font>
      <b/>
      <sz val="12"/>
      <name val="Calibri"/>
      <family val="2"/>
    </font>
    <font>
      <b/>
      <u/>
      <sz val="12"/>
      <color rgb="FF0000FF"/>
      <name val="Calibri"/>
      <family val="2"/>
    </font>
    <font>
      <b/>
      <u/>
      <sz val="12"/>
      <name val="Calibri"/>
      <family val="2"/>
    </font>
    <font>
      <b/>
      <vertAlign val="superscript"/>
      <sz val="12"/>
      <name val="Calibri"/>
      <family val="2"/>
    </font>
    <font>
      <b/>
      <sz val="12"/>
      <color rgb="FF0000FF"/>
      <name val="Calibri"/>
      <family val="2"/>
    </font>
    <font>
      <b/>
      <sz val="12"/>
      <color rgb="FFFF0000"/>
      <name val="Calibri"/>
      <family val="2"/>
    </font>
    <font>
      <sz val="12"/>
      <name val="Times New Roman"/>
      <family val="2"/>
    </font>
    <font>
      <sz val="18"/>
      <name val="Arial"/>
      <family val="2"/>
    </font>
    <font>
      <sz val="18"/>
      <name val="Calibri"/>
      <family val="2"/>
    </font>
    <font>
      <b/>
      <u/>
      <sz val="18"/>
      <name val="Calibri"/>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7">
    <xf numFmtId="0" fontId="0" fillId="0" borderId="0" xfId="0" applyAlignment="1">
      <alignment horizontal="left"/>
    </xf>
    <xf numFmtId="0" fontId="1" fillId="0" borderId="0" xfId="0" applyFont="1" applyAlignment="1">
      <alignment horizontal="left"/>
    </xf>
    <xf numFmtId="0" fontId="3" fillId="0" borderId="1"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right" wrapText="1"/>
    </xf>
    <xf numFmtId="0" fontId="4" fillId="0" borderId="1" xfId="0" applyFont="1" applyBorder="1" applyAlignment="1">
      <alignment horizontal="center" wrapText="1"/>
    </xf>
    <xf numFmtId="0" fontId="7" fillId="0" borderId="1" xfId="0" applyFont="1" applyBorder="1" applyAlignment="1">
      <alignment horizontal="center" wrapText="1"/>
    </xf>
    <xf numFmtId="0" fontId="4" fillId="0" borderId="2" xfId="0" applyFont="1" applyBorder="1" applyAlignment="1">
      <alignment horizontal="center" wrapText="1"/>
    </xf>
    <xf numFmtId="0" fontId="3" fillId="0" borderId="11" xfId="0" applyFont="1" applyBorder="1" applyAlignment="1">
      <alignment horizontal="right" wrapText="1"/>
    </xf>
    <xf numFmtId="0" fontId="8" fillId="0" borderId="1" xfId="0" applyFont="1" applyBorder="1" applyAlignment="1">
      <alignment horizontal="center" wrapText="1"/>
    </xf>
    <xf numFmtId="0" fontId="1" fillId="0" borderId="3" xfId="0" applyFont="1" applyBorder="1" applyAlignment="1">
      <alignment horizontal="left"/>
    </xf>
    <xf numFmtId="0" fontId="1" fillId="0" borderId="3" xfId="0" applyFont="1" applyBorder="1" applyAlignment="1">
      <alignment horizontal="center"/>
    </xf>
    <xf numFmtId="14" fontId="1" fillId="0" borderId="3" xfId="0" applyNumberFormat="1" applyFont="1" applyBorder="1" applyAlignment="1">
      <alignment horizontal="left"/>
    </xf>
    <xf numFmtId="14" fontId="9" fillId="0" borderId="3" xfId="0" applyNumberFormat="1" applyFont="1" applyBorder="1" applyAlignment="1">
      <alignment horizontal="left"/>
    </xf>
    <xf numFmtId="43" fontId="1" fillId="0" borderId="3" xfId="1" applyFont="1" applyBorder="1" applyAlignment="1">
      <alignment horizontal="center"/>
    </xf>
    <xf numFmtId="43" fontId="9" fillId="0" borderId="3" xfId="1" applyFont="1" applyBorder="1" applyAlignment="1">
      <alignment horizontal="center"/>
    </xf>
    <xf numFmtId="43" fontId="1" fillId="0" borderId="3" xfId="1" applyFont="1" applyBorder="1" applyAlignment="1">
      <alignment horizontal="left"/>
    </xf>
    <xf numFmtId="43" fontId="1" fillId="0" borderId="4" xfId="1" applyFont="1" applyBorder="1" applyAlignment="1">
      <alignment horizontal="left"/>
    </xf>
    <xf numFmtId="43" fontId="1" fillId="0" borderId="6" xfId="1" applyFont="1" applyBorder="1" applyAlignment="1">
      <alignment horizontal="left"/>
    </xf>
    <xf numFmtId="43" fontId="1" fillId="0" borderId="5" xfId="1" applyFont="1" applyBorder="1" applyAlignment="1">
      <alignment horizontal="center"/>
    </xf>
    <xf numFmtId="43" fontId="1" fillId="0" borderId="3" xfId="1" applyFont="1" applyBorder="1" applyAlignment="1">
      <alignment horizontal="right"/>
    </xf>
    <xf numFmtId="0" fontId="1" fillId="0" borderId="6" xfId="0" applyFont="1" applyBorder="1" applyAlignment="1">
      <alignment horizontal="left"/>
    </xf>
    <xf numFmtId="0" fontId="1" fillId="0" borderId="6" xfId="0" applyFont="1" applyBorder="1" applyAlignment="1">
      <alignment horizontal="center"/>
    </xf>
    <xf numFmtId="14" fontId="1" fillId="0" borderId="6" xfId="0" applyNumberFormat="1" applyFont="1" applyBorder="1" applyAlignment="1">
      <alignment horizontal="left"/>
    </xf>
    <xf numFmtId="14" fontId="9" fillId="0" borderId="6" xfId="0" applyNumberFormat="1" applyFont="1" applyBorder="1" applyAlignment="1">
      <alignment horizontal="left"/>
    </xf>
    <xf numFmtId="43" fontId="1" fillId="0" borderId="6" xfId="1" applyFont="1" applyBorder="1" applyAlignment="1">
      <alignment horizontal="center"/>
    </xf>
    <xf numFmtId="43" fontId="9" fillId="0" borderId="6" xfId="1" applyFont="1" applyBorder="1" applyAlignment="1">
      <alignment horizontal="center"/>
    </xf>
    <xf numFmtId="43" fontId="1" fillId="0" borderId="7" xfId="1" applyFont="1" applyBorder="1" applyAlignment="1">
      <alignment horizontal="left"/>
    </xf>
    <xf numFmtId="43" fontId="1" fillId="0" borderId="6" xfId="1" applyFont="1" applyBorder="1" applyAlignment="1">
      <alignment horizontal="right"/>
    </xf>
    <xf numFmtId="43" fontId="1" fillId="0" borderId="9" xfId="1" applyFont="1" applyBorder="1" applyAlignment="1">
      <alignment horizontal="left"/>
    </xf>
    <xf numFmtId="43" fontId="1" fillId="0" borderId="8" xfId="1" applyFont="1" applyBorder="1" applyAlignment="1">
      <alignment horizontal="right"/>
    </xf>
    <xf numFmtId="43" fontId="1" fillId="0" borderId="7" xfId="1" applyFont="1" applyBorder="1" applyAlignment="1">
      <alignment horizontal="right"/>
    </xf>
    <xf numFmtId="14" fontId="9" fillId="0" borderId="3" xfId="0" applyNumberFormat="1" applyFont="1" applyBorder="1" applyAlignment="1">
      <alignment horizontal="center"/>
    </xf>
    <xf numFmtId="14" fontId="9" fillId="0" borderId="6" xfId="0" applyNumberFormat="1" applyFont="1" applyBorder="1" applyAlignment="1">
      <alignment horizontal="center"/>
    </xf>
    <xf numFmtId="14" fontId="1" fillId="0" borderId="6" xfId="0" applyNumberFormat="1" applyFont="1" applyBorder="1" applyAlignment="1">
      <alignment horizontal="center"/>
    </xf>
    <xf numFmtId="14" fontId="1" fillId="0" borderId="3" xfId="0" applyNumberFormat="1" applyFont="1" applyBorder="1" applyAlignment="1">
      <alignment horizontal="center"/>
    </xf>
    <xf numFmtId="43" fontId="1" fillId="0" borderId="4" xfId="1" applyFont="1" applyBorder="1" applyAlignment="1">
      <alignment horizontal="center"/>
    </xf>
    <xf numFmtId="43" fontId="1" fillId="0" borderId="10" xfId="1" applyFont="1" applyBorder="1" applyAlignment="1">
      <alignment horizontal="left"/>
    </xf>
    <xf numFmtId="43" fontId="9" fillId="0" borderId="7" xfId="1" applyFont="1" applyBorder="1" applyAlignment="1">
      <alignment horizontal="center"/>
    </xf>
    <xf numFmtId="43" fontId="1" fillId="0" borderId="7" xfId="1" applyFont="1" applyBorder="1" applyAlignment="1">
      <alignment horizontal="center"/>
    </xf>
    <xf numFmtId="43" fontId="1" fillId="0" borderId="0" xfId="1" applyFont="1" applyAlignment="1">
      <alignment horizontal="left"/>
    </xf>
    <xf numFmtId="43" fontId="1" fillId="0" borderId="8" xfId="1" applyFont="1" applyBorder="1" applyAlignment="1">
      <alignment horizontal="left"/>
    </xf>
    <xf numFmtId="43" fontId="9" fillId="0" borderId="7" xfId="1" applyFont="1" applyBorder="1" applyAlignment="1">
      <alignment horizontal="left"/>
    </xf>
    <xf numFmtId="43" fontId="1" fillId="0" borderId="9" xfId="1" applyFont="1" applyBorder="1" applyAlignment="1">
      <alignment horizontal="right"/>
    </xf>
    <xf numFmtId="43" fontId="9" fillId="0" borderId="4" xfId="1" applyFont="1" applyBorder="1" applyAlignment="1">
      <alignment horizontal="center"/>
    </xf>
    <xf numFmtId="43" fontId="1" fillId="0" borderId="10" xfId="1" applyFont="1" applyBorder="1" applyAlignment="1">
      <alignment horizontal="right"/>
    </xf>
    <xf numFmtId="14" fontId="1" fillId="0" borderId="7" xfId="0" applyNumberFormat="1" applyFont="1" applyBorder="1" applyAlignment="1">
      <alignment horizontal="left"/>
    </xf>
    <xf numFmtId="43" fontId="9" fillId="0" borderId="7" xfId="1" applyFont="1" applyBorder="1" applyAlignment="1">
      <alignment horizontal="right"/>
    </xf>
    <xf numFmtId="43" fontId="1" fillId="0" borderId="5" xfId="1" applyFont="1" applyBorder="1" applyAlignment="1">
      <alignment horizontal="right"/>
    </xf>
    <xf numFmtId="43" fontId="1" fillId="0" borderId="0" xfId="0" applyNumberFormat="1" applyFont="1" applyAlignment="1">
      <alignment horizontal="left"/>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1" fillId="0" borderId="0" xfId="0" applyFont="1" applyAlignment="1">
      <alignment horizontal="left" wrapText="1"/>
    </xf>
    <xf numFmtId="164" fontId="1" fillId="0" borderId="0" xfId="2" applyNumberFormat="1" applyFont="1" applyAlignment="1">
      <alignment horizontal="center"/>
    </xf>
    <xf numFmtId="0" fontId="5" fillId="0" borderId="1" xfId="0" applyFont="1" applyBorder="1" applyAlignment="1">
      <alignment horizontal="center" wrapText="1"/>
    </xf>
    <xf numFmtId="0" fontId="5" fillId="0" borderId="2" xfId="0" applyFont="1" applyBorder="1" applyAlignment="1">
      <alignment horizont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752852" cy="524978"/>
    <xdr:pic>
      <xdr:nvPicPr>
        <xdr:cNvPr id="2" name="Picture 1">
          <a:extLst>
            <a:ext uri="{FF2B5EF4-FFF2-40B4-BE49-F238E27FC236}">
              <a16:creationId xmlns:a16="http://schemas.microsoft.com/office/drawing/2014/main" id="{B4402802-D159-FA4D-A57B-1455FA8C7F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8638400"/>
          <a:ext cx="1752852" cy="5249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5EE0-4B94-3149-B886-EDD650DCB648}">
  <dimension ref="A1:Q514"/>
  <sheetViews>
    <sheetView tabSelected="1" topLeftCell="D1" zoomScale="140" zoomScaleNormal="140" workbookViewId="0">
      <pane ySplit="1" topLeftCell="A489" activePane="bottomLeft" state="frozen"/>
      <selection activeCell="O1" sqref="O1:O1048576"/>
      <selection pane="bottomLeft" activeCell="K519" sqref="K519"/>
    </sheetView>
  </sheetViews>
  <sheetFormatPr baseColWidth="10" defaultColWidth="8.83203125" defaultRowHeight="16" x14ac:dyDescent="0.2"/>
  <cols>
    <col min="1" max="1" width="16.1640625" style="1" bestFit="1" customWidth="1"/>
    <col min="2" max="2" width="12" style="1" bestFit="1" customWidth="1"/>
    <col min="3" max="3" width="24.83203125" style="1" bestFit="1" customWidth="1"/>
    <col min="4" max="4" width="38.33203125" style="1" bestFit="1" customWidth="1"/>
    <col min="5" max="5" width="10.6640625" style="1" bestFit="1" customWidth="1"/>
    <col min="6" max="6" width="11.33203125" style="1" bestFit="1" customWidth="1"/>
    <col min="7" max="7" width="14.83203125" style="1" bestFit="1" customWidth="1"/>
    <col min="8" max="8" width="12.5" style="1" bestFit="1" customWidth="1"/>
    <col min="9" max="9" width="11.83203125" style="1" bestFit="1" customWidth="1"/>
    <col min="10" max="10" width="14.5" style="1" bestFit="1" customWidth="1"/>
    <col min="11" max="12" width="13.33203125" style="1" bestFit="1" customWidth="1"/>
    <col min="13" max="13" width="11.83203125" style="1" bestFit="1" customWidth="1"/>
    <col min="14" max="14" width="14.1640625" style="1" bestFit="1" customWidth="1"/>
    <col min="15" max="17" width="14.5" style="1" bestFit="1" customWidth="1"/>
    <col min="18" max="16384" width="8.83203125" style="1"/>
  </cols>
  <sheetData>
    <row r="1" spans="1:17" ht="69" thickBot="1" x14ac:dyDescent="0.25">
      <c r="A1" s="2" t="s">
        <v>0</v>
      </c>
      <c r="B1" s="2" t="s">
        <v>1</v>
      </c>
      <c r="C1" s="2" t="s">
        <v>2</v>
      </c>
      <c r="D1" s="2" t="s">
        <v>3</v>
      </c>
      <c r="E1" s="3" t="s">
        <v>4</v>
      </c>
      <c r="F1" s="2" t="s">
        <v>5</v>
      </c>
      <c r="G1" s="4" t="s">
        <v>6</v>
      </c>
      <c r="H1" s="55" t="s">
        <v>4150</v>
      </c>
      <c r="I1" s="3" t="s">
        <v>4151</v>
      </c>
      <c r="J1" s="3" t="s">
        <v>4149</v>
      </c>
      <c r="K1" s="3" t="s">
        <v>4152</v>
      </c>
      <c r="L1" s="56" t="s">
        <v>4153</v>
      </c>
      <c r="M1" s="55" t="s">
        <v>4154</v>
      </c>
      <c r="N1" s="55" t="s">
        <v>7</v>
      </c>
      <c r="O1" s="3" t="s">
        <v>4157</v>
      </c>
      <c r="P1" s="55" t="s">
        <v>4155</v>
      </c>
      <c r="Q1" s="3" t="s">
        <v>4156</v>
      </c>
    </row>
    <row r="2" spans="1:17" x14ac:dyDescent="0.2">
      <c r="A2" s="10" t="s">
        <v>8</v>
      </c>
      <c r="B2" s="10" t="s">
        <v>9</v>
      </c>
      <c r="C2" s="10" t="s">
        <v>10</v>
      </c>
      <c r="D2" s="10" t="s">
        <v>11</v>
      </c>
      <c r="E2" s="11" t="s">
        <v>12</v>
      </c>
      <c r="F2" s="12" t="s">
        <v>13</v>
      </c>
      <c r="G2" s="13" t="s">
        <v>14</v>
      </c>
      <c r="H2" s="14">
        <v>185825.12</v>
      </c>
      <c r="I2" s="15" t="s">
        <v>14</v>
      </c>
      <c r="J2" s="16">
        <v>182571.4</v>
      </c>
      <c r="K2" s="16" t="s">
        <v>3520</v>
      </c>
      <c r="L2" s="17">
        <v>8497.25</v>
      </c>
      <c r="M2" s="17" t="s">
        <v>3520</v>
      </c>
      <c r="N2" s="18"/>
      <c r="O2" s="19">
        <v>191068.65</v>
      </c>
      <c r="P2" s="14">
        <v>64073.37</v>
      </c>
      <c r="Q2" s="20">
        <v>255142.02</v>
      </c>
    </row>
    <row r="3" spans="1:17" x14ac:dyDescent="0.2">
      <c r="A3" s="21" t="s">
        <v>16</v>
      </c>
      <c r="B3" s="21" t="s">
        <v>17</v>
      </c>
      <c r="C3" s="21" t="s">
        <v>18</v>
      </c>
      <c r="D3" s="21" t="s">
        <v>19</v>
      </c>
      <c r="E3" s="22" t="s">
        <v>20</v>
      </c>
      <c r="F3" s="23" t="s">
        <v>21</v>
      </c>
      <c r="G3" s="24" t="s">
        <v>14</v>
      </c>
      <c r="H3" s="25">
        <v>98554.559999999998</v>
      </c>
      <c r="I3" s="26" t="s">
        <v>14</v>
      </c>
      <c r="J3" s="25">
        <v>93957.43</v>
      </c>
      <c r="K3" s="18">
        <v>41411.5</v>
      </c>
      <c r="L3" s="27">
        <v>10228.81</v>
      </c>
      <c r="M3" s="27">
        <v>49402.44</v>
      </c>
      <c r="N3" s="18"/>
      <c r="O3" s="25">
        <v>195000.18</v>
      </c>
      <c r="P3" s="25">
        <v>59277</v>
      </c>
      <c r="Q3" s="28">
        <v>254277.18</v>
      </c>
    </row>
    <row r="4" spans="1:17" x14ac:dyDescent="0.2">
      <c r="A4" s="21" t="s">
        <v>24</v>
      </c>
      <c r="B4" s="21" t="s">
        <v>25</v>
      </c>
      <c r="C4" s="21" t="s">
        <v>10</v>
      </c>
      <c r="D4" s="21" t="s">
        <v>27</v>
      </c>
      <c r="E4" s="22" t="s">
        <v>12</v>
      </c>
      <c r="F4" s="23" t="s">
        <v>29</v>
      </c>
      <c r="G4" s="24" t="s">
        <v>14</v>
      </c>
      <c r="H4" s="25">
        <v>272000.03999999998</v>
      </c>
      <c r="I4" s="26" t="s">
        <v>14</v>
      </c>
      <c r="J4" s="18">
        <v>183153.97</v>
      </c>
      <c r="K4" s="18" t="s">
        <v>3520</v>
      </c>
      <c r="L4" s="27">
        <v>1538.5</v>
      </c>
      <c r="M4" s="27" t="s">
        <v>3520</v>
      </c>
      <c r="N4" s="18"/>
      <c r="O4" s="25">
        <v>184692.47</v>
      </c>
      <c r="P4" s="25">
        <v>63422.080000000002</v>
      </c>
      <c r="Q4" s="28">
        <v>248114.55</v>
      </c>
    </row>
    <row r="5" spans="1:17" x14ac:dyDescent="0.2">
      <c r="A5" s="21" t="s">
        <v>32</v>
      </c>
      <c r="B5" s="21" t="s">
        <v>33</v>
      </c>
      <c r="C5" s="21" t="s">
        <v>18</v>
      </c>
      <c r="D5" s="21" t="s">
        <v>35</v>
      </c>
      <c r="E5" s="22" t="s">
        <v>20</v>
      </c>
      <c r="F5" s="23" t="s">
        <v>37</v>
      </c>
      <c r="G5" s="24" t="s">
        <v>14</v>
      </c>
      <c r="H5" s="25">
        <v>143561.60000000001</v>
      </c>
      <c r="I5" s="26" t="s">
        <v>14</v>
      </c>
      <c r="J5" s="18">
        <v>143347.70000000001</v>
      </c>
      <c r="K5" s="18" t="s">
        <v>3520</v>
      </c>
      <c r="L5" s="27">
        <v>2379.52</v>
      </c>
      <c r="M5" s="27">
        <v>18230.28</v>
      </c>
      <c r="N5" s="18"/>
      <c r="O5" s="25">
        <v>163957.5</v>
      </c>
      <c r="P5" s="25">
        <v>47322.11</v>
      </c>
      <c r="Q5" s="28">
        <v>211279.61</v>
      </c>
    </row>
    <row r="6" spans="1:17" x14ac:dyDescent="0.2">
      <c r="A6" s="21" t="s">
        <v>40</v>
      </c>
      <c r="B6" s="21" t="s">
        <v>41</v>
      </c>
      <c r="C6" s="21" t="s">
        <v>18</v>
      </c>
      <c r="D6" s="21" t="s">
        <v>58</v>
      </c>
      <c r="E6" s="22" t="s">
        <v>20</v>
      </c>
      <c r="F6" s="23" t="s">
        <v>44</v>
      </c>
      <c r="G6" s="24" t="s">
        <v>14</v>
      </c>
      <c r="H6" s="25">
        <v>101751.52</v>
      </c>
      <c r="I6" s="26" t="s">
        <v>14</v>
      </c>
      <c r="J6" s="25">
        <v>110211.32</v>
      </c>
      <c r="K6" s="18">
        <v>18974.07</v>
      </c>
      <c r="L6" s="27">
        <v>12252.52</v>
      </c>
      <c r="M6" s="27">
        <v>22373.52</v>
      </c>
      <c r="N6" s="18"/>
      <c r="O6" s="25">
        <v>163811.43</v>
      </c>
      <c r="P6" s="25">
        <v>46496.14</v>
      </c>
      <c r="Q6" s="28">
        <v>210307.57</v>
      </c>
    </row>
    <row r="7" spans="1:17" x14ac:dyDescent="0.2">
      <c r="A7" s="21" t="s">
        <v>47</v>
      </c>
      <c r="B7" s="21" t="s">
        <v>48</v>
      </c>
      <c r="C7" s="21" t="s">
        <v>18</v>
      </c>
      <c r="D7" s="21" t="s">
        <v>50</v>
      </c>
      <c r="E7" s="22" t="s">
        <v>20</v>
      </c>
      <c r="F7" s="23" t="s">
        <v>52</v>
      </c>
      <c r="G7" s="24" t="s">
        <v>14</v>
      </c>
      <c r="H7" s="25">
        <v>137937.79999999999</v>
      </c>
      <c r="I7" s="26" t="s">
        <v>14</v>
      </c>
      <c r="J7" s="18">
        <v>103417.26</v>
      </c>
      <c r="K7" s="18">
        <v>12146.48</v>
      </c>
      <c r="L7" s="27">
        <v>8245.0499999999993</v>
      </c>
      <c r="M7" s="27">
        <v>22401.05</v>
      </c>
      <c r="N7" s="18"/>
      <c r="O7" s="25">
        <v>146209.84</v>
      </c>
      <c r="P7" s="25">
        <v>54986.32</v>
      </c>
      <c r="Q7" s="28">
        <v>201196.16</v>
      </c>
    </row>
    <row r="8" spans="1:17" x14ac:dyDescent="0.2">
      <c r="A8" s="21" t="s">
        <v>55</v>
      </c>
      <c r="B8" s="21" t="s">
        <v>56</v>
      </c>
      <c r="C8" s="21" t="s">
        <v>18</v>
      </c>
      <c r="D8" s="21" t="s">
        <v>58</v>
      </c>
      <c r="E8" s="22" t="s">
        <v>20</v>
      </c>
      <c r="F8" s="23" t="s">
        <v>60</v>
      </c>
      <c r="G8" s="24" t="s">
        <v>14</v>
      </c>
      <c r="H8" s="25">
        <v>84030.44</v>
      </c>
      <c r="I8" s="26" t="s">
        <v>14</v>
      </c>
      <c r="J8" s="25">
        <v>83209.06</v>
      </c>
      <c r="K8" s="18">
        <v>27351.22</v>
      </c>
      <c r="L8" s="27">
        <v>6670.14</v>
      </c>
      <c r="M8" s="27">
        <v>37243.54</v>
      </c>
      <c r="N8" s="18"/>
      <c r="O8" s="25">
        <v>154473.96</v>
      </c>
      <c r="P8" s="25">
        <v>45911.68</v>
      </c>
      <c r="Q8" s="28">
        <v>200385.64</v>
      </c>
    </row>
    <row r="9" spans="1:17" x14ac:dyDescent="0.2">
      <c r="A9" s="21" t="s">
        <v>63</v>
      </c>
      <c r="B9" s="21" t="s">
        <v>8</v>
      </c>
      <c r="C9" s="21" t="s">
        <v>65</v>
      </c>
      <c r="D9" s="21" t="s">
        <v>66</v>
      </c>
      <c r="E9" s="22" t="s">
        <v>20</v>
      </c>
      <c r="F9" s="23" t="s">
        <v>68</v>
      </c>
      <c r="G9" s="24" t="s">
        <v>14</v>
      </c>
      <c r="H9" s="25">
        <v>150993.96</v>
      </c>
      <c r="I9" s="26" t="s">
        <v>14</v>
      </c>
      <c r="J9" s="18">
        <v>150824.81</v>
      </c>
      <c r="K9" s="18" t="s">
        <v>3520</v>
      </c>
      <c r="L9" s="27">
        <v>3463.36</v>
      </c>
      <c r="M9" s="27" t="s">
        <v>3520</v>
      </c>
      <c r="N9" s="18"/>
      <c r="O9" s="25">
        <v>154288.17000000001</v>
      </c>
      <c r="P9" s="25">
        <v>45638.39</v>
      </c>
      <c r="Q9" s="28">
        <v>199926.56</v>
      </c>
    </row>
    <row r="10" spans="1:17" x14ac:dyDescent="0.2">
      <c r="A10" s="21" t="s">
        <v>71</v>
      </c>
      <c r="B10" s="21" t="s">
        <v>72</v>
      </c>
      <c r="C10" s="21" t="s">
        <v>18</v>
      </c>
      <c r="D10" s="21" t="s">
        <v>74</v>
      </c>
      <c r="E10" s="22" t="s">
        <v>20</v>
      </c>
      <c r="F10" s="23" t="s">
        <v>76</v>
      </c>
      <c r="G10" s="24" t="s">
        <v>14</v>
      </c>
      <c r="H10" s="25">
        <v>77691.64</v>
      </c>
      <c r="I10" s="26" t="s">
        <v>14</v>
      </c>
      <c r="J10" s="25">
        <v>77414.28</v>
      </c>
      <c r="K10" s="18">
        <v>20137.400000000001</v>
      </c>
      <c r="L10" s="27">
        <v>9995.57</v>
      </c>
      <c r="M10" s="27">
        <v>36214.01</v>
      </c>
      <c r="N10" s="18"/>
      <c r="O10" s="25">
        <v>143761.26</v>
      </c>
      <c r="P10" s="25">
        <v>53483.88</v>
      </c>
      <c r="Q10" s="28">
        <v>197245.14</v>
      </c>
    </row>
    <row r="11" spans="1:17" x14ac:dyDescent="0.2">
      <c r="A11" s="21" t="s">
        <v>79</v>
      </c>
      <c r="B11" s="21" t="s">
        <v>80</v>
      </c>
      <c r="C11" s="21" t="s">
        <v>81</v>
      </c>
      <c r="D11" s="21" t="s">
        <v>82</v>
      </c>
      <c r="E11" s="22" t="s">
        <v>20</v>
      </c>
      <c r="F11" s="23" t="s">
        <v>84</v>
      </c>
      <c r="G11" s="24" t="s">
        <v>14</v>
      </c>
      <c r="H11" s="25">
        <v>134394.26</v>
      </c>
      <c r="I11" s="26" t="s">
        <v>14</v>
      </c>
      <c r="J11" s="18">
        <v>134194.01999999999</v>
      </c>
      <c r="K11" s="18" t="s">
        <v>3520</v>
      </c>
      <c r="L11" s="27">
        <v>4706</v>
      </c>
      <c r="M11" s="27" t="s">
        <v>3520</v>
      </c>
      <c r="N11" s="18"/>
      <c r="O11" s="25">
        <v>138900.01999999999</v>
      </c>
      <c r="P11" s="25">
        <v>54026.64</v>
      </c>
      <c r="Q11" s="28">
        <v>192926.66</v>
      </c>
    </row>
    <row r="12" spans="1:17" x14ac:dyDescent="0.2">
      <c r="A12" s="21" t="s">
        <v>24</v>
      </c>
      <c r="B12" s="21" t="s">
        <v>88</v>
      </c>
      <c r="C12" s="21" t="s">
        <v>18</v>
      </c>
      <c r="D12" s="21" t="s">
        <v>90</v>
      </c>
      <c r="E12" s="22" t="s">
        <v>20</v>
      </c>
      <c r="F12" s="23" t="s">
        <v>92</v>
      </c>
      <c r="G12" s="24" t="s">
        <v>14</v>
      </c>
      <c r="H12" s="25">
        <v>98554.559999999998</v>
      </c>
      <c r="I12" s="26" t="s">
        <v>14</v>
      </c>
      <c r="J12" s="25">
        <v>109617.71</v>
      </c>
      <c r="K12" s="18">
        <v>10361.08</v>
      </c>
      <c r="L12" s="27">
        <v>11699.83</v>
      </c>
      <c r="M12" s="27">
        <v>7250.34</v>
      </c>
      <c r="N12" s="18"/>
      <c r="O12" s="25">
        <v>138928.95999999999</v>
      </c>
      <c r="P12" s="25">
        <v>51102.32</v>
      </c>
      <c r="Q12" s="28">
        <v>190031.28</v>
      </c>
    </row>
    <row r="13" spans="1:17" x14ac:dyDescent="0.2">
      <c r="A13" s="21" t="s">
        <v>95</v>
      </c>
      <c r="B13" s="21" t="s">
        <v>96</v>
      </c>
      <c r="C13" s="21" t="s">
        <v>97</v>
      </c>
      <c r="D13" s="21" t="s">
        <v>98</v>
      </c>
      <c r="E13" s="22" t="s">
        <v>12</v>
      </c>
      <c r="F13" s="23" t="s">
        <v>100</v>
      </c>
      <c r="G13" s="24" t="s">
        <v>14</v>
      </c>
      <c r="H13" s="25">
        <v>134378.14000000001</v>
      </c>
      <c r="I13" s="26" t="s">
        <v>14</v>
      </c>
      <c r="J13" s="18">
        <v>134177.92000000001</v>
      </c>
      <c r="K13" s="18" t="s">
        <v>3520</v>
      </c>
      <c r="L13" s="27">
        <v>1227</v>
      </c>
      <c r="M13" s="27" t="s">
        <v>3520</v>
      </c>
      <c r="N13" s="18"/>
      <c r="O13" s="25">
        <v>135404.92000000001</v>
      </c>
      <c r="P13" s="25">
        <v>51968.06</v>
      </c>
      <c r="Q13" s="28">
        <v>187372.98</v>
      </c>
    </row>
    <row r="14" spans="1:17" x14ac:dyDescent="0.2">
      <c r="A14" s="21" t="s">
        <v>103</v>
      </c>
      <c r="B14" s="21" t="s">
        <v>104</v>
      </c>
      <c r="C14" s="21" t="s">
        <v>18</v>
      </c>
      <c r="D14" s="21" t="s">
        <v>106</v>
      </c>
      <c r="E14" s="22" t="s">
        <v>20</v>
      </c>
      <c r="F14" s="23" t="s">
        <v>108</v>
      </c>
      <c r="G14" s="24" t="s">
        <v>14</v>
      </c>
      <c r="H14" s="25">
        <v>84030.44</v>
      </c>
      <c r="I14" s="26" t="s">
        <v>14</v>
      </c>
      <c r="J14" s="25">
        <v>91907.34</v>
      </c>
      <c r="K14" s="18">
        <v>17028.080000000002</v>
      </c>
      <c r="L14" s="27">
        <v>9941.43</v>
      </c>
      <c r="M14" s="27">
        <v>16281.66</v>
      </c>
      <c r="N14" s="18"/>
      <c r="O14" s="25">
        <v>135158.51</v>
      </c>
      <c r="P14" s="25">
        <v>51960.11</v>
      </c>
      <c r="Q14" s="28">
        <v>187118.62</v>
      </c>
    </row>
    <row r="15" spans="1:17" x14ac:dyDescent="0.2">
      <c r="A15" s="21" t="s">
        <v>111</v>
      </c>
      <c r="B15" s="21" t="s">
        <v>112</v>
      </c>
      <c r="C15" s="21" t="s">
        <v>113</v>
      </c>
      <c r="D15" s="21" t="s">
        <v>114</v>
      </c>
      <c r="E15" s="22" t="s">
        <v>12</v>
      </c>
      <c r="F15" s="23" t="s">
        <v>116</v>
      </c>
      <c r="G15" s="24" t="s">
        <v>14</v>
      </c>
      <c r="H15" s="25">
        <v>137856.94</v>
      </c>
      <c r="I15" s="26" t="s">
        <v>14</v>
      </c>
      <c r="J15" s="18">
        <v>128375.89</v>
      </c>
      <c r="K15" s="18" t="s">
        <v>3520</v>
      </c>
      <c r="L15" s="27">
        <v>3013.12</v>
      </c>
      <c r="M15" s="27" t="s">
        <v>3520</v>
      </c>
      <c r="N15" s="18"/>
      <c r="O15" s="25">
        <v>131389.01</v>
      </c>
      <c r="P15" s="25">
        <v>51311.4</v>
      </c>
      <c r="Q15" s="28">
        <v>182700.41</v>
      </c>
    </row>
    <row r="16" spans="1:17" x14ac:dyDescent="0.2">
      <c r="A16" s="21" t="s">
        <v>119</v>
      </c>
      <c r="B16" s="21" t="s">
        <v>120</v>
      </c>
      <c r="C16" s="21" t="s">
        <v>18</v>
      </c>
      <c r="D16" s="21" t="s">
        <v>122</v>
      </c>
      <c r="E16" s="22" t="s">
        <v>20</v>
      </c>
      <c r="F16" s="23" t="s">
        <v>124</v>
      </c>
      <c r="G16" s="24" t="s">
        <v>14</v>
      </c>
      <c r="H16" s="25">
        <v>107473.60000000001</v>
      </c>
      <c r="I16" s="26" t="s">
        <v>14</v>
      </c>
      <c r="J16" s="18">
        <v>107335.64</v>
      </c>
      <c r="K16" s="18">
        <v>1767.93</v>
      </c>
      <c r="L16" s="27">
        <v>4228.57</v>
      </c>
      <c r="M16" s="27">
        <v>14260.92</v>
      </c>
      <c r="N16" s="18"/>
      <c r="O16" s="25">
        <v>127593.06</v>
      </c>
      <c r="P16" s="25">
        <v>51393.85</v>
      </c>
      <c r="Q16" s="28">
        <v>178986.91</v>
      </c>
    </row>
    <row r="17" spans="1:17" x14ac:dyDescent="0.2">
      <c r="A17" s="21" t="s">
        <v>127</v>
      </c>
      <c r="B17" s="21" t="s">
        <v>128</v>
      </c>
      <c r="C17" s="21" t="s">
        <v>129</v>
      </c>
      <c r="D17" s="21" t="s">
        <v>130</v>
      </c>
      <c r="E17" s="22" t="s">
        <v>20</v>
      </c>
      <c r="F17" s="23" t="s">
        <v>132</v>
      </c>
      <c r="G17" s="24" t="s">
        <v>14</v>
      </c>
      <c r="H17" s="25">
        <v>80870.399999999994</v>
      </c>
      <c r="I17" s="26" t="s">
        <v>14</v>
      </c>
      <c r="J17" s="25">
        <v>83428.490000000005</v>
      </c>
      <c r="K17" s="18">
        <v>8908.23</v>
      </c>
      <c r="L17" s="27">
        <v>4033.65</v>
      </c>
      <c r="M17" s="27">
        <v>30606.04</v>
      </c>
      <c r="N17" s="18"/>
      <c r="O17" s="25">
        <v>126976.41</v>
      </c>
      <c r="P17" s="25">
        <v>46418.41</v>
      </c>
      <c r="Q17" s="28">
        <v>173394.82</v>
      </c>
    </row>
    <row r="18" spans="1:17" x14ac:dyDescent="0.2">
      <c r="A18" s="21" t="s">
        <v>135</v>
      </c>
      <c r="B18" s="21" t="s">
        <v>136</v>
      </c>
      <c r="C18" s="21" t="s">
        <v>137</v>
      </c>
      <c r="D18" s="21" t="s">
        <v>138</v>
      </c>
      <c r="E18" s="22" t="s">
        <v>12</v>
      </c>
      <c r="F18" s="23" t="s">
        <v>140</v>
      </c>
      <c r="G18" s="24" t="s">
        <v>14</v>
      </c>
      <c r="H18" s="25">
        <v>129493.26</v>
      </c>
      <c r="I18" s="26" t="s">
        <v>14</v>
      </c>
      <c r="J18" s="18">
        <v>129300.32</v>
      </c>
      <c r="K18" s="18" t="s">
        <v>3520</v>
      </c>
      <c r="L18" s="27">
        <v>2494</v>
      </c>
      <c r="M18" s="27" t="s">
        <v>3520</v>
      </c>
      <c r="N18" s="18"/>
      <c r="O18" s="25">
        <v>131794.32</v>
      </c>
      <c r="P18" s="25">
        <v>41321.43</v>
      </c>
      <c r="Q18" s="28">
        <v>173115.75</v>
      </c>
    </row>
    <row r="19" spans="1:17" x14ac:dyDescent="0.2">
      <c r="A19" s="21" t="s">
        <v>143</v>
      </c>
      <c r="B19" s="21" t="s">
        <v>144</v>
      </c>
      <c r="C19" s="21" t="s">
        <v>145</v>
      </c>
      <c r="D19" s="21" t="s">
        <v>146</v>
      </c>
      <c r="E19" s="22" t="s">
        <v>12</v>
      </c>
      <c r="F19" s="23" t="s">
        <v>148</v>
      </c>
      <c r="G19" s="24" t="s">
        <v>14</v>
      </c>
      <c r="H19" s="25">
        <v>150000.24</v>
      </c>
      <c r="I19" s="26" t="s">
        <v>14</v>
      </c>
      <c r="J19" s="18">
        <v>126923.28</v>
      </c>
      <c r="K19" s="18" t="s">
        <v>3520</v>
      </c>
      <c r="L19" s="27"/>
      <c r="M19" s="27" t="s">
        <v>3520</v>
      </c>
      <c r="N19" s="18"/>
      <c r="O19" s="25">
        <v>126923.28</v>
      </c>
      <c r="P19" s="25">
        <v>46030.9</v>
      </c>
      <c r="Q19" s="28">
        <v>172954.18</v>
      </c>
    </row>
    <row r="20" spans="1:17" x14ac:dyDescent="0.2">
      <c r="A20" s="21" t="s">
        <v>151</v>
      </c>
      <c r="B20" s="21" t="s">
        <v>104</v>
      </c>
      <c r="C20" s="21" t="s">
        <v>81</v>
      </c>
      <c r="D20" s="21" t="s">
        <v>154</v>
      </c>
      <c r="E20" s="22" t="s">
        <v>20</v>
      </c>
      <c r="F20" s="23" t="s">
        <v>156</v>
      </c>
      <c r="G20" s="24" t="s">
        <v>14</v>
      </c>
      <c r="H20" s="25">
        <v>83151.83</v>
      </c>
      <c r="I20" s="26" t="s">
        <v>14</v>
      </c>
      <c r="J20" s="25">
        <v>63911.76</v>
      </c>
      <c r="K20" s="18">
        <v>47524.21</v>
      </c>
      <c r="L20" s="27">
        <v>6721.2</v>
      </c>
      <c r="N20" s="18"/>
      <c r="O20" s="25">
        <v>118157.17</v>
      </c>
      <c r="P20" s="25">
        <v>48753.41</v>
      </c>
      <c r="Q20" s="28">
        <v>166910.57999999999</v>
      </c>
    </row>
    <row r="21" spans="1:17" x14ac:dyDescent="0.2">
      <c r="A21" s="21" t="s">
        <v>159</v>
      </c>
      <c r="B21" s="21" t="s">
        <v>160</v>
      </c>
      <c r="C21" s="21" t="s">
        <v>18</v>
      </c>
      <c r="D21" s="21" t="s">
        <v>74</v>
      </c>
      <c r="E21" s="22" t="s">
        <v>20</v>
      </c>
      <c r="F21" s="23" t="s">
        <v>164</v>
      </c>
      <c r="G21" s="24" t="s">
        <v>14</v>
      </c>
      <c r="H21" s="25">
        <v>71821.36</v>
      </c>
      <c r="I21" s="26" t="s">
        <v>14</v>
      </c>
      <c r="J21" s="25">
        <v>81922.36</v>
      </c>
      <c r="K21" s="18">
        <v>17703.560000000001</v>
      </c>
      <c r="L21" s="27">
        <v>7913.05</v>
      </c>
      <c r="M21" s="27">
        <v>10880.05</v>
      </c>
      <c r="N21" s="18"/>
      <c r="O21" s="25">
        <v>118419.02</v>
      </c>
      <c r="P21" s="25">
        <v>47954.51</v>
      </c>
      <c r="Q21" s="28">
        <v>166373.53</v>
      </c>
    </row>
    <row r="22" spans="1:17" x14ac:dyDescent="0.2">
      <c r="A22" s="21" t="s">
        <v>167</v>
      </c>
      <c r="B22" s="21" t="s">
        <v>168</v>
      </c>
      <c r="C22" s="21" t="s">
        <v>169</v>
      </c>
      <c r="D22" s="21" t="s">
        <v>170</v>
      </c>
      <c r="E22" s="22" t="s">
        <v>12</v>
      </c>
      <c r="F22" s="23" t="s">
        <v>172</v>
      </c>
      <c r="G22" s="24" t="s">
        <v>14</v>
      </c>
      <c r="H22" s="25">
        <v>119600</v>
      </c>
      <c r="I22" s="26" t="s">
        <v>14</v>
      </c>
      <c r="J22" s="18">
        <v>119421.9</v>
      </c>
      <c r="K22" s="18" t="s">
        <v>3520</v>
      </c>
      <c r="L22" s="27">
        <v>2232</v>
      </c>
      <c r="M22" s="27" t="s">
        <v>3520</v>
      </c>
      <c r="N22" s="18"/>
      <c r="O22" s="25">
        <v>121653.9</v>
      </c>
      <c r="P22" s="25">
        <v>44269.279999999999</v>
      </c>
      <c r="Q22" s="28">
        <v>165923.18</v>
      </c>
    </row>
    <row r="23" spans="1:17" x14ac:dyDescent="0.2">
      <c r="A23" s="21" t="s">
        <v>175</v>
      </c>
      <c r="B23" s="21" t="s">
        <v>176</v>
      </c>
      <c r="C23" s="21" t="s">
        <v>81</v>
      </c>
      <c r="D23" s="21" t="s">
        <v>154</v>
      </c>
      <c r="E23" s="22" t="s">
        <v>20</v>
      </c>
      <c r="F23" s="23" t="s">
        <v>180</v>
      </c>
      <c r="G23" s="24" t="s">
        <v>14</v>
      </c>
      <c r="H23" s="25">
        <v>89074.31</v>
      </c>
      <c r="I23" s="26" t="s">
        <v>14</v>
      </c>
      <c r="J23" s="25">
        <v>67392.36</v>
      </c>
      <c r="K23" s="18">
        <v>46687.22</v>
      </c>
      <c r="L23" s="27">
        <v>6243.89</v>
      </c>
      <c r="M23" s="27"/>
      <c r="N23" s="18"/>
      <c r="O23" s="25">
        <v>120323.47</v>
      </c>
      <c r="P23" s="25">
        <v>44426</v>
      </c>
      <c r="Q23" s="28">
        <v>164749.47</v>
      </c>
    </row>
    <row r="24" spans="1:17" x14ac:dyDescent="0.2">
      <c r="A24" s="21" t="s">
        <v>183</v>
      </c>
      <c r="B24" s="21" t="s">
        <v>184</v>
      </c>
      <c r="C24" s="21" t="s">
        <v>18</v>
      </c>
      <c r="D24" s="21" t="s">
        <v>74</v>
      </c>
      <c r="E24" s="22" t="s">
        <v>20</v>
      </c>
      <c r="F24" s="23" t="s">
        <v>187</v>
      </c>
      <c r="G24" s="24" t="s">
        <v>14</v>
      </c>
      <c r="H24" s="25">
        <v>74687.600000000006</v>
      </c>
      <c r="I24" s="26" t="s">
        <v>14</v>
      </c>
      <c r="J24" s="25">
        <v>74034.42</v>
      </c>
      <c r="K24" s="18">
        <v>18320</v>
      </c>
      <c r="L24" s="27">
        <v>6090.13</v>
      </c>
      <c r="M24" s="27">
        <v>18606.84</v>
      </c>
      <c r="N24" s="18"/>
      <c r="O24" s="25">
        <v>117051.39</v>
      </c>
      <c r="P24" s="25">
        <v>46152.56</v>
      </c>
      <c r="Q24" s="28">
        <v>163203.95000000001</v>
      </c>
    </row>
    <row r="25" spans="1:17" x14ac:dyDescent="0.2">
      <c r="A25" s="21" t="s">
        <v>190</v>
      </c>
      <c r="B25" s="21" t="s">
        <v>191</v>
      </c>
      <c r="C25" s="21" t="s">
        <v>18</v>
      </c>
      <c r="D25" s="21" t="s">
        <v>74</v>
      </c>
      <c r="E25" s="22" t="s">
        <v>20</v>
      </c>
      <c r="F25" s="23" t="s">
        <v>195</v>
      </c>
      <c r="G25" s="24" t="s">
        <v>14</v>
      </c>
      <c r="H25" s="25">
        <v>77691.64</v>
      </c>
      <c r="I25" s="26" t="s">
        <v>14</v>
      </c>
      <c r="J25" s="25">
        <v>84014.78</v>
      </c>
      <c r="K25" s="18">
        <v>14431.17</v>
      </c>
      <c r="L25" s="27">
        <v>6898.47</v>
      </c>
      <c r="M25" s="27">
        <v>15996.12</v>
      </c>
      <c r="N25" s="18"/>
      <c r="O25" s="25">
        <v>121340.54</v>
      </c>
      <c r="P25" s="25">
        <v>40521.43</v>
      </c>
      <c r="Q25" s="28">
        <v>161861.97</v>
      </c>
    </row>
    <row r="26" spans="1:17" x14ac:dyDescent="0.2">
      <c r="A26" s="21" t="s">
        <v>198</v>
      </c>
      <c r="B26" s="21" t="s">
        <v>199</v>
      </c>
      <c r="C26" s="21" t="s">
        <v>18</v>
      </c>
      <c r="D26" s="21" t="s">
        <v>74</v>
      </c>
      <c r="E26" s="22" t="s">
        <v>20</v>
      </c>
      <c r="F26" s="23" t="s">
        <v>203</v>
      </c>
      <c r="G26" s="24" t="s">
        <v>14</v>
      </c>
      <c r="H26" s="25">
        <v>77691.64</v>
      </c>
      <c r="I26" s="26" t="s">
        <v>14</v>
      </c>
      <c r="J26" s="25">
        <v>85663.23</v>
      </c>
      <c r="K26" s="18">
        <v>13538.81</v>
      </c>
      <c r="L26" s="27">
        <v>5980.88</v>
      </c>
      <c r="M26" s="27">
        <v>10067.14</v>
      </c>
      <c r="N26" s="18"/>
      <c r="O26" s="25">
        <v>115250.06</v>
      </c>
      <c r="P26" s="25">
        <v>45369.53</v>
      </c>
      <c r="Q26" s="28">
        <v>160619.59</v>
      </c>
    </row>
    <row r="27" spans="1:17" x14ac:dyDescent="0.2">
      <c r="A27" s="21" t="s">
        <v>206</v>
      </c>
      <c r="B27" s="21" t="s">
        <v>8</v>
      </c>
      <c r="C27" s="21" t="s">
        <v>208</v>
      </c>
      <c r="D27" s="21" t="s">
        <v>209</v>
      </c>
      <c r="E27" s="22" t="s">
        <v>12</v>
      </c>
      <c r="F27" s="23" t="s">
        <v>211</v>
      </c>
      <c r="G27" s="24" t="s">
        <v>14</v>
      </c>
      <c r="H27" s="25">
        <v>118731.34</v>
      </c>
      <c r="I27" s="26" t="s">
        <v>14</v>
      </c>
      <c r="J27" s="18">
        <v>118554.43</v>
      </c>
      <c r="K27" s="18" t="s">
        <v>3520</v>
      </c>
      <c r="L27" s="27">
        <v>2984</v>
      </c>
      <c r="M27" s="27" t="s">
        <v>3520</v>
      </c>
      <c r="N27" s="18"/>
      <c r="O27" s="25">
        <v>121538.43</v>
      </c>
      <c r="P27" s="25">
        <v>38273.379999999997</v>
      </c>
      <c r="Q27" s="28">
        <v>159811.81</v>
      </c>
    </row>
    <row r="28" spans="1:17" x14ac:dyDescent="0.2">
      <c r="A28" s="21" t="s">
        <v>214</v>
      </c>
      <c r="B28" s="21" t="s">
        <v>215</v>
      </c>
      <c r="C28" s="21" t="s">
        <v>65</v>
      </c>
      <c r="D28" s="21" t="s">
        <v>217</v>
      </c>
      <c r="E28" s="22" t="s">
        <v>20</v>
      </c>
      <c r="F28" s="23" t="s">
        <v>219</v>
      </c>
      <c r="G28" s="24" t="s">
        <v>14</v>
      </c>
      <c r="H28" s="25">
        <v>94504.28</v>
      </c>
      <c r="I28" s="26" t="s">
        <v>14</v>
      </c>
      <c r="J28" s="18">
        <v>122769.34</v>
      </c>
      <c r="K28" s="18">
        <v>575.09</v>
      </c>
      <c r="L28" s="27">
        <v>4654.2700000000004</v>
      </c>
      <c r="N28" s="18"/>
      <c r="O28" s="25">
        <v>127998.7</v>
      </c>
      <c r="P28" s="25">
        <v>31259.08</v>
      </c>
      <c r="Q28" s="28">
        <v>159257.78</v>
      </c>
    </row>
    <row r="29" spans="1:17" x14ac:dyDescent="0.2">
      <c r="A29" s="21" t="s">
        <v>222</v>
      </c>
      <c r="B29" s="21" t="s">
        <v>223</v>
      </c>
      <c r="C29" s="21" t="s">
        <v>129</v>
      </c>
      <c r="D29" s="21" t="s">
        <v>225</v>
      </c>
      <c r="E29" s="22" t="s">
        <v>20</v>
      </c>
      <c r="F29" s="23" t="s">
        <v>227</v>
      </c>
      <c r="G29" s="24" t="s">
        <v>14</v>
      </c>
      <c r="H29" s="25">
        <v>115000.08</v>
      </c>
      <c r="I29" s="26" t="s">
        <v>14</v>
      </c>
      <c r="J29" s="18">
        <v>101730.84</v>
      </c>
      <c r="K29" s="18" t="s">
        <v>3520</v>
      </c>
      <c r="L29" s="27">
        <v>2652.4</v>
      </c>
      <c r="M29" s="27">
        <v>5307.84</v>
      </c>
      <c r="N29" s="18"/>
      <c r="O29" s="25">
        <v>109691.08</v>
      </c>
      <c r="P29" s="25">
        <v>47484.55</v>
      </c>
      <c r="Q29" s="28">
        <v>157175.63</v>
      </c>
    </row>
    <row r="30" spans="1:17" x14ac:dyDescent="0.2">
      <c r="A30" s="21" t="s">
        <v>230</v>
      </c>
      <c r="B30" s="21" t="s">
        <v>231</v>
      </c>
      <c r="C30" s="21" t="s">
        <v>65</v>
      </c>
      <c r="D30" s="21" t="s">
        <v>233</v>
      </c>
      <c r="E30" s="22" t="s">
        <v>20</v>
      </c>
      <c r="F30" s="23" t="s">
        <v>235</v>
      </c>
      <c r="G30" s="24" t="s">
        <v>14</v>
      </c>
      <c r="H30" s="25">
        <v>116000.04</v>
      </c>
      <c r="I30" s="26" t="s">
        <v>14</v>
      </c>
      <c r="J30" s="18">
        <v>112851.72</v>
      </c>
      <c r="K30" s="18" t="s">
        <v>3520</v>
      </c>
      <c r="L30" s="27">
        <v>5801.84</v>
      </c>
      <c r="M30" s="27" t="s">
        <v>3520</v>
      </c>
      <c r="N30" s="18"/>
      <c r="O30" s="25">
        <v>118653.56</v>
      </c>
      <c r="P30" s="25">
        <v>38025.72</v>
      </c>
      <c r="Q30" s="28">
        <v>156679.28</v>
      </c>
    </row>
    <row r="31" spans="1:17" x14ac:dyDescent="0.2">
      <c r="A31" s="21" t="s">
        <v>238</v>
      </c>
      <c r="B31" s="21" t="s">
        <v>239</v>
      </c>
      <c r="C31" s="21" t="s">
        <v>240</v>
      </c>
      <c r="D31" s="21" t="s">
        <v>241</v>
      </c>
      <c r="E31" s="22" t="s">
        <v>12</v>
      </c>
      <c r="F31" s="23" t="s">
        <v>243</v>
      </c>
      <c r="G31" s="24" t="s">
        <v>14</v>
      </c>
      <c r="H31" s="25">
        <v>112281</v>
      </c>
      <c r="I31" s="26" t="s">
        <v>14</v>
      </c>
      <c r="J31" s="18">
        <v>109653.87</v>
      </c>
      <c r="K31" s="18" t="s">
        <v>3520</v>
      </c>
      <c r="L31" s="27">
        <v>2056</v>
      </c>
      <c r="M31" s="27" t="s">
        <v>3520</v>
      </c>
      <c r="N31" s="18"/>
      <c r="O31" s="25">
        <v>111709.87</v>
      </c>
      <c r="P31" s="25">
        <v>44898.400000000001</v>
      </c>
      <c r="Q31" s="28">
        <v>156608.26999999999</v>
      </c>
    </row>
    <row r="32" spans="1:17" x14ac:dyDescent="0.2">
      <c r="A32" s="21" t="s">
        <v>246</v>
      </c>
      <c r="B32" s="21" t="s">
        <v>247</v>
      </c>
      <c r="C32" s="21" t="s">
        <v>81</v>
      </c>
      <c r="D32" s="21" t="s">
        <v>249</v>
      </c>
      <c r="E32" s="22" t="s">
        <v>20</v>
      </c>
      <c r="F32" s="23" t="s">
        <v>251</v>
      </c>
      <c r="G32" s="24" t="s">
        <v>14</v>
      </c>
      <c r="H32" s="25">
        <v>83253.820000000007</v>
      </c>
      <c r="I32" s="26" t="s">
        <v>14</v>
      </c>
      <c r="J32" s="25">
        <v>87933.7</v>
      </c>
      <c r="K32" s="18">
        <v>18970.82</v>
      </c>
      <c r="L32" s="27">
        <v>5878.28</v>
      </c>
      <c r="M32" s="27" t="s">
        <v>3520</v>
      </c>
      <c r="N32" s="18"/>
      <c r="O32" s="25">
        <v>112782.8</v>
      </c>
      <c r="P32" s="25">
        <v>42775.39</v>
      </c>
      <c r="Q32" s="28">
        <v>155558.19</v>
      </c>
    </row>
    <row r="33" spans="1:17" x14ac:dyDescent="0.2">
      <c r="A33" s="21" t="s">
        <v>254</v>
      </c>
      <c r="B33" s="21" t="s">
        <v>255</v>
      </c>
      <c r="C33" s="21" t="s">
        <v>256</v>
      </c>
      <c r="D33" s="21" t="s">
        <v>257</v>
      </c>
      <c r="E33" s="22" t="s">
        <v>12</v>
      </c>
      <c r="F33" s="23" t="s">
        <v>259</v>
      </c>
      <c r="G33" s="24" t="s">
        <v>14</v>
      </c>
      <c r="H33" s="25">
        <v>109168.54</v>
      </c>
      <c r="I33" s="26" t="s">
        <v>14</v>
      </c>
      <c r="J33" s="18">
        <v>109005.88</v>
      </c>
      <c r="K33" s="18" t="s">
        <v>3520</v>
      </c>
      <c r="L33" s="27">
        <v>3486</v>
      </c>
      <c r="M33" s="27" t="s">
        <v>3520</v>
      </c>
      <c r="N33" s="18"/>
      <c r="O33" s="25">
        <v>112491.88</v>
      </c>
      <c r="P33" s="25">
        <v>41971.97</v>
      </c>
      <c r="Q33" s="28">
        <v>154463.85</v>
      </c>
    </row>
    <row r="34" spans="1:17" x14ac:dyDescent="0.2">
      <c r="A34" s="21" t="s">
        <v>262</v>
      </c>
      <c r="B34" s="21" t="s">
        <v>263</v>
      </c>
      <c r="C34" s="21" t="s">
        <v>65</v>
      </c>
      <c r="D34" s="21" t="s">
        <v>265</v>
      </c>
      <c r="E34" s="22" t="s">
        <v>20</v>
      </c>
      <c r="F34" s="23" t="s">
        <v>267</v>
      </c>
      <c r="G34" s="24" t="s">
        <v>14</v>
      </c>
      <c r="H34" s="25">
        <v>88212.800000000003</v>
      </c>
      <c r="I34" s="26" t="s">
        <v>14</v>
      </c>
      <c r="J34" s="25">
        <v>89702.24</v>
      </c>
      <c r="K34" s="18">
        <v>12985.11</v>
      </c>
      <c r="L34" s="27">
        <v>4295.75</v>
      </c>
      <c r="M34" s="27" t="s">
        <v>3520</v>
      </c>
      <c r="N34" s="18"/>
      <c r="O34" s="25">
        <v>106983.1</v>
      </c>
      <c r="P34" s="25">
        <v>46247.12</v>
      </c>
      <c r="Q34" s="28">
        <v>153230.22</v>
      </c>
    </row>
    <row r="35" spans="1:17" x14ac:dyDescent="0.2">
      <c r="A35" s="21" t="s">
        <v>270</v>
      </c>
      <c r="B35" s="21" t="s">
        <v>223</v>
      </c>
      <c r="C35" s="21" t="s">
        <v>65</v>
      </c>
      <c r="D35" s="21" t="s">
        <v>233</v>
      </c>
      <c r="E35" s="22" t="s">
        <v>20</v>
      </c>
      <c r="F35" s="23" t="s">
        <v>275</v>
      </c>
      <c r="G35" s="24" t="s">
        <v>14</v>
      </c>
      <c r="H35" s="25">
        <v>110000.02</v>
      </c>
      <c r="I35" s="26" t="s">
        <v>14</v>
      </c>
      <c r="J35" s="18">
        <v>106042.3</v>
      </c>
      <c r="K35" s="18" t="s">
        <v>3520</v>
      </c>
      <c r="L35" s="27">
        <v>4094.46</v>
      </c>
      <c r="M35" s="29" t="s">
        <v>14</v>
      </c>
      <c r="N35" s="18"/>
      <c r="O35" s="25">
        <v>110136.76</v>
      </c>
      <c r="P35" s="25">
        <v>41485.5</v>
      </c>
      <c r="Q35" s="28">
        <v>151622.26</v>
      </c>
    </row>
    <row r="36" spans="1:17" x14ac:dyDescent="0.2">
      <c r="A36" s="21" t="s">
        <v>279</v>
      </c>
      <c r="B36" s="21" t="s">
        <v>280</v>
      </c>
      <c r="C36" s="21" t="s">
        <v>281</v>
      </c>
      <c r="D36" s="21" t="s">
        <v>282</v>
      </c>
      <c r="E36" s="22" t="s">
        <v>12</v>
      </c>
      <c r="F36" s="23" t="s">
        <v>284</v>
      </c>
      <c r="G36" s="24" t="s">
        <v>14</v>
      </c>
      <c r="H36" s="25">
        <v>114433.02</v>
      </c>
      <c r="I36" s="26" t="s">
        <v>14</v>
      </c>
      <c r="J36" s="18">
        <v>114262.52</v>
      </c>
      <c r="K36" s="18" t="s">
        <v>3520</v>
      </c>
      <c r="L36" s="30">
        <v>250</v>
      </c>
      <c r="M36" s="27" t="s">
        <v>3520</v>
      </c>
      <c r="N36" s="18"/>
      <c r="O36" s="25">
        <v>114512.52</v>
      </c>
      <c r="P36" s="25">
        <v>36939.870000000003</v>
      </c>
      <c r="Q36" s="28">
        <v>151452.39000000001</v>
      </c>
    </row>
    <row r="37" spans="1:17" x14ac:dyDescent="0.2">
      <c r="A37" s="21" t="s">
        <v>287</v>
      </c>
      <c r="B37" s="21" t="s">
        <v>288</v>
      </c>
      <c r="C37" s="21" t="s">
        <v>18</v>
      </c>
      <c r="D37" s="21" t="s">
        <v>290</v>
      </c>
      <c r="E37" s="22" t="s">
        <v>20</v>
      </c>
      <c r="F37" s="23" t="s">
        <v>292</v>
      </c>
      <c r="G37" s="24" t="s">
        <v>14</v>
      </c>
      <c r="H37" s="25">
        <v>72096.960000000006</v>
      </c>
      <c r="I37" s="26" t="s">
        <v>14</v>
      </c>
      <c r="J37" s="25">
        <v>90542.34</v>
      </c>
      <c r="K37" s="18">
        <v>8250.39</v>
      </c>
      <c r="L37" s="27">
        <v>7452.1</v>
      </c>
      <c r="M37" s="27">
        <v>1220.1500000000001</v>
      </c>
      <c r="N37" s="18"/>
      <c r="O37" s="25">
        <v>107464.98</v>
      </c>
      <c r="P37" s="25">
        <v>43919.4</v>
      </c>
      <c r="Q37" s="28">
        <v>151384.38</v>
      </c>
    </row>
    <row r="38" spans="1:17" x14ac:dyDescent="0.2">
      <c r="A38" s="21" t="s">
        <v>295</v>
      </c>
      <c r="B38" s="21" t="s">
        <v>296</v>
      </c>
      <c r="C38" s="21" t="s">
        <v>65</v>
      </c>
      <c r="D38" s="21" t="s">
        <v>265</v>
      </c>
      <c r="E38" s="22" t="s">
        <v>20</v>
      </c>
      <c r="F38" s="23" t="s">
        <v>300</v>
      </c>
      <c r="G38" s="24" t="s">
        <v>14</v>
      </c>
      <c r="H38" s="25">
        <v>88212.800000000003</v>
      </c>
      <c r="I38" s="26" t="s">
        <v>14</v>
      </c>
      <c r="J38" s="25">
        <v>91031.79</v>
      </c>
      <c r="K38" s="18">
        <v>11044.39</v>
      </c>
      <c r="L38" s="27">
        <v>7726.23</v>
      </c>
      <c r="M38" s="27" t="s">
        <v>3520</v>
      </c>
      <c r="N38" s="18"/>
      <c r="O38" s="25">
        <v>109802.41</v>
      </c>
      <c r="P38" s="25">
        <v>41342.370000000003</v>
      </c>
      <c r="Q38" s="28">
        <v>151144.78</v>
      </c>
    </row>
    <row r="39" spans="1:17" x14ac:dyDescent="0.2">
      <c r="A39" s="21" t="s">
        <v>303</v>
      </c>
      <c r="B39" s="21" t="s">
        <v>104</v>
      </c>
      <c r="C39" s="21" t="s">
        <v>65</v>
      </c>
      <c r="D39" s="21" t="s">
        <v>265</v>
      </c>
      <c r="E39" s="22" t="s">
        <v>20</v>
      </c>
      <c r="F39" s="23" t="s">
        <v>308</v>
      </c>
      <c r="G39" s="24" t="s">
        <v>14</v>
      </c>
      <c r="H39" s="25">
        <v>75691.199999999997</v>
      </c>
      <c r="I39" s="26" t="s">
        <v>14</v>
      </c>
      <c r="J39" s="25">
        <v>78410.84</v>
      </c>
      <c r="K39" s="18">
        <v>21079.71</v>
      </c>
      <c r="L39" s="27">
        <v>5172.26</v>
      </c>
      <c r="M39" s="27" t="s">
        <v>3520</v>
      </c>
      <c r="N39" s="18"/>
      <c r="O39" s="25">
        <v>104662.81</v>
      </c>
      <c r="P39" s="25">
        <v>45850.82</v>
      </c>
      <c r="Q39" s="28">
        <v>150513.63</v>
      </c>
    </row>
    <row r="40" spans="1:17" x14ac:dyDescent="0.2">
      <c r="A40" s="21" t="s">
        <v>311</v>
      </c>
      <c r="B40" s="21" t="s">
        <v>312</v>
      </c>
      <c r="C40" s="21" t="s">
        <v>65</v>
      </c>
      <c r="D40" s="21" t="s">
        <v>217</v>
      </c>
      <c r="E40" s="22" t="s">
        <v>20</v>
      </c>
      <c r="F40" s="23" t="s">
        <v>316</v>
      </c>
      <c r="G40" s="24" t="s">
        <v>14</v>
      </c>
      <c r="H40" s="25">
        <v>98284.42</v>
      </c>
      <c r="I40" s="26" t="s">
        <v>14</v>
      </c>
      <c r="J40" s="25">
        <v>99157.49</v>
      </c>
      <c r="K40" s="18" t="s">
        <v>3520</v>
      </c>
      <c r="L40" s="27">
        <v>5339.9</v>
      </c>
      <c r="M40" s="27" t="s">
        <v>3520</v>
      </c>
      <c r="N40" s="18"/>
      <c r="O40" s="25">
        <v>104497.39</v>
      </c>
      <c r="P40" s="25">
        <v>45763.19</v>
      </c>
      <c r="Q40" s="28">
        <v>150260.57999999999</v>
      </c>
    </row>
    <row r="41" spans="1:17" x14ac:dyDescent="0.2">
      <c r="A41" s="21" t="s">
        <v>319</v>
      </c>
      <c r="B41" s="21" t="s">
        <v>9</v>
      </c>
      <c r="C41" s="21" t="s">
        <v>18</v>
      </c>
      <c r="D41" s="21" t="s">
        <v>74</v>
      </c>
      <c r="E41" s="22" t="s">
        <v>20</v>
      </c>
      <c r="F41" s="23" t="s">
        <v>324</v>
      </c>
      <c r="G41" s="24" t="s">
        <v>14</v>
      </c>
      <c r="H41" s="25">
        <v>111425.08</v>
      </c>
      <c r="I41" s="26" t="s">
        <v>14</v>
      </c>
      <c r="J41" s="25">
        <v>82591.61</v>
      </c>
      <c r="K41" s="18">
        <v>9813.35</v>
      </c>
      <c r="L41" s="27">
        <v>6265.89</v>
      </c>
      <c r="M41" s="27">
        <v>5694.38</v>
      </c>
      <c r="N41" s="18"/>
      <c r="O41" s="25">
        <v>104365.23</v>
      </c>
      <c r="P41" s="25">
        <v>45522.38</v>
      </c>
      <c r="Q41" s="28">
        <v>149887.60999999999</v>
      </c>
    </row>
    <row r="42" spans="1:17" x14ac:dyDescent="0.2">
      <c r="A42" s="21" t="s">
        <v>327</v>
      </c>
      <c r="B42" s="21" t="s">
        <v>328</v>
      </c>
      <c r="C42" s="21" t="s">
        <v>65</v>
      </c>
      <c r="D42" s="21" t="s">
        <v>265</v>
      </c>
      <c r="E42" s="22" t="s">
        <v>20</v>
      </c>
      <c r="F42" s="23" t="s">
        <v>332</v>
      </c>
      <c r="G42" s="24" t="s">
        <v>14</v>
      </c>
      <c r="H42" s="25">
        <v>88212.800000000003</v>
      </c>
      <c r="I42" s="26" t="s">
        <v>14</v>
      </c>
      <c r="J42" s="25">
        <v>89764.32</v>
      </c>
      <c r="K42" s="18">
        <v>11902.12</v>
      </c>
      <c r="L42" s="27">
        <v>6544.91</v>
      </c>
      <c r="M42" s="27" t="s">
        <v>3520</v>
      </c>
      <c r="N42" s="18"/>
      <c r="O42" s="25">
        <v>108211.35</v>
      </c>
      <c r="P42" s="25">
        <v>41532.81</v>
      </c>
      <c r="Q42" s="28">
        <v>149744.16</v>
      </c>
    </row>
    <row r="43" spans="1:17" x14ac:dyDescent="0.2">
      <c r="A43" s="21" t="s">
        <v>335</v>
      </c>
      <c r="B43" s="21" t="s">
        <v>17</v>
      </c>
      <c r="C43" s="21" t="s">
        <v>97</v>
      </c>
      <c r="D43" s="21" t="s">
        <v>338</v>
      </c>
      <c r="E43" s="22" t="s">
        <v>12</v>
      </c>
      <c r="F43" s="23" t="s">
        <v>340</v>
      </c>
      <c r="G43" s="24" t="s">
        <v>14</v>
      </c>
      <c r="H43" s="25">
        <v>105037.4</v>
      </c>
      <c r="I43" s="26" t="s">
        <v>14</v>
      </c>
      <c r="J43" s="18">
        <v>104880.9</v>
      </c>
      <c r="K43" s="18" t="s">
        <v>3520</v>
      </c>
      <c r="L43" s="30">
        <v>715</v>
      </c>
      <c r="M43" s="27" t="s">
        <v>3520</v>
      </c>
      <c r="N43" s="18"/>
      <c r="O43" s="25">
        <v>105595.9</v>
      </c>
      <c r="P43" s="25">
        <v>42154.81</v>
      </c>
      <c r="Q43" s="28">
        <v>147750.71</v>
      </c>
    </row>
    <row r="44" spans="1:17" x14ac:dyDescent="0.2">
      <c r="A44" s="21" t="s">
        <v>343</v>
      </c>
      <c r="B44" s="21" t="s">
        <v>199</v>
      </c>
      <c r="C44" s="21" t="s">
        <v>18</v>
      </c>
      <c r="D44" s="21" t="s">
        <v>74</v>
      </c>
      <c r="E44" s="22" t="s">
        <v>20</v>
      </c>
      <c r="F44" s="23" t="s">
        <v>348</v>
      </c>
      <c r="G44" s="24" t="s">
        <v>14</v>
      </c>
      <c r="H44" s="25">
        <v>63415.56</v>
      </c>
      <c r="I44" s="26" t="s">
        <v>14</v>
      </c>
      <c r="J44" s="25">
        <v>66481.929999999993</v>
      </c>
      <c r="K44" s="18">
        <v>14275.09</v>
      </c>
      <c r="L44" s="31">
        <v>8645.82</v>
      </c>
      <c r="M44" s="27">
        <v>16533.599999999999</v>
      </c>
      <c r="N44" s="18"/>
      <c r="O44" s="25">
        <v>105936.44</v>
      </c>
      <c r="P44" s="25">
        <v>41208.79</v>
      </c>
      <c r="Q44" s="28">
        <v>147145.23000000001</v>
      </c>
    </row>
    <row r="45" spans="1:17" x14ac:dyDescent="0.2">
      <c r="A45" s="21" t="s">
        <v>351</v>
      </c>
      <c r="B45" s="21" t="s">
        <v>352</v>
      </c>
      <c r="C45" s="21" t="s">
        <v>65</v>
      </c>
      <c r="D45" s="21" t="s">
        <v>217</v>
      </c>
      <c r="E45" s="22" t="s">
        <v>20</v>
      </c>
      <c r="F45" s="23" t="s">
        <v>356</v>
      </c>
      <c r="G45" s="24" t="s">
        <v>14</v>
      </c>
      <c r="H45" s="25">
        <v>94504.28</v>
      </c>
      <c r="I45" s="26" t="s">
        <v>14</v>
      </c>
      <c r="J45" s="25">
        <v>95343.46</v>
      </c>
      <c r="K45" s="18" t="s">
        <v>3520</v>
      </c>
      <c r="L45" s="31">
        <v>6372.74</v>
      </c>
      <c r="M45" s="27" t="s">
        <v>3520</v>
      </c>
      <c r="N45" s="18"/>
      <c r="O45" s="25">
        <v>101716.2</v>
      </c>
      <c r="P45" s="25">
        <v>45039.41</v>
      </c>
      <c r="Q45" s="28">
        <v>146755.60999999999</v>
      </c>
    </row>
    <row r="46" spans="1:17" x14ac:dyDescent="0.2">
      <c r="A46" s="21" t="s">
        <v>359</v>
      </c>
      <c r="B46" s="21" t="s">
        <v>360</v>
      </c>
      <c r="C46" s="21" t="s">
        <v>361</v>
      </c>
      <c r="D46" s="21" t="s">
        <v>362</v>
      </c>
      <c r="E46" s="22" t="s">
        <v>12</v>
      </c>
      <c r="F46" s="23" t="s">
        <v>364</v>
      </c>
      <c r="G46" s="24" t="s">
        <v>14</v>
      </c>
      <c r="H46" s="25">
        <v>107939.52</v>
      </c>
      <c r="I46" s="26" t="s">
        <v>14</v>
      </c>
      <c r="J46" s="18">
        <v>107778.7</v>
      </c>
      <c r="K46" s="18" t="s">
        <v>3520</v>
      </c>
      <c r="L46" s="31">
        <v>1656</v>
      </c>
      <c r="M46" s="27" t="s">
        <v>3520</v>
      </c>
      <c r="N46" s="18"/>
      <c r="O46" s="25">
        <v>109434.7</v>
      </c>
      <c r="P46" s="25">
        <v>35286.730000000003</v>
      </c>
      <c r="Q46" s="28">
        <v>144721.43</v>
      </c>
    </row>
    <row r="47" spans="1:17" x14ac:dyDescent="0.2">
      <c r="A47" s="21" t="s">
        <v>367</v>
      </c>
      <c r="B47" s="21" t="s">
        <v>368</v>
      </c>
      <c r="C47" s="21" t="s">
        <v>129</v>
      </c>
      <c r="D47" s="21" t="s">
        <v>370</v>
      </c>
      <c r="E47" s="22" t="s">
        <v>20</v>
      </c>
      <c r="F47" s="23" t="s">
        <v>372</v>
      </c>
      <c r="G47" s="24" t="s">
        <v>14</v>
      </c>
      <c r="H47" s="25">
        <v>65482.559999999998</v>
      </c>
      <c r="I47" s="26" t="s">
        <v>14</v>
      </c>
      <c r="J47" s="25">
        <v>76282.2</v>
      </c>
      <c r="K47" s="18">
        <v>9642.8700000000008</v>
      </c>
      <c r="L47" s="31">
        <v>6629.75</v>
      </c>
      <c r="M47" s="27">
        <v>8877.2999999999993</v>
      </c>
      <c r="N47" s="18"/>
      <c r="O47" s="25">
        <v>101432.12</v>
      </c>
      <c r="P47" s="25">
        <v>41984.51</v>
      </c>
      <c r="Q47" s="28">
        <v>143416.63</v>
      </c>
    </row>
    <row r="48" spans="1:17" x14ac:dyDescent="0.2">
      <c r="A48" s="21" t="s">
        <v>375</v>
      </c>
      <c r="B48" s="21" t="s">
        <v>376</v>
      </c>
      <c r="C48" s="21" t="s">
        <v>81</v>
      </c>
      <c r="D48" s="21" t="s">
        <v>378</v>
      </c>
      <c r="E48" s="22" t="s">
        <v>20</v>
      </c>
      <c r="F48" s="23" t="s">
        <v>380</v>
      </c>
      <c r="G48" s="24" t="s">
        <v>14</v>
      </c>
      <c r="H48" s="25">
        <v>54497.78</v>
      </c>
      <c r="I48" s="26" t="s">
        <v>14</v>
      </c>
      <c r="J48" s="25">
        <v>55001.7</v>
      </c>
      <c r="K48" s="18">
        <v>47179.27</v>
      </c>
      <c r="L48" s="31">
        <v>4635.01</v>
      </c>
      <c r="M48" s="27" t="s">
        <v>3520</v>
      </c>
      <c r="N48" s="18"/>
      <c r="O48" s="25">
        <v>106815.98</v>
      </c>
      <c r="P48" s="25">
        <v>34891.39</v>
      </c>
      <c r="Q48" s="28">
        <v>141707.37</v>
      </c>
    </row>
    <row r="49" spans="1:17" x14ac:dyDescent="0.2">
      <c r="A49" s="21" t="s">
        <v>383</v>
      </c>
      <c r="B49" s="21" t="s">
        <v>384</v>
      </c>
      <c r="C49" s="21" t="s">
        <v>81</v>
      </c>
      <c r="D49" s="21" t="s">
        <v>386</v>
      </c>
      <c r="E49" s="22" t="s">
        <v>20</v>
      </c>
      <c r="F49" s="23" t="s">
        <v>388</v>
      </c>
      <c r="G49" s="24" t="s">
        <v>14</v>
      </c>
      <c r="H49" s="25">
        <v>102946.22</v>
      </c>
      <c r="I49" s="26" t="s">
        <v>14</v>
      </c>
      <c r="J49" s="18">
        <v>103860.21</v>
      </c>
      <c r="K49" s="18" t="s">
        <v>3520</v>
      </c>
      <c r="L49" s="31">
        <v>2635</v>
      </c>
      <c r="M49" s="27" t="s">
        <v>3520</v>
      </c>
      <c r="N49" s="18"/>
      <c r="O49" s="25">
        <v>106495.21</v>
      </c>
      <c r="P49" s="25">
        <v>35183.5</v>
      </c>
      <c r="Q49" s="28">
        <v>141678.71</v>
      </c>
    </row>
    <row r="50" spans="1:17" x14ac:dyDescent="0.2">
      <c r="A50" s="21" t="s">
        <v>391</v>
      </c>
      <c r="B50" s="21" t="s">
        <v>17</v>
      </c>
      <c r="C50" s="21" t="s">
        <v>65</v>
      </c>
      <c r="D50" s="21" t="s">
        <v>265</v>
      </c>
      <c r="E50" s="22" t="s">
        <v>20</v>
      </c>
      <c r="F50" s="23" t="s">
        <v>396</v>
      </c>
      <c r="G50" s="24" t="s">
        <v>14</v>
      </c>
      <c r="H50" s="25">
        <v>88212.800000000003</v>
      </c>
      <c r="I50" s="26" t="s">
        <v>14</v>
      </c>
      <c r="J50" s="25">
        <v>90714.99</v>
      </c>
      <c r="K50" s="18">
        <v>1929.71</v>
      </c>
      <c r="L50" s="31">
        <v>9273.7900000000009</v>
      </c>
      <c r="M50" s="27" t="s">
        <v>3520</v>
      </c>
      <c r="N50" s="18"/>
      <c r="O50" s="25">
        <v>101918.49</v>
      </c>
      <c r="P50" s="25">
        <v>39473.83</v>
      </c>
      <c r="Q50" s="28">
        <v>141392.32000000001</v>
      </c>
    </row>
    <row r="51" spans="1:17" x14ac:dyDescent="0.2">
      <c r="A51" s="21" t="s">
        <v>399</v>
      </c>
      <c r="B51" s="21" t="s">
        <v>400</v>
      </c>
      <c r="C51" s="21" t="s">
        <v>65</v>
      </c>
      <c r="D51" s="21" t="s">
        <v>265</v>
      </c>
      <c r="E51" s="22" t="s">
        <v>20</v>
      </c>
      <c r="F51" s="23" t="s">
        <v>404</v>
      </c>
      <c r="G51" s="24" t="s">
        <v>14</v>
      </c>
      <c r="H51" s="25">
        <v>84822.399999999994</v>
      </c>
      <c r="I51" s="26" t="s">
        <v>14</v>
      </c>
      <c r="J51" s="25">
        <v>87028.83</v>
      </c>
      <c r="K51" s="18">
        <v>10142.11</v>
      </c>
      <c r="L51" s="31">
        <v>7732.48</v>
      </c>
      <c r="M51" s="27" t="s">
        <v>3520</v>
      </c>
      <c r="N51" s="18"/>
      <c r="O51" s="25">
        <v>104903.42</v>
      </c>
      <c r="P51" s="25">
        <v>34335.83</v>
      </c>
      <c r="Q51" s="28">
        <v>139239.25</v>
      </c>
    </row>
    <row r="52" spans="1:17" x14ac:dyDescent="0.2">
      <c r="A52" s="21" t="s">
        <v>407</v>
      </c>
      <c r="B52" s="21" t="s">
        <v>104</v>
      </c>
      <c r="C52" s="21" t="s">
        <v>18</v>
      </c>
      <c r="D52" s="21" t="s">
        <v>74</v>
      </c>
      <c r="E52" s="22" t="s">
        <v>20</v>
      </c>
      <c r="F52" s="23" t="s">
        <v>412</v>
      </c>
      <c r="G52" s="24" t="s">
        <v>14</v>
      </c>
      <c r="H52" s="25">
        <v>80778.36</v>
      </c>
      <c r="I52" s="26" t="s">
        <v>14</v>
      </c>
      <c r="J52" s="25">
        <v>91736.95</v>
      </c>
      <c r="K52" s="18">
        <v>7859.78</v>
      </c>
      <c r="L52" s="31">
        <v>10920.44</v>
      </c>
      <c r="M52" s="27">
        <v>703.44</v>
      </c>
      <c r="N52" s="18"/>
      <c r="O52" s="25">
        <v>111220.61</v>
      </c>
      <c r="P52" s="25">
        <v>27354.57</v>
      </c>
      <c r="Q52" s="28">
        <v>138575.18</v>
      </c>
    </row>
    <row r="53" spans="1:17" x14ac:dyDescent="0.2">
      <c r="A53" s="21" t="s">
        <v>415</v>
      </c>
      <c r="B53" s="21" t="s">
        <v>416</v>
      </c>
      <c r="C53" s="21" t="s">
        <v>65</v>
      </c>
      <c r="D53" s="21" t="s">
        <v>217</v>
      </c>
      <c r="E53" s="22" t="s">
        <v>20</v>
      </c>
      <c r="F53" s="23" t="s">
        <v>420</v>
      </c>
      <c r="G53" s="24" t="s">
        <v>14</v>
      </c>
      <c r="H53" s="25">
        <v>90869.48</v>
      </c>
      <c r="I53" s="26" t="s">
        <v>14</v>
      </c>
      <c r="J53" s="25">
        <v>91676</v>
      </c>
      <c r="K53" s="18" t="s">
        <v>3520</v>
      </c>
      <c r="L53" s="31">
        <v>6298.6</v>
      </c>
      <c r="M53" s="27" t="s">
        <v>3520</v>
      </c>
      <c r="N53" s="18"/>
      <c r="O53" s="25">
        <v>97974.6</v>
      </c>
      <c r="P53" s="25">
        <v>39652.870000000003</v>
      </c>
      <c r="Q53" s="28">
        <v>137627.47</v>
      </c>
    </row>
    <row r="54" spans="1:17" x14ac:dyDescent="0.2">
      <c r="A54" s="21" t="s">
        <v>423</v>
      </c>
      <c r="B54" s="21" t="s">
        <v>424</v>
      </c>
      <c r="C54" s="21" t="s">
        <v>81</v>
      </c>
      <c r="D54" s="21" t="s">
        <v>386</v>
      </c>
      <c r="E54" s="22" t="s">
        <v>20</v>
      </c>
      <c r="F54" s="23" t="s">
        <v>428</v>
      </c>
      <c r="G54" s="24" t="s">
        <v>14</v>
      </c>
      <c r="H54" s="25">
        <v>99706.1</v>
      </c>
      <c r="I54" s="26" t="s">
        <v>14</v>
      </c>
      <c r="J54" s="25">
        <v>99114.6</v>
      </c>
      <c r="K54" s="18" t="s">
        <v>3520</v>
      </c>
      <c r="L54" s="31">
        <v>4012</v>
      </c>
      <c r="M54" s="27" t="s">
        <v>3520</v>
      </c>
      <c r="N54" s="18"/>
      <c r="O54" s="25">
        <v>103126.6</v>
      </c>
      <c r="P54" s="25">
        <v>33808.639999999999</v>
      </c>
      <c r="Q54" s="28">
        <v>136935.24</v>
      </c>
    </row>
    <row r="55" spans="1:17" x14ac:dyDescent="0.2">
      <c r="A55" s="21" t="s">
        <v>431</v>
      </c>
      <c r="B55" s="21" t="s">
        <v>432</v>
      </c>
      <c r="C55" s="21" t="s">
        <v>65</v>
      </c>
      <c r="D55" s="21" t="s">
        <v>265</v>
      </c>
      <c r="E55" s="22" t="s">
        <v>20</v>
      </c>
      <c r="F55" s="23" t="s">
        <v>436</v>
      </c>
      <c r="G55" s="24" t="s">
        <v>14</v>
      </c>
      <c r="H55" s="25">
        <v>78436.800000000003</v>
      </c>
      <c r="I55" s="26" t="s">
        <v>14</v>
      </c>
      <c r="J55" s="25">
        <v>77395.13</v>
      </c>
      <c r="K55" s="18">
        <v>9472.24</v>
      </c>
      <c r="L55" s="31">
        <v>6953.42</v>
      </c>
      <c r="M55" s="27" t="s">
        <v>3520</v>
      </c>
      <c r="N55" s="18"/>
      <c r="O55" s="25">
        <v>93820.79</v>
      </c>
      <c r="P55" s="25">
        <v>42948.480000000003</v>
      </c>
      <c r="Q55" s="28">
        <v>136769.26999999999</v>
      </c>
    </row>
    <row r="56" spans="1:17" x14ac:dyDescent="0.2">
      <c r="A56" s="21" t="s">
        <v>439</v>
      </c>
      <c r="B56" s="21" t="s">
        <v>440</v>
      </c>
      <c r="C56" s="21" t="s">
        <v>129</v>
      </c>
      <c r="D56" s="21" t="s">
        <v>130</v>
      </c>
      <c r="E56" s="22" t="s">
        <v>20</v>
      </c>
      <c r="F56" s="23" t="s">
        <v>444</v>
      </c>
      <c r="G56" s="24" t="s">
        <v>14</v>
      </c>
      <c r="H56" s="25">
        <v>74439.56</v>
      </c>
      <c r="I56" s="26" t="s">
        <v>14</v>
      </c>
      <c r="J56" s="25">
        <v>93328.15</v>
      </c>
      <c r="K56" s="18">
        <v>1726.45</v>
      </c>
      <c r="L56" s="31">
        <v>7698.69</v>
      </c>
      <c r="M56" s="27" t="s">
        <v>3520</v>
      </c>
      <c r="N56" s="18"/>
      <c r="O56" s="25">
        <v>102753.29</v>
      </c>
      <c r="P56" s="25">
        <v>33993.89</v>
      </c>
      <c r="Q56" s="28">
        <v>136747.18</v>
      </c>
    </row>
    <row r="57" spans="1:17" ht="17" thickBot="1" x14ac:dyDescent="0.25">
      <c r="A57" s="21" t="s">
        <v>447</v>
      </c>
      <c r="B57" s="21" t="s">
        <v>17</v>
      </c>
      <c r="C57" s="21" t="s">
        <v>18</v>
      </c>
      <c r="D57" s="21" t="s">
        <v>450</v>
      </c>
      <c r="E57" s="22" t="s">
        <v>20</v>
      </c>
      <c r="F57" s="23" t="s">
        <v>452</v>
      </c>
      <c r="G57" s="24" t="s">
        <v>14</v>
      </c>
      <c r="H57" s="25">
        <v>61431.24</v>
      </c>
      <c r="I57" s="26" t="s">
        <v>14</v>
      </c>
      <c r="J57" s="25">
        <v>72347.87</v>
      </c>
      <c r="K57" s="18">
        <v>12389.42</v>
      </c>
      <c r="L57" s="31">
        <v>3342.82</v>
      </c>
      <c r="M57" s="27">
        <v>9138.84</v>
      </c>
      <c r="N57" s="18"/>
      <c r="O57" s="25">
        <v>97218.95</v>
      </c>
      <c r="P57" s="25">
        <v>39105.5</v>
      </c>
      <c r="Q57" s="28">
        <v>136324.45000000001</v>
      </c>
    </row>
    <row r="58" spans="1:17" x14ac:dyDescent="0.2">
      <c r="A58" s="10" t="s">
        <v>455</v>
      </c>
      <c r="B58" s="10" t="s">
        <v>456</v>
      </c>
      <c r="C58" s="10" t="s">
        <v>145</v>
      </c>
      <c r="D58" s="10" t="s">
        <v>458</v>
      </c>
      <c r="E58" s="11" t="s">
        <v>12</v>
      </c>
      <c r="F58" s="12" t="s">
        <v>460</v>
      </c>
      <c r="G58" s="32" t="s">
        <v>14</v>
      </c>
      <c r="H58" s="14">
        <v>107150.16</v>
      </c>
      <c r="I58" s="15" t="s">
        <v>14</v>
      </c>
      <c r="J58" s="14">
        <v>83548.17</v>
      </c>
      <c r="K58" s="16" t="s">
        <v>3520</v>
      </c>
      <c r="L58" s="14">
        <v>10481.86</v>
      </c>
      <c r="M58" s="17" t="s">
        <v>3520</v>
      </c>
      <c r="N58" s="18"/>
      <c r="O58" s="14">
        <v>94030.03</v>
      </c>
      <c r="P58" s="14">
        <v>42154.15</v>
      </c>
      <c r="Q58" s="20">
        <v>136184.18</v>
      </c>
    </row>
    <row r="59" spans="1:17" x14ac:dyDescent="0.2">
      <c r="A59" s="21" t="s">
        <v>463</v>
      </c>
      <c r="B59" s="21" t="s">
        <v>80</v>
      </c>
      <c r="C59" s="21" t="s">
        <v>18</v>
      </c>
      <c r="D59" s="21" t="s">
        <v>74</v>
      </c>
      <c r="E59" s="22" t="s">
        <v>20</v>
      </c>
      <c r="F59" s="23" t="s">
        <v>468</v>
      </c>
      <c r="G59" s="33" t="s">
        <v>14</v>
      </c>
      <c r="H59" s="25">
        <v>69809.48</v>
      </c>
      <c r="I59" s="26" t="s">
        <v>14</v>
      </c>
      <c r="J59" s="25">
        <v>83408.639999999999</v>
      </c>
      <c r="K59" s="18">
        <v>3601.05</v>
      </c>
      <c r="L59" s="18">
        <v>6109.72</v>
      </c>
      <c r="M59" s="27" t="s">
        <v>3520</v>
      </c>
      <c r="N59" s="18"/>
      <c r="O59" s="25">
        <v>93119.41</v>
      </c>
      <c r="P59" s="25">
        <v>42860.14</v>
      </c>
      <c r="Q59" s="28">
        <v>135979.54999999999</v>
      </c>
    </row>
    <row r="60" spans="1:17" x14ac:dyDescent="0.2">
      <c r="A60" s="21" t="s">
        <v>471</v>
      </c>
      <c r="B60" s="21" t="s">
        <v>472</v>
      </c>
      <c r="C60" s="21" t="s">
        <v>81</v>
      </c>
      <c r="D60" s="21" t="s">
        <v>154</v>
      </c>
      <c r="E60" s="22" t="s">
        <v>20</v>
      </c>
      <c r="F60" s="23" t="s">
        <v>476</v>
      </c>
      <c r="G60" s="33" t="s">
        <v>14</v>
      </c>
      <c r="H60" s="25">
        <v>80339.929999999993</v>
      </c>
      <c r="I60" s="26" t="s">
        <v>14</v>
      </c>
      <c r="J60" s="25">
        <v>72191.520000000004</v>
      </c>
      <c r="K60" s="18">
        <v>25914.38</v>
      </c>
      <c r="L60" s="18">
        <v>3940.51</v>
      </c>
      <c r="M60" s="27" t="s">
        <v>3520</v>
      </c>
      <c r="N60" s="18"/>
      <c r="O60" s="25">
        <v>102046.41</v>
      </c>
      <c r="P60" s="25">
        <v>33797.46</v>
      </c>
      <c r="Q60" s="28">
        <v>135843.87</v>
      </c>
    </row>
    <row r="61" spans="1:17" x14ac:dyDescent="0.2">
      <c r="A61" s="21" t="s">
        <v>479</v>
      </c>
      <c r="B61" s="21" t="s">
        <v>480</v>
      </c>
      <c r="C61" s="21" t="s">
        <v>81</v>
      </c>
      <c r="D61" s="21" t="s">
        <v>378</v>
      </c>
      <c r="E61" s="22" t="s">
        <v>20</v>
      </c>
      <c r="F61" s="23" t="s">
        <v>484</v>
      </c>
      <c r="G61" s="33" t="s">
        <v>14</v>
      </c>
      <c r="H61" s="25">
        <v>65417.11</v>
      </c>
      <c r="I61" s="26" t="s">
        <v>14</v>
      </c>
      <c r="J61" s="25">
        <v>50371.76</v>
      </c>
      <c r="K61" s="18">
        <v>34147.65</v>
      </c>
      <c r="L61" s="25">
        <v>11128.97</v>
      </c>
      <c r="M61" s="27" t="s">
        <v>3520</v>
      </c>
      <c r="N61" s="18"/>
      <c r="O61" s="25">
        <v>95648.38</v>
      </c>
      <c r="P61" s="25">
        <v>39477.949999999997</v>
      </c>
      <c r="Q61" s="28">
        <v>135126.32999999999</v>
      </c>
    </row>
    <row r="62" spans="1:17" x14ac:dyDescent="0.2">
      <c r="A62" s="21" t="s">
        <v>487</v>
      </c>
      <c r="B62" s="21" t="s">
        <v>128</v>
      </c>
      <c r="C62" s="21" t="s">
        <v>97</v>
      </c>
      <c r="D62" s="21" t="s">
        <v>490</v>
      </c>
      <c r="E62" s="22" t="s">
        <v>12</v>
      </c>
      <c r="F62" s="23" t="s">
        <v>492</v>
      </c>
      <c r="G62" s="33" t="s">
        <v>14</v>
      </c>
      <c r="H62" s="25">
        <v>96885.36</v>
      </c>
      <c r="I62" s="26" t="s">
        <v>14</v>
      </c>
      <c r="J62" s="25">
        <v>96741.01</v>
      </c>
      <c r="K62" s="18" t="s">
        <v>3520</v>
      </c>
      <c r="L62" s="18">
        <v>250</v>
      </c>
      <c r="M62" s="27" t="s">
        <v>3520</v>
      </c>
      <c r="N62" s="18"/>
      <c r="O62" s="18">
        <v>96991.01</v>
      </c>
      <c r="P62" s="25">
        <v>37306.85</v>
      </c>
      <c r="Q62" s="28">
        <v>134297.85999999999</v>
      </c>
    </row>
    <row r="63" spans="1:17" x14ac:dyDescent="0.2">
      <c r="A63" s="21" t="s">
        <v>495</v>
      </c>
      <c r="B63" s="21" t="s">
        <v>496</v>
      </c>
      <c r="C63" s="21" t="s">
        <v>18</v>
      </c>
      <c r="D63" s="21" t="s">
        <v>498</v>
      </c>
      <c r="E63" s="22" t="s">
        <v>20</v>
      </c>
      <c r="F63" s="23" t="s">
        <v>500</v>
      </c>
      <c r="G63" s="33" t="s">
        <v>14</v>
      </c>
      <c r="H63" s="25">
        <v>57820.88</v>
      </c>
      <c r="I63" s="26" t="s">
        <v>14</v>
      </c>
      <c r="J63" s="25">
        <v>69190.14</v>
      </c>
      <c r="K63" s="18">
        <v>9800.4699999999993</v>
      </c>
      <c r="L63" s="18">
        <v>3502.14</v>
      </c>
      <c r="M63" s="27">
        <v>14675.51</v>
      </c>
      <c r="N63" s="18"/>
      <c r="O63" s="25">
        <v>97168.26</v>
      </c>
      <c r="P63" s="25">
        <v>37105.550000000003</v>
      </c>
      <c r="Q63" s="28">
        <v>134273.81</v>
      </c>
    </row>
    <row r="64" spans="1:17" x14ac:dyDescent="0.2">
      <c r="A64" s="21" t="s">
        <v>503</v>
      </c>
      <c r="B64" s="21" t="s">
        <v>504</v>
      </c>
      <c r="C64" s="21" t="s">
        <v>81</v>
      </c>
      <c r="D64" s="21" t="s">
        <v>378</v>
      </c>
      <c r="E64" s="22" t="s">
        <v>20</v>
      </c>
      <c r="F64" s="23" t="s">
        <v>508</v>
      </c>
      <c r="G64" s="33" t="s">
        <v>14</v>
      </c>
      <c r="H64" s="25">
        <v>70521.36</v>
      </c>
      <c r="I64" s="26" t="s">
        <v>14</v>
      </c>
      <c r="J64" s="25">
        <v>70653.429999999993</v>
      </c>
      <c r="K64" s="18">
        <v>16931.3</v>
      </c>
      <c r="L64" s="18">
        <v>7481.41</v>
      </c>
      <c r="M64" s="27" t="s">
        <v>3520</v>
      </c>
      <c r="N64" s="18"/>
      <c r="O64" s="25">
        <v>95066.14</v>
      </c>
      <c r="P64" s="25">
        <v>37629.4</v>
      </c>
      <c r="Q64" s="28">
        <v>132695.54</v>
      </c>
    </row>
    <row r="65" spans="1:17" x14ac:dyDescent="0.2">
      <c r="A65" s="21" t="s">
        <v>511</v>
      </c>
      <c r="B65" s="21" t="s">
        <v>512</v>
      </c>
      <c r="C65" s="21" t="s">
        <v>513</v>
      </c>
      <c r="D65" s="21" t="s">
        <v>514</v>
      </c>
      <c r="E65" s="22" t="s">
        <v>12</v>
      </c>
      <c r="F65" s="23" t="s">
        <v>516</v>
      </c>
      <c r="G65" s="33" t="s">
        <v>14</v>
      </c>
      <c r="H65" s="25">
        <v>88425.74</v>
      </c>
      <c r="I65" s="26" t="s">
        <v>14</v>
      </c>
      <c r="J65" s="25">
        <v>90695.11</v>
      </c>
      <c r="K65" s="18" t="s">
        <v>3520</v>
      </c>
      <c r="L65" s="18">
        <v>7933.64</v>
      </c>
      <c r="M65" s="27" t="s">
        <v>3520</v>
      </c>
      <c r="N65" s="18"/>
      <c r="O65" s="25">
        <v>98628.75</v>
      </c>
      <c r="P65" s="25">
        <v>33033.26</v>
      </c>
      <c r="Q65" s="28">
        <v>131662.01</v>
      </c>
    </row>
    <row r="66" spans="1:17" x14ac:dyDescent="0.2">
      <c r="A66" s="21" t="s">
        <v>519</v>
      </c>
      <c r="B66" s="21" t="s">
        <v>496</v>
      </c>
      <c r="C66" s="21" t="s">
        <v>81</v>
      </c>
      <c r="D66" s="21" t="s">
        <v>522</v>
      </c>
      <c r="E66" s="22" t="s">
        <v>20</v>
      </c>
      <c r="F66" s="23" t="s">
        <v>524</v>
      </c>
      <c r="G66" s="33" t="s">
        <v>14</v>
      </c>
      <c r="H66" s="25">
        <v>75090.17</v>
      </c>
      <c r="I66" s="26" t="s">
        <v>14</v>
      </c>
      <c r="J66" s="25">
        <v>75386.25</v>
      </c>
      <c r="K66" s="18">
        <v>7759.16</v>
      </c>
      <c r="L66" s="18">
        <v>6255.87</v>
      </c>
      <c r="M66" s="27" t="s">
        <v>3520</v>
      </c>
      <c r="N66" s="18"/>
      <c r="O66" s="25">
        <v>89401.279999999999</v>
      </c>
      <c r="P66" s="25">
        <v>41911.25</v>
      </c>
      <c r="Q66" s="28">
        <v>131312.53</v>
      </c>
    </row>
    <row r="67" spans="1:17" x14ac:dyDescent="0.2">
      <c r="A67" s="21" t="s">
        <v>527</v>
      </c>
      <c r="B67" s="21" t="s">
        <v>528</v>
      </c>
      <c r="C67" s="21" t="s">
        <v>81</v>
      </c>
      <c r="D67" s="21" t="s">
        <v>530</v>
      </c>
      <c r="E67" s="22" t="s">
        <v>12</v>
      </c>
      <c r="F67" s="23" t="s">
        <v>532</v>
      </c>
      <c r="G67" s="33" t="s">
        <v>14</v>
      </c>
      <c r="H67" s="25">
        <v>92976</v>
      </c>
      <c r="I67" s="26" t="s">
        <v>14</v>
      </c>
      <c r="J67" s="25">
        <v>92976</v>
      </c>
      <c r="K67" s="18" t="s">
        <v>3520</v>
      </c>
      <c r="L67" s="18">
        <v>4086.76</v>
      </c>
      <c r="M67" s="27" t="s">
        <v>3520</v>
      </c>
      <c r="N67" s="18"/>
      <c r="O67" s="25">
        <v>97062.76</v>
      </c>
      <c r="P67" s="25">
        <v>32647.85</v>
      </c>
      <c r="Q67" s="28">
        <v>129710.61</v>
      </c>
    </row>
    <row r="68" spans="1:17" x14ac:dyDescent="0.2">
      <c r="A68" s="21" t="s">
        <v>535</v>
      </c>
      <c r="B68" s="21" t="s">
        <v>536</v>
      </c>
      <c r="C68" s="21" t="s">
        <v>18</v>
      </c>
      <c r="D68" s="21" t="s">
        <v>498</v>
      </c>
      <c r="E68" s="22" t="s">
        <v>20</v>
      </c>
      <c r="F68" s="23" t="s">
        <v>124</v>
      </c>
      <c r="G68" s="33" t="s">
        <v>14</v>
      </c>
      <c r="H68" s="25">
        <v>64876.24</v>
      </c>
      <c r="I68" s="26" t="s">
        <v>14</v>
      </c>
      <c r="J68" s="25">
        <v>73114.86</v>
      </c>
      <c r="K68" s="18">
        <v>4272.5</v>
      </c>
      <c r="L68" s="18">
        <v>8340.16</v>
      </c>
      <c r="M68" s="27">
        <v>4190.12</v>
      </c>
      <c r="N68" s="18"/>
      <c r="O68" s="25">
        <v>89917.64</v>
      </c>
      <c r="P68" s="25">
        <v>38561.599999999999</v>
      </c>
      <c r="Q68" s="28">
        <v>128479.24</v>
      </c>
    </row>
    <row r="69" spans="1:17" x14ac:dyDescent="0.2">
      <c r="A69" s="21" t="s">
        <v>543</v>
      </c>
      <c r="B69" s="21" t="s">
        <v>544</v>
      </c>
      <c r="C69" s="21" t="s">
        <v>18</v>
      </c>
      <c r="D69" s="21" t="s">
        <v>498</v>
      </c>
      <c r="E69" s="22" t="s">
        <v>20</v>
      </c>
      <c r="F69" s="23" t="s">
        <v>548</v>
      </c>
      <c r="G69" s="33" t="s">
        <v>14</v>
      </c>
      <c r="H69" s="25">
        <v>54238.080000000002</v>
      </c>
      <c r="I69" s="26" t="s">
        <v>14</v>
      </c>
      <c r="J69" s="25">
        <v>56393.16</v>
      </c>
      <c r="K69" s="18">
        <v>15929.97</v>
      </c>
      <c r="L69" s="18">
        <v>5626.32</v>
      </c>
      <c r="M69" s="27">
        <v>17721.400000000001</v>
      </c>
      <c r="N69" s="18"/>
      <c r="O69" s="25">
        <v>95670.85</v>
      </c>
      <c r="P69" s="25">
        <v>32147.279999999999</v>
      </c>
      <c r="Q69" s="28">
        <v>127818.13</v>
      </c>
    </row>
    <row r="70" spans="1:17" x14ac:dyDescent="0.2">
      <c r="A70" s="21" t="s">
        <v>551</v>
      </c>
      <c r="B70" s="21" t="s">
        <v>552</v>
      </c>
      <c r="C70" s="21" t="s">
        <v>129</v>
      </c>
      <c r="D70" s="21" t="s">
        <v>498</v>
      </c>
      <c r="E70" s="22" t="s">
        <v>20</v>
      </c>
      <c r="F70" s="23" t="s">
        <v>556</v>
      </c>
      <c r="G70" s="33" t="s">
        <v>14</v>
      </c>
      <c r="H70" s="25">
        <v>56001.919999999998</v>
      </c>
      <c r="I70" s="26" t="s">
        <v>14</v>
      </c>
      <c r="J70" s="25">
        <v>64663.95</v>
      </c>
      <c r="K70" s="18">
        <v>13812.89</v>
      </c>
      <c r="L70" s="18">
        <v>5425.61</v>
      </c>
      <c r="M70" s="27">
        <v>11681.6</v>
      </c>
      <c r="N70" s="18"/>
      <c r="O70" s="25">
        <v>95584.05</v>
      </c>
      <c r="P70" s="25">
        <v>32172.81</v>
      </c>
      <c r="Q70" s="28">
        <v>127756.86</v>
      </c>
    </row>
    <row r="71" spans="1:17" x14ac:dyDescent="0.2">
      <c r="A71" s="21" t="s">
        <v>559</v>
      </c>
      <c r="B71" s="21" t="s">
        <v>560</v>
      </c>
      <c r="C71" s="21" t="s">
        <v>81</v>
      </c>
      <c r="D71" s="21" t="s">
        <v>378</v>
      </c>
      <c r="E71" s="22" t="s">
        <v>20</v>
      </c>
      <c r="F71" s="23" t="s">
        <v>564</v>
      </c>
      <c r="G71" s="33" t="s">
        <v>14</v>
      </c>
      <c r="H71" s="25">
        <v>52543.17</v>
      </c>
      <c r="I71" s="26" t="s">
        <v>14</v>
      </c>
      <c r="J71" s="25">
        <v>48029.71</v>
      </c>
      <c r="K71" s="18">
        <v>43450.41</v>
      </c>
      <c r="L71" s="18">
        <v>3511.76</v>
      </c>
      <c r="M71" s="27" t="s">
        <v>3520</v>
      </c>
      <c r="N71" s="18"/>
      <c r="O71" s="25">
        <v>94991.88</v>
      </c>
      <c r="P71" s="25">
        <v>32238.639999999999</v>
      </c>
      <c r="Q71" s="28">
        <v>127230.52</v>
      </c>
    </row>
    <row r="72" spans="1:17" x14ac:dyDescent="0.2">
      <c r="A72" s="21" t="s">
        <v>262</v>
      </c>
      <c r="B72" s="21" t="s">
        <v>223</v>
      </c>
      <c r="C72" s="21" t="s">
        <v>65</v>
      </c>
      <c r="D72" s="21" t="s">
        <v>265</v>
      </c>
      <c r="E72" s="22" t="s">
        <v>20</v>
      </c>
      <c r="F72" s="23" t="s">
        <v>572</v>
      </c>
      <c r="G72" s="33" t="s">
        <v>14</v>
      </c>
      <c r="H72" s="25">
        <v>78436.800000000003</v>
      </c>
      <c r="I72" s="26" t="s">
        <v>14</v>
      </c>
      <c r="J72" s="25">
        <v>79750.33</v>
      </c>
      <c r="K72" s="18">
        <v>9786.9500000000007</v>
      </c>
      <c r="L72" s="18">
        <v>4807.34</v>
      </c>
      <c r="M72" s="27" t="s">
        <v>3520</v>
      </c>
      <c r="N72" s="18"/>
      <c r="O72" s="25">
        <v>94344.62</v>
      </c>
      <c r="P72" s="25">
        <v>32287.5</v>
      </c>
      <c r="Q72" s="28">
        <v>126632.12</v>
      </c>
    </row>
    <row r="73" spans="1:17" x14ac:dyDescent="0.2">
      <c r="A73" s="21" t="s">
        <v>575</v>
      </c>
      <c r="B73" s="21" t="s">
        <v>576</v>
      </c>
      <c r="C73" s="21" t="s">
        <v>577</v>
      </c>
      <c r="D73" s="21" t="s">
        <v>578</v>
      </c>
      <c r="E73" s="22" t="s">
        <v>12</v>
      </c>
      <c r="F73" s="23" t="s">
        <v>452</v>
      </c>
      <c r="G73" s="33" t="s">
        <v>14</v>
      </c>
      <c r="H73" s="25">
        <v>110000.02</v>
      </c>
      <c r="I73" s="26" t="s">
        <v>14</v>
      </c>
      <c r="J73" s="25">
        <v>84413.52</v>
      </c>
      <c r="K73" s="18" t="s">
        <v>3520</v>
      </c>
      <c r="L73" s="18">
        <v>5709.33</v>
      </c>
      <c r="M73" s="27" t="s">
        <v>3520</v>
      </c>
      <c r="N73" s="18"/>
      <c r="O73" s="25">
        <v>90122.85</v>
      </c>
      <c r="P73" s="25">
        <v>36465.53</v>
      </c>
      <c r="Q73" s="28">
        <v>126588.38</v>
      </c>
    </row>
    <row r="74" spans="1:17" x14ac:dyDescent="0.2">
      <c r="A74" s="21" t="s">
        <v>583</v>
      </c>
      <c r="B74" s="21" t="s">
        <v>584</v>
      </c>
      <c r="C74" s="21" t="s">
        <v>65</v>
      </c>
      <c r="D74" s="21" t="s">
        <v>265</v>
      </c>
      <c r="E74" s="22" t="s">
        <v>20</v>
      </c>
      <c r="F74" s="23" t="s">
        <v>588</v>
      </c>
      <c r="G74" s="33" t="s">
        <v>14</v>
      </c>
      <c r="H74" s="25">
        <v>66601.600000000006</v>
      </c>
      <c r="I74" s="26" t="s">
        <v>14</v>
      </c>
      <c r="J74" s="25">
        <v>67176.05</v>
      </c>
      <c r="K74" s="18">
        <v>12258.87</v>
      </c>
      <c r="L74" s="18">
        <v>5827.46</v>
      </c>
      <c r="M74" s="27" t="s">
        <v>3520</v>
      </c>
      <c r="N74" s="18"/>
      <c r="O74" s="25">
        <v>85262.38</v>
      </c>
      <c r="P74" s="25">
        <v>40998.47</v>
      </c>
      <c r="Q74" s="28">
        <v>126260.85</v>
      </c>
    </row>
    <row r="75" spans="1:17" x14ac:dyDescent="0.2">
      <c r="A75" s="21" t="s">
        <v>591</v>
      </c>
      <c r="B75" s="21" t="s">
        <v>592</v>
      </c>
      <c r="C75" s="21" t="s">
        <v>65</v>
      </c>
      <c r="D75" s="21" t="s">
        <v>594</v>
      </c>
      <c r="E75" s="22" t="s">
        <v>20</v>
      </c>
      <c r="F75" s="23" t="s">
        <v>596</v>
      </c>
      <c r="G75" s="33" t="s">
        <v>14</v>
      </c>
      <c r="H75" s="25">
        <v>78145.600000000006</v>
      </c>
      <c r="I75" s="26" t="s">
        <v>14</v>
      </c>
      <c r="J75" s="25">
        <v>79721.42</v>
      </c>
      <c r="K75" s="18">
        <v>5448.22</v>
      </c>
      <c r="L75" s="18">
        <v>3946.36</v>
      </c>
      <c r="M75" s="27" t="s">
        <v>3520</v>
      </c>
      <c r="N75" s="18"/>
      <c r="O75" s="25">
        <v>89116</v>
      </c>
      <c r="P75" s="25">
        <v>37032.89</v>
      </c>
      <c r="Q75" s="28">
        <v>126148.89</v>
      </c>
    </row>
    <row r="76" spans="1:17" x14ac:dyDescent="0.2">
      <c r="A76" s="21" t="s">
        <v>599</v>
      </c>
      <c r="B76" s="21" t="s">
        <v>600</v>
      </c>
      <c r="C76" s="21" t="s">
        <v>65</v>
      </c>
      <c r="D76" s="21" t="s">
        <v>594</v>
      </c>
      <c r="E76" s="22" t="s">
        <v>20</v>
      </c>
      <c r="F76" s="23" t="s">
        <v>604</v>
      </c>
      <c r="G76" s="33" t="s">
        <v>14</v>
      </c>
      <c r="H76" s="25">
        <v>70553.600000000006</v>
      </c>
      <c r="I76" s="26" t="s">
        <v>14</v>
      </c>
      <c r="J76" s="25">
        <v>71755.05</v>
      </c>
      <c r="K76" s="18">
        <v>8936.14</v>
      </c>
      <c r="L76" s="18">
        <v>5084.04</v>
      </c>
      <c r="M76" s="27" t="s">
        <v>3520</v>
      </c>
      <c r="N76" s="18"/>
      <c r="O76" s="25">
        <v>85775.23</v>
      </c>
      <c r="P76" s="25">
        <v>40320.89</v>
      </c>
      <c r="Q76" s="28">
        <v>126096.12</v>
      </c>
    </row>
    <row r="77" spans="1:17" x14ac:dyDescent="0.2">
      <c r="A77" s="21" t="s">
        <v>607</v>
      </c>
      <c r="B77" s="21" t="s">
        <v>199</v>
      </c>
      <c r="C77" s="21" t="s">
        <v>18</v>
      </c>
      <c r="D77" s="21" t="s">
        <v>450</v>
      </c>
      <c r="E77" s="22" t="s">
        <v>20</v>
      </c>
      <c r="F77" s="23" t="s">
        <v>612</v>
      </c>
      <c r="G77" s="33" t="s">
        <v>14</v>
      </c>
      <c r="H77" s="25">
        <v>59722.52</v>
      </c>
      <c r="I77" s="26" t="s">
        <v>14</v>
      </c>
      <c r="J77" s="25">
        <v>68995.22</v>
      </c>
      <c r="K77" s="18">
        <v>5107.26</v>
      </c>
      <c r="L77" s="25">
        <v>10765.16</v>
      </c>
      <c r="M77" s="27" t="s">
        <v>3520</v>
      </c>
      <c r="N77" s="18"/>
      <c r="O77" s="25">
        <v>84867.64</v>
      </c>
      <c r="P77" s="25">
        <v>39834.1</v>
      </c>
      <c r="Q77" s="28">
        <v>124701.74</v>
      </c>
    </row>
    <row r="78" spans="1:17" x14ac:dyDescent="0.2">
      <c r="A78" s="21" t="s">
        <v>615</v>
      </c>
      <c r="B78" s="21" t="s">
        <v>616</v>
      </c>
      <c r="C78" s="21" t="s">
        <v>617</v>
      </c>
      <c r="D78" s="21" t="s">
        <v>618</v>
      </c>
      <c r="E78" s="22" t="s">
        <v>12</v>
      </c>
      <c r="F78" s="23" t="s">
        <v>476</v>
      </c>
      <c r="G78" s="33" t="s">
        <v>14</v>
      </c>
      <c r="H78" s="25">
        <v>87385.22</v>
      </c>
      <c r="I78" s="26" t="s">
        <v>14</v>
      </c>
      <c r="J78" s="25">
        <v>87255.02</v>
      </c>
      <c r="K78" s="18" t="s">
        <v>3520</v>
      </c>
      <c r="L78" s="18">
        <v>908</v>
      </c>
      <c r="M78" s="27" t="s">
        <v>3520</v>
      </c>
      <c r="N78" s="18"/>
      <c r="O78" s="18">
        <v>88163.02</v>
      </c>
      <c r="P78" s="25">
        <v>36072.65</v>
      </c>
      <c r="Q78" s="28">
        <v>124235.67</v>
      </c>
    </row>
    <row r="79" spans="1:17" x14ac:dyDescent="0.2">
      <c r="A79" s="21" t="s">
        <v>623</v>
      </c>
      <c r="B79" s="21" t="s">
        <v>624</v>
      </c>
      <c r="C79" s="21" t="s">
        <v>129</v>
      </c>
      <c r="D79" s="21" t="s">
        <v>130</v>
      </c>
      <c r="E79" s="22" t="s">
        <v>20</v>
      </c>
      <c r="F79" s="23" t="s">
        <v>628</v>
      </c>
      <c r="G79" s="33" t="s">
        <v>14</v>
      </c>
      <c r="H79" s="25">
        <v>67604.679999999993</v>
      </c>
      <c r="I79" s="26" t="s">
        <v>14</v>
      </c>
      <c r="J79" s="25">
        <v>77834.81</v>
      </c>
      <c r="K79" s="18">
        <v>788.91</v>
      </c>
      <c r="L79" s="18">
        <v>8953.07</v>
      </c>
      <c r="M79" s="27" t="s">
        <v>3520</v>
      </c>
      <c r="N79" s="18"/>
      <c r="O79" s="25">
        <v>87576.79</v>
      </c>
      <c r="P79" s="25">
        <v>36415.42</v>
      </c>
      <c r="Q79" s="28">
        <v>123992.21</v>
      </c>
    </row>
    <row r="80" spans="1:17" x14ac:dyDescent="0.2">
      <c r="A80" s="21" t="s">
        <v>631</v>
      </c>
      <c r="B80" s="21" t="s">
        <v>632</v>
      </c>
      <c r="C80" s="21" t="s">
        <v>18</v>
      </c>
      <c r="D80" s="21" t="s">
        <v>450</v>
      </c>
      <c r="E80" s="22" t="s">
        <v>20</v>
      </c>
      <c r="F80" s="23" t="s">
        <v>636</v>
      </c>
      <c r="G80" s="33" t="s">
        <v>14</v>
      </c>
      <c r="H80" s="25">
        <v>57820.88</v>
      </c>
      <c r="I80" s="26" t="s">
        <v>14</v>
      </c>
      <c r="J80" s="25">
        <v>61031.45</v>
      </c>
      <c r="K80" s="18">
        <v>11985.57</v>
      </c>
      <c r="L80" s="18">
        <v>4346.8100000000004</v>
      </c>
      <c r="M80" s="27">
        <v>14895.8</v>
      </c>
      <c r="N80" s="18"/>
      <c r="O80" s="25">
        <v>92259.63</v>
      </c>
      <c r="P80" s="25">
        <v>31425.51</v>
      </c>
      <c r="Q80" s="28">
        <v>123685.14</v>
      </c>
    </row>
    <row r="81" spans="1:17" x14ac:dyDescent="0.2">
      <c r="A81" s="21" t="s">
        <v>639</v>
      </c>
      <c r="B81" s="21" t="s">
        <v>640</v>
      </c>
      <c r="C81" s="21" t="s">
        <v>18</v>
      </c>
      <c r="D81" s="21" t="s">
        <v>498</v>
      </c>
      <c r="E81" s="22" t="s">
        <v>20</v>
      </c>
      <c r="F81" s="23" t="s">
        <v>644</v>
      </c>
      <c r="G81" s="33" t="s">
        <v>14</v>
      </c>
      <c r="H81" s="25">
        <v>56001.919999999998</v>
      </c>
      <c r="I81" s="26" t="s">
        <v>14</v>
      </c>
      <c r="J81" s="25">
        <v>64316.160000000003</v>
      </c>
      <c r="K81" s="18">
        <v>11487.16</v>
      </c>
      <c r="L81" s="18">
        <v>5526.93</v>
      </c>
      <c r="M81" s="27">
        <v>10505.44</v>
      </c>
      <c r="N81" s="18"/>
      <c r="O81" s="25">
        <v>91835.69</v>
      </c>
      <c r="P81" s="25">
        <v>31453.86</v>
      </c>
      <c r="Q81" s="28">
        <v>123289.55</v>
      </c>
    </row>
    <row r="82" spans="1:17" x14ac:dyDescent="0.2">
      <c r="A82" s="21" t="s">
        <v>647</v>
      </c>
      <c r="B82" s="21" t="s">
        <v>648</v>
      </c>
      <c r="C82" s="21" t="s">
        <v>81</v>
      </c>
      <c r="D82" s="21" t="s">
        <v>378</v>
      </c>
      <c r="E82" s="22" t="s">
        <v>20</v>
      </c>
      <c r="F82" s="23" t="s">
        <v>652</v>
      </c>
      <c r="G82" s="33" t="s">
        <v>14</v>
      </c>
      <c r="H82" s="25">
        <v>58627.83</v>
      </c>
      <c r="I82" s="26" t="s">
        <v>14</v>
      </c>
      <c r="J82" s="25">
        <v>47721.8</v>
      </c>
      <c r="K82" s="18">
        <v>31387.13</v>
      </c>
      <c r="L82" s="18">
        <v>3654.24</v>
      </c>
      <c r="M82" s="27" t="s">
        <v>3520</v>
      </c>
      <c r="N82" s="18"/>
      <c r="O82" s="25">
        <v>82763.17</v>
      </c>
      <c r="P82" s="25">
        <v>40449.910000000003</v>
      </c>
      <c r="Q82" s="28">
        <v>123213.08</v>
      </c>
    </row>
    <row r="83" spans="1:17" x14ac:dyDescent="0.2">
      <c r="A83" s="21" t="s">
        <v>655</v>
      </c>
      <c r="B83" s="21" t="s">
        <v>656</v>
      </c>
      <c r="C83" s="21" t="s">
        <v>81</v>
      </c>
      <c r="D83" s="21" t="s">
        <v>378</v>
      </c>
      <c r="E83" s="22" t="s">
        <v>20</v>
      </c>
      <c r="F83" s="23" t="s">
        <v>660</v>
      </c>
      <c r="G83" s="33" t="s">
        <v>14</v>
      </c>
      <c r="H83" s="25">
        <v>60808.78</v>
      </c>
      <c r="I83" s="26" t="s">
        <v>14</v>
      </c>
      <c r="J83" s="25">
        <v>49529.64</v>
      </c>
      <c r="K83" s="18">
        <v>26661.11</v>
      </c>
      <c r="L83" s="18">
        <v>7480</v>
      </c>
      <c r="M83" s="27" t="s">
        <v>3520</v>
      </c>
      <c r="N83" s="18"/>
      <c r="O83" s="25">
        <v>83670.75</v>
      </c>
      <c r="P83" s="25">
        <v>39434.79</v>
      </c>
      <c r="Q83" s="28">
        <v>123105.54</v>
      </c>
    </row>
    <row r="84" spans="1:17" x14ac:dyDescent="0.2">
      <c r="A84" s="21" t="s">
        <v>663</v>
      </c>
      <c r="B84" s="21" t="s">
        <v>664</v>
      </c>
      <c r="C84" s="21" t="s">
        <v>81</v>
      </c>
      <c r="D84" s="21" t="s">
        <v>249</v>
      </c>
      <c r="E84" s="22" t="s">
        <v>20</v>
      </c>
      <c r="F84" s="23" t="s">
        <v>668</v>
      </c>
      <c r="G84" s="33" t="s">
        <v>14</v>
      </c>
      <c r="H84" s="25">
        <v>72550.880000000005</v>
      </c>
      <c r="I84" s="26" t="s">
        <v>14</v>
      </c>
      <c r="J84" s="25">
        <v>69488.31</v>
      </c>
      <c r="K84" s="18">
        <v>16214.61</v>
      </c>
      <c r="L84" s="18">
        <v>5677.87</v>
      </c>
      <c r="M84" s="27" t="s">
        <v>3520</v>
      </c>
      <c r="N84" s="18"/>
      <c r="O84" s="25">
        <v>91380.79</v>
      </c>
      <c r="P84" s="25">
        <v>31489.93</v>
      </c>
      <c r="Q84" s="28">
        <v>122870.72</v>
      </c>
    </row>
    <row r="85" spans="1:17" x14ac:dyDescent="0.2">
      <c r="A85" s="21" t="s">
        <v>671</v>
      </c>
      <c r="B85" s="21" t="s">
        <v>223</v>
      </c>
      <c r="C85" s="21" t="s">
        <v>65</v>
      </c>
      <c r="D85" s="21" t="s">
        <v>594</v>
      </c>
      <c r="E85" s="22" t="s">
        <v>20</v>
      </c>
      <c r="F85" s="23" t="s">
        <v>676</v>
      </c>
      <c r="G85" s="33" t="s">
        <v>14</v>
      </c>
      <c r="H85" s="25">
        <v>68764.800000000003</v>
      </c>
      <c r="I85" s="26" t="s">
        <v>14</v>
      </c>
      <c r="J85" s="25">
        <v>70864.679999999993</v>
      </c>
      <c r="K85" s="18">
        <v>4600.04</v>
      </c>
      <c r="L85" s="18">
        <v>7030.78</v>
      </c>
      <c r="M85" s="27" t="s">
        <v>3520</v>
      </c>
      <c r="N85" s="18"/>
      <c r="O85" s="25">
        <v>82495.5</v>
      </c>
      <c r="P85" s="25">
        <v>39526.07</v>
      </c>
      <c r="Q85" s="28">
        <v>122021.57</v>
      </c>
    </row>
    <row r="86" spans="1:17" x14ac:dyDescent="0.2">
      <c r="A86" s="21" t="s">
        <v>159</v>
      </c>
      <c r="B86" s="21" t="s">
        <v>680</v>
      </c>
      <c r="C86" s="21" t="s">
        <v>81</v>
      </c>
      <c r="D86" s="21" t="s">
        <v>249</v>
      </c>
      <c r="E86" s="22" t="s">
        <v>20</v>
      </c>
      <c r="F86" s="23" t="s">
        <v>684</v>
      </c>
      <c r="G86" s="33" t="s">
        <v>14</v>
      </c>
      <c r="H86" s="25">
        <v>72550.880000000005</v>
      </c>
      <c r="I86" s="26" t="s">
        <v>14</v>
      </c>
      <c r="J86" s="25">
        <v>68690.09</v>
      </c>
      <c r="K86" s="18">
        <v>19165.13</v>
      </c>
      <c r="L86" s="18">
        <v>2397.0500000000002</v>
      </c>
      <c r="M86" s="27" t="s">
        <v>3520</v>
      </c>
      <c r="N86" s="18"/>
      <c r="O86" s="25">
        <v>90252.27</v>
      </c>
      <c r="P86" s="25">
        <v>31168.31</v>
      </c>
      <c r="Q86" s="28">
        <v>121420.58</v>
      </c>
    </row>
    <row r="87" spans="1:17" x14ac:dyDescent="0.2">
      <c r="A87" s="21" t="s">
        <v>687</v>
      </c>
      <c r="B87" s="21" t="s">
        <v>288</v>
      </c>
      <c r="C87" s="21" t="s">
        <v>65</v>
      </c>
      <c r="D87" s="21" t="s">
        <v>594</v>
      </c>
      <c r="E87" s="22" t="s">
        <v>20</v>
      </c>
      <c r="F87" s="23" t="s">
        <v>692</v>
      </c>
      <c r="G87" s="33" t="s">
        <v>14</v>
      </c>
      <c r="H87" s="25">
        <v>73382.399999999994</v>
      </c>
      <c r="I87" s="26" t="s">
        <v>14</v>
      </c>
      <c r="J87" s="25">
        <v>74346.25</v>
      </c>
      <c r="K87" s="18">
        <v>1452.29</v>
      </c>
      <c r="L87" s="18">
        <v>5225.25</v>
      </c>
      <c r="M87" s="27" t="s">
        <v>3520</v>
      </c>
      <c r="N87" s="18"/>
      <c r="O87" s="25">
        <v>81023.789999999994</v>
      </c>
      <c r="P87" s="25">
        <v>39008.629999999997</v>
      </c>
      <c r="Q87" s="28">
        <v>120032.42</v>
      </c>
    </row>
    <row r="88" spans="1:17" x14ac:dyDescent="0.2">
      <c r="A88" s="21" t="s">
        <v>695</v>
      </c>
      <c r="B88" s="21" t="s">
        <v>696</v>
      </c>
      <c r="C88" s="21" t="s">
        <v>281</v>
      </c>
      <c r="D88" s="21" t="s">
        <v>698</v>
      </c>
      <c r="E88" s="22" t="s">
        <v>12</v>
      </c>
      <c r="F88" s="23" t="s">
        <v>700</v>
      </c>
      <c r="G88" s="33" t="s">
        <v>14</v>
      </c>
      <c r="H88" s="25">
        <v>86662.94</v>
      </c>
      <c r="I88" s="26" t="s">
        <v>14</v>
      </c>
      <c r="J88" s="25">
        <v>86533.82</v>
      </c>
      <c r="K88" s="18" t="s">
        <v>3520</v>
      </c>
      <c r="L88" s="18">
        <v>2379</v>
      </c>
      <c r="M88" s="27" t="s">
        <v>3520</v>
      </c>
      <c r="N88" s="18"/>
      <c r="O88" s="25">
        <v>88912.82</v>
      </c>
      <c r="P88" s="25">
        <v>30830.38</v>
      </c>
      <c r="Q88" s="28">
        <v>119743.2</v>
      </c>
    </row>
    <row r="89" spans="1:17" x14ac:dyDescent="0.2">
      <c r="A89" s="21" t="s">
        <v>230</v>
      </c>
      <c r="B89" s="21" t="s">
        <v>704</v>
      </c>
      <c r="C89" s="21" t="s">
        <v>705</v>
      </c>
      <c r="D89" s="21" t="s">
        <v>706</v>
      </c>
      <c r="E89" s="22" t="s">
        <v>12</v>
      </c>
      <c r="F89" s="23" t="s">
        <v>708</v>
      </c>
      <c r="G89" s="33" t="s">
        <v>14</v>
      </c>
      <c r="H89" s="25">
        <v>79747.98</v>
      </c>
      <c r="I89" s="26" t="s">
        <v>14</v>
      </c>
      <c r="J89" s="25">
        <v>79629.16</v>
      </c>
      <c r="K89" s="18" t="s">
        <v>3520</v>
      </c>
      <c r="L89" s="18">
        <v>4080.08</v>
      </c>
      <c r="M89" s="27" t="s">
        <v>3520</v>
      </c>
      <c r="N89" s="18"/>
      <c r="O89" s="25">
        <v>83709.240000000005</v>
      </c>
      <c r="P89" s="25">
        <v>35000.199999999997</v>
      </c>
      <c r="Q89" s="28">
        <v>118709.44</v>
      </c>
    </row>
    <row r="90" spans="1:17" x14ac:dyDescent="0.2">
      <c r="A90" s="21" t="s">
        <v>263</v>
      </c>
      <c r="B90" s="21" t="s">
        <v>712</v>
      </c>
      <c r="C90" s="21" t="s">
        <v>281</v>
      </c>
      <c r="D90" s="21" t="s">
        <v>714</v>
      </c>
      <c r="E90" s="22" t="s">
        <v>12</v>
      </c>
      <c r="F90" s="23" t="s">
        <v>716</v>
      </c>
      <c r="G90" s="33" t="s">
        <v>14</v>
      </c>
      <c r="H90" s="25">
        <v>65020.800000000003</v>
      </c>
      <c r="I90" s="26" t="s">
        <v>14</v>
      </c>
      <c r="J90" s="25">
        <v>67563.25</v>
      </c>
      <c r="K90" s="18">
        <v>19916.5</v>
      </c>
      <c r="L90" s="18">
        <v>781</v>
      </c>
      <c r="M90" s="27" t="s">
        <v>3520</v>
      </c>
      <c r="N90" s="18"/>
      <c r="O90" s="25">
        <v>88260.75</v>
      </c>
      <c r="P90" s="25">
        <v>30397.35</v>
      </c>
      <c r="Q90" s="28">
        <v>118658.1</v>
      </c>
    </row>
    <row r="91" spans="1:17" x14ac:dyDescent="0.2">
      <c r="A91" s="21" t="s">
        <v>719</v>
      </c>
      <c r="B91" s="21" t="s">
        <v>104</v>
      </c>
      <c r="C91" s="21" t="s">
        <v>65</v>
      </c>
      <c r="D91" s="21" t="s">
        <v>265</v>
      </c>
      <c r="E91" s="22" t="s">
        <v>20</v>
      </c>
      <c r="F91" s="23" t="s">
        <v>316</v>
      </c>
      <c r="G91" s="33" t="s">
        <v>14</v>
      </c>
      <c r="H91" s="25">
        <v>75691.199999999997</v>
      </c>
      <c r="I91" s="26" t="s">
        <v>14</v>
      </c>
      <c r="J91" s="25">
        <v>74460.23</v>
      </c>
      <c r="K91" s="18">
        <v>3723.67</v>
      </c>
      <c r="L91" s="18">
        <v>4699.18</v>
      </c>
      <c r="M91" s="27" t="s">
        <v>3520</v>
      </c>
      <c r="N91" s="18"/>
      <c r="O91" s="25">
        <v>82883.08</v>
      </c>
      <c r="P91" s="25">
        <v>35578.14</v>
      </c>
      <c r="Q91" s="28">
        <v>118461.22</v>
      </c>
    </row>
    <row r="92" spans="1:17" x14ac:dyDescent="0.2">
      <c r="A92" s="21" t="s">
        <v>727</v>
      </c>
      <c r="B92" s="21" t="s">
        <v>728</v>
      </c>
      <c r="C92" s="21" t="s">
        <v>81</v>
      </c>
      <c r="D92" s="21" t="s">
        <v>378</v>
      </c>
      <c r="E92" s="22" t="s">
        <v>20</v>
      </c>
      <c r="F92" s="23" t="s">
        <v>732</v>
      </c>
      <c r="G92" s="33" t="s">
        <v>14</v>
      </c>
      <c r="H92" s="25">
        <v>52543.17</v>
      </c>
      <c r="I92" s="26" t="s">
        <v>14</v>
      </c>
      <c r="J92" s="25">
        <v>49631.09</v>
      </c>
      <c r="K92" s="18">
        <v>31019.77</v>
      </c>
      <c r="L92" s="18">
        <v>2827.6</v>
      </c>
      <c r="M92" s="27" t="s">
        <v>3520</v>
      </c>
      <c r="N92" s="18"/>
      <c r="O92" s="25">
        <v>83478.460000000006</v>
      </c>
      <c r="P92" s="25">
        <v>34761.58</v>
      </c>
      <c r="Q92" s="28">
        <v>118240.04</v>
      </c>
    </row>
    <row r="93" spans="1:17" x14ac:dyDescent="0.2">
      <c r="A93" s="21" t="s">
        <v>735</v>
      </c>
      <c r="B93" s="21" t="s">
        <v>736</v>
      </c>
      <c r="C93" s="21" t="s">
        <v>129</v>
      </c>
      <c r="D93" s="21" t="s">
        <v>450</v>
      </c>
      <c r="E93" s="22" t="s">
        <v>20</v>
      </c>
      <c r="F93" s="23" t="s">
        <v>500</v>
      </c>
      <c r="G93" s="33" t="s">
        <v>14</v>
      </c>
      <c r="H93" s="25">
        <v>57820.88</v>
      </c>
      <c r="I93" s="26" t="s">
        <v>14</v>
      </c>
      <c r="J93" s="25">
        <v>69600.759999999995</v>
      </c>
      <c r="K93" s="18">
        <v>4598.6499999999996</v>
      </c>
      <c r="L93" s="18">
        <v>3696.74</v>
      </c>
      <c r="M93" s="27" t="s">
        <v>3520</v>
      </c>
      <c r="N93" s="18"/>
      <c r="O93" s="25">
        <v>77896.149999999994</v>
      </c>
      <c r="P93" s="25">
        <v>39053.49</v>
      </c>
      <c r="Q93" s="28">
        <v>116949.64</v>
      </c>
    </row>
    <row r="94" spans="1:17" x14ac:dyDescent="0.2">
      <c r="A94" s="21" t="s">
        <v>743</v>
      </c>
      <c r="B94" s="21" t="s">
        <v>744</v>
      </c>
      <c r="C94" s="21" t="s">
        <v>81</v>
      </c>
      <c r="D94" s="21" t="s">
        <v>746</v>
      </c>
      <c r="E94" s="22" t="s">
        <v>20</v>
      </c>
      <c r="F94" s="23" t="s">
        <v>748</v>
      </c>
      <c r="G94" s="33" t="s">
        <v>14</v>
      </c>
      <c r="H94" s="25">
        <v>54497.78</v>
      </c>
      <c r="I94" s="26" t="s">
        <v>14</v>
      </c>
      <c r="J94" s="25">
        <v>57175.63</v>
      </c>
      <c r="K94" s="18">
        <v>19770.490000000002</v>
      </c>
      <c r="L94" s="18">
        <v>9350.31</v>
      </c>
      <c r="M94" s="27" t="s">
        <v>3520</v>
      </c>
      <c r="N94" s="18"/>
      <c r="O94" s="25">
        <v>86296.43</v>
      </c>
      <c r="P94" s="25">
        <v>30128.53</v>
      </c>
      <c r="Q94" s="28">
        <v>116424.96000000001</v>
      </c>
    </row>
    <row r="95" spans="1:17" x14ac:dyDescent="0.2">
      <c r="A95" s="21" t="s">
        <v>751</v>
      </c>
      <c r="B95" s="21" t="s">
        <v>752</v>
      </c>
      <c r="C95" s="21" t="s">
        <v>81</v>
      </c>
      <c r="D95" s="21" t="s">
        <v>249</v>
      </c>
      <c r="E95" s="22" t="s">
        <v>20</v>
      </c>
      <c r="F95" s="23" t="s">
        <v>756</v>
      </c>
      <c r="G95" s="33" t="s">
        <v>14</v>
      </c>
      <c r="H95" s="25">
        <v>54497.78</v>
      </c>
      <c r="I95" s="26" t="s">
        <v>14</v>
      </c>
      <c r="J95" s="25">
        <v>54246.74</v>
      </c>
      <c r="K95" s="18">
        <v>17980.05</v>
      </c>
      <c r="L95" s="18">
        <v>4483.3500000000004</v>
      </c>
      <c r="M95" s="27" t="s">
        <v>3520</v>
      </c>
      <c r="N95" s="18"/>
      <c r="O95" s="25">
        <v>76710.14</v>
      </c>
      <c r="P95" s="25">
        <v>38998.339999999997</v>
      </c>
      <c r="Q95" s="28">
        <v>115708.48</v>
      </c>
    </row>
    <row r="96" spans="1:17" x14ac:dyDescent="0.2">
      <c r="A96" s="21" t="s">
        <v>759</v>
      </c>
      <c r="B96" s="21" t="s">
        <v>760</v>
      </c>
      <c r="C96" s="21" t="s">
        <v>81</v>
      </c>
      <c r="D96" s="21" t="s">
        <v>762</v>
      </c>
      <c r="E96" s="22" t="s">
        <v>20</v>
      </c>
      <c r="F96" s="23" t="s">
        <v>764</v>
      </c>
      <c r="G96" s="33" t="s">
        <v>14</v>
      </c>
      <c r="H96" s="25">
        <v>72550.399999999994</v>
      </c>
      <c r="I96" s="26" t="s">
        <v>14</v>
      </c>
      <c r="J96" s="25">
        <v>73347.09</v>
      </c>
      <c r="K96" s="18">
        <v>231.94</v>
      </c>
      <c r="L96" s="18">
        <v>2286.8200000000002</v>
      </c>
      <c r="M96" s="27" t="s">
        <v>3520</v>
      </c>
      <c r="N96" s="18"/>
      <c r="O96" s="25">
        <v>75865.850000000006</v>
      </c>
      <c r="P96" s="25">
        <v>38861.11</v>
      </c>
      <c r="Q96" s="28">
        <v>114726.96</v>
      </c>
    </row>
    <row r="97" spans="1:17" x14ac:dyDescent="0.2">
      <c r="A97" s="21" t="s">
        <v>767</v>
      </c>
      <c r="B97" s="21" t="s">
        <v>768</v>
      </c>
      <c r="C97" s="21" t="s">
        <v>81</v>
      </c>
      <c r="D97" s="21" t="s">
        <v>378</v>
      </c>
      <c r="E97" s="22" t="s">
        <v>20</v>
      </c>
      <c r="F97" s="23" t="s">
        <v>652</v>
      </c>
      <c r="G97" s="33" t="s">
        <v>14</v>
      </c>
      <c r="H97" s="25">
        <v>62963.96</v>
      </c>
      <c r="I97" s="26" t="s">
        <v>14</v>
      </c>
      <c r="J97" s="25">
        <v>65136.84</v>
      </c>
      <c r="K97" s="18">
        <v>15441.71</v>
      </c>
      <c r="L97" s="18">
        <v>5186.76</v>
      </c>
      <c r="M97" s="27" t="s">
        <v>3520</v>
      </c>
      <c r="N97" s="18"/>
      <c r="O97" s="25">
        <v>85765.31</v>
      </c>
      <c r="P97" s="25">
        <v>28770.07</v>
      </c>
      <c r="Q97" s="28">
        <v>114535.38</v>
      </c>
    </row>
    <row r="98" spans="1:17" x14ac:dyDescent="0.2">
      <c r="A98" s="21" t="s">
        <v>775</v>
      </c>
      <c r="B98" s="21" t="s">
        <v>776</v>
      </c>
      <c r="C98" s="21" t="s">
        <v>65</v>
      </c>
      <c r="D98" s="21" t="s">
        <v>594</v>
      </c>
      <c r="E98" s="22" t="s">
        <v>20</v>
      </c>
      <c r="F98" s="23" t="s">
        <v>780</v>
      </c>
      <c r="G98" s="33" t="s">
        <v>14</v>
      </c>
      <c r="H98" s="25">
        <v>66851.199999999997</v>
      </c>
      <c r="I98" s="26" t="s">
        <v>14</v>
      </c>
      <c r="J98" s="25">
        <v>68167.67</v>
      </c>
      <c r="K98" s="18">
        <v>8606.24</v>
      </c>
      <c r="L98" s="18">
        <v>7502.08</v>
      </c>
      <c r="M98" s="27" t="s">
        <v>3520</v>
      </c>
      <c r="N98" s="18"/>
      <c r="O98" s="25">
        <v>84275.99</v>
      </c>
      <c r="P98" s="25">
        <v>29637.95</v>
      </c>
      <c r="Q98" s="28">
        <v>113913.94</v>
      </c>
    </row>
    <row r="99" spans="1:17" x14ac:dyDescent="0.2">
      <c r="A99" s="21" t="s">
        <v>783</v>
      </c>
      <c r="B99" s="21" t="s">
        <v>128</v>
      </c>
      <c r="C99" s="21" t="s">
        <v>281</v>
      </c>
      <c r="D99" s="21" t="s">
        <v>714</v>
      </c>
      <c r="E99" s="22" t="s">
        <v>12</v>
      </c>
      <c r="F99" s="23" t="s">
        <v>788</v>
      </c>
      <c r="G99" s="33" t="s">
        <v>14</v>
      </c>
      <c r="H99" s="25">
        <v>68369.600000000006</v>
      </c>
      <c r="I99" s="26" t="s">
        <v>14</v>
      </c>
      <c r="J99" s="25">
        <v>70490.210000000006</v>
      </c>
      <c r="K99" s="18">
        <v>6853.65</v>
      </c>
      <c r="L99" s="18">
        <v>1155</v>
      </c>
      <c r="M99" s="27" t="s">
        <v>3520</v>
      </c>
      <c r="N99" s="18"/>
      <c r="O99" s="25">
        <v>78498.86</v>
      </c>
      <c r="P99" s="25">
        <v>35411.35</v>
      </c>
      <c r="Q99" s="28">
        <v>113910.21</v>
      </c>
    </row>
    <row r="100" spans="1:17" x14ac:dyDescent="0.2">
      <c r="A100" s="21" t="s">
        <v>159</v>
      </c>
      <c r="B100" s="21" t="s">
        <v>496</v>
      </c>
      <c r="C100" s="21" t="s">
        <v>81</v>
      </c>
      <c r="D100" s="21" t="s">
        <v>249</v>
      </c>
      <c r="E100" s="22" t="s">
        <v>20</v>
      </c>
      <c r="F100" s="23" t="s">
        <v>796</v>
      </c>
      <c r="G100" s="33" t="s">
        <v>14</v>
      </c>
      <c r="H100" s="25">
        <v>62963.96</v>
      </c>
      <c r="I100" s="26" t="s">
        <v>14</v>
      </c>
      <c r="J100" s="25">
        <v>58874.49</v>
      </c>
      <c r="K100" s="18">
        <v>15366.09</v>
      </c>
      <c r="L100" s="18">
        <v>1718.12</v>
      </c>
      <c r="M100" s="27" t="s">
        <v>3520</v>
      </c>
      <c r="N100" s="18"/>
      <c r="O100" s="25">
        <v>75958.7</v>
      </c>
      <c r="P100" s="25">
        <v>37752.82</v>
      </c>
      <c r="Q100" s="28">
        <v>113711.52</v>
      </c>
    </row>
    <row r="101" spans="1:17" x14ac:dyDescent="0.2">
      <c r="A101" s="21" t="s">
        <v>799</v>
      </c>
      <c r="B101" s="21" t="s">
        <v>800</v>
      </c>
      <c r="C101" s="21" t="s">
        <v>281</v>
      </c>
      <c r="D101" s="21" t="s">
        <v>282</v>
      </c>
      <c r="E101" s="22" t="s">
        <v>12</v>
      </c>
      <c r="F101" s="23" t="s">
        <v>804</v>
      </c>
      <c r="G101" s="34" t="s">
        <v>805</v>
      </c>
      <c r="H101" s="25">
        <v>150993.96</v>
      </c>
      <c r="I101" s="25">
        <v>320.12</v>
      </c>
      <c r="J101" s="18">
        <v>81135.289999999994</v>
      </c>
      <c r="K101" s="18" t="s">
        <v>3520</v>
      </c>
      <c r="L101" s="18">
        <v>4153.96</v>
      </c>
      <c r="M101" s="27" t="s">
        <v>3520</v>
      </c>
      <c r="N101" s="18"/>
      <c r="O101" s="25">
        <v>85609.37</v>
      </c>
      <c r="P101" s="25">
        <v>28021.51</v>
      </c>
      <c r="Q101" s="28">
        <v>113630.88</v>
      </c>
    </row>
    <row r="102" spans="1:17" x14ac:dyDescent="0.2">
      <c r="A102" s="21" t="s">
        <v>727</v>
      </c>
      <c r="B102" s="21" t="s">
        <v>807</v>
      </c>
      <c r="C102" s="21" t="s">
        <v>808</v>
      </c>
      <c r="D102" s="21" t="s">
        <v>809</v>
      </c>
      <c r="E102" s="22" t="s">
        <v>12</v>
      </c>
      <c r="F102" s="23" t="s">
        <v>811</v>
      </c>
      <c r="G102" s="33" t="s">
        <v>14</v>
      </c>
      <c r="H102" s="25">
        <v>65041.599999999999</v>
      </c>
      <c r="I102" s="26" t="s">
        <v>14</v>
      </c>
      <c r="J102" s="25">
        <v>67882.36</v>
      </c>
      <c r="K102" s="18">
        <v>7605.31</v>
      </c>
      <c r="L102" s="18">
        <v>3458.24</v>
      </c>
      <c r="M102" s="27" t="s">
        <v>3520</v>
      </c>
      <c r="N102" s="18"/>
      <c r="O102" s="25">
        <v>78945.91</v>
      </c>
      <c r="P102" s="25">
        <v>34461.94</v>
      </c>
      <c r="Q102" s="28">
        <v>113407.85</v>
      </c>
    </row>
    <row r="103" spans="1:17" x14ac:dyDescent="0.2">
      <c r="A103" s="21" t="s">
        <v>814</v>
      </c>
      <c r="B103" s="21" t="s">
        <v>815</v>
      </c>
      <c r="C103" s="21" t="s">
        <v>65</v>
      </c>
      <c r="D103" s="21" t="s">
        <v>265</v>
      </c>
      <c r="E103" s="22" t="s">
        <v>20</v>
      </c>
      <c r="F103" s="23" t="s">
        <v>819</v>
      </c>
      <c r="G103" s="33" t="s">
        <v>14</v>
      </c>
      <c r="H103" s="25">
        <v>66601.600000000006</v>
      </c>
      <c r="I103" s="26" t="s">
        <v>14</v>
      </c>
      <c r="J103" s="25">
        <v>69119.23</v>
      </c>
      <c r="K103" s="18">
        <v>2937.1</v>
      </c>
      <c r="L103" s="18">
        <v>4411.09</v>
      </c>
      <c r="M103" s="27" t="s">
        <v>3520</v>
      </c>
      <c r="N103" s="18"/>
      <c r="O103" s="25">
        <v>76467.42</v>
      </c>
      <c r="P103" s="25">
        <v>36931.050000000003</v>
      </c>
      <c r="Q103" s="28">
        <v>113398.47</v>
      </c>
    </row>
    <row r="104" spans="1:17" x14ac:dyDescent="0.2">
      <c r="A104" s="21" t="s">
        <v>822</v>
      </c>
      <c r="B104" s="21" t="s">
        <v>823</v>
      </c>
      <c r="C104" s="21" t="s">
        <v>824</v>
      </c>
      <c r="D104" s="21" t="s">
        <v>825</v>
      </c>
      <c r="E104" s="22" t="s">
        <v>12</v>
      </c>
      <c r="F104" s="23" t="s">
        <v>827</v>
      </c>
      <c r="G104" s="34" t="s">
        <v>828</v>
      </c>
      <c r="H104" s="25">
        <v>91407.42</v>
      </c>
      <c r="I104" s="25">
        <v>2689.74</v>
      </c>
      <c r="J104" s="25">
        <v>77208.55</v>
      </c>
      <c r="K104" s="18" t="s">
        <v>3520</v>
      </c>
      <c r="L104" s="18">
        <v>4539.0200000000004</v>
      </c>
      <c r="M104" s="27" t="s">
        <v>3520</v>
      </c>
      <c r="N104" s="18"/>
      <c r="O104" s="25">
        <v>84437.31</v>
      </c>
      <c r="P104" s="25">
        <v>28203.07</v>
      </c>
      <c r="Q104" s="28">
        <v>112640.38</v>
      </c>
    </row>
    <row r="105" spans="1:17" x14ac:dyDescent="0.2">
      <c r="A105" s="21" t="s">
        <v>829</v>
      </c>
      <c r="B105" s="21" t="s">
        <v>830</v>
      </c>
      <c r="C105" s="21" t="s">
        <v>18</v>
      </c>
      <c r="D105" s="21" t="s">
        <v>498</v>
      </c>
      <c r="E105" s="22" t="s">
        <v>20</v>
      </c>
      <c r="F105" s="23" t="s">
        <v>227</v>
      </c>
      <c r="G105" s="33" t="s">
        <v>14</v>
      </c>
      <c r="H105" s="25">
        <v>69644.12</v>
      </c>
      <c r="I105" s="26" t="s">
        <v>14</v>
      </c>
      <c r="J105" s="25">
        <v>58685.66</v>
      </c>
      <c r="K105" s="18">
        <v>9350.2800000000007</v>
      </c>
      <c r="L105" s="18">
        <v>3327.42</v>
      </c>
      <c r="M105" s="27">
        <v>3394.46</v>
      </c>
      <c r="N105" s="18"/>
      <c r="O105" s="25">
        <v>74757.820000000007</v>
      </c>
      <c r="P105" s="25">
        <v>37638.61</v>
      </c>
      <c r="Q105" s="28">
        <v>112396.43</v>
      </c>
    </row>
    <row r="106" spans="1:17" x14ac:dyDescent="0.2">
      <c r="A106" s="21" t="s">
        <v>837</v>
      </c>
      <c r="B106" s="21" t="s">
        <v>838</v>
      </c>
      <c r="C106" s="21" t="s">
        <v>18</v>
      </c>
      <c r="D106" s="21" t="s">
        <v>498</v>
      </c>
      <c r="E106" s="22" t="s">
        <v>20</v>
      </c>
      <c r="F106" s="23" t="s">
        <v>644</v>
      </c>
      <c r="G106" s="33" t="s">
        <v>14</v>
      </c>
      <c r="H106" s="25">
        <v>56001.919999999998</v>
      </c>
      <c r="I106" s="26" t="s">
        <v>14</v>
      </c>
      <c r="J106" s="25">
        <v>68776.460000000006</v>
      </c>
      <c r="K106" s="18">
        <v>4216.9799999999996</v>
      </c>
      <c r="L106" s="18">
        <v>4459.66</v>
      </c>
      <c r="M106" s="27">
        <v>1246.56</v>
      </c>
      <c r="N106" s="18"/>
      <c r="O106" s="25">
        <v>78699.66</v>
      </c>
      <c r="P106" s="25">
        <v>33531.440000000002</v>
      </c>
      <c r="Q106" s="28">
        <v>112231.1</v>
      </c>
    </row>
    <row r="107" spans="1:17" x14ac:dyDescent="0.2">
      <c r="A107" s="21" t="s">
        <v>263</v>
      </c>
      <c r="B107" s="21" t="s">
        <v>846</v>
      </c>
      <c r="C107" s="21" t="s">
        <v>208</v>
      </c>
      <c r="D107" s="21" t="s">
        <v>848</v>
      </c>
      <c r="E107" s="22" t="s">
        <v>12</v>
      </c>
      <c r="F107" s="23" t="s">
        <v>850</v>
      </c>
      <c r="G107" s="34" t="s">
        <v>851</v>
      </c>
      <c r="H107" s="25">
        <v>81667.820000000007</v>
      </c>
      <c r="I107" s="25">
        <v>2942</v>
      </c>
      <c r="J107" s="25">
        <v>72122.929999999993</v>
      </c>
      <c r="K107" s="18" t="s">
        <v>3520</v>
      </c>
      <c r="L107" s="18">
        <v>877.5</v>
      </c>
      <c r="M107" s="27" t="s">
        <v>3520</v>
      </c>
      <c r="N107" s="18"/>
      <c r="O107" s="25">
        <v>75942.429999999993</v>
      </c>
      <c r="P107" s="25">
        <v>36180.1</v>
      </c>
      <c r="Q107" s="28">
        <v>112122.53</v>
      </c>
    </row>
    <row r="108" spans="1:17" x14ac:dyDescent="0.2">
      <c r="A108" s="21" t="s">
        <v>852</v>
      </c>
      <c r="B108" s="21" t="s">
        <v>853</v>
      </c>
      <c r="C108" s="21" t="s">
        <v>18</v>
      </c>
      <c r="D108" s="21" t="s">
        <v>450</v>
      </c>
      <c r="E108" s="22" t="s">
        <v>20</v>
      </c>
      <c r="F108" s="23" t="s">
        <v>857</v>
      </c>
      <c r="G108" s="33" t="s">
        <v>14</v>
      </c>
      <c r="H108" s="25">
        <v>63415.56</v>
      </c>
      <c r="I108" s="26" t="s">
        <v>14</v>
      </c>
      <c r="J108" s="25">
        <v>69080.100000000006</v>
      </c>
      <c r="K108" s="18">
        <v>4902.55</v>
      </c>
      <c r="L108" s="18">
        <v>5412.08</v>
      </c>
      <c r="M108" s="27">
        <v>3967.62</v>
      </c>
      <c r="N108" s="18"/>
      <c r="O108" s="25">
        <v>83362.350000000006</v>
      </c>
      <c r="P108" s="25">
        <v>28746.34</v>
      </c>
      <c r="Q108" s="28">
        <v>112108.69</v>
      </c>
    </row>
    <row r="109" spans="1:17" x14ac:dyDescent="0.2">
      <c r="A109" s="21" t="s">
        <v>860</v>
      </c>
      <c r="B109" s="21" t="s">
        <v>120</v>
      </c>
      <c r="C109" s="21" t="s">
        <v>81</v>
      </c>
      <c r="D109" s="21" t="s">
        <v>378</v>
      </c>
      <c r="E109" s="22" t="s">
        <v>20</v>
      </c>
      <c r="F109" s="23" t="s">
        <v>865</v>
      </c>
      <c r="G109" s="33" t="s">
        <v>14</v>
      </c>
      <c r="H109" s="25">
        <v>62963.96</v>
      </c>
      <c r="I109" s="26" t="s">
        <v>14</v>
      </c>
      <c r="J109" s="25">
        <v>60433.97</v>
      </c>
      <c r="K109" s="18">
        <v>14106.59</v>
      </c>
      <c r="L109" s="18">
        <v>4181.41</v>
      </c>
      <c r="M109" s="27" t="s">
        <v>3520</v>
      </c>
      <c r="N109" s="18"/>
      <c r="O109" s="25">
        <v>78721.97</v>
      </c>
      <c r="P109" s="25">
        <v>33264.43</v>
      </c>
      <c r="Q109" s="28">
        <v>111986.4</v>
      </c>
    </row>
    <row r="110" spans="1:17" x14ac:dyDescent="0.2">
      <c r="A110" s="21" t="s">
        <v>868</v>
      </c>
      <c r="B110" s="21" t="s">
        <v>869</v>
      </c>
      <c r="C110" s="21" t="s">
        <v>18</v>
      </c>
      <c r="D110" s="21" t="s">
        <v>450</v>
      </c>
      <c r="E110" s="22" t="s">
        <v>20</v>
      </c>
      <c r="F110" s="23" t="s">
        <v>372</v>
      </c>
      <c r="G110" s="33" t="s">
        <v>14</v>
      </c>
      <c r="H110" s="25">
        <v>65482.559999999998</v>
      </c>
      <c r="I110" s="26" t="s">
        <v>14</v>
      </c>
      <c r="J110" s="25">
        <v>74584.25</v>
      </c>
      <c r="K110" s="18">
        <v>1946.18</v>
      </c>
      <c r="L110" s="18">
        <v>6392.81</v>
      </c>
      <c r="M110" s="27" t="s">
        <v>3520</v>
      </c>
      <c r="N110" s="18"/>
      <c r="O110" s="25">
        <v>82923.240000000005</v>
      </c>
      <c r="P110" s="25">
        <v>28710.94</v>
      </c>
      <c r="Q110" s="28">
        <v>111634.18</v>
      </c>
    </row>
    <row r="111" spans="1:17" x14ac:dyDescent="0.2">
      <c r="A111" s="21" t="s">
        <v>375</v>
      </c>
      <c r="B111" s="21" t="s">
        <v>877</v>
      </c>
      <c r="C111" s="21" t="s">
        <v>129</v>
      </c>
      <c r="D111" s="21" t="s">
        <v>130</v>
      </c>
      <c r="E111" s="22" t="s">
        <v>20</v>
      </c>
      <c r="F111" s="23" t="s">
        <v>881</v>
      </c>
      <c r="G111" s="33" t="s">
        <v>14</v>
      </c>
      <c r="H111" s="25">
        <v>56001.919999999998</v>
      </c>
      <c r="I111" s="26" t="s">
        <v>14</v>
      </c>
      <c r="J111" s="25">
        <v>65615.83</v>
      </c>
      <c r="K111" s="18">
        <v>7807.14</v>
      </c>
      <c r="L111" s="18">
        <v>8218.3799999999992</v>
      </c>
      <c r="M111" s="27">
        <v>618.49</v>
      </c>
      <c r="N111" s="18"/>
      <c r="O111" s="25">
        <v>82259.839999999997</v>
      </c>
      <c r="P111" s="25">
        <v>28964.560000000001</v>
      </c>
      <c r="Q111" s="28">
        <v>111224.4</v>
      </c>
    </row>
    <row r="112" spans="1:17" x14ac:dyDescent="0.2">
      <c r="A112" s="21" t="s">
        <v>884</v>
      </c>
      <c r="B112" s="21" t="s">
        <v>885</v>
      </c>
      <c r="C112" s="21" t="s">
        <v>886</v>
      </c>
      <c r="D112" s="21" t="s">
        <v>887</v>
      </c>
      <c r="E112" s="22" t="s">
        <v>12</v>
      </c>
      <c r="F112" s="23" t="s">
        <v>889</v>
      </c>
      <c r="G112" s="33" t="s">
        <v>14</v>
      </c>
      <c r="H112" s="25">
        <v>69139.199999999997</v>
      </c>
      <c r="I112" s="26" t="s">
        <v>14</v>
      </c>
      <c r="J112" s="25">
        <v>69489.919999999998</v>
      </c>
      <c r="K112" s="18">
        <v>1186.19</v>
      </c>
      <c r="L112" s="18">
        <v>1930</v>
      </c>
      <c r="M112" s="27" t="s">
        <v>3520</v>
      </c>
      <c r="N112" s="18"/>
      <c r="O112" s="25">
        <v>72606.11</v>
      </c>
      <c r="P112" s="25">
        <v>37957</v>
      </c>
      <c r="Q112" s="28">
        <v>110563.11</v>
      </c>
    </row>
    <row r="113" spans="1:17" ht="17" thickBot="1" x14ac:dyDescent="0.25">
      <c r="A113" s="21" t="s">
        <v>892</v>
      </c>
      <c r="B113" s="21" t="s">
        <v>384</v>
      </c>
      <c r="C113" s="21" t="s">
        <v>65</v>
      </c>
      <c r="D113" s="21" t="s">
        <v>594</v>
      </c>
      <c r="E113" s="22" t="s">
        <v>20</v>
      </c>
      <c r="F113" s="23" t="s">
        <v>897</v>
      </c>
      <c r="G113" s="33" t="s">
        <v>14</v>
      </c>
      <c r="H113" s="25">
        <v>66851.199999999997</v>
      </c>
      <c r="I113" s="26" t="s">
        <v>14</v>
      </c>
      <c r="J113" s="25">
        <v>68276.3</v>
      </c>
      <c r="K113" s="18">
        <v>5658.54</v>
      </c>
      <c r="L113" s="18">
        <v>7619.91</v>
      </c>
      <c r="M113" s="27" t="s">
        <v>3520</v>
      </c>
      <c r="N113" s="18"/>
      <c r="O113" s="25">
        <v>81554.75</v>
      </c>
      <c r="P113" s="25">
        <v>28944.33</v>
      </c>
      <c r="Q113" s="28">
        <v>110499.08</v>
      </c>
    </row>
    <row r="114" spans="1:17" x14ac:dyDescent="0.2">
      <c r="A114" s="10" t="s">
        <v>900</v>
      </c>
      <c r="B114" s="10" t="s">
        <v>901</v>
      </c>
      <c r="C114" s="10" t="s">
        <v>886</v>
      </c>
      <c r="D114" s="10" t="s">
        <v>903</v>
      </c>
      <c r="E114" s="11" t="s">
        <v>12</v>
      </c>
      <c r="F114" s="12" t="s">
        <v>905</v>
      </c>
      <c r="G114" s="32" t="s">
        <v>14</v>
      </c>
      <c r="H114" s="14">
        <v>67270.84</v>
      </c>
      <c r="I114" s="15" t="s">
        <v>14</v>
      </c>
      <c r="J114" s="14">
        <v>68698.679999999993</v>
      </c>
      <c r="K114" s="16" t="s">
        <v>3520</v>
      </c>
      <c r="L114" s="16">
        <v>4178.08</v>
      </c>
      <c r="M114" s="17" t="s">
        <v>3520</v>
      </c>
      <c r="N114" s="18"/>
      <c r="O114" s="14">
        <v>72876.759999999995</v>
      </c>
      <c r="P114" s="14">
        <v>37128.92</v>
      </c>
      <c r="Q114" s="20">
        <v>110005.68</v>
      </c>
    </row>
    <row r="115" spans="1:17" x14ac:dyDescent="0.2">
      <c r="A115" s="21" t="s">
        <v>908</v>
      </c>
      <c r="B115" s="21" t="s">
        <v>909</v>
      </c>
      <c r="C115" s="21" t="s">
        <v>145</v>
      </c>
      <c r="D115" s="21" t="s">
        <v>911</v>
      </c>
      <c r="E115" s="22" t="s">
        <v>12</v>
      </c>
      <c r="F115" s="23" t="s">
        <v>913</v>
      </c>
      <c r="G115" s="33" t="s">
        <v>14</v>
      </c>
      <c r="H115" s="25">
        <v>75957.7</v>
      </c>
      <c r="I115" s="26" t="s">
        <v>14</v>
      </c>
      <c r="J115" s="25">
        <v>75817</v>
      </c>
      <c r="K115" s="18" t="s">
        <v>3520</v>
      </c>
      <c r="L115" s="18">
        <v>5164.12</v>
      </c>
      <c r="M115" s="27" t="s">
        <v>3520</v>
      </c>
      <c r="N115" s="18"/>
      <c r="O115" s="25">
        <v>80981.119999999995</v>
      </c>
      <c r="P115" s="25">
        <v>28891.39</v>
      </c>
      <c r="Q115" s="28">
        <v>109872.51</v>
      </c>
    </row>
    <row r="116" spans="1:17" x14ac:dyDescent="0.2">
      <c r="A116" s="21" t="s">
        <v>916</v>
      </c>
      <c r="B116" s="21" t="s">
        <v>917</v>
      </c>
      <c r="C116" s="21" t="s">
        <v>65</v>
      </c>
      <c r="D116" s="21" t="s">
        <v>594</v>
      </c>
      <c r="E116" s="22" t="s">
        <v>20</v>
      </c>
      <c r="F116" s="23" t="s">
        <v>921</v>
      </c>
      <c r="G116" s="33" t="s">
        <v>14</v>
      </c>
      <c r="H116" s="25">
        <v>66851.199999999997</v>
      </c>
      <c r="I116" s="26" t="s">
        <v>14</v>
      </c>
      <c r="J116" s="25">
        <v>68731.09</v>
      </c>
      <c r="K116" s="18">
        <v>4343.08</v>
      </c>
      <c r="L116" s="18">
        <v>3496.7</v>
      </c>
      <c r="M116" s="27" t="s">
        <v>3520</v>
      </c>
      <c r="N116" s="18"/>
      <c r="O116" s="25">
        <v>76570.87</v>
      </c>
      <c r="P116" s="25">
        <v>33203.120000000003</v>
      </c>
      <c r="Q116" s="28">
        <v>109773.99</v>
      </c>
    </row>
    <row r="117" spans="1:17" x14ac:dyDescent="0.2">
      <c r="A117" s="21" t="s">
        <v>924</v>
      </c>
      <c r="B117" s="21" t="s">
        <v>925</v>
      </c>
      <c r="C117" s="21" t="s">
        <v>926</v>
      </c>
      <c r="D117" s="21" t="s">
        <v>927</v>
      </c>
      <c r="E117" s="22" t="s">
        <v>12</v>
      </c>
      <c r="F117" s="23" t="s">
        <v>929</v>
      </c>
      <c r="G117" s="33" t="s">
        <v>14</v>
      </c>
      <c r="H117" s="25">
        <v>85588.1</v>
      </c>
      <c r="I117" s="26" t="s">
        <v>14</v>
      </c>
      <c r="J117" s="25">
        <v>79962.149999999994</v>
      </c>
      <c r="K117" s="18" t="s">
        <v>3520</v>
      </c>
      <c r="L117" s="18">
        <v>800.08</v>
      </c>
      <c r="M117" s="27" t="s">
        <v>3520</v>
      </c>
      <c r="N117" s="18"/>
      <c r="O117" s="18">
        <v>80762.23</v>
      </c>
      <c r="P117" s="25">
        <v>29000.93</v>
      </c>
      <c r="Q117" s="28">
        <v>109763.16</v>
      </c>
    </row>
    <row r="118" spans="1:17" x14ac:dyDescent="0.2">
      <c r="A118" s="21" t="s">
        <v>932</v>
      </c>
      <c r="B118" s="21" t="s">
        <v>933</v>
      </c>
      <c r="C118" s="21" t="s">
        <v>65</v>
      </c>
      <c r="D118" s="21" t="s">
        <v>265</v>
      </c>
      <c r="E118" s="22" t="s">
        <v>20</v>
      </c>
      <c r="F118" s="23" t="s">
        <v>937</v>
      </c>
      <c r="G118" s="33" t="s">
        <v>14</v>
      </c>
      <c r="H118" s="25">
        <v>73299.199999999997</v>
      </c>
      <c r="I118" s="26" t="s">
        <v>14</v>
      </c>
      <c r="J118" s="25">
        <v>74747.38</v>
      </c>
      <c r="K118" s="18">
        <v>2103.29</v>
      </c>
      <c r="L118" s="18">
        <v>3862.25</v>
      </c>
      <c r="M118" s="27" t="s">
        <v>3520</v>
      </c>
      <c r="N118" s="18"/>
      <c r="O118" s="25">
        <v>80712.92</v>
      </c>
      <c r="P118" s="25">
        <v>28802.85</v>
      </c>
      <c r="Q118" s="28">
        <v>109515.77</v>
      </c>
    </row>
    <row r="119" spans="1:17" x14ac:dyDescent="0.2">
      <c r="A119" s="21" t="s">
        <v>647</v>
      </c>
      <c r="B119" s="21" t="s">
        <v>877</v>
      </c>
      <c r="C119" s="21" t="s">
        <v>65</v>
      </c>
      <c r="D119" s="21" t="s">
        <v>594</v>
      </c>
      <c r="E119" s="22" t="s">
        <v>20</v>
      </c>
      <c r="F119" s="23" t="s">
        <v>564</v>
      </c>
      <c r="G119" s="33" t="s">
        <v>14</v>
      </c>
      <c r="H119" s="25">
        <v>56971.199999999997</v>
      </c>
      <c r="I119" s="26" t="s">
        <v>14</v>
      </c>
      <c r="J119" s="25">
        <v>58333.66</v>
      </c>
      <c r="K119" s="18">
        <v>9645.44</v>
      </c>
      <c r="L119" s="18">
        <v>2905.12</v>
      </c>
      <c r="M119" s="27" t="s">
        <v>3520</v>
      </c>
      <c r="N119" s="18"/>
      <c r="O119" s="25">
        <v>70884.22</v>
      </c>
      <c r="P119" s="25">
        <v>37678.93</v>
      </c>
      <c r="Q119" s="28">
        <v>108563.15</v>
      </c>
    </row>
    <row r="120" spans="1:17" x14ac:dyDescent="0.2">
      <c r="A120" s="21" t="s">
        <v>948</v>
      </c>
      <c r="B120" s="21" t="s">
        <v>949</v>
      </c>
      <c r="C120" s="21" t="s">
        <v>81</v>
      </c>
      <c r="D120" s="21" t="s">
        <v>378</v>
      </c>
      <c r="E120" s="22" t="s">
        <v>20</v>
      </c>
      <c r="F120" s="23" t="s">
        <v>953</v>
      </c>
      <c r="G120" s="33" t="s">
        <v>14</v>
      </c>
      <c r="H120" s="25">
        <v>54497.78</v>
      </c>
      <c r="I120" s="26" t="s">
        <v>14</v>
      </c>
      <c r="J120" s="25">
        <v>55299.77</v>
      </c>
      <c r="K120" s="18">
        <v>12202.37</v>
      </c>
      <c r="L120" s="18">
        <v>4173.82</v>
      </c>
      <c r="M120" s="27" t="s">
        <v>3520</v>
      </c>
      <c r="N120" s="18"/>
      <c r="O120" s="25">
        <v>71675.960000000006</v>
      </c>
      <c r="P120" s="25">
        <v>35587.22</v>
      </c>
      <c r="Q120" s="28">
        <v>107263.18</v>
      </c>
    </row>
    <row r="121" spans="1:17" x14ac:dyDescent="0.2">
      <c r="A121" s="21" t="s">
        <v>956</v>
      </c>
      <c r="B121" s="21" t="s">
        <v>957</v>
      </c>
      <c r="C121" s="21" t="s">
        <v>65</v>
      </c>
      <c r="D121" s="21" t="s">
        <v>594</v>
      </c>
      <c r="E121" s="22" t="s">
        <v>20</v>
      </c>
      <c r="F121" s="23" t="s">
        <v>819</v>
      </c>
      <c r="G121" s="33" t="s">
        <v>14</v>
      </c>
      <c r="H121" s="25">
        <v>66601.600000000006</v>
      </c>
      <c r="I121" s="26" t="s">
        <v>14</v>
      </c>
      <c r="J121" s="25">
        <v>67674.17</v>
      </c>
      <c r="K121" s="18">
        <v>4459.4799999999996</v>
      </c>
      <c r="L121" s="18">
        <v>2243.9899999999998</v>
      </c>
      <c r="M121" s="27" t="s">
        <v>3520</v>
      </c>
      <c r="N121" s="18"/>
      <c r="O121" s="25">
        <v>74377.64</v>
      </c>
      <c r="P121" s="25">
        <v>32833.51</v>
      </c>
      <c r="Q121" s="28">
        <v>107211.15</v>
      </c>
    </row>
    <row r="122" spans="1:17" x14ac:dyDescent="0.2">
      <c r="A122" s="21" t="s">
        <v>964</v>
      </c>
      <c r="B122" s="21" t="s">
        <v>965</v>
      </c>
      <c r="C122" s="21" t="s">
        <v>145</v>
      </c>
      <c r="D122" s="21" t="s">
        <v>967</v>
      </c>
      <c r="E122" s="22" t="s">
        <v>12</v>
      </c>
      <c r="F122" s="23" t="s">
        <v>969</v>
      </c>
      <c r="G122" s="33" t="s">
        <v>14</v>
      </c>
      <c r="H122" s="25">
        <v>69056</v>
      </c>
      <c r="I122" s="26" t="s">
        <v>14</v>
      </c>
      <c r="J122" s="25">
        <v>71317.42</v>
      </c>
      <c r="K122" s="18">
        <v>7446.91</v>
      </c>
      <c r="L122" s="25">
        <v>90</v>
      </c>
      <c r="M122" s="27" t="s">
        <v>3520</v>
      </c>
      <c r="N122" s="18"/>
      <c r="O122" s="25">
        <v>78854.33</v>
      </c>
      <c r="P122" s="25">
        <v>28192.240000000002</v>
      </c>
      <c r="Q122" s="28">
        <v>107046.57</v>
      </c>
    </row>
    <row r="123" spans="1:17" x14ac:dyDescent="0.2">
      <c r="A123" s="21" t="s">
        <v>972</v>
      </c>
      <c r="B123" s="21" t="s">
        <v>80</v>
      </c>
      <c r="C123" s="21" t="s">
        <v>81</v>
      </c>
      <c r="D123" s="21" t="s">
        <v>249</v>
      </c>
      <c r="E123" s="22" t="s">
        <v>20</v>
      </c>
      <c r="F123" s="23" t="s">
        <v>380</v>
      </c>
      <c r="G123" s="33" t="s">
        <v>14</v>
      </c>
      <c r="H123" s="25">
        <v>54497.78</v>
      </c>
      <c r="I123" s="26" t="s">
        <v>14</v>
      </c>
      <c r="J123" s="25">
        <v>55810.86</v>
      </c>
      <c r="K123" s="18">
        <v>11350.69</v>
      </c>
      <c r="L123" s="18">
        <v>2475.38</v>
      </c>
      <c r="M123" s="27" t="s">
        <v>3520</v>
      </c>
      <c r="N123" s="18"/>
      <c r="O123" s="25">
        <v>69636.929999999993</v>
      </c>
      <c r="P123" s="25">
        <v>36967.47</v>
      </c>
      <c r="Q123" s="28">
        <v>106604.4</v>
      </c>
    </row>
    <row r="124" spans="1:17" x14ac:dyDescent="0.2">
      <c r="A124" s="21" t="s">
        <v>980</v>
      </c>
      <c r="B124" s="21" t="s">
        <v>981</v>
      </c>
      <c r="C124" s="21" t="s">
        <v>18</v>
      </c>
      <c r="D124" s="21" t="s">
        <v>498</v>
      </c>
      <c r="E124" s="22" t="s">
        <v>20</v>
      </c>
      <c r="F124" s="23" t="s">
        <v>500</v>
      </c>
      <c r="G124" s="33" t="s">
        <v>14</v>
      </c>
      <c r="H124" s="25">
        <v>57820.88</v>
      </c>
      <c r="I124" s="26" t="s">
        <v>14</v>
      </c>
      <c r="J124" s="25">
        <v>71046.53</v>
      </c>
      <c r="K124" s="18">
        <v>4456.01</v>
      </c>
      <c r="L124" s="18">
        <v>3029.54</v>
      </c>
      <c r="M124" s="27" t="s">
        <v>3520</v>
      </c>
      <c r="N124" s="18"/>
      <c r="O124" s="25">
        <v>78532.08</v>
      </c>
      <c r="P124" s="25">
        <v>27684.52</v>
      </c>
      <c r="Q124" s="28">
        <v>106216.6</v>
      </c>
    </row>
    <row r="125" spans="1:17" x14ac:dyDescent="0.2">
      <c r="A125" s="21" t="s">
        <v>988</v>
      </c>
      <c r="B125" s="21" t="s">
        <v>989</v>
      </c>
      <c r="C125" s="21" t="s">
        <v>169</v>
      </c>
      <c r="D125" s="21" t="s">
        <v>991</v>
      </c>
      <c r="E125" s="22" t="s">
        <v>12</v>
      </c>
      <c r="F125" s="23" t="s">
        <v>993</v>
      </c>
      <c r="G125" s="33" t="s">
        <v>14</v>
      </c>
      <c r="H125" s="25">
        <v>78022.62</v>
      </c>
      <c r="I125" s="26" t="s">
        <v>14</v>
      </c>
      <c r="J125" s="25">
        <v>77906.37</v>
      </c>
      <c r="K125" s="18" t="s">
        <v>3520</v>
      </c>
      <c r="L125" s="18">
        <v>170</v>
      </c>
      <c r="M125" s="27" t="s">
        <v>3520</v>
      </c>
      <c r="N125" s="18"/>
      <c r="O125" s="18">
        <v>78076.37</v>
      </c>
      <c r="P125" s="25">
        <v>28068.31</v>
      </c>
      <c r="Q125" s="28">
        <v>106144.68</v>
      </c>
    </row>
    <row r="126" spans="1:17" x14ac:dyDescent="0.2">
      <c r="A126" s="21" t="s">
        <v>996</v>
      </c>
      <c r="B126" s="21" t="s">
        <v>997</v>
      </c>
      <c r="C126" s="21" t="s">
        <v>81</v>
      </c>
      <c r="D126" s="21" t="s">
        <v>378</v>
      </c>
      <c r="E126" s="22" t="s">
        <v>20</v>
      </c>
      <c r="F126" s="23" t="s">
        <v>748</v>
      </c>
      <c r="G126" s="33" t="s">
        <v>14</v>
      </c>
      <c r="H126" s="25">
        <v>54497.78</v>
      </c>
      <c r="I126" s="26" t="s">
        <v>14</v>
      </c>
      <c r="J126" s="25">
        <v>56509.06</v>
      </c>
      <c r="K126" s="18">
        <v>13558.67</v>
      </c>
      <c r="L126" s="18">
        <v>7538.15</v>
      </c>
      <c r="M126" s="27" t="s">
        <v>3520</v>
      </c>
      <c r="N126" s="18"/>
      <c r="O126" s="25">
        <v>77605.88</v>
      </c>
      <c r="P126" s="25">
        <v>27861.41</v>
      </c>
      <c r="Q126" s="28">
        <v>105467.29</v>
      </c>
    </row>
    <row r="127" spans="1:17" x14ac:dyDescent="0.2">
      <c r="A127" s="21" t="s">
        <v>1004</v>
      </c>
      <c r="B127" s="21" t="s">
        <v>1005</v>
      </c>
      <c r="C127" s="21" t="s">
        <v>81</v>
      </c>
      <c r="D127" s="21" t="s">
        <v>378</v>
      </c>
      <c r="E127" s="22" t="s">
        <v>20</v>
      </c>
      <c r="F127" s="23" t="s">
        <v>1009</v>
      </c>
      <c r="G127" s="33" t="s">
        <v>14</v>
      </c>
      <c r="H127" s="25">
        <v>54497.78</v>
      </c>
      <c r="I127" s="26" t="s">
        <v>14</v>
      </c>
      <c r="J127" s="25">
        <v>41513.18</v>
      </c>
      <c r="K127" s="18">
        <v>32734.85</v>
      </c>
      <c r="L127" s="18">
        <v>2363.8200000000002</v>
      </c>
      <c r="M127" s="27" t="s">
        <v>3520</v>
      </c>
      <c r="N127" s="18"/>
      <c r="O127" s="25">
        <v>76611.850000000006</v>
      </c>
      <c r="P127" s="25">
        <v>27647.119999999999</v>
      </c>
      <c r="Q127" s="28">
        <v>104258.97</v>
      </c>
    </row>
    <row r="128" spans="1:17" x14ac:dyDescent="0.2">
      <c r="A128" s="21" t="s">
        <v>1012</v>
      </c>
      <c r="B128" s="21" t="s">
        <v>368</v>
      </c>
      <c r="C128" s="21" t="s">
        <v>65</v>
      </c>
      <c r="D128" s="21" t="s">
        <v>594</v>
      </c>
      <c r="E128" s="22" t="s">
        <v>20</v>
      </c>
      <c r="F128" s="23" t="s">
        <v>1017</v>
      </c>
      <c r="G128" s="33" t="s">
        <v>14</v>
      </c>
      <c r="H128" s="25">
        <v>66851.199999999997</v>
      </c>
      <c r="I128" s="26" t="s">
        <v>14</v>
      </c>
      <c r="J128" s="25">
        <v>66907.66</v>
      </c>
      <c r="K128" s="18">
        <v>5380.6</v>
      </c>
      <c r="L128" s="18">
        <v>4663.6099999999997</v>
      </c>
      <c r="M128" s="27" t="s">
        <v>3520</v>
      </c>
      <c r="N128" s="18"/>
      <c r="O128" s="25">
        <v>76951.87</v>
      </c>
      <c r="P128" s="25">
        <v>26996.16</v>
      </c>
      <c r="Q128" s="28">
        <v>103948.03</v>
      </c>
    </row>
    <row r="129" spans="1:17" x14ac:dyDescent="0.2">
      <c r="A129" s="21" t="s">
        <v>1020</v>
      </c>
      <c r="B129" s="21" t="s">
        <v>933</v>
      </c>
      <c r="C129" s="21" t="s">
        <v>65</v>
      </c>
      <c r="D129" s="21" t="s">
        <v>594</v>
      </c>
      <c r="E129" s="22" t="s">
        <v>20</v>
      </c>
      <c r="F129" s="23" t="s">
        <v>1025</v>
      </c>
      <c r="G129" s="33" t="s">
        <v>14</v>
      </c>
      <c r="H129" s="25">
        <v>60736</v>
      </c>
      <c r="I129" s="26" t="s">
        <v>14</v>
      </c>
      <c r="J129" s="25">
        <v>61495.82</v>
      </c>
      <c r="K129" s="18">
        <v>3585.93</v>
      </c>
      <c r="L129" s="18">
        <v>2985.84</v>
      </c>
      <c r="M129" s="27" t="s">
        <v>3520</v>
      </c>
      <c r="N129" s="18"/>
      <c r="O129" s="25">
        <v>68067.59</v>
      </c>
      <c r="P129" s="25">
        <v>35873.589999999997</v>
      </c>
      <c r="Q129" s="28">
        <v>103941.18</v>
      </c>
    </row>
    <row r="130" spans="1:17" x14ac:dyDescent="0.2">
      <c r="A130" s="21" t="s">
        <v>1028</v>
      </c>
      <c r="B130" s="21" t="s">
        <v>17</v>
      </c>
      <c r="C130" s="21" t="s">
        <v>65</v>
      </c>
      <c r="D130" s="21" t="s">
        <v>594</v>
      </c>
      <c r="E130" s="22" t="s">
        <v>20</v>
      </c>
      <c r="F130" s="23" t="s">
        <v>1033</v>
      </c>
      <c r="G130" s="33" t="s">
        <v>14</v>
      </c>
      <c r="H130" s="25">
        <v>66851.199999999997</v>
      </c>
      <c r="I130" s="26" t="s">
        <v>14</v>
      </c>
      <c r="J130" s="25">
        <v>59460.47</v>
      </c>
      <c r="K130" s="18">
        <v>2842.24</v>
      </c>
      <c r="L130" s="18">
        <v>4354.74</v>
      </c>
      <c r="M130" s="27" t="s">
        <v>3520</v>
      </c>
      <c r="N130" s="18"/>
      <c r="O130" s="25">
        <v>66657.45</v>
      </c>
      <c r="P130" s="25">
        <v>36608.03</v>
      </c>
      <c r="Q130" s="28">
        <v>103265.48</v>
      </c>
    </row>
    <row r="131" spans="1:17" x14ac:dyDescent="0.2">
      <c r="A131" s="21" t="s">
        <v>1036</v>
      </c>
      <c r="B131" s="21" t="s">
        <v>1037</v>
      </c>
      <c r="C131" s="21" t="s">
        <v>65</v>
      </c>
      <c r="D131" s="21" t="s">
        <v>1039</v>
      </c>
      <c r="E131" s="22" t="s">
        <v>12</v>
      </c>
      <c r="F131" s="23" t="s">
        <v>1041</v>
      </c>
      <c r="G131" s="33" t="s">
        <v>14</v>
      </c>
      <c r="H131" s="25">
        <v>63144.12</v>
      </c>
      <c r="I131" s="26" t="s">
        <v>14</v>
      </c>
      <c r="J131" s="25">
        <v>63027.15</v>
      </c>
      <c r="K131" s="18" t="s">
        <v>3520</v>
      </c>
      <c r="L131" s="18">
        <v>4418</v>
      </c>
      <c r="M131" s="27" t="s">
        <v>3520</v>
      </c>
      <c r="N131" s="18"/>
      <c r="O131" s="25">
        <v>67445.149999999994</v>
      </c>
      <c r="P131" s="25">
        <v>35694.75</v>
      </c>
      <c r="Q131" s="28">
        <v>103139.9</v>
      </c>
    </row>
    <row r="132" spans="1:17" x14ac:dyDescent="0.2">
      <c r="A132" s="21" t="s">
        <v>183</v>
      </c>
      <c r="B132" s="21" t="s">
        <v>1045</v>
      </c>
      <c r="C132" s="21" t="s">
        <v>1046</v>
      </c>
      <c r="D132" s="21" t="s">
        <v>1047</v>
      </c>
      <c r="E132" s="22" t="s">
        <v>20</v>
      </c>
      <c r="F132" s="23" t="s">
        <v>1049</v>
      </c>
      <c r="G132" s="34" t="s">
        <v>1050</v>
      </c>
      <c r="H132" s="25">
        <v>67683.199999999997</v>
      </c>
      <c r="I132" s="25">
        <v>6123.05</v>
      </c>
      <c r="J132" s="25">
        <v>58923.11</v>
      </c>
      <c r="K132" s="18">
        <v>4925.87</v>
      </c>
      <c r="L132" s="18">
        <v>6051</v>
      </c>
      <c r="M132" s="27" t="s">
        <v>3520</v>
      </c>
      <c r="N132" s="18"/>
      <c r="O132" s="25">
        <v>76023.03</v>
      </c>
      <c r="P132" s="25">
        <v>27020.6</v>
      </c>
      <c r="Q132" s="28">
        <v>103043.63</v>
      </c>
    </row>
    <row r="133" spans="1:17" x14ac:dyDescent="0.2">
      <c r="A133" s="21" t="s">
        <v>1051</v>
      </c>
      <c r="B133" s="21" t="s">
        <v>1052</v>
      </c>
      <c r="C133" s="21" t="s">
        <v>886</v>
      </c>
      <c r="D133" s="21" t="s">
        <v>1054</v>
      </c>
      <c r="E133" s="22" t="s">
        <v>12</v>
      </c>
      <c r="F133" s="23" t="s">
        <v>1056</v>
      </c>
      <c r="G133" s="33" t="s">
        <v>14</v>
      </c>
      <c r="H133" s="25">
        <v>70414.240000000005</v>
      </c>
      <c r="I133" s="26" t="s">
        <v>14</v>
      </c>
      <c r="J133" s="25">
        <v>65031.73</v>
      </c>
      <c r="K133" s="18">
        <v>702.87</v>
      </c>
      <c r="L133" s="18">
        <v>470</v>
      </c>
      <c r="M133" s="27" t="s">
        <v>3520</v>
      </c>
      <c r="N133" s="18"/>
      <c r="O133" s="25">
        <v>66204.600000000006</v>
      </c>
      <c r="P133" s="25">
        <v>35550.300000000003</v>
      </c>
      <c r="Q133" s="28">
        <v>101754.9</v>
      </c>
    </row>
    <row r="134" spans="1:17" x14ac:dyDescent="0.2">
      <c r="A134" s="21" t="s">
        <v>24</v>
      </c>
      <c r="B134" s="21" t="s">
        <v>1060</v>
      </c>
      <c r="C134" s="21" t="s">
        <v>81</v>
      </c>
      <c r="D134" s="21" t="s">
        <v>378</v>
      </c>
      <c r="E134" s="22" t="s">
        <v>20</v>
      </c>
      <c r="F134" s="23" t="s">
        <v>1064</v>
      </c>
      <c r="G134" s="33" t="s">
        <v>14</v>
      </c>
      <c r="H134" s="25">
        <v>54497.78</v>
      </c>
      <c r="I134" s="26" t="s">
        <v>14</v>
      </c>
      <c r="J134" s="25">
        <v>54890.67</v>
      </c>
      <c r="K134" s="18">
        <v>16879.3</v>
      </c>
      <c r="L134" s="18">
        <v>2832.74</v>
      </c>
      <c r="M134" s="27" t="s">
        <v>3520</v>
      </c>
      <c r="N134" s="18"/>
      <c r="O134" s="25">
        <v>74602.710000000006</v>
      </c>
      <c r="P134" s="25">
        <v>26816.43</v>
      </c>
      <c r="Q134" s="28">
        <v>101419.14</v>
      </c>
    </row>
    <row r="135" spans="1:17" x14ac:dyDescent="0.2">
      <c r="A135" s="21" t="s">
        <v>1067</v>
      </c>
      <c r="B135" s="21" t="s">
        <v>191</v>
      </c>
      <c r="C135" s="21" t="s">
        <v>18</v>
      </c>
      <c r="D135" s="21" t="s">
        <v>498</v>
      </c>
      <c r="E135" s="22" t="s">
        <v>20</v>
      </c>
      <c r="F135" s="23" t="s">
        <v>1072</v>
      </c>
      <c r="G135" s="33" t="s">
        <v>14</v>
      </c>
      <c r="H135" s="25">
        <v>56001.919999999998</v>
      </c>
      <c r="I135" s="26" t="s">
        <v>14</v>
      </c>
      <c r="J135" s="25">
        <v>67791.13</v>
      </c>
      <c r="K135" s="18">
        <v>3070.61</v>
      </c>
      <c r="L135" s="18">
        <v>2745.17</v>
      </c>
      <c r="M135" s="27">
        <v>609.6</v>
      </c>
      <c r="N135" s="18"/>
      <c r="O135" s="25">
        <v>74216.509999999995</v>
      </c>
      <c r="P135" s="25">
        <v>27037.25</v>
      </c>
      <c r="Q135" s="28">
        <v>101253.75999999999</v>
      </c>
    </row>
    <row r="136" spans="1:17" x14ac:dyDescent="0.2">
      <c r="A136" s="21" t="s">
        <v>1075</v>
      </c>
      <c r="B136" s="21" t="s">
        <v>1076</v>
      </c>
      <c r="C136" s="21" t="s">
        <v>81</v>
      </c>
      <c r="D136" s="21" t="s">
        <v>378</v>
      </c>
      <c r="E136" s="22" t="s">
        <v>20</v>
      </c>
      <c r="F136" s="23" t="s">
        <v>1080</v>
      </c>
      <c r="G136" s="33" t="s">
        <v>14</v>
      </c>
      <c r="H136" s="25">
        <v>56525.1</v>
      </c>
      <c r="I136" s="26" t="s">
        <v>14</v>
      </c>
      <c r="J136" s="25">
        <v>44455.199999999997</v>
      </c>
      <c r="K136" s="18">
        <v>19551.259999999998</v>
      </c>
      <c r="L136" s="18">
        <v>2757.48</v>
      </c>
      <c r="M136" s="27" t="s">
        <v>3520</v>
      </c>
      <c r="N136" s="18"/>
      <c r="O136" s="25">
        <v>66763.94</v>
      </c>
      <c r="P136" s="25">
        <v>33878.78</v>
      </c>
      <c r="Q136" s="28">
        <v>100642.72</v>
      </c>
    </row>
    <row r="137" spans="1:17" x14ac:dyDescent="0.2">
      <c r="A137" s="21" t="s">
        <v>1083</v>
      </c>
      <c r="B137" s="21" t="s">
        <v>120</v>
      </c>
      <c r="C137" s="21" t="s">
        <v>65</v>
      </c>
      <c r="D137" s="21" t="s">
        <v>594</v>
      </c>
      <c r="E137" s="22" t="s">
        <v>20</v>
      </c>
      <c r="F137" s="23" t="s">
        <v>1088</v>
      </c>
      <c r="G137" s="33" t="s">
        <v>14</v>
      </c>
      <c r="H137" s="25">
        <v>56971.199999999997</v>
      </c>
      <c r="I137" s="26" t="s">
        <v>14</v>
      </c>
      <c r="J137" s="25">
        <v>56347.3</v>
      </c>
      <c r="K137" s="18">
        <v>3773.25</v>
      </c>
      <c r="L137" s="18">
        <v>4358.87</v>
      </c>
      <c r="M137" s="27" t="s">
        <v>3520</v>
      </c>
      <c r="N137" s="18"/>
      <c r="O137" s="25">
        <v>64479.42</v>
      </c>
      <c r="P137" s="25">
        <v>36067.03</v>
      </c>
      <c r="Q137" s="28">
        <v>100546.45</v>
      </c>
    </row>
    <row r="138" spans="1:17" x14ac:dyDescent="0.2">
      <c r="A138" s="21" t="s">
        <v>719</v>
      </c>
      <c r="B138" s="21" t="s">
        <v>1092</v>
      </c>
      <c r="C138" s="21" t="s">
        <v>65</v>
      </c>
      <c r="D138" s="21" t="s">
        <v>594</v>
      </c>
      <c r="E138" s="22" t="s">
        <v>20</v>
      </c>
      <c r="F138" s="23" t="s">
        <v>1096</v>
      </c>
      <c r="G138" s="33" t="s">
        <v>14</v>
      </c>
      <c r="H138" s="25">
        <v>60736</v>
      </c>
      <c r="I138" s="26" t="s">
        <v>14</v>
      </c>
      <c r="J138" s="25">
        <v>62067.68</v>
      </c>
      <c r="K138" s="18">
        <v>444.67</v>
      </c>
      <c r="L138" s="18">
        <v>2720.15</v>
      </c>
      <c r="M138" s="27" t="s">
        <v>3520</v>
      </c>
      <c r="N138" s="18"/>
      <c r="O138" s="25">
        <v>65232.5</v>
      </c>
      <c r="P138" s="25">
        <v>35159.9</v>
      </c>
      <c r="Q138" s="28">
        <v>100392.4</v>
      </c>
    </row>
    <row r="139" spans="1:17" x14ac:dyDescent="0.2">
      <c r="A139" s="21" t="s">
        <v>1099</v>
      </c>
      <c r="B139" s="21" t="s">
        <v>1100</v>
      </c>
      <c r="C139" s="21" t="s">
        <v>81</v>
      </c>
      <c r="D139" s="21" t="s">
        <v>378</v>
      </c>
      <c r="E139" s="22" t="s">
        <v>20</v>
      </c>
      <c r="F139" s="23" t="s">
        <v>1104</v>
      </c>
      <c r="G139" s="33" t="s">
        <v>14</v>
      </c>
      <c r="H139" s="25">
        <v>52543.17</v>
      </c>
      <c r="I139" s="26" t="s">
        <v>14</v>
      </c>
      <c r="J139" s="25">
        <v>46069.72</v>
      </c>
      <c r="K139" s="18">
        <v>24262.42</v>
      </c>
      <c r="L139" s="18">
        <v>3271.15</v>
      </c>
      <c r="M139" s="27" t="s">
        <v>3520</v>
      </c>
      <c r="N139" s="18"/>
      <c r="O139" s="25">
        <v>73603.289999999994</v>
      </c>
      <c r="P139" s="25">
        <v>26567.64</v>
      </c>
      <c r="Q139" s="28">
        <v>100170.93</v>
      </c>
    </row>
    <row r="140" spans="1:17" x14ac:dyDescent="0.2">
      <c r="A140" s="21" t="s">
        <v>1107</v>
      </c>
      <c r="B140" s="21" t="s">
        <v>552</v>
      </c>
      <c r="C140" s="21" t="s">
        <v>65</v>
      </c>
      <c r="D140" s="21" t="s">
        <v>594</v>
      </c>
      <c r="E140" s="22" t="s">
        <v>20</v>
      </c>
      <c r="F140" s="23" t="s">
        <v>819</v>
      </c>
      <c r="G140" s="33" t="s">
        <v>14</v>
      </c>
      <c r="H140" s="25">
        <v>60736</v>
      </c>
      <c r="I140" s="26" t="s">
        <v>14</v>
      </c>
      <c r="J140" s="25">
        <v>62331.82</v>
      </c>
      <c r="K140" s="18">
        <v>6859.47</v>
      </c>
      <c r="L140" s="18">
        <v>3886.46</v>
      </c>
      <c r="M140" s="27" t="s">
        <v>3520</v>
      </c>
      <c r="N140" s="18"/>
      <c r="O140" s="25">
        <v>73077.75</v>
      </c>
      <c r="P140" s="25">
        <v>26931.74</v>
      </c>
      <c r="Q140" s="28">
        <v>100009.49</v>
      </c>
    </row>
    <row r="141" spans="1:17" x14ac:dyDescent="0.2">
      <c r="A141" s="21" t="s">
        <v>1115</v>
      </c>
      <c r="B141" s="21" t="s">
        <v>384</v>
      </c>
      <c r="C141" s="21" t="s">
        <v>81</v>
      </c>
      <c r="D141" s="21" t="s">
        <v>1118</v>
      </c>
      <c r="E141" s="22" t="s">
        <v>20</v>
      </c>
      <c r="F141" s="23" t="s">
        <v>684</v>
      </c>
      <c r="G141" s="33" t="s">
        <v>14</v>
      </c>
      <c r="H141" s="25">
        <v>64852.88</v>
      </c>
      <c r="I141" s="26" t="s">
        <v>14</v>
      </c>
      <c r="J141" s="25">
        <v>65487.43</v>
      </c>
      <c r="K141" s="18">
        <v>5029</v>
      </c>
      <c r="L141" s="18">
        <v>2430.27</v>
      </c>
      <c r="M141" s="27" t="s">
        <v>3520</v>
      </c>
      <c r="N141" s="18"/>
      <c r="O141" s="25">
        <v>72946.7</v>
      </c>
      <c r="P141" s="25">
        <v>27037.91</v>
      </c>
      <c r="Q141" s="28">
        <v>99984.61</v>
      </c>
    </row>
    <row r="142" spans="1:17" x14ac:dyDescent="0.2">
      <c r="A142" s="21" t="s">
        <v>1123</v>
      </c>
      <c r="B142" s="21" t="s">
        <v>1124</v>
      </c>
      <c r="C142" s="21" t="s">
        <v>256</v>
      </c>
      <c r="D142" s="21" t="s">
        <v>1126</v>
      </c>
      <c r="E142" s="22" t="s">
        <v>12</v>
      </c>
      <c r="F142" s="23" t="s">
        <v>1128</v>
      </c>
      <c r="G142" s="33" t="s">
        <v>14</v>
      </c>
      <c r="H142" s="25">
        <v>69172.479999999996</v>
      </c>
      <c r="I142" s="26" t="s">
        <v>14</v>
      </c>
      <c r="J142" s="25">
        <v>69101.7</v>
      </c>
      <c r="K142" s="18" t="s">
        <v>3520</v>
      </c>
      <c r="L142" s="18">
        <v>3305.45</v>
      </c>
      <c r="M142" s="27" t="s">
        <v>3520</v>
      </c>
      <c r="N142" s="18"/>
      <c r="O142" s="25">
        <v>72407.149999999994</v>
      </c>
      <c r="P142" s="25">
        <v>26571.21</v>
      </c>
      <c r="Q142" s="28">
        <v>98978.36</v>
      </c>
    </row>
    <row r="143" spans="1:17" x14ac:dyDescent="0.2">
      <c r="A143" s="21" t="s">
        <v>1131</v>
      </c>
      <c r="B143" s="21" t="s">
        <v>1132</v>
      </c>
      <c r="C143" s="21" t="s">
        <v>169</v>
      </c>
      <c r="D143" s="21" t="s">
        <v>1134</v>
      </c>
      <c r="E143" s="22" t="s">
        <v>12</v>
      </c>
      <c r="F143" s="23" t="s">
        <v>1136</v>
      </c>
      <c r="G143" s="33" t="s">
        <v>14</v>
      </c>
      <c r="H143" s="25">
        <v>68369.600000000006</v>
      </c>
      <c r="I143" s="26" t="s">
        <v>14</v>
      </c>
      <c r="J143" s="25">
        <v>68195.58</v>
      </c>
      <c r="K143" s="18">
        <v>195.89</v>
      </c>
      <c r="L143" s="18">
        <v>3690</v>
      </c>
      <c r="M143" s="27" t="s">
        <v>3520</v>
      </c>
      <c r="N143" s="18"/>
      <c r="O143" s="25">
        <v>72081.47</v>
      </c>
      <c r="P143" s="25">
        <v>26869.03</v>
      </c>
      <c r="Q143" s="28">
        <v>98950.5</v>
      </c>
    </row>
    <row r="144" spans="1:17" x14ac:dyDescent="0.2">
      <c r="A144" s="21" t="s">
        <v>1139</v>
      </c>
      <c r="B144" s="21" t="s">
        <v>1140</v>
      </c>
      <c r="C144" s="21" t="s">
        <v>65</v>
      </c>
      <c r="D144" s="21" t="s">
        <v>594</v>
      </c>
      <c r="E144" s="22" t="s">
        <v>20</v>
      </c>
      <c r="F144" s="23" t="s">
        <v>492</v>
      </c>
      <c r="G144" s="33" t="s">
        <v>14</v>
      </c>
      <c r="H144" s="25">
        <v>56971.199999999997</v>
      </c>
      <c r="I144" s="26" t="s">
        <v>14</v>
      </c>
      <c r="J144" s="25">
        <v>58106.67</v>
      </c>
      <c r="K144" s="18">
        <v>2946.99</v>
      </c>
      <c r="L144" s="18">
        <v>2743.49</v>
      </c>
      <c r="M144" s="27" t="s">
        <v>3520</v>
      </c>
      <c r="N144" s="18"/>
      <c r="O144" s="25">
        <v>63797.15</v>
      </c>
      <c r="P144" s="25">
        <v>35104.86</v>
      </c>
      <c r="Q144" s="28">
        <v>98902.01</v>
      </c>
    </row>
    <row r="145" spans="1:17" x14ac:dyDescent="0.2">
      <c r="A145" s="21" t="s">
        <v>1147</v>
      </c>
      <c r="B145" s="21" t="s">
        <v>80</v>
      </c>
      <c r="C145" s="21" t="s">
        <v>65</v>
      </c>
      <c r="D145" s="21" t="s">
        <v>1150</v>
      </c>
      <c r="E145" s="22" t="s">
        <v>20</v>
      </c>
      <c r="F145" s="23" t="s">
        <v>1152</v>
      </c>
      <c r="G145" s="34" t="s">
        <v>1153</v>
      </c>
      <c r="H145" s="25">
        <v>66601.600000000006</v>
      </c>
      <c r="I145" s="25">
        <v>8466.09</v>
      </c>
      <c r="J145" s="25">
        <v>44902.81</v>
      </c>
      <c r="K145" s="18">
        <v>16179.41</v>
      </c>
      <c r="L145" s="18">
        <v>5190.1899999999996</v>
      </c>
      <c r="M145" s="27" t="s">
        <v>3520</v>
      </c>
      <c r="N145" s="18"/>
      <c r="O145" s="25">
        <v>74738.5</v>
      </c>
      <c r="P145" s="25">
        <v>24147.5</v>
      </c>
      <c r="Q145" s="28">
        <v>98886</v>
      </c>
    </row>
    <row r="146" spans="1:17" x14ac:dyDescent="0.2">
      <c r="A146" s="21" t="s">
        <v>1154</v>
      </c>
      <c r="B146" s="21" t="s">
        <v>1155</v>
      </c>
      <c r="C146" s="21" t="s">
        <v>65</v>
      </c>
      <c r="D146" s="21" t="s">
        <v>1157</v>
      </c>
      <c r="E146" s="22" t="s">
        <v>12</v>
      </c>
      <c r="F146" s="23" t="s">
        <v>1159</v>
      </c>
      <c r="G146" s="33" t="s">
        <v>14</v>
      </c>
      <c r="H146" s="25">
        <v>62670.400000000001</v>
      </c>
      <c r="I146" s="26" t="s">
        <v>14</v>
      </c>
      <c r="J146" s="25">
        <v>63581.55</v>
      </c>
      <c r="K146" s="18">
        <v>2406.7600000000002</v>
      </c>
      <c r="L146" s="18">
        <v>6245.55</v>
      </c>
      <c r="M146" s="27" t="s">
        <v>3520</v>
      </c>
      <c r="N146" s="18"/>
      <c r="O146" s="25">
        <v>72233.86</v>
      </c>
      <c r="P146" s="25">
        <v>26635.200000000001</v>
      </c>
      <c r="Q146" s="28">
        <v>98869.06</v>
      </c>
    </row>
    <row r="147" spans="1:17" x14ac:dyDescent="0.2">
      <c r="A147" s="21" t="s">
        <v>1162</v>
      </c>
      <c r="B147" s="21" t="s">
        <v>1076</v>
      </c>
      <c r="C147" s="21" t="s">
        <v>65</v>
      </c>
      <c r="D147" s="21" t="s">
        <v>594</v>
      </c>
      <c r="E147" s="22" t="s">
        <v>20</v>
      </c>
      <c r="F147" s="23" t="s">
        <v>1025</v>
      </c>
      <c r="G147" s="33" t="s">
        <v>14</v>
      </c>
      <c r="H147" s="25">
        <v>60736</v>
      </c>
      <c r="I147" s="26" t="s">
        <v>14</v>
      </c>
      <c r="J147" s="25">
        <v>61914.26</v>
      </c>
      <c r="K147" s="18">
        <v>2335.6999999999998</v>
      </c>
      <c r="L147" s="18">
        <v>2915.42</v>
      </c>
      <c r="M147" s="27" t="s">
        <v>3520</v>
      </c>
      <c r="N147" s="18"/>
      <c r="O147" s="25">
        <v>67165.38</v>
      </c>
      <c r="P147" s="25">
        <v>31690.12</v>
      </c>
      <c r="Q147" s="28">
        <v>98855.5</v>
      </c>
    </row>
    <row r="148" spans="1:17" x14ac:dyDescent="0.2">
      <c r="A148" s="21" t="s">
        <v>1170</v>
      </c>
      <c r="B148" s="21" t="s">
        <v>1171</v>
      </c>
      <c r="C148" s="21" t="s">
        <v>65</v>
      </c>
      <c r="D148" s="21" t="s">
        <v>594</v>
      </c>
      <c r="E148" s="22" t="s">
        <v>20</v>
      </c>
      <c r="F148" s="23" t="s">
        <v>492</v>
      </c>
      <c r="G148" s="33" t="s">
        <v>14</v>
      </c>
      <c r="H148" s="25">
        <v>56971.199999999997</v>
      </c>
      <c r="I148" s="26" t="s">
        <v>14</v>
      </c>
      <c r="J148" s="25">
        <v>57678.67</v>
      </c>
      <c r="K148" s="18">
        <v>7423.59</v>
      </c>
      <c r="L148" s="18">
        <v>2618.5300000000002</v>
      </c>
      <c r="M148" s="27" t="s">
        <v>3520</v>
      </c>
      <c r="N148" s="18"/>
      <c r="O148" s="25">
        <v>67720.789999999994</v>
      </c>
      <c r="P148" s="25">
        <v>30959.87</v>
      </c>
      <c r="Q148" s="28">
        <v>98680.66</v>
      </c>
    </row>
    <row r="149" spans="1:17" x14ac:dyDescent="0.2">
      <c r="A149" s="21" t="s">
        <v>1178</v>
      </c>
      <c r="B149" s="21" t="s">
        <v>1179</v>
      </c>
      <c r="C149" s="21" t="s">
        <v>65</v>
      </c>
      <c r="D149" s="21" t="s">
        <v>594</v>
      </c>
      <c r="E149" s="22" t="s">
        <v>20</v>
      </c>
      <c r="F149" s="23" t="s">
        <v>556</v>
      </c>
      <c r="G149" s="33" t="s">
        <v>14</v>
      </c>
      <c r="H149" s="25">
        <v>58822.400000000001</v>
      </c>
      <c r="I149" s="26" t="s">
        <v>14</v>
      </c>
      <c r="J149" s="25">
        <v>58989.07</v>
      </c>
      <c r="K149" s="18">
        <v>4665.9799999999996</v>
      </c>
      <c r="L149" s="18">
        <v>3037.54</v>
      </c>
      <c r="M149" s="27" t="s">
        <v>3520</v>
      </c>
      <c r="N149" s="18"/>
      <c r="O149" s="25">
        <v>66692.59</v>
      </c>
      <c r="P149" s="25">
        <v>31824.91</v>
      </c>
      <c r="Q149" s="28">
        <v>98517.5</v>
      </c>
    </row>
    <row r="150" spans="1:17" x14ac:dyDescent="0.2">
      <c r="A150" s="21" t="s">
        <v>1186</v>
      </c>
      <c r="B150" s="21" t="s">
        <v>1187</v>
      </c>
      <c r="C150" s="21" t="s">
        <v>65</v>
      </c>
      <c r="D150" s="21" t="s">
        <v>594</v>
      </c>
      <c r="E150" s="22" t="s">
        <v>20</v>
      </c>
      <c r="F150" s="23" t="s">
        <v>1191</v>
      </c>
      <c r="G150" s="33" t="s">
        <v>14</v>
      </c>
      <c r="H150" s="25">
        <v>62691.199999999997</v>
      </c>
      <c r="I150" s="26" t="s">
        <v>14</v>
      </c>
      <c r="J150" s="25">
        <v>63545.919999999998</v>
      </c>
      <c r="K150" s="18">
        <v>3441.26</v>
      </c>
      <c r="L150" s="18">
        <v>4324.05</v>
      </c>
      <c r="M150" s="27" t="s">
        <v>3520</v>
      </c>
      <c r="N150" s="18"/>
      <c r="O150" s="25">
        <v>71311.23</v>
      </c>
      <c r="P150" s="25">
        <v>26512.28</v>
      </c>
      <c r="Q150" s="28">
        <v>97823.51</v>
      </c>
    </row>
    <row r="151" spans="1:17" x14ac:dyDescent="0.2">
      <c r="A151" s="21" t="s">
        <v>303</v>
      </c>
      <c r="B151" s="21" t="s">
        <v>1195</v>
      </c>
      <c r="C151" s="21" t="s">
        <v>824</v>
      </c>
      <c r="D151" s="21" t="s">
        <v>1197</v>
      </c>
      <c r="E151" s="22" t="s">
        <v>12</v>
      </c>
      <c r="F151" s="23" t="s">
        <v>1199</v>
      </c>
      <c r="G151" s="33" t="s">
        <v>14</v>
      </c>
      <c r="H151" s="25">
        <v>68588</v>
      </c>
      <c r="I151" s="26" t="s">
        <v>14</v>
      </c>
      <c r="J151" s="25">
        <v>68460.94</v>
      </c>
      <c r="K151" s="18" t="s">
        <v>3520</v>
      </c>
      <c r="L151" s="18">
        <v>2844.16</v>
      </c>
      <c r="M151" s="27" t="s">
        <v>3520</v>
      </c>
      <c r="N151" s="18"/>
      <c r="O151" s="25">
        <v>71305.100000000006</v>
      </c>
      <c r="P151" s="25">
        <v>26406.98</v>
      </c>
      <c r="Q151" s="28">
        <v>97712.08</v>
      </c>
    </row>
    <row r="152" spans="1:17" x14ac:dyDescent="0.2">
      <c r="A152" s="21" t="s">
        <v>868</v>
      </c>
      <c r="B152" s="21" t="s">
        <v>1203</v>
      </c>
      <c r="C152" s="21" t="s">
        <v>81</v>
      </c>
      <c r="D152" s="21" t="s">
        <v>1205</v>
      </c>
      <c r="E152" s="22" t="s">
        <v>20</v>
      </c>
      <c r="F152" s="23" t="s">
        <v>1080</v>
      </c>
      <c r="G152" s="33" t="s">
        <v>14</v>
      </c>
      <c r="H152" s="25">
        <v>64852.88</v>
      </c>
      <c r="I152" s="26" t="s">
        <v>14</v>
      </c>
      <c r="J152" s="25">
        <v>64921.79</v>
      </c>
      <c r="K152" s="18">
        <v>2403.6799999999998</v>
      </c>
      <c r="L152" s="18">
        <v>3810</v>
      </c>
      <c r="M152" s="27" t="s">
        <v>3520</v>
      </c>
      <c r="N152" s="18"/>
      <c r="O152" s="25">
        <v>71135.47</v>
      </c>
      <c r="P152" s="25">
        <v>26531.95</v>
      </c>
      <c r="Q152" s="28">
        <v>97667.42</v>
      </c>
    </row>
    <row r="153" spans="1:17" x14ac:dyDescent="0.2">
      <c r="A153" s="21" t="s">
        <v>1210</v>
      </c>
      <c r="B153" s="21" t="s">
        <v>1211</v>
      </c>
      <c r="C153" s="21" t="s">
        <v>81</v>
      </c>
      <c r="D153" s="21" t="s">
        <v>378</v>
      </c>
      <c r="E153" s="22" t="s">
        <v>20</v>
      </c>
      <c r="F153" s="23" t="s">
        <v>1064</v>
      </c>
      <c r="G153" s="33" t="s">
        <v>14</v>
      </c>
      <c r="H153" s="25">
        <v>41180.93</v>
      </c>
      <c r="I153" s="26" t="s">
        <v>14</v>
      </c>
      <c r="J153" s="25">
        <v>32597.88</v>
      </c>
      <c r="K153" s="18">
        <v>27675.46</v>
      </c>
      <c r="L153" s="18">
        <v>2769.85</v>
      </c>
      <c r="M153" s="27" t="s">
        <v>3520</v>
      </c>
      <c r="N153" s="18"/>
      <c r="O153" s="25">
        <v>63043.19</v>
      </c>
      <c r="P153" s="25">
        <v>34436.660000000003</v>
      </c>
      <c r="Q153" s="28">
        <v>97479.85</v>
      </c>
    </row>
    <row r="154" spans="1:17" x14ac:dyDescent="0.2">
      <c r="A154" s="21" t="s">
        <v>1218</v>
      </c>
      <c r="B154" s="21" t="s">
        <v>1219</v>
      </c>
      <c r="C154" s="21" t="s">
        <v>65</v>
      </c>
      <c r="D154" s="21" t="s">
        <v>594</v>
      </c>
      <c r="E154" s="22" t="s">
        <v>20</v>
      </c>
      <c r="F154" s="23" t="s">
        <v>1104</v>
      </c>
      <c r="G154" s="33" t="s">
        <v>14</v>
      </c>
      <c r="H154" s="25">
        <v>60590.400000000001</v>
      </c>
      <c r="I154" s="26" t="s">
        <v>14</v>
      </c>
      <c r="J154" s="25">
        <v>61879.4</v>
      </c>
      <c r="K154" s="18">
        <v>1709.08</v>
      </c>
      <c r="L154" s="18">
        <v>3197.37</v>
      </c>
      <c r="M154" s="27" t="s">
        <v>3520</v>
      </c>
      <c r="N154" s="18"/>
      <c r="O154" s="25">
        <v>66785.850000000006</v>
      </c>
      <c r="P154" s="25">
        <v>30683.17</v>
      </c>
      <c r="Q154" s="28">
        <v>97469.02</v>
      </c>
    </row>
    <row r="155" spans="1:17" x14ac:dyDescent="0.2">
      <c r="A155" s="21" t="s">
        <v>1226</v>
      </c>
      <c r="B155" s="21" t="s">
        <v>1227</v>
      </c>
      <c r="C155" s="21" t="s">
        <v>886</v>
      </c>
      <c r="D155" s="21" t="s">
        <v>1229</v>
      </c>
      <c r="E155" s="22" t="s">
        <v>12</v>
      </c>
      <c r="F155" s="23" t="s">
        <v>1231</v>
      </c>
      <c r="G155" s="33" t="s">
        <v>14</v>
      </c>
      <c r="H155" s="25">
        <v>59009.599999999999</v>
      </c>
      <c r="I155" s="26" t="s">
        <v>14</v>
      </c>
      <c r="J155" s="25">
        <v>59690.42</v>
      </c>
      <c r="K155" s="18">
        <v>2013</v>
      </c>
      <c r="L155" s="18">
        <v>1170</v>
      </c>
      <c r="M155" s="27" t="s">
        <v>3520</v>
      </c>
      <c r="N155" s="18"/>
      <c r="O155" s="25">
        <v>62873.42</v>
      </c>
      <c r="P155" s="25">
        <v>34543.26</v>
      </c>
      <c r="Q155" s="28">
        <v>97416.68</v>
      </c>
    </row>
    <row r="156" spans="1:17" x14ac:dyDescent="0.2">
      <c r="A156" s="21" t="s">
        <v>1234</v>
      </c>
      <c r="B156" s="21" t="s">
        <v>680</v>
      </c>
      <c r="C156" s="21" t="s">
        <v>65</v>
      </c>
      <c r="D156" s="21" t="s">
        <v>594</v>
      </c>
      <c r="E156" s="22" t="s">
        <v>20</v>
      </c>
      <c r="F156" s="23" t="s">
        <v>1239</v>
      </c>
      <c r="G156" s="33" t="s">
        <v>14</v>
      </c>
      <c r="H156" s="25">
        <v>56971.199999999997</v>
      </c>
      <c r="I156" s="26" t="s">
        <v>14</v>
      </c>
      <c r="J156" s="25">
        <v>57652.639999999999</v>
      </c>
      <c r="K156" s="18">
        <v>1570.46</v>
      </c>
      <c r="L156" s="18">
        <v>3432.77</v>
      </c>
      <c r="M156" s="27" t="s">
        <v>3520</v>
      </c>
      <c r="N156" s="18"/>
      <c r="O156" s="25">
        <v>62655.87</v>
      </c>
      <c r="P156" s="25">
        <v>34555.49</v>
      </c>
      <c r="Q156" s="28">
        <v>97211.36</v>
      </c>
    </row>
    <row r="157" spans="1:17" x14ac:dyDescent="0.2">
      <c r="A157" s="21" t="s">
        <v>1242</v>
      </c>
      <c r="B157" s="21" t="s">
        <v>592</v>
      </c>
      <c r="C157" s="21" t="s">
        <v>281</v>
      </c>
      <c r="D157" s="21" t="s">
        <v>1245</v>
      </c>
      <c r="E157" s="22" t="s">
        <v>12</v>
      </c>
      <c r="F157" s="23" t="s">
        <v>1247</v>
      </c>
      <c r="G157" s="33" t="s">
        <v>14</v>
      </c>
      <c r="H157" s="25">
        <v>64064</v>
      </c>
      <c r="I157" s="26" t="s">
        <v>14</v>
      </c>
      <c r="J157" s="25">
        <v>64656.09</v>
      </c>
      <c r="K157" s="18">
        <v>3567.98</v>
      </c>
      <c r="L157" s="18">
        <v>2114</v>
      </c>
      <c r="M157" s="27" t="s">
        <v>3520</v>
      </c>
      <c r="N157" s="18"/>
      <c r="O157" s="25">
        <v>70338.070000000007</v>
      </c>
      <c r="P157" s="25">
        <v>26203.66</v>
      </c>
      <c r="Q157" s="28">
        <v>96541.73</v>
      </c>
    </row>
    <row r="158" spans="1:17" x14ac:dyDescent="0.2">
      <c r="A158" s="21" t="s">
        <v>868</v>
      </c>
      <c r="B158" s="21" t="s">
        <v>632</v>
      </c>
      <c r="C158" s="21" t="s">
        <v>1252</v>
      </c>
      <c r="D158" s="21" t="s">
        <v>1253</v>
      </c>
      <c r="E158" s="22" t="s">
        <v>12</v>
      </c>
      <c r="F158" s="23" t="s">
        <v>1255</v>
      </c>
      <c r="G158" s="33" t="s">
        <v>14</v>
      </c>
      <c r="H158" s="25">
        <v>60257.599999999999</v>
      </c>
      <c r="I158" s="26" t="s">
        <v>14</v>
      </c>
      <c r="J158" s="25">
        <v>61211.43</v>
      </c>
      <c r="K158" s="18">
        <v>991.51</v>
      </c>
      <c r="L158" s="18">
        <v>5646.16</v>
      </c>
      <c r="M158" s="27" t="s">
        <v>3520</v>
      </c>
      <c r="N158" s="18"/>
      <c r="O158" s="25">
        <v>67849.100000000006</v>
      </c>
      <c r="P158" s="25">
        <v>27943.53</v>
      </c>
      <c r="Q158" s="28">
        <v>95792.63</v>
      </c>
    </row>
    <row r="159" spans="1:17" x14ac:dyDescent="0.2">
      <c r="A159" s="21" t="s">
        <v>1258</v>
      </c>
      <c r="B159" s="21" t="s">
        <v>1259</v>
      </c>
      <c r="C159" s="21" t="s">
        <v>1260</v>
      </c>
      <c r="D159" s="21" t="s">
        <v>1261</v>
      </c>
      <c r="E159" s="22" t="s">
        <v>12</v>
      </c>
      <c r="F159" s="23" t="s">
        <v>1263</v>
      </c>
      <c r="G159" s="34" t="s">
        <v>1264</v>
      </c>
      <c r="H159" s="25">
        <v>142345.32</v>
      </c>
      <c r="I159" s="25">
        <v>15876.98</v>
      </c>
      <c r="J159" s="25">
        <v>54536.11</v>
      </c>
      <c r="K159" s="18" t="s">
        <v>3520</v>
      </c>
      <c r="L159" s="18">
        <v>442.5</v>
      </c>
      <c r="M159" s="27" t="s">
        <v>3520</v>
      </c>
      <c r="N159" s="18"/>
      <c r="O159" s="18">
        <v>70855.59</v>
      </c>
      <c r="P159" s="25">
        <v>24773.95</v>
      </c>
      <c r="Q159" s="28">
        <v>95629.54</v>
      </c>
    </row>
    <row r="160" spans="1:17" x14ac:dyDescent="0.2">
      <c r="A160" s="21" t="s">
        <v>1265</v>
      </c>
      <c r="B160" s="21" t="s">
        <v>1124</v>
      </c>
      <c r="C160" s="21" t="s">
        <v>65</v>
      </c>
      <c r="D160" s="21" t="s">
        <v>1268</v>
      </c>
      <c r="E160" s="22" t="s">
        <v>12</v>
      </c>
      <c r="F160" s="23" t="s">
        <v>1191</v>
      </c>
      <c r="G160" s="33" t="s">
        <v>14</v>
      </c>
      <c r="H160" s="25">
        <v>67288</v>
      </c>
      <c r="I160" s="26" t="s">
        <v>14</v>
      </c>
      <c r="J160" s="25">
        <v>67494.31</v>
      </c>
      <c r="K160" s="18">
        <v>621.82000000000005</v>
      </c>
      <c r="L160" s="18">
        <v>1227</v>
      </c>
      <c r="M160" s="27" t="s">
        <v>3520</v>
      </c>
      <c r="N160" s="18"/>
      <c r="O160" s="25">
        <v>69343.13</v>
      </c>
      <c r="P160" s="25">
        <v>26072.6</v>
      </c>
      <c r="Q160" s="28">
        <v>95415.73</v>
      </c>
    </row>
    <row r="161" spans="1:17" x14ac:dyDescent="0.2">
      <c r="A161" s="21" t="s">
        <v>1273</v>
      </c>
      <c r="B161" s="21" t="s">
        <v>1274</v>
      </c>
      <c r="C161" s="21" t="s">
        <v>256</v>
      </c>
      <c r="D161" s="21" t="s">
        <v>1126</v>
      </c>
      <c r="E161" s="22" t="s">
        <v>12</v>
      </c>
      <c r="F161" s="23" t="s">
        <v>219</v>
      </c>
      <c r="G161" s="33" t="s">
        <v>14</v>
      </c>
      <c r="H161" s="25">
        <v>67862.080000000002</v>
      </c>
      <c r="I161" s="26" t="s">
        <v>14</v>
      </c>
      <c r="J161" s="25">
        <v>67736.37</v>
      </c>
      <c r="K161" s="18" t="s">
        <v>3520</v>
      </c>
      <c r="L161" s="18">
        <v>1886</v>
      </c>
      <c r="M161" s="27" t="s">
        <v>3520</v>
      </c>
      <c r="N161" s="18"/>
      <c r="O161" s="25">
        <v>69622.37</v>
      </c>
      <c r="P161" s="25">
        <v>25643.99</v>
      </c>
      <c r="Q161" s="28">
        <v>95266.36</v>
      </c>
    </row>
    <row r="162" spans="1:17" x14ac:dyDescent="0.2">
      <c r="A162" s="21" t="s">
        <v>1281</v>
      </c>
      <c r="B162" s="21" t="s">
        <v>1282</v>
      </c>
      <c r="C162" s="21" t="s">
        <v>1283</v>
      </c>
      <c r="D162" s="21" t="s">
        <v>1284</v>
      </c>
      <c r="E162" s="22" t="s">
        <v>12</v>
      </c>
      <c r="F162" s="23" t="s">
        <v>1286</v>
      </c>
      <c r="G162" s="33" t="s">
        <v>14</v>
      </c>
      <c r="H162" s="25">
        <v>66181.179999999993</v>
      </c>
      <c r="I162" s="26" t="s">
        <v>14</v>
      </c>
      <c r="J162" s="25">
        <v>66058.58</v>
      </c>
      <c r="K162" s="18" t="s">
        <v>3520</v>
      </c>
      <c r="L162" s="18">
        <v>3055</v>
      </c>
      <c r="M162" s="27" t="s">
        <v>3520</v>
      </c>
      <c r="N162" s="18"/>
      <c r="O162" s="25">
        <v>69113.58</v>
      </c>
      <c r="P162" s="25">
        <v>26077.23</v>
      </c>
      <c r="Q162" s="28">
        <v>95190.81</v>
      </c>
    </row>
    <row r="163" spans="1:17" x14ac:dyDescent="0.2">
      <c r="A163" s="21" t="s">
        <v>1289</v>
      </c>
      <c r="B163" s="21" t="s">
        <v>1290</v>
      </c>
      <c r="C163" s="21" t="s">
        <v>1291</v>
      </c>
      <c r="D163" s="21" t="s">
        <v>1292</v>
      </c>
      <c r="E163" s="22" t="s">
        <v>12</v>
      </c>
      <c r="F163" s="23" t="s">
        <v>1294</v>
      </c>
      <c r="G163" s="33" t="s">
        <v>14</v>
      </c>
      <c r="H163" s="25">
        <v>63193.78</v>
      </c>
      <c r="I163" s="26" t="s">
        <v>14</v>
      </c>
      <c r="J163" s="25">
        <v>63576.72</v>
      </c>
      <c r="K163" s="18" t="s">
        <v>3520</v>
      </c>
      <c r="L163" s="18">
        <v>1200</v>
      </c>
      <c r="M163" s="27" t="s">
        <v>3520</v>
      </c>
      <c r="N163" s="18"/>
      <c r="O163" s="25">
        <v>64776.72</v>
      </c>
      <c r="P163" s="25">
        <v>30094.32</v>
      </c>
      <c r="Q163" s="28">
        <v>94871.039999999994</v>
      </c>
    </row>
    <row r="164" spans="1:17" x14ac:dyDescent="0.2">
      <c r="A164" s="21" t="s">
        <v>1297</v>
      </c>
      <c r="B164" s="21" t="s">
        <v>917</v>
      </c>
      <c r="C164" s="21" t="s">
        <v>65</v>
      </c>
      <c r="D164" s="21" t="s">
        <v>594</v>
      </c>
      <c r="E164" s="22" t="s">
        <v>20</v>
      </c>
      <c r="F164" s="23" t="s">
        <v>492</v>
      </c>
      <c r="G164" s="33" t="s">
        <v>14</v>
      </c>
      <c r="H164" s="25">
        <v>56971.199999999997</v>
      </c>
      <c r="I164" s="26" t="s">
        <v>14</v>
      </c>
      <c r="J164" s="25">
        <v>58108.31</v>
      </c>
      <c r="K164" s="18">
        <v>3984.46</v>
      </c>
      <c r="L164" s="18">
        <v>2129.3000000000002</v>
      </c>
      <c r="M164" s="27" t="s">
        <v>3520</v>
      </c>
      <c r="N164" s="18"/>
      <c r="O164" s="25">
        <v>64222.07</v>
      </c>
      <c r="P164" s="25">
        <v>30181.97</v>
      </c>
      <c r="Q164" s="28">
        <v>94404.04</v>
      </c>
    </row>
    <row r="165" spans="1:17" x14ac:dyDescent="0.2">
      <c r="A165" s="21" t="s">
        <v>1305</v>
      </c>
      <c r="B165" s="21" t="s">
        <v>1259</v>
      </c>
      <c r="C165" s="21" t="s">
        <v>65</v>
      </c>
      <c r="D165" s="21" t="s">
        <v>594</v>
      </c>
      <c r="E165" s="22" t="s">
        <v>20</v>
      </c>
      <c r="F165" s="23" t="s">
        <v>850</v>
      </c>
      <c r="G165" s="33" t="s">
        <v>14</v>
      </c>
      <c r="H165" s="25">
        <v>58822.400000000001</v>
      </c>
      <c r="I165" s="26" t="s">
        <v>14</v>
      </c>
      <c r="J165" s="25">
        <v>60004.41</v>
      </c>
      <c r="K165" s="18">
        <v>4830.8999999999996</v>
      </c>
      <c r="L165" s="18">
        <v>3718.98</v>
      </c>
      <c r="M165" s="27" t="s">
        <v>3520</v>
      </c>
      <c r="N165" s="18"/>
      <c r="O165" s="25">
        <v>68554.289999999994</v>
      </c>
      <c r="P165" s="25">
        <v>25629.61</v>
      </c>
      <c r="Q165" s="28">
        <v>94183.9</v>
      </c>
    </row>
    <row r="166" spans="1:17" x14ac:dyDescent="0.2">
      <c r="A166" s="21" t="s">
        <v>1313</v>
      </c>
      <c r="B166" s="21" t="s">
        <v>1314</v>
      </c>
      <c r="C166" s="21" t="s">
        <v>1315</v>
      </c>
      <c r="D166" s="21" t="s">
        <v>1316</v>
      </c>
      <c r="E166" s="22" t="s">
        <v>12</v>
      </c>
      <c r="F166" s="23" t="s">
        <v>1318</v>
      </c>
      <c r="G166" s="33" t="s">
        <v>14</v>
      </c>
      <c r="H166" s="25">
        <v>66713.14</v>
      </c>
      <c r="I166" s="26" t="s">
        <v>14</v>
      </c>
      <c r="J166" s="25">
        <v>66589.56</v>
      </c>
      <c r="K166" s="18" t="s">
        <v>3520</v>
      </c>
      <c r="L166" s="18">
        <v>1282.08</v>
      </c>
      <c r="M166" s="27" t="s">
        <v>3520</v>
      </c>
      <c r="N166" s="18"/>
      <c r="O166" s="25">
        <v>67871.64</v>
      </c>
      <c r="P166" s="25">
        <v>25818.26</v>
      </c>
      <c r="Q166" s="28">
        <v>93689.9</v>
      </c>
    </row>
    <row r="167" spans="1:17" x14ac:dyDescent="0.2">
      <c r="A167" s="21" t="s">
        <v>1321</v>
      </c>
      <c r="B167" s="21" t="s">
        <v>1259</v>
      </c>
      <c r="C167" s="21" t="s">
        <v>1323</v>
      </c>
      <c r="D167" s="21" t="s">
        <v>1324</v>
      </c>
      <c r="E167" s="22" t="s">
        <v>12</v>
      </c>
      <c r="F167" s="23" t="s">
        <v>1326</v>
      </c>
      <c r="G167" s="33" t="s">
        <v>14</v>
      </c>
      <c r="H167" s="25">
        <v>57782.400000000001</v>
      </c>
      <c r="I167" s="26" t="s">
        <v>14</v>
      </c>
      <c r="J167" s="25">
        <v>58018.29</v>
      </c>
      <c r="K167" s="18">
        <v>1462.91</v>
      </c>
      <c r="L167" s="18">
        <v>170</v>
      </c>
      <c r="M167" s="27" t="s">
        <v>3520</v>
      </c>
      <c r="N167" s="18"/>
      <c r="O167" s="25">
        <v>59651.199999999997</v>
      </c>
      <c r="P167" s="25">
        <v>33915.79</v>
      </c>
      <c r="Q167" s="28">
        <v>93566.99</v>
      </c>
    </row>
    <row r="168" spans="1:17" x14ac:dyDescent="0.2">
      <c r="A168" s="21" t="s">
        <v>1329</v>
      </c>
      <c r="B168" s="21" t="s">
        <v>1330</v>
      </c>
      <c r="C168" s="21" t="s">
        <v>208</v>
      </c>
      <c r="D168" s="21" t="s">
        <v>1332</v>
      </c>
      <c r="E168" s="22" t="s">
        <v>12</v>
      </c>
      <c r="F168" s="23" t="s">
        <v>1334</v>
      </c>
      <c r="G168" s="33" t="s">
        <v>14</v>
      </c>
      <c r="H168" s="25">
        <v>54204.800000000003</v>
      </c>
      <c r="I168" s="26" t="s">
        <v>14</v>
      </c>
      <c r="J168" s="25">
        <v>55381.79</v>
      </c>
      <c r="K168" s="18">
        <v>1504.3</v>
      </c>
      <c r="L168" s="18">
        <v>5158.1400000000003</v>
      </c>
      <c r="M168" s="27" t="s">
        <v>3520</v>
      </c>
      <c r="N168" s="18"/>
      <c r="O168" s="25">
        <v>62044.23</v>
      </c>
      <c r="P168" s="25">
        <v>31521.74</v>
      </c>
      <c r="Q168" s="28">
        <v>93565.97</v>
      </c>
    </row>
    <row r="169" spans="1:17" ht="17" thickBot="1" x14ac:dyDescent="0.25">
      <c r="A169" s="21" t="s">
        <v>868</v>
      </c>
      <c r="B169" s="21" t="s">
        <v>1338</v>
      </c>
      <c r="C169" s="21" t="s">
        <v>81</v>
      </c>
      <c r="D169" s="21" t="s">
        <v>378</v>
      </c>
      <c r="E169" s="22" t="s">
        <v>20</v>
      </c>
      <c r="F169" s="23" t="s">
        <v>1088</v>
      </c>
      <c r="G169" s="33" t="s">
        <v>14</v>
      </c>
      <c r="H169" s="25">
        <v>54497.78</v>
      </c>
      <c r="I169" s="26" t="s">
        <v>14</v>
      </c>
      <c r="J169" s="25">
        <v>54880.71</v>
      </c>
      <c r="K169" s="18">
        <v>7091.76</v>
      </c>
      <c r="L169" s="18">
        <v>911.57</v>
      </c>
      <c r="M169" s="27" t="s">
        <v>3520</v>
      </c>
      <c r="N169" s="18"/>
      <c r="O169" s="25">
        <v>62884.04</v>
      </c>
      <c r="P169" s="25">
        <v>30558.66</v>
      </c>
      <c r="Q169" s="28">
        <v>93442.7</v>
      </c>
    </row>
    <row r="170" spans="1:17" x14ac:dyDescent="0.2">
      <c r="A170" s="10" t="s">
        <v>1345</v>
      </c>
      <c r="B170" s="10" t="s">
        <v>885</v>
      </c>
      <c r="C170" s="10" t="s">
        <v>65</v>
      </c>
      <c r="D170" s="10" t="s">
        <v>594</v>
      </c>
      <c r="E170" s="11" t="s">
        <v>20</v>
      </c>
      <c r="F170" s="12" t="s">
        <v>1350</v>
      </c>
      <c r="G170" s="32" t="s">
        <v>14</v>
      </c>
      <c r="H170" s="14">
        <v>58822.400000000001</v>
      </c>
      <c r="I170" s="15" t="s">
        <v>14</v>
      </c>
      <c r="J170" s="14">
        <v>60071.25</v>
      </c>
      <c r="K170" s="16">
        <v>4284.6499999999996</v>
      </c>
      <c r="L170" s="16">
        <v>3260.58</v>
      </c>
      <c r="M170" s="17" t="s">
        <v>3520</v>
      </c>
      <c r="N170" s="18"/>
      <c r="O170" s="14">
        <v>67616.479999999996</v>
      </c>
      <c r="P170" s="14">
        <v>25610.35</v>
      </c>
      <c r="Q170" s="20">
        <v>93226.83</v>
      </c>
    </row>
    <row r="171" spans="1:17" x14ac:dyDescent="0.2">
      <c r="A171" s="21" t="s">
        <v>1353</v>
      </c>
      <c r="B171" s="21" t="s">
        <v>1354</v>
      </c>
      <c r="C171" s="21" t="s">
        <v>137</v>
      </c>
      <c r="D171" s="21" t="s">
        <v>1356</v>
      </c>
      <c r="E171" s="22" t="s">
        <v>12</v>
      </c>
      <c r="F171" s="23" t="s">
        <v>1358</v>
      </c>
      <c r="G171" s="33" t="s">
        <v>14</v>
      </c>
      <c r="H171" s="25">
        <v>57886.400000000001</v>
      </c>
      <c r="I171" s="26" t="s">
        <v>14</v>
      </c>
      <c r="J171" s="25">
        <v>58308.42</v>
      </c>
      <c r="K171" s="18">
        <v>2666.51</v>
      </c>
      <c r="L171" s="18">
        <v>1633</v>
      </c>
      <c r="M171" s="27" t="s">
        <v>3520</v>
      </c>
      <c r="N171" s="18"/>
      <c r="O171" s="25">
        <v>62607.93</v>
      </c>
      <c r="P171" s="25">
        <v>30516.71</v>
      </c>
      <c r="Q171" s="28">
        <v>93124.64</v>
      </c>
    </row>
    <row r="172" spans="1:17" x14ac:dyDescent="0.2">
      <c r="A172" s="21" t="s">
        <v>1361</v>
      </c>
      <c r="B172" s="21" t="s">
        <v>592</v>
      </c>
      <c r="C172" s="21" t="s">
        <v>81</v>
      </c>
      <c r="D172" s="21" t="s">
        <v>378</v>
      </c>
      <c r="E172" s="22" t="s">
        <v>20</v>
      </c>
      <c r="F172" s="23" t="s">
        <v>1366</v>
      </c>
      <c r="G172" s="33" t="s">
        <v>14</v>
      </c>
      <c r="H172" s="25">
        <v>52543.17</v>
      </c>
      <c r="I172" s="26" t="s">
        <v>14</v>
      </c>
      <c r="J172" s="25">
        <v>53240.94</v>
      </c>
      <c r="K172" s="18">
        <v>10698.16</v>
      </c>
      <c r="L172" s="18">
        <v>3075.22</v>
      </c>
      <c r="M172" s="27" t="s">
        <v>3520</v>
      </c>
      <c r="N172" s="18"/>
      <c r="O172" s="25">
        <v>67014.320000000007</v>
      </c>
      <c r="P172" s="25">
        <v>25571.439999999999</v>
      </c>
      <c r="Q172" s="28">
        <v>92585.76</v>
      </c>
    </row>
    <row r="173" spans="1:17" x14ac:dyDescent="0.2">
      <c r="A173" s="21" t="s">
        <v>1369</v>
      </c>
      <c r="B173" s="21" t="s">
        <v>1370</v>
      </c>
      <c r="C173" s="21" t="s">
        <v>1371</v>
      </c>
      <c r="D173" s="21" t="s">
        <v>1372</v>
      </c>
      <c r="E173" s="22" t="s">
        <v>12</v>
      </c>
      <c r="F173" s="23" t="s">
        <v>1374</v>
      </c>
      <c r="G173" s="34" t="s">
        <v>1375</v>
      </c>
      <c r="H173" s="25">
        <v>85720.960000000006</v>
      </c>
      <c r="I173" s="25">
        <v>974.66</v>
      </c>
      <c r="J173" s="18">
        <v>65811.48</v>
      </c>
      <c r="K173" s="18" t="s">
        <v>3520</v>
      </c>
      <c r="L173" s="18">
        <v>1852.08</v>
      </c>
      <c r="M173" s="27" t="s">
        <v>3520</v>
      </c>
      <c r="N173" s="18"/>
      <c r="O173" s="25">
        <v>68638.22</v>
      </c>
      <c r="P173" s="25">
        <v>23455.4</v>
      </c>
      <c r="Q173" s="28">
        <v>92093.62</v>
      </c>
    </row>
    <row r="174" spans="1:17" x14ac:dyDescent="0.2">
      <c r="A174" s="21" t="s">
        <v>1376</v>
      </c>
      <c r="B174" s="21" t="s">
        <v>1377</v>
      </c>
      <c r="C174" s="21" t="s">
        <v>1371</v>
      </c>
      <c r="D174" s="21" t="s">
        <v>1379</v>
      </c>
      <c r="E174" s="22" t="s">
        <v>12</v>
      </c>
      <c r="F174" s="23" t="s">
        <v>1381</v>
      </c>
      <c r="G174" s="33" t="s">
        <v>14</v>
      </c>
      <c r="H174" s="25">
        <v>62732.800000000003</v>
      </c>
      <c r="I174" s="26" t="s">
        <v>14</v>
      </c>
      <c r="J174" s="25">
        <v>62634.83</v>
      </c>
      <c r="K174" s="18">
        <v>50.79</v>
      </c>
      <c r="L174" s="25">
        <v>3390.66</v>
      </c>
      <c r="M174" s="27" t="s">
        <v>3520</v>
      </c>
      <c r="N174" s="18"/>
      <c r="O174" s="25">
        <v>66076.28</v>
      </c>
      <c r="P174" s="25">
        <v>25356.54</v>
      </c>
      <c r="Q174" s="28">
        <v>91432.82</v>
      </c>
    </row>
    <row r="175" spans="1:17" x14ac:dyDescent="0.2">
      <c r="A175" s="21" t="s">
        <v>1384</v>
      </c>
      <c r="B175" s="21" t="s">
        <v>1385</v>
      </c>
      <c r="C175" s="21" t="s">
        <v>97</v>
      </c>
      <c r="D175" s="21" t="s">
        <v>1387</v>
      </c>
      <c r="E175" s="22" t="s">
        <v>12</v>
      </c>
      <c r="F175" s="23" t="s">
        <v>1326</v>
      </c>
      <c r="G175" s="33" t="s">
        <v>14</v>
      </c>
      <c r="H175" s="25">
        <v>65137.279999999999</v>
      </c>
      <c r="I175" s="26" t="s">
        <v>14</v>
      </c>
      <c r="J175" s="25">
        <v>65016.62</v>
      </c>
      <c r="K175" s="18" t="s">
        <v>3520</v>
      </c>
      <c r="L175" s="18">
        <v>120</v>
      </c>
      <c r="M175" s="27" t="s">
        <v>3520</v>
      </c>
      <c r="N175" s="18"/>
      <c r="O175" s="18">
        <v>65136.62</v>
      </c>
      <c r="P175" s="25">
        <v>24684.65</v>
      </c>
      <c r="Q175" s="28">
        <v>89821.27</v>
      </c>
    </row>
    <row r="176" spans="1:17" x14ac:dyDescent="0.2">
      <c r="A176" s="21" t="s">
        <v>1392</v>
      </c>
      <c r="B176" s="21" t="s">
        <v>1393</v>
      </c>
      <c r="C176" s="21" t="s">
        <v>65</v>
      </c>
      <c r="D176" s="21" t="s">
        <v>594</v>
      </c>
      <c r="E176" s="22" t="s">
        <v>20</v>
      </c>
      <c r="F176" s="23" t="s">
        <v>1397</v>
      </c>
      <c r="G176" s="33" t="s">
        <v>14</v>
      </c>
      <c r="H176" s="25">
        <v>56971.199999999997</v>
      </c>
      <c r="I176" s="26" t="s">
        <v>14</v>
      </c>
      <c r="J176" s="25">
        <v>58432.69</v>
      </c>
      <c r="K176" s="18">
        <v>3390.63</v>
      </c>
      <c r="L176" s="18">
        <v>2896.27</v>
      </c>
      <c r="M176" s="27" t="s">
        <v>3520</v>
      </c>
      <c r="N176" s="18"/>
      <c r="O176" s="25">
        <v>64719.59</v>
      </c>
      <c r="P176" s="25">
        <v>24923.4</v>
      </c>
      <c r="Q176" s="28">
        <v>89642.99</v>
      </c>
    </row>
    <row r="177" spans="1:17" x14ac:dyDescent="0.2">
      <c r="A177" s="21" t="s">
        <v>1400</v>
      </c>
      <c r="B177" s="21" t="s">
        <v>1401</v>
      </c>
      <c r="C177" s="21" t="s">
        <v>65</v>
      </c>
      <c r="D177" s="21" t="s">
        <v>594</v>
      </c>
      <c r="E177" s="22" t="s">
        <v>20</v>
      </c>
      <c r="F177" s="23" t="s">
        <v>1405</v>
      </c>
      <c r="G177" s="33" t="s">
        <v>14</v>
      </c>
      <c r="H177" s="25">
        <v>55307.199999999997</v>
      </c>
      <c r="I177" s="26" t="s">
        <v>14</v>
      </c>
      <c r="J177" s="25">
        <v>57226.47</v>
      </c>
      <c r="K177" s="18">
        <v>4304.91</v>
      </c>
      <c r="L177" s="18">
        <v>3033.92</v>
      </c>
      <c r="M177" s="27" t="s">
        <v>3520</v>
      </c>
      <c r="N177" s="18"/>
      <c r="O177" s="25">
        <v>64565.3</v>
      </c>
      <c r="P177" s="25">
        <v>24918.75</v>
      </c>
      <c r="Q177" s="28">
        <v>89484.05</v>
      </c>
    </row>
    <row r="178" spans="1:17" x14ac:dyDescent="0.2">
      <c r="A178" s="21" t="s">
        <v>1154</v>
      </c>
      <c r="B178" s="21" t="s">
        <v>1409</v>
      </c>
      <c r="C178" s="21" t="s">
        <v>886</v>
      </c>
      <c r="D178" s="21" t="s">
        <v>1411</v>
      </c>
      <c r="E178" s="22" t="s">
        <v>12</v>
      </c>
      <c r="F178" s="23" t="s">
        <v>1413</v>
      </c>
      <c r="G178" s="33" t="s">
        <v>14</v>
      </c>
      <c r="H178" s="25">
        <v>53684.800000000003</v>
      </c>
      <c r="I178" s="26" t="s">
        <v>14</v>
      </c>
      <c r="J178" s="25">
        <v>54240.87</v>
      </c>
      <c r="K178" s="18">
        <v>340.74</v>
      </c>
      <c r="L178" s="18">
        <v>4508</v>
      </c>
      <c r="M178" s="27" t="s">
        <v>3520</v>
      </c>
      <c r="N178" s="18"/>
      <c r="O178" s="25">
        <v>59089.61</v>
      </c>
      <c r="P178" s="25">
        <v>29982.61</v>
      </c>
      <c r="Q178" s="28">
        <v>89072.22</v>
      </c>
    </row>
    <row r="179" spans="1:17" x14ac:dyDescent="0.2">
      <c r="A179" s="21" t="s">
        <v>1416</v>
      </c>
      <c r="B179" s="21" t="s">
        <v>1417</v>
      </c>
      <c r="C179" s="21" t="s">
        <v>81</v>
      </c>
      <c r="D179" s="21" t="s">
        <v>1419</v>
      </c>
      <c r="E179" s="22" t="s">
        <v>20</v>
      </c>
      <c r="F179" s="23" t="s">
        <v>516</v>
      </c>
      <c r="G179" s="33" t="s">
        <v>14</v>
      </c>
      <c r="H179" s="25">
        <v>38294.699999999997</v>
      </c>
      <c r="I179" s="26" t="s">
        <v>14</v>
      </c>
      <c r="J179" s="25">
        <v>39810.94</v>
      </c>
      <c r="K179" s="18">
        <v>20955.45</v>
      </c>
      <c r="L179" s="18">
        <v>3100.89</v>
      </c>
      <c r="M179" s="27" t="s">
        <v>3520</v>
      </c>
      <c r="N179" s="18"/>
      <c r="O179" s="25">
        <v>63867.28</v>
      </c>
      <c r="P179" s="25">
        <v>24764.33</v>
      </c>
      <c r="Q179" s="28">
        <v>88631.61</v>
      </c>
    </row>
    <row r="180" spans="1:17" x14ac:dyDescent="0.2">
      <c r="A180" s="21" t="s">
        <v>375</v>
      </c>
      <c r="B180" s="21" t="s">
        <v>1425</v>
      </c>
      <c r="C180" s="21" t="s">
        <v>1046</v>
      </c>
      <c r="D180" s="21" t="s">
        <v>1427</v>
      </c>
      <c r="E180" s="22" t="s">
        <v>12</v>
      </c>
      <c r="F180" s="23" t="s">
        <v>1429</v>
      </c>
      <c r="G180" s="33" t="s">
        <v>14</v>
      </c>
      <c r="H180" s="25">
        <v>57824</v>
      </c>
      <c r="I180" s="26" t="s">
        <v>14</v>
      </c>
      <c r="J180" s="25">
        <v>58030.55</v>
      </c>
      <c r="K180" s="18">
        <v>3012.79</v>
      </c>
      <c r="L180" s="18">
        <v>2612.73</v>
      </c>
      <c r="M180" s="27" t="s">
        <v>3520</v>
      </c>
      <c r="N180" s="18"/>
      <c r="O180" s="25">
        <v>63656.07</v>
      </c>
      <c r="P180" s="25">
        <v>24529.89</v>
      </c>
      <c r="Q180" s="28">
        <v>88185.96</v>
      </c>
    </row>
    <row r="181" spans="1:17" x14ac:dyDescent="0.2">
      <c r="A181" s="21" t="s">
        <v>1432</v>
      </c>
      <c r="B181" s="21" t="s">
        <v>1433</v>
      </c>
      <c r="C181" s="21" t="s">
        <v>1252</v>
      </c>
      <c r="D181" s="21" t="s">
        <v>1435</v>
      </c>
      <c r="E181" s="22" t="s">
        <v>12</v>
      </c>
      <c r="F181" s="23" t="s">
        <v>1437</v>
      </c>
      <c r="G181" s="33" t="s">
        <v>14</v>
      </c>
      <c r="H181" s="25">
        <v>51625.599999999999</v>
      </c>
      <c r="I181" s="26" t="s">
        <v>14</v>
      </c>
      <c r="J181" s="25">
        <v>51853.78</v>
      </c>
      <c r="K181" s="18">
        <v>111.04</v>
      </c>
      <c r="L181" s="18">
        <v>5519.61</v>
      </c>
      <c r="M181" s="27" t="s">
        <v>3520</v>
      </c>
      <c r="N181" s="18"/>
      <c r="O181" s="25">
        <v>57484.43</v>
      </c>
      <c r="P181" s="25">
        <v>30296.84</v>
      </c>
      <c r="Q181" s="28">
        <v>87781.27</v>
      </c>
    </row>
    <row r="182" spans="1:17" x14ac:dyDescent="0.2">
      <c r="A182" s="21" t="s">
        <v>1440</v>
      </c>
      <c r="B182" s="21" t="s">
        <v>1441</v>
      </c>
      <c r="C182" s="21" t="s">
        <v>1442</v>
      </c>
      <c r="D182" s="21" t="s">
        <v>1443</v>
      </c>
      <c r="E182" s="22" t="s">
        <v>12</v>
      </c>
      <c r="F182" s="23" t="s">
        <v>1445</v>
      </c>
      <c r="G182" s="33" t="s">
        <v>14</v>
      </c>
      <c r="H182" s="25">
        <v>64402.52</v>
      </c>
      <c r="I182" s="26" t="s">
        <v>14</v>
      </c>
      <c r="J182" s="25">
        <v>58347.68</v>
      </c>
      <c r="K182" s="18">
        <v>1878.77</v>
      </c>
      <c r="L182" s="18">
        <v>2902</v>
      </c>
      <c r="M182" s="27" t="s">
        <v>3520</v>
      </c>
      <c r="N182" s="18"/>
      <c r="O182" s="25">
        <v>63128.45</v>
      </c>
      <c r="P182" s="25">
        <v>24600.52</v>
      </c>
      <c r="Q182" s="28">
        <v>87728.97</v>
      </c>
    </row>
    <row r="183" spans="1:17" x14ac:dyDescent="0.2">
      <c r="A183" s="21" t="s">
        <v>1448</v>
      </c>
      <c r="B183" s="21" t="s">
        <v>1449</v>
      </c>
      <c r="C183" s="21" t="s">
        <v>240</v>
      </c>
      <c r="D183" s="21" t="s">
        <v>1451</v>
      </c>
      <c r="E183" s="22" t="s">
        <v>12</v>
      </c>
      <c r="F183" s="23" t="s">
        <v>1453</v>
      </c>
      <c r="G183" s="33" t="s">
        <v>14</v>
      </c>
      <c r="H183" s="25">
        <v>63036.22</v>
      </c>
      <c r="I183" s="26" t="s">
        <v>14</v>
      </c>
      <c r="J183" s="25">
        <v>62919.45</v>
      </c>
      <c r="K183" s="18" t="s">
        <v>3520</v>
      </c>
      <c r="L183" s="25">
        <v>30</v>
      </c>
      <c r="M183" s="27" t="s">
        <v>3520</v>
      </c>
      <c r="N183" s="18"/>
      <c r="O183" s="25">
        <v>62949.45</v>
      </c>
      <c r="P183" s="25">
        <v>24605.99</v>
      </c>
      <c r="Q183" s="28">
        <v>87555.44</v>
      </c>
    </row>
    <row r="184" spans="1:17" x14ac:dyDescent="0.2">
      <c r="A184" s="21" t="s">
        <v>1456</v>
      </c>
      <c r="B184" s="21" t="s">
        <v>1219</v>
      </c>
      <c r="C184" s="21" t="s">
        <v>617</v>
      </c>
      <c r="D184" s="21" t="s">
        <v>1459</v>
      </c>
      <c r="E184" s="22" t="s">
        <v>12</v>
      </c>
      <c r="F184" s="23" t="s">
        <v>1461</v>
      </c>
      <c r="G184" s="33" t="s">
        <v>14</v>
      </c>
      <c r="H184" s="25">
        <v>64000.04</v>
      </c>
      <c r="I184" s="26" t="s">
        <v>14</v>
      </c>
      <c r="J184" s="25">
        <v>61812.86</v>
      </c>
      <c r="K184" s="18">
        <v>514.4</v>
      </c>
      <c r="L184" s="18">
        <v>585</v>
      </c>
      <c r="M184" s="27" t="s">
        <v>3520</v>
      </c>
      <c r="N184" s="18"/>
      <c r="O184" s="25">
        <v>62912.26</v>
      </c>
      <c r="P184" s="25">
        <v>24585.97</v>
      </c>
      <c r="Q184" s="28">
        <v>87498.23</v>
      </c>
    </row>
    <row r="185" spans="1:17" x14ac:dyDescent="0.2">
      <c r="A185" s="21" t="s">
        <v>1464</v>
      </c>
      <c r="B185" s="21" t="s">
        <v>1465</v>
      </c>
      <c r="C185" s="21" t="s">
        <v>705</v>
      </c>
      <c r="D185" s="21" t="s">
        <v>1467</v>
      </c>
      <c r="E185" s="22" t="s">
        <v>12</v>
      </c>
      <c r="F185" s="23" t="s">
        <v>1469</v>
      </c>
      <c r="G185" s="33" t="s">
        <v>14</v>
      </c>
      <c r="H185" s="25">
        <v>53976</v>
      </c>
      <c r="I185" s="26" t="s">
        <v>14</v>
      </c>
      <c r="J185" s="25">
        <v>53611.37</v>
      </c>
      <c r="K185" s="18">
        <v>347.25</v>
      </c>
      <c r="L185" s="18">
        <v>3601.08</v>
      </c>
      <c r="M185" s="27" t="s">
        <v>3520</v>
      </c>
      <c r="N185" s="18"/>
      <c r="O185" s="25">
        <v>57559.7</v>
      </c>
      <c r="P185" s="25">
        <v>29741</v>
      </c>
      <c r="Q185" s="28">
        <v>87300.7</v>
      </c>
    </row>
    <row r="186" spans="1:17" x14ac:dyDescent="0.2">
      <c r="A186" s="21" t="s">
        <v>1472</v>
      </c>
      <c r="B186" s="21" t="s">
        <v>544</v>
      </c>
      <c r="C186" s="21" t="s">
        <v>1474</v>
      </c>
      <c r="D186" s="21" t="s">
        <v>1475</v>
      </c>
      <c r="E186" s="22" t="s">
        <v>12</v>
      </c>
      <c r="F186" s="23" t="s">
        <v>1326</v>
      </c>
      <c r="G186" s="33" t="s">
        <v>14</v>
      </c>
      <c r="H186" s="25">
        <v>55682.12</v>
      </c>
      <c r="I186" s="26" t="s">
        <v>14</v>
      </c>
      <c r="J186" s="25">
        <v>55578.97</v>
      </c>
      <c r="K186" s="18" t="s">
        <v>3520</v>
      </c>
      <c r="L186" s="18">
        <v>120</v>
      </c>
      <c r="M186" s="27" t="s">
        <v>3520</v>
      </c>
      <c r="N186" s="18"/>
      <c r="O186" s="18">
        <v>55698.97</v>
      </c>
      <c r="P186" s="25">
        <v>31501.24</v>
      </c>
      <c r="Q186" s="28">
        <v>87200.21</v>
      </c>
    </row>
    <row r="187" spans="1:17" x14ac:dyDescent="0.2">
      <c r="A187" s="21" t="s">
        <v>1480</v>
      </c>
      <c r="B187" s="21" t="s">
        <v>1481</v>
      </c>
      <c r="C187" s="21" t="s">
        <v>65</v>
      </c>
      <c r="D187" s="21" t="s">
        <v>1483</v>
      </c>
      <c r="E187" s="22" t="s">
        <v>12</v>
      </c>
      <c r="F187" s="23" t="s">
        <v>1485</v>
      </c>
      <c r="G187" s="33" t="s">
        <v>14</v>
      </c>
      <c r="H187" s="25">
        <v>57065.84</v>
      </c>
      <c r="I187" s="26" t="s">
        <v>14</v>
      </c>
      <c r="J187" s="25">
        <v>56960.13</v>
      </c>
      <c r="K187" s="18" t="s">
        <v>3520</v>
      </c>
      <c r="L187" s="18">
        <v>1442</v>
      </c>
      <c r="M187" s="27" t="s">
        <v>3520</v>
      </c>
      <c r="N187" s="18"/>
      <c r="O187" s="25">
        <v>58402.13</v>
      </c>
      <c r="P187" s="25">
        <v>28726.84</v>
      </c>
      <c r="Q187" s="28">
        <v>87128.97</v>
      </c>
    </row>
    <row r="188" spans="1:17" x14ac:dyDescent="0.2">
      <c r="A188" s="21" t="s">
        <v>1488</v>
      </c>
      <c r="B188" s="21" t="s">
        <v>472</v>
      </c>
      <c r="C188" s="21" t="s">
        <v>97</v>
      </c>
      <c r="D188" s="21" t="s">
        <v>1491</v>
      </c>
      <c r="E188" s="22" t="s">
        <v>12</v>
      </c>
      <c r="F188" s="23" t="s">
        <v>1493</v>
      </c>
      <c r="G188" s="33" t="s">
        <v>14</v>
      </c>
      <c r="H188" s="25">
        <v>53788.800000000003</v>
      </c>
      <c r="I188" s="26" t="s">
        <v>14</v>
      </c>
      <c r="J188" s="25">
        <v>53589.13</v>
      </c>
      <c r="K188" s="18">
        <v>878.87</v>
      </c>
      <c r="L188" s="18">
        <v>4074.04</v>
      </c>
      <c r="M188" s="27" t="s">
        <v>3520</v>
      </c>
      <c r="N188" s="18"/>
      <c r="O188" s="25">
        <v>58542.04</v>
      </c>
      <c r="P188" s="25">
        <v>28362.400000000001</v>
      </c>
      <c r="Q188" s="28">
        <v>86904.44</v>
      </c>
    </row>
    <row r="189" spans="1:17" x14ac:dyDescent="0.2">
      <c r="A189" s="21" t="s">
        <v>1496</v>
      </c>
      <c r="B189" s="21" t="s">
        <v>1497</v>
      </c>
      <c r="C189" s="21" t="s">
        <v>81</v>
      </c>
      <c r="D189" s="21" t="s">
        <v>378</v>
      </c>
      <c r="E189" s="22" t="s">
        <v>20</v>
      </c>
      <c r="F189" s="23" t="s">
        <v>796</v>
      </c>
      <c r="G189" s="33" t="s">
        <v>14</v>
      </c>
      <c r="H189" s="25">
        <v>52543.17</v>
      </c>
      <c r="I189" s="26" t="s">
        <v>14</v>
      </c>
      <c r="J189" s="25">
        <v>48007.360000000001</v>
      </c>
      <c r="K189" s="18">
        <v>11751.16</v>
      </c>
      <c r="L189" s="18">
        <v>2422.9499999999998</v>
      </c>
      <c r="M189" s="27" t="s">
        <v>3520</v>
      </c>
      <c r="N189" s="18"/>
      <c r="O189" s="25">
        <v>62181.47</v>
      </c>
      <c r="P189" s="25">
        <v>24395.19</v>
      </c>
      <c r="Q189" s="28">
        <v>86576.66</v>
      </c>
    </row>
    <row r="190" spans="1:17" x14ac:dyDescent="0.2">
      <c r="A190" s="21" t="s">
        <v>1504</v>
      </c>
      <c r="B190" s="21" t="s">
        <v>1505</v>
      </c>
      <c r="C190" s="21" t="s">
        <v>65</v>
      </c>
      <c r="D190" s="21" t="s">
        <v>594</v>
      </c>
      <c r="E190" s="22" t="s">
        <v>20</v>
      </c>
      <c r="F190" s="23" t="s">
        <v>1509</v>
      </c>
      <c r="G190" s="33" t="s">
        <v>14</v>
      </c>
      <c r="H190" s="25">
        <v>55161.599999999999</v>
      </c>
      <c r="I190" s="26" t="s">
        <v>14</v>
      </c>
      <c r="J190" s="25">
        <v>57822.86</v>
      </c>
      <c r="K190" s="18">
        <v>2459.15</v>
      </c>
      <c r="L190" s="18">
        <v>1959.84</v>
      </c>
      <c r="M190" s="27" t="s">
        <v>3520</v>
      </c>
      <c r="N190" s="18"/>
      <c r="O190" s="25">
        <v>62241.85</v>
      </c>
      <c r="P190" s="25">
        <v>24292.63</v>
      </c>
      <c r="Q190" s="28">
        <v>86534.48</v>
      </c>
    </row>
    <row r="191" spans="1:17" x14ac:dyDescent="0.2">
      <c r="A191" s="21" t="s">
        <v>1512</v>
      </c>
      <c r="B191" s="21" t="s">
        <v>1513</v>
      </c>
      <c r="C191" s="21" t="s">
        <v>808</v>
      </c>
      <c r="D191" s="21" t="s">
        <v>1515</v>
      </c>
      <c r="E191" s="22" t="s">
        <v>12</v>
      </c>
      <c r="F191" s="23" t="s">
        <v>756</v>
      </c>
      <c r="G191" s="33" t="s">
        <v>14</v>
      </c>
      <c r="H191" s="25">
        <v>46342.400000000001</v>
      </c>
      <c r="I191" s="26" t="s">
        <v>14</v>
      </c>
      <c r="J191" s="25">
        <v>47393.06</v>
      </c>
      <c r="K191" s="18">
        <v>4493.1499999999996</v>
      </c>
      <c r="L191" s="18">
        <v>1257.04</v>
      </c>
      <c r="M191" s="27" t="s">
        <v>3520</v>
      </c>
      <c r="N191" s="18"/>
      <c r="O191" s="25">
        <v>53143.25</v>
      </c>
      <c r="P191" s="25">
        <v>33131.57</v>
      </c>
      <c r="Q191" s="28">
        <v>86274.82</v>
      </c>
    </row>
    <row r="192" spans="1:17" x14ac:dyDescent="0.2">
      <c r="A192" s="21" t="s">
        <v>1520</v>
      </c>
      <c r="B192" s="21" t="s">
        <v>1521</v>
      </c>
      <c r="C192" s="21" t="s">
        <v>137</v>
      </c>
      <c r="D192" s="21" t="s">
        <v>1523</v>
      </c>
      <c r="E192" s="22" t="s">
        <v>12</v>
      </c>
      <c r="F192" s="23" t="s">
        <v>1525</v>
      </c>
      <c r="G192" s="33" t="s">
        <v>14</v>
      </c>
      <c r="H192" s="25">
        <v>50441.04</v>
      </c>
      <c r="I192" s="26" t="s">
        <v>14</v>
      </c>
      <c r="J192" s="25">
        <v>50704.13</v>
      </c>
      <c r="K192" s="18">
        <v>1901.11</v>
      </c>
      <c r="L192" s="18">
        <v>4342.6400000000003</v>
      </c>
      <c r="M192" s="27" t="s">
        <v>3520</v>
      </c>
      <c r="N192" s="18"/>
      <c r="O192" s="25">
        <v>56947.88</v>
      </c>
      <c r="P192" s="25">
        <v>29129.599999999999</v>
      </c>
      <c r="Q192" s="28">
        <v>86077.48</v>
      </c>
    </row>
    <row r="193" spans="1:17" x14ac:dyDescent="0.2">
      <c r="A193" s="21" t="s">
        <v>1131</v>
      </c>
      <c r="B193" s="21" t="s">
        <v>1529</v>
      </c>
      <c r="C193" s="21" t="s">
        <v>97</v>
      </c>
      <c r="D193" s="21" t="s">
        <v>1491</v>
      </c>
      <c r="E193" s="22" t="s">
        <v>12</v>
      </c>
      <c r="F193" s="23" t="s">
        <v>1405</v>
      </c>
      <c r="G193" s="33" t="s">
        <v>14</v>
      </c>
      <c r="H193" s="25">
        <v>61193.599999999999</v>
      </c>
      <c r="I193" s="26" t="s">
        <v>14</v>
      </c>
      <c r="J193" s="25">
        <v>60843.77</v>
      </c>
      <c r="K193" s="18">
        <v>876.48</v>
      </c>
      <c r="L193" s="18">
        <v>100</v>
      </c>
      <c r="M193" s="27" t="s">
        <v>3520</v>
      </c>
      <c r="N193" s="18"/>
      <c r="O193" s="25">
        <v>61820.25</v>
      </c>
      <c r="P193" s="25">
        <v>24255.1</v>
      </c>
      <c r="Q193" s="28">
        <v>86075.35</v>
      </c>
    </row>
    <row r="194" spans="1:17" x14ac:dyDescent="0.2">
      <c r="A194" s="21" t="s">
        <v>1536</v>
      </c>
      <c r="B194" s="21" t="s">
        <v>1537</v>
      </c>
      <c r="C194" s="21" t="s">
        <v>361</v>
      </c>
      <c r="D194" s="21" t="s">
        <v>1539</v>
      </c>
      <c r="E194" s="22" t="s">
        <v>12</v>
      </c>
      <c r="F194" s="23" t="s">
        <v>1541</v>
      </c>
      <c r="G194" s="33" t="s">
        <v>14</v>
      </c>
      <c r="H194" s="25">
        <v>56766.32</v>
      </c>
      <c r="I194" s="26" t="s">
        <v>14</v>
      </c>
      <c r="J194" s="25">
        <v>56661.16</v>
      </c>
      <c r="K194" s="18" t="s">
        <v>3520</v>
      </c>
      <c r="L194" s="18">
        <v>737</v>
      </c>
      <c r="M194" s="27" t="s">
        <v>3520</v>
      </c>
      <c r="N194" s="18"/>
      <c r="O194" s="25">
        <v>57398.16</v>
      </c>
      <c r="P194" s="25">
        <v>28478.05</v>
      </c>
      <c r="Q194" s="28">
        <v>85876.21</v>
      </c>
    </row>
    <row r="195" spans="1:17" x14ac:dyDescent="0.2">
      <c r="A195" s="21" t="s">
        <v>1544</v>
      </c>
      <c r="B195" s="21" t="s">
        <v>8</v>
      </c>
      <c r="C195" s="21" t="s">
        <v>137</v>
      </c>
      <c r="D195" s="21" t="s">
        <v>1547</v>
      </c>
      <c r="E195" s="22" t="s">
        <v>12</v>
      </c>
      <c r="F195" s="23" t="s">
        <v>1549</v>
      </c>
      <c r="G195" s="33" t="s">
        <v>14</v>
      </c>
      <c r="H195" s="25">
        <v>73935.16</v>
      </c>
      <c r="I195" s="26" t="s">
        <v>14</v>
      </c>
      <c r="J195" s="25">
        <v>55431.63</v>
      </c>
      <c r="K195" s="18">
        <v>1159.56</v>
      </c>
      <c r="L195" s="18">
        <v>600</v>
      </c>
      <c r="M195" s="27" t="s">
        <v>3520</v>
      </c>
      <c r="N195" s="18"/>
      <c r="O195" s="25">
        <v>57191.19</v>
      </c>
      <c r="P195" s="25">
        <v>28479.43</v>
      </c>
      <c r="Q195" s="28">
        <v>85670.62</v>
      </c>
    </row>
    <row r="196" spans="1:17" x14ac:dyDescent="0.2">
      <c r="A196" s="21" t="s">
        <v>1552</v>
      </c>
      <c r="B196" s="21" t="s">
        <v>1553</v>
      </c>
      <c r="C196" s="21" t="s">
        <v>65</v>
      </c>
      <c r="D196" s="21" t="s">
        <v>594</v>
      </c>
      <c r="E196" s="22" t="s">
        <v>20</v>
      </c>
      <c r="F196" s="23" t="s">
        <v>1557</v>
      </c>
      <c r="G196" s="33" t="s">
        <v>14</v>
      </c>
      <c r="H196" s="25">
        <v>60736</v>
      </c>
      <c r="I196" s="26" t="s">
        <v>14</v>
      </c>
      <c r="J196" s="25">
        <v>59929.120000000003</v>
      </c>
      <c r="K196" s="18">
        <v>5383.93</v>
      </c>
      <c r="L196" s="18">
        <v>2299.0700000000002</v>
      </c>
      <c r="M196" s="27" t="s">
        <v>3520</v>
      </c>
      <c r="N196" s="18"/>
      <c r="O196" s="25">
        <v>67612.12</v>
      </c>
      <c r="P196" s="25">
        <v>17056.47</v>
      </c>
      <c r="Q196" s="28">
        <v>84668.59</v>
      </c>
    </row>
    <row r="197" spans="1:17" x14ac:dyDescent="0.2">
      <c r="A197" s="21" t="s">
        <v>1560</v>
      </c>
      <c r="B197" s="21" t="s">
        <v>1561</v>
      </c>
      <c r="C197" s="21" t="s">
        <v>145</v>
      </c>
      <c r="D197" s="21" t="s">
        <v>1563</v>
      </c>
      <c r="E197" s="22" t="s">
        <v>12</v>
      </c>
      <c r="F197" s="23" t="s">
        <v>1565</v>
      </c>
      <c r="G197" s="33" t="s">
        <v>14</v>
      </c>
      <c r="H197" s="25">
        <v>49587.199999999997</v>
      </c>
      <c r="I197" s="26" t="s">
        <v>14</v>
      </c>
      <c r="J197" s="25">
        <v>51805.95</v>
      </c>
      <c r="K197" s="18">
        <v>6627.13</v>
      </c>
      <c r="L197" s="18">
        <v>2174.16</v>
      </c>
      <c r="M197" s="27" t="s">
        <v>3520</v>
      </c>
      <c r="N197" s="18"/>
      <c r="O197" s="25">
        <v>60607.24</v>
      </c>
      <c r="P197" s="25">
        <v>23804.98</v>
      </c>
      <c r="Q197" s="28">
        <v>84412.22</v>
      </c>
    </row>
    <row r="198" spans="1:17" x14ac:dyDescent="0.2">
      <c r="A198" s="21" t="s">
        <v>1568</v>
      </c>
      <c r="B198" s="21" t="s">
        <v>1569</v>
      </c>
      <c r="C198" s="21" t="s">
        <v>65</v>
      </c>
      <c r="D198" s="21" t="s">
        <v>594</v>
      </c>
      <c r="E198" s="22" t="s">
        <v>20</v>
      </c>
      <c r="F198" s="23" t="s">
        <v>1573</v>
      </c>
      <c r="G198" s="33" t="s">
        <v>14</v>
      </c>
      <c r="H198" s="25">
        <v>55161.599999999999</v>
      </c>
      <c r="I198" s="26" t="s">
        <v>14</v>
      </c>
      <c r="J198" s="25">
        <v>52535.6</v>
      </c>
      <c r="K198" s="18">
        <v>5652.88</v>
      </c>
      <c r="L198" s="18">
        <v>2044.35</v>
      </c>
      <c r="M198" s="27" t="s">
        <v>3520</v>
      </c>
      <c r="N198" s="18"/>
      <c r="O198" s="25">
        <v>60232.83</v>
      </c>
      <c r="P198" s="25">
        <v>23915.13</v>
      </c>
      <c r="Q198" s="28">
        <v>84147.96</v>
      </c>
    </row>
    <row r="199" spans="1:17" x14ac:dyDescent="0.2">
      <c r="A199" s="21" t="s">
        <v>719</v>
      </c>
      <c r="B199" s="21" t="s">
        <v>104</v>
      </c>
      <c r="C199" s="21" t="s">
        <v>1323</v>
      </c>
      <c r="D199" s="21" t="s">
        <v>1579</v>
      </c>
      <c r="E199" s="22" t="s">
        <v>12</v>
      </c>
      <c r="F199" s="23" t="s">
        <v>748</v>
      </c>
      <c r="G199" s="33" t="s">
        <v>14</v>
      </c>
      <c r="H199" s="25">
        <v>65609.440000000002</v>
      </c>
      <c r="I199" s="26" t="s">
        <v>14</v>
      </c>
      <c r="J199" s="25">
        <v>65487.91</v>
      </c>
      <c r="K199" s="18" t="s">
        <v>3520</v>
      </c>
      <c r="L199" s="18">
        <v>1500</v>
      </c>
      <c r="M199" s="27" t="s">
        <v>3520</v>
      </c>
      <c r="N199" s="18"/>
      <c r="O199" s="25">
        <v>66987.91</v>
      </c>
      <c r="P199" s="25">
        <v>16937.36</v>
      </c>
      <c r="Q199" s="28">
        <v>83925.27</v>
      </c>
    </row>
    <row r="200" spans="1:17" x14ac:dyDescent="0.2">
      <c r="A200" s="21" t="s">
        <v>1584</v>
      </c>
      <c r="B200" s="21" t="s">
        <v>1028</v>
      </c>
      <c r="C200" s="21" t="s">
        <v>208</v>
      </c>
      <c r="D200" s="21" t="s">
        <v>1587</v>
      </c>
      <c r="E200" s="22" t="s">
        <v>12</v>
      </c>
      <c r="F200" s="23" t="s">
        <v>1557</v>
      </c>
      <c r="G200" s="33" t="s">
        <v>14</v>
      </c>
      <c r="H200" s="25">
        <v>57844.800000000003</v>
      </c>
      <c r="I200" s="26" t="s">
        <v>14</v>
      </c>
      <c r="J200" s="25">
        <v>57768.94</v>
      </c>
      <c r="K200" s="18">
        <v>94.48</v>
      </c>
      <c r="L200" s="25">
        <v>1891</v>
      </c>
      <c r="M200" s="27" t="s">
        <v>3520</v>
      </c>
      <c r="N200" s="18"/>
      <c r="O200" s="25">
        <v>59754.42</v>
      </c>
      <c r="P200" s="25">
        <v>23638.99</v>
      </c>
      <c r="Q200" s="28">
        <v>83393.41</v>
      </c>
    </row>
    <row r="201" spans="1:17" x14ac:dyDescent="0.2">
      <c r="A201" s="21" t="s">
        <v>1592</v>
      </c>
      <c r="B201" s="21" t="s">
        <v>25</v>
      </c>
      <c r="C201" s="21" t="s">
        <v>1323</v>
      </c>
      <c r="D201" s="21" t="s">
        <v>1595</v>
      </c>
      <c r="E201" s="22" t="s">
        <v>12</v>
      </c>
      <c r="F201" s="23" t="s">
        <v>1597</v>
      </c>
      <c r="G201" s="33" t="s">
        <v>14</v>
      </c>
      <c r="H201" s="25">
        <v>53476.800000000003</v>
      </c>
      <c r="I201" s="26" t="s">
        <v>14</v>
      </c>
      <c r="J201" s="25">
        <v>54161.74</v>
      </c>
      <c r="K201" s="18">
        <v>3360.61</v>
      </c>
      <c r="L201" s="18">
        <v>2203</v>
      </c>
      <c r="M201" s="27" t="s">
        <v>3520</v>
      </c>
      <c r="N201" s="18"/>
      <c r="O201" s="25">
        <v>59725.35</v>
      </c>
      <c r="P201" s="25">
        <v>23290.17</v>
      </c>
      <c r="Q201" s="28">
        <v>83015.520000000004</v>
      </c>
    </row>
    <row r="202" spans="1:17" x14ac:dyDescent="0.2">
      <c r="A202" s="21" t="s">
        <v>1600</v>
      </c>
      <c r="B202" s="21" t="s">
        <v>1601</v>
      </c>
      <c r="C202" s="21" t="s">
        <v>145</v>
      </c>
      <c r="D202" s="21" t="s">
        <v>1603</v>
      </c>
      <c r="E202" s="22" t="s">
        <v>12</v>
      </c>
      <c r="F202" s="23" t="s">
        <v>52</v>
      </c>
      <c r="G202" s="33" t="s">
        <v>14</v>
      </c>
      <c r="H202" s="25">
        <v>47507.199999999997</v>
      </c>
      <c r="I202" s="26" t="s">
        <v>14</v>
      </c>
      <c r="J202" s="25">
        <v>48638.35</v>
      </c>
      <c r="K202" s="18">
        <v>3311.69</v>
      </c>
      <c r="L202" s="18">
        <v>2434.16</v>
      </c>
      <c r="M202" s="27" t="s">
        <v>3520</v>
      </c>
      <c r="N202" s="18"/>
      <c r="O202" s="25">
        <v>54384.2</v>
      </c>
      <c r="P202" s="25">
        <v>28348.81</v>
      </c>
      <c r="Q202" s="28">
        <v>82733.009999999995</v>
      </c>
    </row>
    <row r="203" spans="1:17" x14ac:dyDescent="0.2">
      <c r="A203" s="21" t="s">
        <v>655</v>
      </c>
      <c r="B203" s="21" t="s">
        <v>1609</v>
      </c>
      <c r="C203" s="21" t="s">
        <v>824</v>
      </c>
      <c r="D203" s="21" t="s">
        <v>1611</v>
      </c>
      <c r="E203" s="22" t="s">
        <v>12</v>
      </c>
      <c r="F203" s="23" t="s">
        <v>1613</v>
      </c>
      <c r="G203" s="33" t="s">
        <v>14</v>
      </c>
      <c r="H203" s="25">
        <v>46800</v>
      </c>
      <c r="I203" s="26" t="s">
        <v>14</v>
      </c>
      <c r="J203" s="25">
        <v>47337.1</v>
      </c>
      <c r="K203" s="18">
        <v>3419.35</v>
      </c>
      <c r="L203" s="18">
        <v>160</v>
      </c>
      <c r="M203" s="27" t="s">
        <v>3520</v>
      </c>
      <c r="N203" s="18"/>
      <c r="O203" s="25">
        <v>50916.45</v>
      </c>
      <c r="P203" s="25">
        <v>31776.959999999999</v>
      </c>
      <c r="Q203" s="28">
        <v>82693.41</v>
      </c>
    </row>
    <row r="204" spans="1:17" x14ac:dyDescent="0.2">
      <c r="A204" s="21" t="s">
        <v>1616</v>
      </c>
      <c r="B204" s="21" t="s">
        <v>1617</v>
      </c>
      <c r="C204" s="21" t="s">
        <v>65</v>
      </c>
      <c r="D204" s="21" t="s">
        <v>594</v>
      </c>
      <c r="E204" s="22" t="s">
        <v>20</v>
      </c>
      <c r="F204" s="23" t="s">
        <v>1374</v>
      </c>
      <c r="G204" s="33" t="s">
        <v>14</v>
      </c>
      <c r="H204" s="25">
        <v>58822.400000000001</v>
      </c>
      <c r="I204" s="26" t="s">
        <v>14</v>
      </c>
      <c r="J204" s="25">
        <v>60387.35</v>
      </c>
      <c r="K204" s="18">
        <v>2019.99</v>
      </c>
      <c r="L204" s="18">
        <v>3311.5</v>
      </c>
      <c r="M204" s="27" t="s">
        <v>3520</v>
      </c>
      <c r="N204" s="18"/>
      <c r="O204" s="25">
        <v>65718.84</v>
      </c>
      <c r="P204" s="25">
        <v>16596.240000000002</v>
      </c>
      <c r="Q204" s="28">
        <v>82315.08</v>
      </c>
    </row>
    <row r="205" spans="1:17" x14ac:dyDescent="0.2">
      <c r="A205" s="21" t="s">
        <v>1624</v>
      </c>
      <c r="B205" s="21" t="s">
        <v>1625</v>
      </c>
      <c r="C205" s="21" t="s">
        <v>137</v>
      </c>
      <c r="D205" s="21" t="s">
        <v>1627</v>
      </c>
      <c r="E205" s="22" t="s">
        <v>12</v>
      </c>
      <c r="F205" s="23" t="s">
        <v>1350</v>
      </c>
      <c r="G205" s="33" t="s">
        <v>14</v>
      </c>
      <c r="H205" s="25">
        <v>57803.199999999997</v>
      </c>
      <c r="I205" s="26" t="s">
        <v>14</v>
      </c>
      <c r="J205" s="25">
        <v>57812.05</v>
      </c>
      <c r="K205" s="18">
        <v>697.66</v>
      </c>
      <c r="L205" s="18">
        <v>530</v>
      </c>
      <c r="M205" s="27" t="s">
        <v>3520</v>
      </c>
      <c r="N205" s="18"/>
      <c r="O205" s="25">
        <v>59039.71</v>
      </c>
      <c r="P205" s="25">
        <v>23080.13</v>
      </c>
      <c r="Q205" s="28">
        <v>82119.839999999997</v>
      </c>
    </row>
    <row r="206" spans="1:17" x14ac:dyDescent="0.2">
      <c r="A206" s="21" t="s">
        <v>1632</v>
      </c>
      <c r="B206" s="21" t="s">
        <v>1633</v>
      </c>
      <c r="C206" s="21" t="s">
        <v>65</v>
      </c>
      <c r="D206" s="21" t="s">
        <v>1635</v>
      </c>
      <c r="E206" s="22" t="s">
        <v>12</v>
      </c>
      <c r="F206" s="23" t="s">
        <v>1637</v>
      </c>
      <c r="G206" s="33" t="s">
        <v>14</v>
      </c>
      <c r="H206" s="25">
        <v>63190.400000000001</v>
      </c>
      <c r="I206" s="26" t="s">
        <v>14</v>
      </c>
      <c r="J206" s="25">
        <v>63358.57</v>
      </c>
      <c r="K206" s="18">
        <v>1633.19</v>
      </c>
      <c r="L206" s="18">
        <v>830</v>
      </c>
      <c r="M206" s="27" t="s">
        <v>3520</v>
      </c>
      <c r="N206" s="18"/>
      <c r="O206" s="25">
        <v>65821.759999999995</v>
      </c>
      <c r="P206" s="25">
        <v>16175.52</v>
      </c>
      <c r="Q206" s="28">
        <v>81997.279999999999</v>
      </c>
    </row>
    <row r="207" spans="1:17" x14ac:dyDescent="0.2">
      <c r="A207" s="21" t="s">
        <v>1640</v>
      </c>
      <c r="B207" s="21" t="s">
        <v>1641</v>
      </c>
      <c r="C207" s="21" t="s">
        <v>208</v>
      </c>
      <c r="D207" s="21" t="s">
        <v>1643</v>
      </c>
      <c r="E207" s="22" t="s">
        <v>12</v>
      </c>
      <c r="F207" s="23" t="s">
        <v>1645</v>
      </c>
      <c r="G207" s="34" t="s">
        <v>1646</v>
      </c>
      <c r="H207" s="25">
        <v>80876.12</v>
      </c>
      <c r="I207" s="25">
        <v>1271.47</v>
      </c>
      <c r="J207" s="25">
        <v>55870.66</v>
      </c>
      <c r="K207" s="18" t="s">
        <v>3520</v>
      </c>
      <c r="L207" s="18">
        <v>3724.5</v>
      </c>
      <c r="M207" s="27" t="s">
        <v>3520</v>
      </c>
      <c r="N207" s="18"/>
      <c r="O207" s="25">
        <v>60866.63</v>
      </c>
      <c r="P207" s="25">
        <v>20918.41</v>
      </c>
      <c r="Q207" s="28">
        <v>81785.039999999994</v>
      </c>
    </row>
    <row r="208" spans="1:17" x14ac:dyDescent="0.2">
      <c r="A208" s="21" t="s">
        <v>1647</v>
      </c>
      <c r="B208" s="21" t="s">
        <v>1648</v>
      </c>
      <c r="C208" s="21" t="s">
        <v>81</v>
      </c>
      <c r="D208" s="21" t="s">
        <v>378</v>
      </c>
      <c r="E208" s="22" t="s">
        <v>20</v>
      </c>
      <c r="F208" s="23" t="s">
        <v>1104</v>
      </c>
      <c r="G208" s="33" t="s">
        <v>14</v>
      </c>
      <c r="H208" s="25">
        <v>52543.17</v>
      </c>
      <c r="I208" s="26" t="s">
        <v>14</v>
      </c>
      <c r="J208" s="25">
        <v>49435.53</v>
      </c>
      <c r="K208" s="18">
        <v>11590.61</v>
      </c>
      <c r="L208" s="18">
        <v>3766.52</v>
      </c>
      <c r="M208" s="27" t="s">
        <v>3520</v>
      </c>
      <c r="N208" s="18"/>
      <c r="O208" s="25">
        <v>64792.66</v>
      </c>
      <c r="P208" s="25">
        <v>16389.62</v>
      </c>
      <c r="Q208" s="28">
        <v>81182.28</v>
      </c>
    </row>
    <row r="209" spans="1:17" x14ac:dyDescent="0.2">
      <c r="A209" s="21" t="s">
        <v>1655</v>
      </c>
      <c r="B209" s="21" t="s">
        <v>1656</v>
      </c>
      <c r="C209" s="21" t="s">
        <v>808</v>
      </c>
      <c r="D209" s="21" t="s">
        <v>1523</v>
      </c>
      <c r="E209" s="22" t="s">
        <v>12</v>
      </c>
      <c r="F209" s="23" t="s">
        <v>1660</v>
      </c>
      <c r="G209" s="33" t="s">
        <v>14</v>
      </c>
      <c r="H209" s="25">
        <v>57783.18</v>
      </c>
      <c r="I209" s="26" t="s">
        <v>14</v>
      </c>
      <c r="J209" s="25">
        <v>57676.14</v>
      </c>
      <c r="K209" s="18" t="s">
        <v>3520</v>
      </c>
      <c r="L209" s="25">
        <v>70</v>
      </c>
      <c r="M209" s="27" t="s">
        <v>3520</v>
      </c>
      <c r="N209" s="18"/>
      <c r="O209" s="25">
        <v>57746.14</v>
      </c>
      <c r="P209" s="25">
        <v>23338.1</v>
      </c>
      <c r="Q209" s="28">
        <v>81084.240000000005</v>
      </c>
    </row>
    <row r="210" spans="1:17" x14ac:dyDescent="0.2">
      <c r="A210" s="21" t="s">
        <v>1663</v>
      </c>
      <c r="B210" s="21" t="s">
        <v>1664</v>
      </c>
      <c r="C210" s="21" t="s">
        <v>208</v>
      </c>
      <c r="D210" s="21" t="s">
        <v>1666</v>
      </c>
      <c r="E210" s="22" t="s">
        <v>12</v>
      </c>
      <c r="F210" s="23" t="s">
        <v>1668</v>
      </c>
      <c r="G210" s="33" t="s">
        <v>14</v>
      </c>
      <c r="H210" s="25">
        <v>57782.400000000001</v>
      </c>
      <c r="I210" s="26" t="s">
        <v>14</v>
      </c>
      <c r="J210" s="25">
        <v>57726.73</v>
      </c>
      <c r="K210" s="18">
        <v>193.22</v>
      </c>
      <c r="L210" s="25">
        <v>90</v>
      </c>
      <c r="M210" s="27" t="s">
        <v>3520</v>
      </c>
      <c r="N210" s="18"/>
      <c r="O210" s="25">
        <v>58009.95</v>
      </c>
      <c r="P210" s="25">
        <v>22392.639999999999</v>
      </c>
      <c r="Q210" s="28">
        <v>80402.59</v>
      </c>
    </row>
    <row r="211" spans="1:17" x14ac:dyDescent="0.2">
      <c r="A211" s="21" t="s">
        <v>1004</v>
      </c>
      <c r="B211" s="21" t="s">
        <v>1672</v>
      </c>
      <c r="C211" s="21" t="s">
        <v>169</v>
      </c>
      <c r="D211" s="21" t="s">
        <v>1674</v>
      </c>
      <c r="E211" s="22" t="s">
        <v>12</v>
      </c>
      <c r="F211" s="23" t="s">
        <v>1676</v>
      </c>
      <c r="G211" s="33" t="s">
        <v>14</v>
      </c>
      <c r="H211" s="25">
        <v>50585.599999999999</v>
      </c>
      <c r="I211" s="26" t="s">
        <v>14</v>
      </c>
      <c r="J211" s="25">
        <v>50428.59</v>
      </c>
      <c r="K211" s="18">
        <v>204.02</v>
      </c>
      <c r="L211" s="18">
        <v>1610</v>
      </c>
      <c r="M211" s="27" t="s">
        <v>3520</v>
      </c>
      <c r="N211" s="18"/>
      <c r="O211" s="25">
        <v>52242.61</v>
      </c>
      <c r="P211" s="25">
        <v>28032.62</v>
      </c>
      <c r="Q211" s="28">
        <v>80275.23</v>
      </c>
    </row>
    <row r="212" spans="1:17" x14ac:dyDescent="0.2">
      <c r="A212" s="21" t="s">
        <v>1679</v>
      </c>
      <c r="B212" s="21" t="s">
        <v>736</v>
      </c>
      <c r="C212" s="21" t="s">
        <v>145</v>
      </c>
      <c r="D212" s="21" t="s">
        <v>1682</v>
      </c>
      <c r="E212" s="22" t="s">
        <v>12</v>
      </c>
      <c r="F212" s="23" t="s">
        <v>1549</v>
      </c>
      <c r="G212" s="33" t="s">
        <v>14</v>
      </c>
      <c r="H212" s="25">
        <v>47507.199999999997</v>
      </c>
      <c r="I212" s="26" t="s">
        <v>14</v>
      </c>
      <c r="J212" s="25">
        <v>48468.01</v>
      </c>
      <c r="K212" s="18">
        <v>6418.78</v>
      </c>
      <c r="L212" s="18">
        <v>2250.1999999999998</v>
      </c>
      <c r="M212" s="27" t="s">
        <v>3520</v>
      </c>
      <c r="N212" s="18"/>
      <c r="O212" s="25">
        <v>57136.99</v>
      </c>
      <c r="P212" s="25">
        <v>23061.02</v>
      </c>
      <c r="Q212" s="28">
        <v>80198.009999999995</v>
      </c>
    </row>
    <row r="213" spans="1:17" x14ac:dyDescent="0.2">
      <c r="A213" s="21" t="s">
        <v>1687</v>
      </c>
      <c r="B213" s="21" t="s">
        <v>1688</v>
      </c>
      <c r="C213" s="21" t="s">
        <v>65</v>
      </c>
      <c r="D213" s="21" t="s">
        <v>1157</v>
      </c>
      <c r="E213" s="22" t="s">
        <v>12</v>
      </c>
      <c r="F213" s="23" t="s">
        <v>1692</v>
      </c>
      <c r="G213" s="33" t="s">
        <v>14</v>
      </c>
      <c r="H213" s="25">
        <v>49192</v>
      </c>
      <c r="I213" s="26" t="s">
        <v>14</v>
      </c>
      <c r="J213" s="25">
        <v>49927.14</v>
      </c>
      <c r="K213" s="18">
        <v>2331.6799999999998</v>
      </c>
      <c r="L213" s="18">
        <v>4804.3999999999996</v>
      </c>
      <c r="M213" s="27" t="s">
        <v>3520</v>
      </c>
      <c r="N213" s="18"/>
      <c r="O213" s="25">
        <v>57063.22</v>
      </c>
      <c r="P213" s="25">
        <v>22991.41</v>
      </c>
      <c r="Q213" s="28">
        <v>80054.63</v>
      </c>
    </row>
    <row r="214" spans="1:17" x14ac:dyDescent="0.2">
      <c r="A214" s="21" t="s">
        <v>1695</v>
      </c>
      <c r="B214" s="21" t="s">
        <v>1696</v>
      </c>
      <c r="C214" s="21" t="s">
        <v>81</v>
      </c>
      <c r="D214" s="21" t="s">
        <v>378</v>
      </c>
      <c r="E214" s="22" t="s">
        <v>20</v>
      </c>
      <c r="F214" s="23" t="s">
        <v>1231</v>
      </c>
      <c r="G214" s="34" t="s">
        <v>1701</v>
      </c>
      <c r="H214" s="25">
        <v>52543.17</v>
      </c>
      <c r="I214" s="25">
        <v>178.59</v>
      </c>
      <c r="J214" s="25">
        <v>45235.73</v>
      </c>
      <c r="K214" s="18">
        <v>9128.3799999999992</v>
      </c>
      <c r="L214" s="18">
        <v>3386.01</v>
      </c>
      <c r="M214" s="27" t="s">
        <v>3520</v>
      </c>
      <c r="N214" s="18"/>
      <c r="O214" s="18">
        <v>57928.71</v>
      </c>
      <c r="P214" s="25">
        <v>21663.119999999999</v>
      </c>
      <c r="Q214" s="28">
        <v>79591.83</v>
      </c>
    </row>
    <row r="215" spans="1:17" x14ac:dyDescent="0.2">
      <c r="A215" s="21" t="s">
        <v>1702</v>
      </c>
      <c r="B215" s="21" t="s">
        <v>1703</v>
      </c>
      <c r="C215" s="21" t="s">
        <v>65</v>
      </c>
      <c r="D215" s="21" t="s">
        <v>594</v>
      </c>
      <c r="E215" s="22" t="s">
        <v>20</v>
      </c>
      <c r="F215" s="23" t="s">
        <v>1707</v>
      </c>
      <c r="G215" s="34" t="s">
        <v>1153</v>
      </c>
      <c r="H215" s="25">
        <v>64105.599999999999</v>
      </c>
      <c r="I215" s="25">
        <v>5426.79</v>
      </c>
      <c r="J215" s="25">
        <v>43237.07</v>
      </c>
      <c r="K215" s="18">
        <v>4379.7299999999996</v>
      </c>
      <c r="L215" s="18">
        <v>2639.7</v>
      </c>
      <c r="M215" s="27" t="s">
        <v>3520</v>
      </c>
      <c r="N215" s="18"/>
      <c r="O215" s="25">
        <v>55683.29</v>
      </c>
      <c r="P215" s="25">
        <v>23685.83</v>
      </c>
      <c r="Q215" s="28">
        <v>79369.119999999995</v>
      </c>
    </row>
    <row r="216" spans="1:17" x14ac:dyDescent="0.2">
      <c r="A216" s="21" t="s">
        <v>1709</v>
      </c>
      <c r="B216" s="21" t="s">
        <v>1710</v>
      </c>
      <c r="C216" s="21" t="s">
        <v>1046</v>
      </c>
      <c r="D216" s="21" t="s">
        <v>1427</v>
      </c>
      <c r="E216" s="22" t="s">
        <v>12</v>
      </c>
      <c r="F216" s="23" t="s">
        <v>857</v>
      </c>
      <c r="G216" s="33" t="s">
        <v>14</v>
      </c>
      <c r="H216" s="25">
        <v>55203.199999999997</v>
      </c>
      <c r="I216" s="26" t="s">
        <v>14</v>
      </c>
      <c r="J216" s="25">
        <v>51791.69</v>
      </c>
      <c r="K216" s="18">
        <v>2202.4499999999998</v>
      </c>
      <c r="L216" s="18">
        <v>2388.39</v>
      </c>
      <c r="M216" s="27" t="s">
        <v>3520</v>
      </c>
      <c r="N216" s="18"/>
      <c r="O216" s="25">
        <v>56382.53</v>
      </c>
      <c r="P216" s="25">
        <v>22862.81</v>
      </c>
      <c r="Q216" s="28">
        <v>79245.34</v>
      </c>
    </row>
    <row r="217" spans="1:17" x14ac:dyDescent="0.2">
      <c r="A217" s="21" t="s">
        <v>1717</v>
      </c>
      <c r="B217" s="21" t="s">
        <v>1718</v>
      </c>
      <c r="C217" s="21" t="s">
        <v>808</v>
      </c>
      <c r="D217" s="21" t="s">
        <v>1515</v>
      </c>
      <c r="E217" s="22" t="s">
        <v>12</v>
      </c>
      <c r="F217" s="23" t="s">
        <v>1549</v>
      </c>
      <c r="G217" s="33" t="s">
        <v>14</v>
      </c>
      <c r="H217" s="25">
        <v>46342.400000000001</v>
      </c>
      <c r="I217" s="26" t="s">
        <v>14</v>
      </c>
      <c r="J217" s="25">
        <v>48202.27</v>
      </c>
      <c r="K217" s="18">
        <v>1216.81</v>
      </c>
      <c r="L217" s="18">
        <v>2000.16</v>
      </c>
      <c r="M217" s="27" t="s">
        <v>3520</v>
      </c>
      <c r="N217" s="18"/>
      <c r="O217" s="25">
        <v>51419.24</v>
      </c>
      <c r="P217" s="25">
        <v>27682.67</v>
      </c>
      <c r="Q217" s="28">
        <v>79101.91</v>
      </c>
    </row>
    <row r="218" spans="1:17" x14ac:dyDescent="0.2">
      <c r="A218" s="21" t="s">
        <v>1725</v>
      </c>
      <c r="B218" s="21" t="s">
        <v>1726</v>
      </c>
      <c r="C218" s="21" t="s">
        <v>65</v>
      </c>
      <c r="D218" s="21" t="s">
        <v>1728</v>
      </c>
      <c r="E218" s="22" t="s">
        <v>12</v>
      </c>
      <c r="F218" s="23" t="s">
        <v>1730</v>
      </c>
      <c r="G218" s="33" t="s">
        <v>14</v>
      </c>
      <c r="H218" s="25">
        <v>47902.400000000001</v>
      </c>
      <c r="I218" s="26" t="s">
        <v>14</v>
      </c>
      <c r="J218" s="25">
        <v>48408.76</v>
      </c>
      <c r="K218" s="18">
        <v>242.25</v>
      </c>
      <c r="L218" s="18">
        <v>2813.86</v>
      </c>
      <c r="M218" s="27" t="s">
        <v>3520</v>
      </c>
      <c r="N218" s="18"/>
      <c r="O218" s="25">
        <v>51464.87</v>
      </c>
      <c r="P218" s="25">
        <v>27633.63</v>
      </c>
      <c r="Q218" s="28">
        <v>79098.5</v>
      </c>
    </row>
    <row r="219" spans="1:17" x14ac:dyDescent="0.2">
      <c r="A219" s="21" t="s">
        <v>1733</v>
      </c>
      <c r="B219" s="21" t="s">
        <v>1734</v>
      </c>
      <c r="C219" s="21" t="s">
        <v>208</v>
      </c>
      <c r="D219" s="21" t="s">
        <v>1736</v>
      </c>
      <c r="E219" s="22" t="s">
        <v>12</v>
      </c>
      <c r="F219" s="23" t="s">
        <v>1738</v>
      </c>
      <c r="G219" s="33" t="s">
        <v>14</v>
      </c>
      <c r="H219" s="25">
        <v>43409.599999999999</v>
      </c>
      <c r="I219" s="26" t="s">
        <v>14</v>
      </c>
      <c r="J219" s="25">
        <v>43070.76</v>
      </c>
      <c r="K219" s="18">
        <v>344.36</v>
      </c>
      <c r="L219" s="18">
        <v>3696</v>
      </c>
      <c r="M219" s="27" t="s">
        <v>3520</v>
      </c>
      <c r="N219" s="18"/>
      <c r="O219" s="25">
        <v>47111.12</v>
      </c>
      <c r="P219" s="25">
        <v>31929.88</v>
      </c>
      <c r="Q219" s="28">
        <v>79041</v>
      </c>
    </row>
    <row r="220" spans="1:17" x14ac:dyDescent="0.2">
      <c r="A220" s="21" t="s">
        <v>1741</v>
      </c>
      <c r="B220" s="21" t="s">
        <v>1140</v>
      </c>
      <c r="C220" s="21" t="s">
        <v>1323</v>
      </c>
      <c r="D220" s="21" t="s">
        <v>1744</v>
      </c>
      <c r="E220" s="22" t="s">
        <v>12</v>
      </c>
      <c r="F220" s="23" t="s">
        <v>1746</v>
      </c>
      <c r="G220" s="33" t="s">
        <v>14</v>
      </c>
      <c r="H220" s="25">
        <v>51812.800000000003</v>
      </c>
      <c r="I220" s="26" t="s">
        <v>14</v>
      </c>
      <c r="J220" s="25">
        <v>52821.9</v>
      </c>
      <c r="K220" s="18">
        <v>2034.24</v>
      </c>
      <c r="L220" s="18">
        <v>1470</v>
      </c>
      <c r="M220" s="27" t="s">
        <v>3520</v>
      </c>
      <c r="N220" s="18"/>
      <c r="O220" s="25">
        <v>56326.14</v>
      </c>
      <c r="P220" s="25">
        <v>22685.61</v>
      </c>
      <c r="Q220" s="28">
        <v>79011.75</v>
      </c>
    </row>
    <row r="221" spans="1:17" x14ac:dyDescent="0.2">
      <c r="A221" s="21" t="s">
        <v>1749</v>
      </c>
      <c r="B221" s="21" t="s">
        <v>1750</v>
      </c>
      <c r="C221" s="21" t="s">
        <v>65</v>
      </c>
      <c r="D221" s="21" t="s">
        <v>594</v>
      </c>
      <c r="E221" s="22" t="s">
        <v>20</v>
      </c>
      <c r="F221" s="23" t="s">
        <v>492</v>
      </c>
      <c r="G221" s="34" t="s">
        <v>1755</v>
      </c>
      <c r="H221" s="25">
        <v>56971.199999999997</v>
      </c>
      <c r="I221" s="25">
        <v>4947.46</v>
      </c>
      <c r="J221" s="25">
        <v>42797.22</v>
      </c>
      <c r="K221" s="18">
        <v>3784.86</v>
      </c>
      <c r="L221" s="18">
        <v>3223.84</v>
      </c>
      <c r="M221" s="27" t="s">
        <v>3520</v>
      </c>
      <c r="N221" s="18"/>
      <c r="O221" s="25">
        <v>54753.38</v>
      </c>
      <c r="P221" s="25">
        <v>23701.43</v>
      </c>
      <c r="Q221" s="28">
        <v>78454.81</v>
      </c>
    </row>
    <row r="222" spans="1:17" x14ac:dyDescent="0.2">
      <c r="A222" s="21" t="s">
        <v>1756</v>
      </c>
      <c r="B222" s="21" t="s">
        <v>815</v>
      </c>
      <c r="C222" s="21" t="s">
        <v>81</v>
      </c>
      <c r="D222" s="21" t="s">
        <v>1419</v>
      </c>
      <c r="E222" s="22" t="s">
        <v>20</v>
      </c>
      <c r="F222" s="23" t="s">
        <v>756</v>
      </c>
      <c r="G222" s="33" t="s">
        <v>14</v>
      </c>
      <c r="H222" s="25">
        <v>39711.61</v>
      </c>
      <c r="I222" s="26" t="s">
        <v>14</v>
      </c>
      <c r="J222" s="25">
        <v>39587.64</v>
      </c>
      <c r="K222" s="18">
        <v>13629.65</v>
      </c>
      <c r="L222" s="18">
        <v>2319.23</v>
      </c>
      <c r="M222" s="27" t="s">
        <v>3520</v>
      </c>
      <c r="N222" s="18"/>
      <c r="O222" s="25">
        <v>55536.52</v>
      </c>
      <c r="P222" s="25">
        <v>22763.96</v>
      </c>
      <c r="Q222" s="28">
        <v>78300.479999999996</v>
      </c>
    </row>
    <row r="223" spans="1:17" x14ac:dyDescent="0.2">
      <c r="A223" s="21" t="s">
        <v>1764</v>
      </c>
      <c r="B223" s="21" t="s">
        <v>1765</v>
      </c>
      <c r="C223" s="21" t="s">
        <v>65</v>
      </c>
      <c r="D223" s="21" t="s">
        <v>1157</v>
      </c>
      <c r="E223" s="22" t="s">
        <v>12</v>
      </c>
      <c r="F223" s="23" t="s">
        <v>1549</v>
      </c>
      <c r="G223" s="33" t="s">
        <v>14</v>
      </c>
      <c r="H223" s="25">
        <v>49150.400000000001</v>
      </c>
      <c r="I223" s="26" t="s">
        <v>14</v>
      </c>
      <c r="J223" s="25">
        <v>49365.71</v>
      </c>
      <c r="K223" s="18">
        <v>1789.01</v>
      </c>
      <c r="L223" s="18">
        <v>4330.62</v>
      </c>
      <c r="M223" s="27" t="s">
        <v>3520</v>
      </c>
      <c r="N223" s="18"/>
      <c r="O223" s="25">
        <v>55485.34</v>
      </c>
      <c r="P223" s="25">
        <v>22794.05</v>
      </c>
      <c r="Q223" s="28">
        <v>78279.39</v>
      </c>
    </row>
    <row r="224" spans="1:17" x14ac:dyDescent="0.2">
      <c r="A224" s="21" t="s">
        <v>1772</v>
      </c>
      <c r="B224" s="21" t="s">
        <v>1773</v>
      </c>
      <c r="C224" s="21" t="s">
        <v>65</v>
      </c>
      <c r="D224" s="21" t="s">
        <v>1775</v>
      </c>
      <c r="E224" s="22" t="s">
        <v>12</v>
      </c>
      <c r="F224" s="23" t="s">
        <v>195</v>
      </c>
      <c r="G224" s="33" t="s">
        <v>14</v>
      </c>
      <c r="H224" s="25">
        <v>49628.800000000003</v>
      </c>
      <c r="I224" s="26" t="s">
        <v>14</v>
      </c>
      <c r="J224" s="25">
        <v>50566.65</v>
      </c>
      <c r="K224" s="18">
        <v>1617.73</v>
      </c>
      <c r="L224" s="18">
        <v>3275.96</v>
      </c>
      <c r="M224" s="27" t="s">
        <v>3520</v>
      </c>
      <c r="N224" s="18"/>
      <c r="O224" s="25">
        <v>55460.34</v>
      </c>
      <c r="P224" s="25">
        <v>22734.05</v>
      </c>
      <c r="Q224" s="28">
        <v>78194.39</v>
      </c>
    </row>
    <row r="225" spans="1:17" ht="17" thickBot="1" x14ac:dyDescent="0.25">
      <c r="A225" s="21" t="s">
        <v>1780</v>
      </c>
      <c r="B225" s="21" t="s">
        <v>544</v>
      </c>
      <c r="C225" s="21" t="s">
        <v>81</v>
      </c>
      <c r="D225" s="21" t="s">
        <v>249</v>
      </c>
      <c r="E225" s="22" t="s">
        <v>20</v>
      </c>
      <c r="F225" s="23" t="s">
        <v>1785</v>
      </c>
      <c r="G225" s="34" t="s">
        <v>1786</v>
      </c>
      <c r="H225" s="25">
        <v>72550.880000000005</v>
      </c>
      <c r="I225" s="25">
        <v>952.92</v>
      </c>
      <c r="J225" s="25">
        <v>46925.35</v>
      </c>
      <c r="K225" s="18">
        <v>6887.62</v>
      </c>
      <c r="L225" s="18">
        <v>2962.75</v>
      </c>
      <c r="M225" s="27" t="s">
        <v>3520</v>
      </c>
      <c r="N225" s="18"/>
      <c r="O225" s="18">
        <v>57728.639999999999</v>
      </c>
      <c r="P225" s="25">
        <v>20012.98</v>
      </c>
      <c r="Q225" s="28">
        <v>77741.62</v>
      </c>
    </row>
    <row r="226" spans="1:17" x14ac:dyDescent="0.2">
      <c r="A226" s="10" t="s">
        <v>1787</v>
      </c>
      <c r="B226" s="10" t="s">
        <v>56</v>
      </c>
      <c r="C226" s="10" t="s">
        <v>137</v>
      </c>
      <c r="D226" s="10" t="s">
        <v>1627</v>
      </c>
      <c r="E226" s="11" t="s">
        <v>12</v>
      </c>
      <c r="F226" s="12" t="s">
        <v>1792</v>
      </c>
      <c r="G226" s="32" t="s">
        <v>14</v>
      </c>
      <c r="H226" s="14">
        <v>51064</v>
      </c>
      <c r="I226" s="15" t="s">
        <v>14</v>
      </c>
      <c r="J226" s="14">
        <v>51036.85</v>
      </c>
      <c r="K226" s="16">
        <v>884.8</v>
      </c>
      <c r="L226" s="16">
        <v>3131</v>
      </c>
      <c r="M226" s="17" t="s">
        <v>3520</v>
      </c>
      <c r="N226" s="18"/>
      <c r="O226" s="14">
        <v>55052.65</v>
      </c>
      <c r="P226" s="14">
        <v>22542.27</v>
      </c>
      <c r="Q226" s="20">
        <v>77594.92</v>
      </c>
    </row>
    <row r="227" spans="1:17" x14ac:dyDescent="0.2">
      <c r="A227" s="21" t="s">
        <v>1795</v>
      </c>
      <c r="B227" s="21" t="s">
        <v>1796</v>
      </c>
      <c r="C227" s="21" t="s">
        <v>81</v>
      </c>
      <c r="D227" s="21" t="s">
        <v>1798</v>
      </c>
      <c r="E227" s="22" t="s">
        <v>12</v>
      </c>
      <c r="F227" s="23" t="s">
        <v>1800</v>
      </c>
      <c r="G227" s="33" t="s">
        <v>14</v>
      </c>
      <c r="H227" s="25">
        <v>44220.800000000003</v>
      </c>
      <c r="I227" s="26" t="s">
        <v>14</v>
      </c>
      <c r="J227" s="25">
        <v>44583.07</v>
      </c>
      <c r="K227" s="18">
        <v>2994.56</v>
      </c>
      <c r="L227" s="18">
        <v>1646</v>
      </c>
      <c r="M227" s="27" t="s">
        <v>3520</v>
      </c>
      <c r="N227" s="18"/>
      <c r="O227" s="25">
        <v>49223.63</v>
      </c>
      <c r="P227" s="25">
        <v>28313.59</v>
      </c>
      <c r="Q227" s="28">
        <v>77537.22</v>
      </c>
    </row>
    <row r="228" spans="1:17" x14ac:dyDescent="0.2">
      <c r="A228" s="21" t="s">
        <v>1803</v>
      </c>
      <c r="B228" s="21" t="s">
        <v>1804</v>
      </c>
      <c r="C228" s="21" t="s">
        <v>81</v>
      </c>
      <c r="D228" s="21" t="s">
        <v>1419</v>
      </c>
      <c r="E228" s="22" t="s">
        <v>20</v>
      </c>
      <c r="F228" s="23" t="s">
        <v>516</v>
      </c>
      <c r="G228" s="33" t="s">
        <v>14</v>
      </c>
      <c r="H228" s="25">
        <v>38294.699999999997</v>
      </c>
      <c r="I228" s="26" t="s">
        <v>14</v>
      </c>
      <c r="J228" s="25">
        <v>40843.74</v>
      </c>
      <c r="K228" s="18">
        <v>8319.18</v>
      </c>
      <c r="L228" s="18">
        <v>1535.31</v>
      </c>
      <c r="M228" s="27" t="s">
        <v>3520</v>
      </c>
      <c r="N228" s="18"/>
      <c r="O228" s="25">
        <v>50698.23</v>
      </c>
      <c r="P228" s="25">
        <v>26832.12</v>
      </c>
      <c r="Q228" s="28">
        <v>77530.350000000006</v>
      </c>
    </row>
    <row r="229" spans="1:17" x14ac:dyDescent="0.2">
      <c r="A229" s="21" t="s">
        <v>1811</v>
      </c>
      <c r="B229" s="21" t="s">
        <v>1812</v>
      </c>
      <c r="C229" s="21" t="s">
        <v>81</v>
      </c>
      <c r="D229" s="21" t="s">
        <v>378</v>
      </c>
      <c r="E229" s="22" t="s">
        <v>20</v>
      </c>
      <c r="F229" s="23" t="s">
        <v>756</v>
      </c>
      <c r="G229" s="33" t="s">
        <v>14</v>
      </c>
      <c r="H229" s="25">
        <v>39711.61</v>
      </c>
      <c r="I229" s="26" t="s">
        <v>14</v>
      </c>
      <c r="J229" s="25">
        <v>39317.699999999997</v>
      </c>
      <c r="K229" s="18">
        <v>7957.71</v>
      </c>
      <c r="L229" s="18">
        <v>1501.92</v>
      </c>
      <c r="M229" s="27" t="s">
        <v>3520</v>
      </c>
      <c r="N229" s="18"/>
      <c r="O229" s="25">
        <v>48777.33</v>
      </c>
      <c r="P229" s="25">
        <v>28184</v>
      </c>
      <c r="Q229" s="28">
        <v>76961.33</v>
      </c>
    </row>
    <row r="230" spans="1:17" x14ac:dyDescent="0.2">
      <c r="A230" s="21" t="s">
        <v>1819</v>
      </c>
      <c r="B230" s="21" t="s">
        <v>1820</v>
      </c>
      <c r="C230" s="21" t="s">
        <v>1323</v>
      </c>
      <c r="D230" s="21" t="s">
        <v>1744</v>
      </c>
      <c r="E230" s="22" t="s">
        <v>12</v>
      </c>
      <c r="F230" s="23" t="s">
        <v>1239</v>
      </c>
      <c r="G230" s="33" t="s">
        <v>14</v>
      </c>
      <c r="H230" s="25">
        <v>51812.800000000003</v>
      </c>
      <c r="I230" s="26" t="s">
        <v>14</v>
      </c>
      <c r="J230" s="25">
        <v>52110.26</v>
      </c>
      <c r="K230" s="18">
        <v>948.07</v>
      </c>
      <c r="L230" s="18">
        <v>990</v>
      </c>
      <c r="M230" s="27" t="s">
        <v>3520</v>
      </c>
      <c r="N230" s="18"/>
      <c r="O230" s="25">
        <v>54048.33</v>
      </c>
      <c r="P230" s="25">
        <v>21853.51</v>
      </c>
      <c r="Q230" s="28">
        <v>75901.84</v>
      </c>
    </row>
    <row r="231" spans="1:17" x14ac:dyDescent="0.2">
      <c r="A231" s="21" t="s">
        <v>303</v>
      </c>
      <c r="B231" s="21" t="s">
        <v>1828</v>
      </c>
      <c r="C231" s="21" t="s">
        <v>81</v>
      </c>
      <c r="D231" s="21" t="s">
        <v>1419</v>
      </c>
      <c r="E231" s="22" t="s">
        <v>20</v>
      </c>
      <c r="F231" s="23" t="s">
        <v>516</v>
      </c>
      <c r="G231" s="33" t="s">
        <v>14</v>
      </c>
      <c r="H231" s="25">
        <v>38294.699999999997</v>
      </c>
      <c r="I231" s="26" t="s">
        <v>14</v>
      </c>
      <c r="J231" s="25">
        <v>30104.75</v>
      </c>
      <c r="K231" s="18">
        <v>22703.18</v>
      </c>
      <c r="L231" s="18">
        <v>973.42</v>
      </c>
      <c r="M231" s="27" t="s">
        <v>3520</v>
      </c>
      <c r="N231" s="18"/>
      <c r="O231" s="25">
        <v>53781.35</v>
      </c>
      <c r="P231" s="25">
        <v>22024.639999999999</v>
      </c>
      <c r="Q231" s="28">
        <v>75805.990000000005</v>
      </c>
    </row>
    <row r="232" spans="1:17" x14ac:dyDescent="0.2">
      <c r="A232" s="21" t="s">
        <v>303</v>
      </c>
      <c r="B232" s="21" t="s">
        <v>1836</v>
      </c>
      <c r="C232" s="21" t="s">
        <v>824</v>
      </c>
      <c r="D232" s="21" t="s">
        <v>1838</v>
      </c>
      <c r="E232" s="22" t="s">
        <v>12</v>
      </c>
      <c r="F232" s="23" t="s">
        <v>827</v>
      </c>
      <c r="G232" s="33" t="s">
        <v>14</v>
      </c>
      <c r="H232" s="25">
        <v>48796.800000000003</v>
      </c>
      <c r="I232" s="26" t="s">
        <v>14</v>
      </c>
      <c r="J232" s="25">
        <v>49193.85</v>
      </c>
      <c r="K232" s="18">
        <v>1716.58</v>
      </c>
      <c r="L232" s="18">
        <v>2346.87</v>
      </c>
      <c r="M232" s="27" t="s">
        <v>3520</v>
      </c>
      <c r="N232" s="18"/>
      <c r="O232" s="25">
        <v>53257.3</v>
      </c>
      <c r="P232" s="25">
        <v>22043.19</v>
      </c>
      <c r="Q232" s="28">
        <v>75300.490000000005</v>
      </c>
    </row>
    <row r="233" spans="1:17" x14ac:dyDescent="0.2">
      <c r="A233" s="21" t="s">
        <v>1843</v>
      </c>
      <c r="B233" s="21" t="s">
        <v>1844</v>
      </c>
      <c r="C233" s="21" t="s">
        <v>65</v>
      </c>
      <c r="D233" s="21" t="s">
        <v>1728</v>
      </c>
      <c r="E233" s="22" t="s">
        <v>12</v>
      </c>
      <c r="F233" s="23" t="s">
        <v>1730</v>
      </c>
      <c r="G233" s="34" t="s">
        <v>1849</v>
      </c>
      <c r="H233" s="25">
        <v>45115.199999999997</v>
      </c>
      <c r="I233" s="25">
        <v>160.51</v>
      </c>
      <c r="J233" s="25">
        <v>44271.01</v>
      </c>
      <c r="K233" s="18">
        <v>1177.76</v>
      </c>
      <c r="L233" s="18">
        <v>2445.09</v>
      </c>
      <c r="M233" s="27" t="s">
        <v>3520</v>
      </c>
      <c r="N233" s="18"/>
      <c r="O233" s="18">
        <v>48054.37</v>
      </c>
      <c r="P233" s="25">
        <v>26960.27</v>
      </c>
      <c r="Q233" s="28">
        <v>75014.64</v>
      </c>
    </row>
    <row r="234" spans="1:17" x14ac:dyDescent="0.2">
      <c r="A234" s="21" t="s">
        <v>1850</v>
      </c>
      <c r="B234" s="21" t="s">
        <v>496</v>
      </c>
      <c r="C234" s="21" t="s">
        <v>81</v>
      </c>
      <c r="D234" s="21" t="s">
        <v>378</v>
      </c>
      <c r="E234" s="22" t="s">
        <v>20</v>
      </c>
      <c r="F234" s="23" t="s">
        <v>1855</v>
      </c>
      <c r="G234" s="33" t="s">
        <v>14</v>
      </c>
      <c r="H234" s="25">
        <v>38294.699999999997</v>
      </c>
      <c r="I234" s="26" t="s">
        <v>14</v>
      </c>
      <c r="J234" s="25">
        <v>39761.24</v>
      </c>
      <c r="K234" s="18">
        <v>10253.43</v>
      </c>
      <c r="L234" s="18">
        <v>2918.56</v>
      </c>
      <c r="M234" s="27" t="s">
        <v>3520</v>
      </c>
      <c r="N234" s="18"/>
      <c r="O234" s="25">
        <v>52933.23</v>
      </c>
      <c r="P234" s="25">
        <v>22020.22</v>
      </c>
      <c r="Q234" s="28">
        <v>74953.45</v>
      </c>
    </row>
    <row r="235" spans="1:17" x14ac:dyDescent="0.2">
      <c r="A235" s="21" t="s">
        <v>1858</v>
      </c>
      <c r="B235" s="21" t="s">
        <v>1859</v>
      </c>
      <c r="C235" s="21" t="s">
        <v>256</v>
      </c>
      <c r="D235" s="21" t="s">
        <v>1126</v>
      </c>
      <c r="E235" s="22" t="s">
        <v>12</v>
      </c>
      <c r="F235" s="23" t="s">
        <v>1863</v>
      </c>
      <c r="G235" s="33" t="s">
        <v>14</v>
      </c>
      <c r="H235" s="25">
        <v>53560</v>
      </c>
      <c r="I235" s="26" t="s">
        <v>14</v>
      </c>
      <c r="J235" s="25">
        <v>53423.08</v>
      </c>
      <c r="K235" s="18" t="s">
        <v>3520</v>
      </c>
      <c r="L235" s="25">
        <v>30</v>
      </c>
      <c r="M235" s="27" t="s">
        <v>3520</v>
      </c>
      <c r="N235" s="18"/>
      <c r="O235" s="25">
        <v>53453.08</v>
      </c>
      <c r="P235" s="25">
        <v>21189.03</v>
      </c>
      <c r="Q235" s="28">
        <v>74642.11</v>
      </c>
    </row>
    <row r="236" spans="1:17" x14ac:dyDescent="0.2">
      <c r="A236" s="21" t="s">
        <v>1866</v>
      </c>
      <c r="B236" s="21" t="s">
        <v>760</v>
      </c>
      <c r="C236" s="21" t="s">
        <v>1260</v>
      </c>
      <c r="D236" s="21" t="s">
        <v>1261</v>
      </c>
      <c r="E236" s="22" t="s">
        <v>12</v>
      </c>
      <c r="F236" s="23" t="s">
        <v>1871</v>
      </c>
      <c r="G236" s="33" t="s">
        <v>14</v>
      </c>
      <c r="H236" s="25">
        <v>140000.12</v>
      </c>
      <c r="I236" s="26" t="s">
        <v>14</v>
      </c>
      <c r="J236" s="25">
        <v>53846.2</v>
      </c>
      <c r="K236" s="18" t="s">
        <v>3520</v>
      </c>
      <c r="L236" s="25">
        <v>50</v>
      </c>
      <c r="M236" s="27" t="s">
        <v>3520</v>
      </c>
      <c r="N236" s="18"/>
      <c r="O236" s="18">
        <v>53896.2</v>
      </c>
      <c r="P236" s="25">
        <v>20182.240000000002</v>
      </c>
      <c r="Q236" s="28">
        <v>74078.44</v>
      </c>
    </row>
    <row r="237" spans="1:17" x14ac:dyDescent="0.2">
      <c r="A237" s="21" t="s">
        <v>1874</v>
      </c>
      <c r="B237" s="21" t="s">
        <v>1875</v>
      </c>
      <c r="C237" s="21" t="s">
        <v>81</v>
      </c>
      <c r="D237" s="21" t="s">
        <v>378</v>
      </c>
      <c r="E237" s="22" t="s">
        <v>20</v>
      </c>
      <c r="F237" s="23" t="s">
        <v>756</v>
      </c>
      <c r="G237" s="33" t="s">
        <v>14</v>
      </c>
      <c r="H237" s="25">
        <v>39711.61</v>
      </c>
      <c r="I237" s="26" t="s">
        <v>14</v>
      </c>
      <c r="J237" s="25">
        <v>39018.42</v>
      </c>
      <c r="K237" s="18">
        <v>9961.15</v>
      </c>
      <c r="L237" s="18">
        <v>2724.53</v>
      </c>
      <c r="M237" s="27" t="s">
        <v>3520</v>
      </c>
      <c r="N237" s="18"/>
      <c r="O237" s="25">
        <v>51704.1</v>
      </c>
      <c r="P237" s="25">
        <v>22357.99</v>
      </c>
      <c r="Q237" s="28">
        <v>74062.09</v>
      </c>
    </row>
    <row r="238" spans="1:17" x14ac:dyDescent="0.2">
      <c r="A238" s="21" t="s">
        <v>1882</v>
      </c>
      <c r="B238" s="21" t="s">
        <v>1883</v>
      </c>
      <c r="C238" s="21" t="s">
        <v>65</v>
      </c>
      <c r="D238" s="21" t="s">
        <v>1736</v>
      </c>
      <c r="E238" s="22" t="s">
        <v>12</v>
      </c>
      <c r="F238" s="23" t="s">
        <v>1445</v>
      </c>
      <c r="G238" s="33" t="s">
        <v>14</v>
      </c>
      <c r="H238" s="25">
        <v>46529.599999999999</v>
      </c>
      <c r="I238" s="26" t="s">
        <v>14</v>
      </c>
      <c r="J238" s="25">
        <v>47179.64</v>
      </c>
      <c r="K238" s="18">
        <v>2174.7199999999998</v>
      </c>
      <c r="L238" s="18">
        <v>2651.49</v>
      </c>
      <c r="M238" s="27" t="s">
        <v>3520</v>
      </c>
      <c r="N238" s="18"/>
      <c r="O238" s="25">
        <v>52005.85</v>
      </c>
      <c r="P238" s="25">
        <v>21840.86</v>
      </c>
      <c r="Q238" s="28">
        <v>73846.710000000006</v>
      </c>
    </row>
    <row r="239" spans="1:17" x14ac:dyDescent="0.2">
      <c r="A239" s="21" t="s">
        <v>1890</v>
      </c>
      <c r="B239" s="21" t="s">
        <v>223</v>
      </c>
      <c r="C239" s="21" t="s">
        <v>145</v>
      </c>
      <c r="D239" s="21" t="s">
        <v>1682</v>
      </c>
      <c r="E239" s="22" t="s">
        <v>12</v>
      </c>
      <c r="F239" s="23" t="s">
        <v>1668</v>
      </c>
      <c r="G239" s="33" t="s">
        <v>14</v>
      </c>
      <c r="H239" s="25">
        <v>42328</v>
      </c>
      <c r="I239" s="26" t="s">
        <v>14</v>
      </c>
      <c r="J239" s="25">
        <v>43189.17</v>
      </c>
      <c r="K239" s="18">
        <v>4185.1499999999996</v>
      </c>
      <c r="L239" s="18">
        <v>340</v>
      </c>
      <c r="M239" s="27" t="s">
        <v>3520</v>
      </c>
      <c r="N239" s="18"/>
      <c r="O239" s="25">
        <v>47714.32</v>
      </c>
      <c r="P239" s="25">
        <v>26099.360000000001</v>
      </c>
      <c r="Q239" s="28">
        <v>73813.679999999993</v>
      </c>
    </row>
    <row r="240" spans="1:17" x14ac:dyDescent="0.2">
      <c r="A240" s="21" t="s">
        <v>1898</v>
      </c>
      <c r="B240" s="21" t="s">
        <v>1195</v>
      </c>
      <c r="C240" s="21" t="s">
        <v>240</v>
      </c>
      <c r="D240" s="21" t="s">
        <v>1901</v>
      </c>
      <c r="E240" s="22" t="s">
        <v>12</v>
      </c>
      <c r="F240" s="23" t="s">
        <v>1903</v>
      </c>
      <c r="G240" s="33" t="s">
        <v>14</v>
      </c>
      <c r="H240" s="25">
        <v>45032</v>
      </c>
      <c r="I240" s="26" t="s">
        <v>14</v>
      </c>
      <c r="J240" s="25">
        <v>46808.05</v>
      </c>
      <c r="K240" s="18">
        <v>3476.31</v>
      </c>
      <c r="L240" s="18">
        <v>1457.04</v>
      </c>
      <c r="M240" s="27" t="s">
        <v>3520</v>
      </c>
      <c r="N240" s="18"/>
      <c r="O240" s="25">
        <v>51741.4</v>
      </c>
      <c r="P240" s="25">
        <v>21755.14</v>
      </c>
      <c r="Q240" s="28">
        <v>73496.539999999994</v>
      </c>
    </row>
    <row r="241" spans="1:17" x14ac:dyDescent="0.2">
      <c r="A241" s="21" t="s">
        <v>1906</v>
      </c>
      <c r="B241" s="21" t="s">
        <v>1907</v>
      </c>
      <c r="C241" s="21" t="s">
        <v>256</v>
      </c>
      <c r="D241" s="21" t="s">
        <v>1909</v>
      </c>
      <c r="E241" s="22" t="s">
        <v>12</v>
      </c>
      <c r="F241" s="23" t="s">
        <v>1911</v>
      </c>
      <c r="G241" s="33" t="s">
        <v>14</v>
      </c>
      <c r="H241" s="25">
        <v>40664</v>
      </c>
      <c r="I241" s="26" t="s">
        <v>14</v>
      </c>
      <c r="J241" s="25">
        <v>40560.74</v>
      </c>
      <c r="K241" s="18">
        <v>62.4</v>
      </c>
      <c r="L241" s="25">
        <v>1880</v>
      </c>
      <c r="M241" s="27" t="s">
        <v>3520</v>
      </c>
      <c r="N241" s="18"/>
      <c r="O241" s="25">
        <v>42503.14</v>
      </c>
      <c r="P241" s="25">
        <v>30641.01</v>
      </c>
      <c r="Q241" s="28">
        <v>73144.149999999994</v>
      </c>
    </row>
    <row r="242" spans="1:17" x14ac:dyDescent="0.2">
      <c r="A242" s="21" t="s">
        <v>1914</v>
      </c>
      <c r="B242" s="21" t="s">
        <v>1915</v>
      </c>
      <c r="C242" s="21" t="s">
        <v>1916</v>
      </c>
      <c r="D242" s="21" t="s">
        <v>1917</v>
      </c>
      <c r="E242" s="22" t="s">
        <v>12</v>
      </c>
      <c r="F242" s="23" t="s">
        <v>564</v>
      </c>
      <c r="G242" s="33" t="s">
        <v>14</v>
      </c>
      <c r="H242" s="25">
        <v>44969.599999999999</v>
      </c>
      <c r="I242" s="26" t="s">
        <v>14</v>
      </c>
      <c r="J242" s="25">
        <v>45373.279999999999</v>
      </c>
      <c r="K242" s="18">
        <v>6012.64</v>
      </c>
      <c r="L242" s="25">
        <v>30</v>
      </c>
      <c r="M242" s="27" t="s">
        <v>3520</v>
      </c>
      <c r="N242" s="18"/>
      <c r="O242" s="25">
        <v>51415.92</v>
      </c>
      <c r="P242" s="25">
        <v>21541.69</v>
      </c>
      <c r="Q242" s="28">
        <v>72957.61</v>
      </c>
    </row>
    <row r="243" spans="1:17" x14ac:dyDescent="0.2">
      <c r="A243" s="21" t="s">
        <v>1922</v>
      </c>
      <c r="B243" s="21" t="s">
        <v>17</v>
      </c>
      <c r="C243" s="21" t="s">
        <v>81</v>
      </c>
      <c r="D243" s="21" t="s">
        <v>1419</v>
      </c>
      <c r="E243" s="22" t="s">
        <v>20</v>
      </c>
      <c r="F243" s="23" t="s">
        <v>756</v>
      </c>
      <c r="G243" s="33" t="s">
        <v>14</v>
      </c>
      <c r="H243" s="25">
        <v>39711.61</v>
      </c>
      <c r="I243" s="26" t="s">
        <v>14</v>
      </c>
      <c r="J243" s="25">
        <v>29998.67</v>
      </c>
      <c r="K243" s="18">
        <v>19289.68</v>
      </c>
      <c r="L243" s="18">
        <v>1955.35</v>
      </c>
      <c r="M243" s="27" t="s">
        <v>3520</v>
      </c>
      <c r="N243" s="18"/>
      <c r="O243" s="25">
        <v>51243.7</v>
      </c>
      <c r="P243" s="25">
        <v>21693.46</v>
      </c>
      <c r="Q243" s="28">
        <v>72937.16</v>
      </c>
    </row>
    <row r="244" spans="1:17" x14ac:dyDescent="0.2">
      <c r="A244" s="21" t="s">
        <v>1930</v>
      </c>
      <c r="B244" s="21" t="s">
        <v>1931</v>
      </c>
      <c r="C244" s="21" t="s">
        <v>705</v>
      </c>
      <c r="D244" s="21" t="s">
        <v>1933</v>
      </c>
      <c r="E244" s="22" t="s">
        <v>12</v>
      </c>
      <c r="F244" s="23" t="s">
        <v>1935</v>
      </c>
      <c r="G244" s="33" t="s">
        <v>14</v>
      </c>
      <c r="H244" s="25">
        <v>48380.800000000003</v>
      </c>
      <c r="I244" s="26" t="s">
        <v>14</v>
      </c>
      <c r="J244" s="25">
        <v>48116.43</v>
      </c>
      <c r="K244" s="18">
        <v>418.55</v>
      </c>
      <c r="L244" s="18">
        <v>2761.02</v>
      </c>
      <c r="M244" s="27" t="s">
        <v>3520</v>
      </c>
      <c r="N244" s="18"/>
      <c r="O244" s="25">
        <v>51296</v>
      </c>
      <c r="P244" s="25">
        <v>21590.73</v>
      </c>
      <c r="Q244" s="28">
        <v>72886.73</v>
      </c>
    </row>
    <row r="245" spans="1:17" x14ac:dyDescent="0.2">
      <c r="A245" s="21" t="s">
        <v>1938</v>
      </c>
      <c r="B245" s="21" t="s">
        <v>223</v>
      </c>
      <c r="C245" s="21" t="s">
        <v>1252</v>
      </c>
      <c r="D245" s="21" t="s">
        <v>1435</v>
      </c>
      <c r="E245" s="22" t="s">
        <v>12</v>
      </c>
      <c r="F245" s="23" t="s">
        <v>1943</v>
      </c>
      <c r="G245" s="33" t="s">
        <v>14</v>
      </c>
      <c r="H245" s="25">
        <v>45448</v>
      </c>
      <c r="I245" s="26" t="s">
        <v>14</v>
      </c>
      <c r="J245" s="25">
        <v>45670.66</v>
      </c>
      <c r="K245" s="18">
        <v>370.03</v>
      </c>
      <c r="L245" s="18">
        <v>4752.08</v>
      </c>
      <c r="M245" s="27" t="s">
        <v>3520</v>
      </c>
      <c r="N245" s="18"/>
      <c r="O245" s="25">
        <v>50792.77</v>
      </c>
      <c r="P245" s="25">
        <v>21792.53</v>
      </c>
      <c r="Q245" s="28">
        <v>72585.3</v>
      </c>
    </row>
    <row r="246" spans="1:17" x14ac:dyDescent="0.2">
      <c r="A246" s="21" t="s">
        <v>1946</v>
      </c>
      <c r="B246" s="21" t="s">
        <v>1947</v>
      </c>
      <c r="C246" s="21" t="s">
        <v>65</v>
      </c>
      <c r="D246" s="21" t="s">
        <v>1949</v>
      </c>
      <c r="E246" s="22" t="s">
        <v>12</v>
      </c>
      <c r="F246" s="23" t="s">
        <v>1730</v>
      </c>
      <c r="G246" s="33" t="s">
        <v>14</v>
      </c>
      <c r="H246" s="25">
        <v>41787.199999999997</v>
      </c>
      <c r="I246" s="26" t="s">
        <v>14</v>
      </c>
      <c r="J246" s="25">
        <v>42293.56</v>
      </c>
      <c r="K246" s="18">
        <v>839.93</v>
      </c>
      <c r="L246" s="18">
        <v>2654.52</v>
      </c>
      <c r="M246" s="27" t="s">
        <v>3520</v>
      </c>
      <c r="N246" s="18"/>
      <c r="O246" s="25">
        <v>45788.01</v>
      </c>
      <c r="P246" s="25">
        <v>26463.29</v>
      </c>
      <c r="Q246" s="28">
        <v>72251.3</v>
      </c>
    </row>
    <row r="247" spans="1:17" x14ac:dyDescent="0.2">
      <c r="A247" s="21" t="s">
        <v>246</v>
      </c>
      <c r="B247" s="21" t="s">
        <v>1076</v>
      </c>
      <c r="C247" s="21" t="s">
        <v>808</v>
      </c>
      <c r="D247" s="21" t="s">
        <v>1957</v>
      </c>
      <c r="E247" s="22" t="s">
        <v>12</v>
      </c>
      <c r="F247" s="23" t="s">
        <v>1959</v>
      </c>
      <c r="G247" s="33" t="s">
        <v>14</v>
      </c>
      <c r="H247" s="25">
        <v>40664</v>
      </c>
      <c r="I247" s="26" t="s">
        <v>14</v>
      </c>
      <c r="J247" s="25">
        <v>42009.07</v>
      </c>
      <c r="K247" s="18">
        <v>1101</v>
      </c>
      <c r="L247" s="18">
        <v>170</v>
      </c>
      <c r="M247" s="27" t="s">
        <v>3520</v>
      </c>
      <c r="N247" s="18"/>
      <c r="O247" s="25">
        <v>43280.07</v>
      </c>
      <c r="P247" s="25">
        <v>28930.25</v>
      </c>
      <c r="Q247" s="28">
        <v>72210.320000000007</v>
      </c>
    </row>
    <row r="248" spans="1:17" x14ac:dyDescent="0.2">
      <c r="A248" s="21" t="s">
        <v>1962</v>
      </c>
      <c r="B248" s="21" t="s">
        <v>1963</v>
      </c>
      <c r="C248" s="21" t="s">
        <v>65</v>
      </c>
      <c r="D248" s="21" t="s">
        <v>1728</v>
      </c>
      <c r="E248" s="22" t="s">
        <v>12</v>
      </c>
      <c r="F248" s="23" t="s">
        <v>1967</v>
      </c>
      <c r="G248" s="33" t="s">
        <v>14</v>
      </c>
      <c r="H248" s="25">
        <v>44782.400000000001</v>
      </c>
      <c r="I248" s="26" t="s">
        <v>14</v>
      </c>
      <c r="J248" s="25">
        <v>45421.919999999998</v>
      </c>
      <c r="K248" s="18">
        <v>778.14</v>
      </c>
      <c r="L248" s="18">
        <v>4196.5200000000004</v>
      </c>
      <c r="M248" s="27" t="s">
        <v>3520</v>
      </c>
      <c r="N248" s="18"/>
      <c r="O248" s="25">
        <v>50396.58</v>
      </c>
      <c r="P248" s="25">
        <v>21327.84</v>
      </c>
      <c r="Q248" s="28">
        <v>71724.42</v>
      </c>
    </row>
    <row r="249" spans="1:17" x14ac:dyDescent="0.2">
      <c r="A249" s="21" t="s">
        <v>1258</v>
      </c>
      <c r="B249" s="21" t="s">
        <v>1971</v>
      </c>
      <c r="C249" s="21" t="s">
        <v>137</v>
      </c>
      <c r="D249" s="21" t="s">
        <v>1627</v>
      </c>
      <c r="E249" s="22" t="s">
        <v>12</v>
      </c>
      <c r="F249" s="23" t="s">
        <v>865</v>
      </c>
      <c r="G249" s="33" t="s">
        <v>14</v>
      </c>
      <c r="H249" s="25">
        <v>48880</v>
      </c>
      <c r="I249" s="26" t="s">
        <v>14</v>
      </c>
      <c r="J249" s="25">
        <v>48058.79</v>
      </c>
      <c r="K249" s="18">
        <v>1187.0899999999999</v>
      </c>
      <c r="L249" s="18">
        <v>560</v>
      </c>
      <c r="M249" s="27" t="s">
        <v>3520</v>
      </c>
      <c r="N249" s="18"/>
      <c r="O249" s="25">
        <v>49805.88</v>
      </c>
      <c r="P249" s="25">
        <v>21818.66</v>
      </c>
      <c r="Q249" s="28">
        <v>71624.539999999994</v>
      </c>
    </row>
    <row r="250" spans="1:17" x14ac:dyDescent="0.2">
      <c r="A250" s="21" t="s">
        <v>1978</v>
      </c>
      <c r="B250" s="21" t="s">
        <v>1979</v>
      </c>
      <c r="C250" s="21" t="s">
        <v>256</v>
      </c>
      <c r="D250" s="21" t="s">
        <v>1909</v>
      </c>
      <c r="E250" s="22" t="s">
        <v>12</v>
      </c>
      <c r="F250" s="23" t="s">
        <v>1983</v>
      </c>
      <c r="G250" s="33" t="s">
        <v>14</v>
      </c>
      <c r="H250" s="25">
        <v>45448</v>
      </c>
      <c r="I250" s="26" t="s">
        <v>14</v>
      </c>
      <c r="J250" s="25">
        <v>45333.1</v>
      </c>
      <c r="K250" s="18">
        <v>62.5</v>
      </c>
      <c r="L250" s="25">
        <v>4542.08</v>
      </c>
      <c r="M250" s="27" t="s">
        <v>3520</v>
      </c>
      <c r="N250" s="18"/>
      <c r="O250" s="25">
        <v>49937.68</v>
      </c>
      <c r="P250" s="25">
        <v>21415.4</v>
      </c>
      <c r="Q250" s="28">
        <v>71353.08</v>
      </c>
    </row>
    <row r="251" spans="1:17" x14ac:dyDescent="0.2">
      <c r="A251" s="21" t="s">
        <v>1986</v>
      </c>
      <c r="B251" s="21" t="s">
        <v>1987</v>
      </c>
      <c r="C251" s="21" t="s">
        <v>886</v>
      </c>
      <c r="D251" s="21" t="s">
        <v>1989</v>
      </c>
      <c r="E251" s="22" t="s">
        <v>12</v>
      </c>
      <c r="F251" s="23" t="s">
        <v>1991</v>
      </c>
      <c r="G251" s="33" t="s">
        <v>14</v>
      </c>
      <c r="H251" s="25">
        <v>37398.400000000001</v>
      </c>
      <c r="I251" s="26" t="s">
        <v>14</v>
      </c>
      <c r="J251" s="25">
        <v>38040.89</v>
      </c>
      <c r="K251" s="18">
        <v>1132.99</v>
      </c>
      <c r="L251" s="18">
        <v>1760</v>
      </c>
      <c r="M251" s="27" t="s">
        <v>3520</v>
      </c>
      <c r="N251" s="18"/>
      <c r="O251" s="25">
        <v>40933.879999999997</v>
      </c>
      <c r="P251" s="25">
        <v>30314.94</v>
      </c>
      <c r="Q251" s="28">
        <v>71248.820000000007</v>
      </c>
    </row>
    <row r="252" spans="1:17" x14ac:dyDescent="0.2">
      <c r="A252" s="21" t="s">
        <v>1994</v>
      </c>
      <c r="B252" s="21" t="s">
        <v>1995</v>
      </c>
      <c r="C252" s="21" t="s">
        <v>808</v>
      </c>
      <c r="D252" s="21" t="s">
        <v>1997</v>
      </c>
      <c r="E252" s="22" t="s">
        <v>12</v>
      </c>
      <c r="F252" s="23" t="s">
        <v>243</v>
      </c>
      <c r="G252" s="33" t="s">
        <v>14</v>
      </c>
      <c r="H252" s="25">
        <v>36670.400000000001</v>
      </c>
      <c r="I252" s="26" t="s">
        <v>14</v>
      </c>
      <c r="J252" s="25">
        <v>37637.440000000002</v>
      </c>
      <c r="K252" s="18">
        <v>2527.9699999999998</v>
      </c>
      <c r="L252" s="18">
        <v>836</v>
      </c>
      <c r="M252" s="27" t="s">
        <v>3520</v>
      </c>
      <c r="N252" s="18"/>
      <c r="O252" s="25">
        <v>41001.410000000003</v>
      </c>
      <c r="P252" s="25">
        <v>30211.89</v>
      </c>
      <c r="Q252" s="28">
        <v>71213.3</v>
      </c>
    </row>
    <row r="253" spans="1:17" x14ac:dyDescent="0.2">
      <c r="A253" s="21" t="s">
        <v>2002</v>
      </c>
      <c r="B253" s="21" t="s">
        <v>1710</v>
      </c>
      <c r="C253" s="21" t="s">
        <v>256</v>
      </c>
      <c r="D253" s="21" t="s">
        <v>2005</v>
      </c>
      <c r="E253" s="22" t="s">
        <v>12</v>
      </c>
      <c r="F253" s="23" t="s">
        <v>2007</v>
      </c>
      <c r="G253" s="33" t="s">
        <v>14</v>
      </c>
      <c r="H253" s="25">
        <v>41225.599999999999</v>
      </c>
      <c r="I253" s="26" t="s">
        <v>14</v>
      </c>
      <c r="J253" s="25">
        <v>41162.910000000003</v>
      </c>
      <c r="K253" s="18">
        <v>223.52</v>
      </c>
      <c r="L253" s="18">
        <v>3157</v>
      </c>
      <c r="M253" s="27" t="s">
        <v>3520</v>
      </c>
      <c r="N253" s="18"/>
      <c r="O253" s="25">
        <v>44543.43</v>
      </c>
      <c r="P253" s="25">
        <v>26197.54</v>
      </c>
      <c r="Q253" s="28">
        <v>70740.97</v>
      </c>
    </row>
    <row r="254" spans="1:17" x14ac:dyDescent="0.2">
      <c r="A254" s="21" t="s">
        <v>2010</v>
      </c>
      <c r="B254" s="21" t="s">
        <v>2011</v>
      </c>
      <c r="C254" s="21" t="s">
        <v>65</v>
      </c>
      <c r="D254" s="21" t="s">
        <v>1728</v>
      </c>
      <c r="E254" s="22" t="s">
        <v>12</v>
      </c>
      <c r="F254" s="23" t="s">
        <v>969</v>
      </c>
      <c r="G254" s="33" t="s">
        <v>14</v>
      </c>
      <c r="H254" s="25">
        <v>44553.599999999999</v>
      </c>
      <c r="I254" s="26" t="s">
        <v>14</v>
      </c>
      <c r="J254" s="25">
        <v>45242.63</v>
      </c>
      <c r="K254" s="18">
        <v>2998.89</v>
      </c>
      <c r="L254" s="18">
        <v>1672.94</v>
      </c>
      <c r="M254" s="27" t="s">
        <v>3520</v>
      </c>
      <c r="N254" s="18"/>
      <c r="O254" s="25">
        <v>49914.46</v>
      </c>
      <c r="P254" s="25">
        <v>20776.97</v>
      </c>
      <c r="Q254" s="28">
        <v>70691.429999999993</v>
      </c>
    </row>
    <row r="255" spans="1:17" x14ac:dyDescent="0.2">
      <c r="A255" s="21" t="s">
        <v>2018</v>
      </c>
      <c r="B255" s="21" t="s">
        <v>8</v>
      </c>
      <c r="C255" s="21" t="s">
        <v>10</v>
      </c>
      <c r="D255" s="21" t="s">
        <v>27</v>
      </c>
      <c r="E255" s="22" t="s">
        <v>12</v>
      </c>
      <c r="F255" s="23" t="s">
        <v>2023</v>
      </c>
      <c r="G255" s="34" t="s">
        <v>2024</v>
      </c>
      <c r="H255" s="25">
        <v>190841.04</v>
      </c>
      <c r="I255" s="25">
        <v>6026.1</v>
      </c>
      <c r="J255" s="25">
        <v>52114.32</v>
      </c>
      <c r="K255" s="18" t="s">
        <v>3520</v>
      </c>
      <c r="L255" s="18">
        <v>545</v>
      </c>
      <c r="M255" s="27" t="s">
        <v>3520</v>
      </c>
      <c r="N255" s="18"/>
      <c r="O255" s="25">
        <v>58685.42</v>
      </c>
      <c r="P255" s="25">
        <v>11684.67</v>
      </c>
      <c r="Q255" s="28">
        <v>70370.09</v>
      </c>
    </row>
    <row r="256" spans="1:17" x14ac:dyDescent="0.2">
      <c r="A256" s="21" t="s">
        <v>2025</v>
      </c>
      <c r="B256" s="21" t="s">
        <v>472</v>
      </c>
      <c r="C256" s="21" t="s">
        <v>281</v>
      </c>
      <c r="D256" s="21" t="s">
        <v>1917</v>
      </c>
      <c r="E256" s="22" t="s">
        <v>12</v>
      </c>
      <c r="F256" s="23" t="s">
        <v>1374</v>
      </c>
      <c r="G256" s="33" t="s">
        <v>14</v>
      </c>
      <c r="H256" s="25">
        <v>48984</v>
      </c>
      <c r="I256" s="26" t="s">
        <v>14</v>
      </c>
      <c r="J256" s="25">
        <v>49313.24</v>
      </c>
      <c r="K256" s="18">
        <v>6139.82</v>
      </c>
      <c r="L256" s="18">
        <v>530</v>
      </c>
      <c r="M256" s="27" t="s">
        <v>3520</v>
      </c>
      <c r="N256" s="18"/>
      <c r="O256" s="25">
        <v>55983.06</v>
      </c>
      <c r="P256" s="25">
        <v>14144.02</v>
      </c>
      <c r="Q256" s="28">
        <v>70127.08</v>
      </c>
    </row>
    <row r="257" spans="1:17" x14ac:dyDescent="0.2">
      <c r="A257" s="21" t="s">
        <v>2033</v>
      </c>
      <c r="B257" s="21" t="s">
        <v>1195</v>
      </c>
      <c r="C257" s="21" t="s">
        <v>145</v>
      </c>
      <c r="D257" s="21" t="s">
        <v>2036</v>
      </c>
      <c r="E257" s="22" t="s">
        <v>12</v>
      </c>
      <c r="F257" s="23" t="s">
        <v>2038</v>
      </c>
      <c r="G257" s="33" t="s">
        <v>14</v>
      </c>
      <c r="H257" s="25">
        <v>39956.800000000003</v>
      </c>
      <c r="I257" s="26" t="s">
        <v>14</v>
      </c>
      <c r="J257" s="25">
        <v>40602.410000000003</v>
      </c>
      <c r="K257" s="18">
        <v>3513.95</v>
      </c>
      <c r="L257" s="18">
        <v>300</v>
      </c>
      <c r="M257" s="27" t="s">
        <v>3520</v>
      </c>
      <c r="N257" s="18"/>
      <c r="O257" s="25">
        <v>44416.36</v>
      </c>
      <c r="P257" s="25">
        <v>25646.47</v>
      </c>
      <c r="Q257" s="28">
        <v>70062.83</v>
      </c>
    </row>
    <row r="258" spans="1:17" x14ac:dyDescent="0.2">
      <c r="A258" s="21" t="s">
        <v>2041</v>
      </c>
      <c r="B258" s="21" t="s">
        <v>1282</v>
      </c>
      <c r="C258" s="21" t="s">
        <v>137</v>
      </c>
      <c r="D258" s="21" t="s">
        <v>2044</v>
      </c>
      <c r="E258" s="22" t="s">
        <v>12</v>
      </c>
      <c r="F258" s="23" t="s">
        <v>1088</v>
      </c>
      <c r="G258" s="33" t="s">
        <v>14</v>
      </c>
      <c r="H258" s="25">
        <v>46904</v>
      </c>
      <c r="I258" s="26" t="s">
        <v>14</v>
      </c>
      <c r="J258" s="25">
        <v>47058.12</v>
      </c>
      <c r="K258" s="18">
        <v>534.08000000000004</v>
      </c>
      <c r="L258" s="18">
        <v>1330</v>
      </c>
      <c r="M258" s="27" t="s">
        <v>3520</v>
      </c>
      <c r="N258" s="18"/>
      <c r="O258" s="25">
        <v>48922.2</v>
      </c>
      <c r="P258" s="25">
        <v>21131.23</v>
      </c>
      <c r="Q258" s="28">
        <v>70053.429999999993</v>
      </c>
    </row>
    <row r="259" spans="1:17" x14ac:dyDescent="0.2">
      <c r="A259" s="21" t="s">
        <v>2049</v>
      </c>
      <c r="B259" s="21" t="s">
        <v>1354</v>
      </c>
      <c r="C259" s="21" t="s">
        <v>824</v>
      </c>
      <c r="D259" s="21" t="s">
        <v>1611</v>
      </c>
      <c r="E259" s="22" t="s">
        <v>12</v>
      </c>
      <c r="F259" s="23" t="s">
        <v>251</v>
      </c>
      <c r="G259" s="33" t="s">
        <v>14</v>
      </c>
      <c r="H259" s="25">
        <v>43243.199999999997</v>
      </c>
      <c r="I259" s="26" t="s">
        <v>14</v>
      </c>
      <c r="J259" s="25">
        <v>43679.4</v>
      </c>
      <c r="K259" s="18">
        <v>1489.77</v>
      </c>
      <c r="L259" s="18">
        <v>3407.08</v>
      </c>
      <c r="M259" s="27" t="s">
        <v>3520</v>
      </c>
      <c r="N259" s="18"/>
      <c r="O259" s="25">
        <v>48576.25</v>
      </c>
      <c r="P259" s="25">
        <v>20852.98</v>
      </c>
      <c r="Q259" s="28">
        <v>69429.23</v>
      </c>
    </row>
    <row r="260" spans="1:17" x14ac:dyDescent="0.2">
      <c r="A260" s="21" t="s">
        <v>535</v>
      </c>
      <c r="B260" s="21" t="s">
        <v>2057</v>
      </c>
      <c r="C260" s="21" t="s">
        <v>65</v>
      </c>
      <c r="D260" s="21" t="s">
        <v>594</v>
      </c>
      <c r="E260" s="22" t="s">
        <v>20</v>
      </c>
      <c r="F260" s="23" t="s">
        <v>2061</v>
      </c>
      <c r="G260" s="33" t="s">
        <v>14</v>
      </c>
      <c r="H260" s="25">
        <v>60736</v>
      </c>
      <c r="I260" s="26" t="s">
        <v>14</v>
      </c>
      <c r="J260" s="25">
        <v>40099.699999999997</v>
      </c>
      <c r="K260" s="18">
        <v>2682.21</v>
      </c>
      <c r="L260" s="18">
        <v>213.82</v>
      </c>
      <c r="M260" s="27" t="s">
        <v>3520</v>
      </c>
      <c r="N260" s="18"/>
      <c r="O260" s="25">
        <v>42995.73</v>
      </c>
      <c r="P260" s="25">
        <v>26332.23</v>
      </c>
      <c r="Q260" s="28">
        <v>69327.960000000006</v>
      </c>
    </row>
    <row r="261" spans="1:17" x14ac:dyDescent="0.2">
      <c r="A261" s="21" t="s">
        <v>2064</v>
      </c>
      <c r="B261" s="21" t="s">
        <v>2065</v>
      </c>
      <c r="C261" s="21" t="s">
        <v>2066</v>
      </c>
      <c r="D261" s="21" t="s">
        <v>2067</v>
      </c>
      <c r="E261" s="22" t="s">
        <v>12</v>
      </c>
      <c r="F261" s="23" t="s">
        <v>1294</v>
      </c>
      <c r="G261" s="33" t="s">
        <v>14</v>
      </c>
      <c r="H261" s="25">
        <v>47132.800000000003</v>
      </c>
      <c r="I261" s="26" t="s">
        <v>14</v>
      </c>
      <c r="J261" s="25">
        <v>46997.279999999999</v>
      </c>
      <c r="K261" s="18">
        <v>139.94999999999999</v>
      </c>
      <c r="L261" s="18">
        <v>1070</v>
      </c>
      <c r="M261" s="27" t="s">
        <v>3520</v>
      </c>
      <c r="N261" s="18"/>
      <c r="O261" s="25">
        <v>48207.23</v>
      </c>
      <c r="P261" s="25">
        <v>20825.04</v>
      </c>
      <c r="Q261" s="28">
        <v>69032.27</v>
      </c>
    </row>
    <row r="262" spans="1:17" x14ac:dyDescent="0.2">
      <c r="A262" s="21" t="s">
        <v>2072</v>
      </c>
      <c r="B262" s="21" t="s">
        <v>1561</v>
      </c>
      <c r="C262" s="21" t="s">
        <v>1442</v>
      </c>
      <c r="D262" s="21" t="s">
        <v>2075</v>
      </c>
      <c r="E262" s="22" t="s">
        <v>12</v>
      </c>
      <c r="F262" s="23" t="s">
        <v>2077</v>
      </c>
      <c r="G262" s="33" t="s">
        <v>14</v>
      </c>
      <c r="H262" s="25">
        <v>40664</v>
      </c>
      <c r="I262" s="26" t="s">
        <v>14</v>
      </c>
      <c r="J262" s="25">
        <v>41486.5</v>
      </c>
      <c r="K262" s="18">
        <v>4576.55</v>
      </c>
      <c r="L262" s="18">
        <v>1960.08</v>
      </c>
      <c r="M262" s="27" t="s">
        <v>3520</v>
      </c>
      <c r="N262" s="18"/>
      <c r="O262" s="25">
        <v>48023.13</v>
      </c>
      <c r="P262" s="25">
        <v>20721.68</v>
      </c>
      <c r="Q262" s="28">
        <v>68744.81</v>
      </c>
    </row>
    <row r="263" spans="1:17" x14ac:dyDescent="0.2">
      <c r="A263" s="21" t="s">
        <v>2080</v>
      </c>
      <c r="B263" s="21" t="s">
        <v>1625</v>
      </c>
      <c r="C263" s="21" t="s">
        <v>1252</v>
      </c>
      <c r="D263" s="21" t="s">
        <v>2083</v>
      </c>
      <c r="E263" s="22" t="s">
        <v>12</v>
      </c>
      <c r="F263" s="23" t="s">
        <v>2085</v>
      </c>
      <c r="G263" s="33" t="s">
        <v>14</v>
      </c>
      <c r="H263" s="25">
        <v>41184</v>
      </c>
      <c r="I263" s="26" t="s">
        <v>14</v>
      </c>
      <c r="J263" s="25">
        <v>41273.449999999997</v>
      </c>
      <c r="K263" s="18">
        <v>932.45</v>
      </c>
      <c r="L263" s="18">
        <v>350</v>
      </c>
      <c r="M263" s="27" t="s">
        <v>3520</v>
      </c>
      <c r="N263" s="18"/>
      <c r="O263" s="25">
        <v>42555.9</v>
      </c>
      <c r="P263" s="25">
        <v>26031.3</v>
      </c>
      <c r="Q263" s="28">
        <v>68587.199999999997</v>
      </c>
    </row>
    <row r="264" spans="1:17" x14ac:dyDescent="0.2">
      <c r="A264" s="21" t="s">
        <v>2088</v>
      </c>
      <c r="B264" s="21" t="s">
        <v>2089</v>
      </c>
      <c r="C264" s="21" t="s">
        <v>10</v>
      </c>
      <c r="D264" s="21" t="s">
        <v>1523</v>
      </c>
      <c r="E264" s="22" t="s">
        <v>12</v>
      </c>
      <c r="F264" s="23" t="s">
        <v>2093</v>
      </c>
      <c r="G264" s="33" t="s">
        <v>14</v>
      </c>
      <c r="H264" s="25">
        <v>40913.599999999999</v>
      </c>
      <c r="I264" s="26" t="s">
        <v>14</v>
      </c>
      <c r="J264" s="25">
        <v>41169.14</v>
      </c>
      <c r="K264" s="18">
        <v>1106.46</v>
      </c>
      <c r="L264" s="18">
        <v>999.34</v>
      </c>
      <c r="M264" s="27" t="s">
        <v>3520</v>
      </c>
      <c r="N264" s="18"/>
      <c r="O264" s="25">
        <v>43274.94</v>
      </c>
      <c r="P264" s="25">
        <v>25027.119999999999</v>
      </c>
      <c r="Q264" s="28">
        <v>68302.06</v>
      </c>
    </row>
    <row r="265" spans="1:17" x14ac:dyDescent="0.2">
      <c r="A265" s="21" t="s">
        <v>2096</v>
      </c>
      <c r="B265" s="21" t="s">
        <v>2097</v>
      </c>
      <c r="C265" s="21" t="s">
        <v>1442</v>
      </c>
      <c r="D265" s="21" t="s">
        <v>2075</v>
      </c>
      <c r="E265" s="22" t="s">
        <v>12</v>
      </c>
      <c r="F265" s="23" t="s">
        <v>2101</v>
      </c>
      <c r="G265" s="33" t="s">
        <v>14</v>
      </c>
      <c r="H265" s="25">
        <v>43201.599999999999</v>
      </c>
      <c r="I265" s="26" t="s">
        <v>14</v>
      </c>
      <c r="J265" s="25">
        <v>43721.36</v>
      </c>
      <c r="K265" s="18">
        <v>1230.55</v>
      </c>
      <c r="L265" s="18">
        <v>2548</v>
      </c>
      <c r="M265" s="27" t="s">
        <v>3520</v>
      </c>
      <c r="N265" s="18"/>
      <c r="O265" s="25">
        <v>47499.91</v>
      </c>
      <c r="P265" s="25">
        <v>20594.04</v>
      </c>
      <c r="Q265" s="28">
        <v>68093.95</v>
      </c>
    </row>
    <row r="266" spans="1:17" x14ac:dyDescent="0.2">
      <c r="A266" s="21" t="s">
        <v>2104</v>
      </c>
      <c r="B266" s="21" t="s">
        <v>328</v>
      </c>
      <c r="C266" s="21" t="s">
        <v>2106</v>
      </c>
      <c r="D266" s="21" t="s">
        <v>2107</v>
      </c>
      <c r="E266" s="22" t="s">
        <v>12</v>
      </c>
      <c r="F266" s="23" t="s">
        <v>2109</v>
      </c>
      <c r="G266" s="33" t="s">
        <v>14</v>
      </c>
      <c r="H266" s="25">
        <v>42390.400000000001</v>
      </c>
      <c r="I266" s="26" t="s">
        <v>14</v>
      </c>
      <c r="J266" s="25">
        <v>43076.22</v>
      </c>
      <c r="K266" s="18">
        <v>2105.11</v>
      </c>
      <c r="L266" s="18">
        <v>2004</v>
      </c>
      <c r="M266" s="27" t="s">
        <v>3520</v>
      </c>
      <c r="N266" s="18"/>
      <c r="O266" s="25">
        <v>47185.33</v>
      </c>
      <c r="P266" s="25">
        <v>20832.59</v>
      </c>
      <c r="Q266" s="28">
        <v>68017.919999999998</v>
      </c>
    </row>
    <row r="267" spans="1:17" x14ac:dyDescent="0.2">
      <c r="A267" s="21" t="s">
        <v>2112</v>
      </c>
      <c r="B267" s="21" t="s">
        <v>8</v>
      </c>
      <c r="C267" s="21" t="s">
        <v>18</v>
      </c>
      <c r="D267" s="21" t="s">
        <v>2115</v>
      </c>
      <c r="E267" s="22" t="s">
        <v>20</v>
      </c>
      <c r="F267" s="23" t="s">
        <v>2117</v>
      </c>
      <c r="G267" s="33" t="s">
        <v>14</v>
      </c>
      <c r="H267" s="25">
        <v>107153.28</v>
      </c>
      <c r="I267" s="26" t="s">
        <v>14</v>
      </c>
      <c r="J267" s="25">
        <v>40444.49</v>
      </c>
      <c r="K267" s="18">
        <v>4106.2700000000004</v>
      </c>
      <c r="L267" s="25">
        <v>29.44</v>
      </c>
      <c r="M267" s="27" t="s">
        <v>3520</v>
      </c>
      <c r="N267" s="18"/>
      <c r="O267" s="25">
        <v>44580.2</v>
      </c>
      <c r="P267" s="25">
        <v>23075.34</v>
      </c>
      <c r="Q267" s="28">
        <v>67655.539999999994</v>
      </c>
    </row>
    <row r="268" spans="1:17" x14ac:dyDescent="0.2">
      <c r="A268" s="21" t="s">
        <v>1717</v>
      </c>
      <c r="B268" s="21" t="s">
        <v>2121</v>
      </c>
      <c r="C268" s="21" t="s">
        <v>65</v>
      </c>
      <c r="D268" s="21" t="s">
        <v>2123</v>
      </c>
      <c r="E268" s="22" t="s">
        <v>12</v>
      </c>
      <c r="F268" s="23" t="s">
        <v>1056</v>
      </c>
      <c r="G268" s="33" t="s">
        <v>14</v>
      </c>
      <c r="H268" s="25">
        <v>42889.599999999999</v>
      </c>
      <c r="I268" s="26" t="s">
        <v>14</v>
      </c>
      <c r="J268" s="25">
        <v>43930.63</v>
      </c>
      <c r="K268" s="18">
        <v>1262.99</v>
      </c>
      <c r="L268" s="18">
        <v>1897.49</v>
      </c>
      <c r="M268" s="27" t="s">
        <v>3520</v>
      </c>
      <c r="N268" s="18"/>
      <c r="O268" s="25">
        <v>47091.11</v>
      </c>
      <c r="P268" s="25">
        <v>20534.82</v>
      </c>
      <c r="Q268" s="28">
        <v>67625.929999999993</v>
      </c>
    </row>
    <row r="269" spans="1:17" x14ac:dyDescent="0.2">
      <c r="A269" s="21" t="s">
        <v>423</v>
      </c>
      <c r="B269" s="21" t="s">
        <v>2129</v>
      </c>
      <c r="C269" s="21" t="s">
        <v>281</v>
      </c>
      <c r="D269" s="21" t="s">
        <v>2131</v>
      </c>
      <c r="E269" s="22" t="s">
        <v>12</v>
      </c>
      <c r="F269" s="23" t="s">
        <v>564</v>
      </c>
      <c r="G269" s="33" t="s">
        <v>14</v>
      </c>
      <c r="H269" s="25">
        <v>44969.599999999999</v>
      </c>
      <c r="I269" s="26" t="s">
        <v>14</v>
      </c>
      <c r="J269" s="25">
        <v>45759.11</v>
      </c>
      <c r="K269" s="18">
        <v>1020.56</v>
      </c>
      <c r="L269" s="25">
        <v>30</v>
      </c>
      <c r="M269" s="27" t="s">
        <v>3520</v>
      </c>
      <c r="N269" s="18"/>
      <c r="O269" s="25">
        <v>46809.67</v>
      </c>
      <c r="P269" s="25">
        <v>20811.25</v>
      </c>
      <c r="Q269" s="28">
        <v>67620.92</v>
      </c>
    </row>
    <row r="270" spans="1:17" x14ac:dyDescent="0.2">
      <c r="A270" s="21" t="s">
        <v>2136</v>
      </c>
      <c r="B270" s="21" t="s">
        <v>2137</v>
      </c>
      <c r="C270" s="21" t="s">
        <v>808</v>
      </c>
      <c r="D270" s="21" t="s">
        <v>1515</v>
      </c>
      <c r="E270" s="22" t="s">
        <v>12</v>
      </c>
      <c r="F270" s="23" t="s">
        <v>2141</v>
      </c>
      <c r="G270" s="33" t="s">
        <v>14</v>
      </c>
      <c r="H270" s="25">
        <v>39956.800000000003</v>
      </c>
      <c r="I270" s="26" t="s">
        <v>14</v>
      </c>
      <c r="J270" s="25">
        <v>40831.11</v>
      </c>
      <c r="K270" s="18">
        <v>3522.38</v>
      </c>
      <c r="L270" s="18">
        <v>440</v>
      </c>
      <c r="M270" s="27" t="s">
        <v>3520</v>
      </c>
      <c r="N270" s="18"/>
      <c r="O270" s="25">
        <v>44793.49</v>
      </c>
      <c r="P270" s="25">
        <v>22219.01</v>
      </c>
      <c r="Q270" s="28">
        <v>67012.5</v>
      </c>
    </row>
    <row r="271" spans="1:17" x14ac:dyDescent="0.2">
      <c r="A271" s="21" t="s">
        <v>2144</v>
      </c>
      <c r="B271" s="21" t="s">
        <v>2145</v>
      </c>
      <c r="C271" s="21" t="s">
        <v>145</v>
      </c>
      <c r="D271" s="21" t="s">
        <v>2147</v>
      </c>
      <c r="E271" s="22" t="s">
        <v>12</v>
      </c>
      <c r="F271" s="23" t="s">
        <v>2149</v>
      </c>
      <c r="G271" s="33" t="s">
        <v>14</v>
      </c>
      <c r="H271" s="25">
        <v>39956.800000000003</v>
      </c>
      <c r="I271" s="26" t="s">
        <v>14</v>
      </c>
      <c r="J271" s="25">
        <v>40770.75</v>
      </c>
      <c r="K271" s="18">
        <v>5380.19</v>
      </c>
      <c r="L271" s="18">
        <v>320</v>
      </c>
      <c r="M271" s="27" t="s">
        <v>3520</v>
      </c>
      <c r="N271" s="18"/>
      <c r="O271" s="25">
        <v>46470.94</v>
      </c>
      <c r="P271" s="25">
        <v>20520.97</v>
      </c>
      <c r="Q271" s="28">
        <v>66991.91</v>
      </c>
    </row>
    <row r="272" spans="1:17" x14ac:dyDescent="0.2">
      <c r="A272" s="21" t="s">
        <v>2152</v>
      </c>
      <c r="B272" s="21" t="s">
        <v>2153</v>
      </c>
      <c r="C272" s="21" t="s">
        <v>824</v>
      </c>
      <c r="D272" s="21" t="s">
        <v>1611</v>
      </c>
      <c r="E272" s="22" t="s">
        <v>12</v>
      </c>
      <c r="F272" s="23" t="s">
        <v>2157</v>
      </c>
      <c r="G272" s="33" t="s">
        <v>14</v>
      </c>
      <c r="H272" s="25">
        <v>41828.800000000003</v>
      </c>
      <c r="I272" s="26" t="s">
        <v>14</v>
      </c>
      <c r="J272" s="25">
        <v>41874.1</v>
      </c>
      <c r="K272" s="18">
        <v>1850.04</v>
      </c>
      <c r="L272" s="18">
        <v>2772</v>
      </c>
      <c r="M272" s="27" t="s">
        <v>3520</v>
      </c>
      <c r="N272" s="18"/>
      <c r="O272" s="25">
        <v>46496.14</v>
      </c>
      <c r="P272" s="25">
        <v>20393.150000000001</v>
      </c>
      <c r="Q272" s="28">
        <v>66889.289999999994</v>
      </c>
    </row>
    <row r="273" spans="1:17" x14ac:dyDescent="0.2">
      <c r="A273" s="21" t="s">
        <v>2160</v>
      </c>
      <c r="B273" s="21" t="s">
        <v>2161</v>
      </c>
      <c r="C273" s="21" t="s">
        <v>886</v>
      </c>
      <c r="D273" s="21" t="s">
        <v>2163</v>
      </c>
      <c r="E273" s="22" t="s">
        <v>12</v>
      </c>
      <c r="F273" s="23" t="s">
        <v>1660</v>
      </c>
      <c r="G273" s="33" t="s">
        <v>14</v>
      </c>
      <c r="H273" s="25">
        <v>42889.599999999999</v>
      </c>
      <c r="I273" s="26" t="s">
        <v>14</v>
      </c>
      <c r="J273" s="25">
        <v>43299.63</v>
      </c>
      <c r="K273" s="18">
        <v>2358.59</v>
      </c>
      <c r="L273" s="18">
        <v>620</v>
      </c>
      <c r="M273" s="27" t="s">
        <v>3520</v>
      </c>
      <c r="N273" s="18"/>
      <c r="O273" s="25">
        <v>46278.22</v>
      </c>
      <c r="P273" s="25">
        <v>20336.490000000002</v>
      </c>
      <c r="Q273" s="28">
        <v>66614.710000000006</v>
      </c>
    </row>
    <row r="274" spans="1:17" x14ac:dyDescent="0.2">
      <c r="A274" s="21" t="s">
        <v>2168</v>
      </c>
      <c r="B274" s="21" t="s">
        <v>2169</v>
      </c>
      <c r="C274" s="21" t="s">
        <v>81</v>
      </c>
      <c r="D274" s="21" t="s">
        <v>2171</v>
      </c>
      <c r="E274" s="22" t="s">
        <v>12</v>
      </c>
      <c r="F274" s="23" t="s">
        <v>380</v>
      </c>
      <c r="G274" s="33" t="s">
        <v>14</v>
      </c>
      <c r="H274" s="25">
        <v>37814.400000000001</v>
      </c>
      <c r="I274" s="26" t="s">
        <v>14</v>
      </c>
      <c r="J274" s="25">
        <v>36452.58</v>
      </c>
      <c r="K274" s="18">
        <v>486.05</v>
      </c>
      <c r="L274" s="18">
        <v>230</v>
      </c>
      <c r="M274" s="27" t="s">
        <v>3520</v>
      </c>
      <c r="N274" s="18"/>
      <c r="O274" s="25">
        <v>37168.629999999997</v>
      </c>
      <c r="P274" s="25">
        <v>29436.32</v>
      </c>
      <c r="Q274" s="28">
        <v>66604.95</v>
      </c>
    </row>
    <row r="275" spans="1:17" x14ac:dyDescent="0.2">
      <c r="A275" s="21" t="s">
        <v>2176</v>
      </c>
      <c r="B275" s="21" t="s">
        <v>997</v>
      </c>
      <c r="C275" s="21" t="s">
        <v>81</v>
      </c>
      <c r="D275" s="21" t="s">
        <v>1798</v>
      </c>
      <c r="E275" s="22" t="s">
        <v>12</v>
      </c>
      <c r="F275" s="23" t="s">
        <v>1088</v>
      </c>
      <c r="G275" s="33" t="s">
        <v>14</v>
      </c>
      <c r="H275" s="25">
        <v>44678.400000000001</v>
      </c>
      <c r="I275" s="26" t="s">
        <v>14</v>
      </c>
      <c r="J275" s="25">
        <v>44463.23</v>
      </c>
      <c r="K275" s="18">
        <v>1103.71</v>
      </c>
      <c r="L275" s="18">
        <v>150</v>
      </c>
      <c r="M275" s="27" t="s">
        <v>3520</v>
      </c>
      <c r="N275" s="18"/>
      <c r="O275" s="25">
        <v>45716.94</v>
      </c>
      <c r="P275" s="25">
        <v>20383.52</v>
      </c>
      <c r="Q275" s="28">
        <v>66100.460000000006</v>
      </c>
    </row>
    <row r="276" spans="1:17" x14ac:dyDescent="0.2">
      <c r="A276" s="21" t="s">
        <v>2184</v>
      </c>
      <c r="B276" s="21" t="s">
        <v>2185</v>
      </c>
      <c r="C276" s="21" t="s">
        <v>65</v>
      </c>
      <c r="D276" s="21" t="s">
        <v>1728</v>
      </c>
      <c r="E276" s="22" t="s">
        <v>12</v>
      </c>
      <c r="F276" s="23" t="s">
        <v>1613</v>
      </c>
      <c r="G276" s="33" t="s">
        <v>14</v>
      </c>
      <c r="H276" s="25">
        <v>40768</v>
      </c>
      <c r="I276" s="26" t="s">
        <v>14</v>
      </c>
      <c r="J276" s="25">
        <v>41186.730000000003</v>
      </c>
      <c r="K276" s="18">
        <v>2347.09</v>
      </c>
      <c r="L276" s="18">
        <v>1799.52</v>
      </c>
      <c r="M276" s="27" t="s">
        <v>3520</v>
      </c>
      <c r="N276" s="18"/>
      <c r="O276" s="25">
        <v>45333.34</v>
      </c>
      <c r="P276" s="25">
        <v>20349.47</v>
      </c>
      <c r="Q276" s="28">
        <v>65682.81</v>
      </c>
    </row>
    <row r="277" spans="1:17" x14ac:dyDescent="0.2">
      <c r="A277" s="21" t="s">
        <v>2192</v>
      </c>
      <c r="B277" s="21" t="s">
        <v>2193</v>
      </c>
      <c r="C277" s="21" t="s">
        <v>65</v>
      </c>
      <c r="D277" s="21" t="s">
        <v>2195</v>
      </c>
      <c r="E277" s="22" t="s">
        <v>12</v>
      </c>
      <c r="F277" s="23" t="s">
        <v>1080</v>
      </c>
      <c r="G277" s="33" t="s">
        <v>14</v>
      </c>
      <c r="H277" s="25">
        <v>38334.400000000001</v>
      </c>
      <c r="I277" s="26" t="s">
        <v>14</v>
      </c>
      <c r="J277" s="25">
        <v>38954.9</v>
      </c>
      <c r="K277" s="18">
        <v>4052.89</v>
      </c>
      <c r="L277" s="18">
        <v>2404.3200000000002</v>
      </c>
      <c r="M277" s="27" t="s">
        <v>3520</v>
      </c>
      <c r="N277" s="18"/>
      <c r="O277" s="25">
        <v>45412.11</v>
      </c>
      <c r="P277" s="25">
        <v>20074.86</v>
      </c>
      <c r="Q277" s="28">
        <v>65486.97</v>
      </c>
    </row>
    <row r="278" spans="1:17" x14ac:dyDescent="0.2">
      <c r="A278" s="21" t="s">
        <v>2200</v>
      </c>
      <c r="B278" s="21" t="s">
        <v>2201</v>
      </c>
      <c r="C278" s="21" t="s">
        <v>281</v>
      </c>
      <c r="D278" s="21" t="s">
        <v>1736</v>
      </c>
      <c r="E278" s="22" t="s">
        <v>12</v>
      </c>
      <c r="F278" s="23" t="s">
        <v>2205</v>
      </c>
      <c r="G278" s="33" t="s">
        <v>14</v>
      </c>
      <c r="H278" s="25">
        <v>36212.800000000003</v>
      </c>
      <c r="I278" s="26" t="s">
        <v>14</v>
      </c>
      <c r="J278" s="25">
        <v>37010.54</v>
      </c>
      <c r="K278" s="18">
        <v>2990.1</v>
      </c>
      <c r="L278" s="18">
        <v>490</v>
      </c>
      <c r="M278" s="27" t="s">
        <v>3520</v>
      </c>
      <c r="N278" s="18"/>
      <c r="O278" s="25">
        <v>40490.639999999999</v>
      </c>
      <c r="P278" s="25">
        <v>24934.59</v>
      </c>
      <c r="Q278" s="28">
        <v>65425.23</v>
      </c>
    </row>
    <row r="279" spans="1:17" x14ac:dyDescent="0.2">
      <c r="A279" s="21" t="s">
        <v>2208</v>
      </c>
      <c r="B279" s="21" t="s">
        <v>2209</v>
      </c>
      <c r="C279" s="21" t="s">
        <v>137</v>
      </c>
      <c r="D279" s="21" t="s">
        <v>1627</v>
      </c>
      <c r="E279" s="22" t="s">
        <v>12</v>
      </c>
      <c r="F279" s="23" t="s">
        <v>1800</v>
      </c>
      <c r="G279" s="33" t="s">
        <v>14</v>
      </c>
      <c r="H279" s="25">
        <v>45635.199999999997</v>
      </c>
      <c r="I279" s="26" t="s">
        <v>14</v>
      </c>
      <c r="J279" s="25">
        <v>43416.38</v>
      </c>
      <c r="K279" s="18">
        <v>182.01</v>
      </c>
      <c r="L279" s="18">
        <v>1596</v>
      </c>
      <c r="M279" s="27" t="s">
        <v>3520</v>
      </c>
      <c r="N279" s="18"/>
      <c r="O279" s="25">
        <v>45194.39</v>
      </c>
      <c r="P279" s="25">
        <v>20093.689999999999</v>
      </c>
      <c r="Q279" s="28">
        <v>65288.08</v>
      </c>
    </row>
    <row r="280" spans="1:17" x14ac:dyDescent="0.2">
      <c r="A280" s="21" t="s">
        <v>2216</v>
      </c>
      <c r="B280" s="21" t="s">
        <v>2217</v>
      </c>
      <c r="C280" s="21" t="s">
        <v>1474</v>
      </c>
      <c r="D280" s="21" t="s">
        <v>1475</v>
      </c>
      <c r="E280" s="22" t="s">
        <v>12</v>
      </c>
      <c r="F280" s="23" t="s">
        <v>2221</v>
      </c>
      <c r="G280" s="33" t="s">
        <v>14</v>
      </c>
      <c r="H280" s="25">
        <v>48880</v>
      </c>
      <c r="I280" s="26" t="s">
        <v>14</v>
      </c>
      <c r="J280" s="25">
        <v>48203.64</v>
      </c>
      <c r="K280" s="18">
        <v>1787.68</v>
      </c>
      <c r="L280" s="18">
        <v>1935</v>
      </c>
      <c r="M280" s="27" t="s">
        <v>3520</v>
      </c>
      <c r="N280" s="18"/>
      <c r="O280" s="25">
        <v>51926.32</v>
      </c>
      <c r="P280" s="25">
        <v>13228.73</v>
      </c>
      <c r="Q280" s="28">
        <v>65155.05</v>
      </c>
    </row>
    <row r="281" spans="1:17" ht="17" thickBot="1" x14ac:dyDescent="0.25">
      <c r="A281" s="21" t="s">
        <v>2224</v>
      </c>
      <c r="B281" s="21" t="s">
        <v>2225</v>
      </c>
      <c r="C281" s="21" t="s">
        <v>1283</v>
      </c>
      <c r="D281" s="21" t="s">
        <v>2227</v>
      </c>
      <c r="E281" s="22" t="s">
        <v>12</v>
      </c>
      <c r="F281" s="23" t="s">
        <v>2229</v>
      </c>
      <c r="G281" s="33" t="s">
        <v>14</v>
      </c>
      <c r="H281" s="25">
        <v>43680</v>
      </c>
      <c r="I281" s="26" t="s">
        <v>14</v>
      </c>
      <c r="J281" s="25">
        <v>44041.83</v>
      </c>
      <c r="K281" s="18">
        <v>618.77</v>
      </c>
      <c r="L281" s="18">
        <v>210</v>
      </c>
      <c r="M281" s="27" t="s">
        <v>3520</v>
      </c>
      <c r="N281" s="18"/>
      <c r="O281" s="25">
        <v>44870.6</v>
      </c>
      <c r="P281" s="25">
        <v>19945.990000000002</v>
      </c>
      <c r="Q281" s="28">
        <v>64816.59</v>
      </c>
    </row>
    <row r="282" spans="1:17" x14ac:dyDescent="0.2">
      <c r="A282" s="10" t="s">
        <v>2232</v>
      </c>
      <c r="B282" s="10" t="s">
        <v>2233</v>
      </c>
      <c r="C282" s="10" t="s">
        <v>97</v>
      </c>
      <c r="D282" s="10" t="s">
        <v>1491</v>
      </c>
      <c r="E282" s="11" t="s">
        <v>12</v>
      </c>
      <c r="F282" s="12" t="s">
        <v>2237</v>
      </c>
      <c r="G282" s="35" t="s">
        <v>2238</v>
      </c>
      <c r="H282" s="14">
        <v>59529.599999999999</v>
      </c>
      <c r="I282" s="14">
        <v>832.84</v>
      </c>
      <c r="J282" s="14">
        <v>39861.699999999997</v>
      </c>
      <c r="K282" s="16">
        <v>268.7</v>
      </c>
      <c r="L282" s="16">
        <v>5524.17</v>
      </c>
      <c r="M282" s="17" t="s">
        <v>3520</v>
      </c>
      <c r="N282" s="18"/>
      <c r="O282" s="17">
        <v>46487.41</v>
      </c>
      <c r="P282" s="14">
        <v>18185.810000000001</v>
      </c>
      <c r="Q282" s="20">
        <v>64673.22</v>
      </c>
    </row>
    <row r="283" spans="1:17" x14ac:dyDescent="0.2">
      <c r="A283" s="21" t="s">
        <v>407</v>
      </c>
      <c r="B283" s="21" t="s">
        <v>1393</v>
      </c>
      <c r="C283" s="21" t="s">
        <v>240</v>
      </c>
      <c r="D283" s="21" t="s">
        <v>2242</v>
      </c>
      <c r="E283" s="22" t="s">
        <v>12</v>
      </c>
      <c r="F283" s="23" t="s">
        <v>2244</v>
      </c>
      <c r="G283" s="33" t="s">
        <v>14</v>
      </c>
      <c r="H283" s="25">
        <v>40102.400000000001</v>
      </c>
      <c r="I283" s="26" t="s">
        <v>14</v>
      </c>
      <c r="J283" s="25">
        <v>41773.660000000003</v>
      </c>
      <c r="K283" s="18">
        <v>1890.45</v>
      </c>
      <c r="L283" s="18">
        <v>1483.96</v>
      </c>
      <c r="M283" s="27" t="s">
        <v>3520</v>
      </c>
      <c r="N283" s="18"/>
      <c r="O283" s="27">
        <v>45148.07</v>
      </c>
      <c r="P283" s="25">
        <v>19524.330000000002</v>
      </c>
      <c r="Q283" s="28">
        <v>64672.4</v>
      </c>
    </row>
    <row r="284" spans="1:17" x14ac:dyDescent="0.2">
      <c r="A284" s="21" t="s">
        <v>2247</v>
      </c>
      <c r="B284" s="21" t="s">
        <v>2248</v>
      </c>
      <c r="C284" s="21" t="s">
        <v>1315</v>
      </c>
      <c r="D284" s="21" t="s">
        <v>2250</v>
      </c>
      <c r="E284" s="22" t="s">
        <v>12</v>
      </c>
      <c r="F284" s="23" t="s">
        <v>2252</v>
      </c>
      <c r="G284" s="33" t="s">
        <v>14</v>
      </c>
      <c r="H284" s="25">
        <v>33425.599999999999</v>
      </c>
      <c r="I284" s="26" t="s">
        <v>14</v>
      </c>
      <c r="J284" s="25">
        <v>33987.599999999999</v>
      </c>
      <c r="K284" s="18">
        <v>1668.97</v>
      </c>
      <c r="L284" s="18">
        <v>700.04</v>
      </c>
      <c r="M284" s="27" t="s">
        <v>3520</v>
      </c>
      <c r="N284" s="18"/>
      <c r="O284" s="27">
        <v>36356.61</v>
      </c>
      <c r="P284" s="25">
        <v>28295.24</v>
      </c>
      <c r="Q284" s="28">
        <v>64651.85</v>
      </c>
    </row>
    <row r="285" spans="1:17" x14ac:dyDescent="0.2">
      <c r="A285" s="21" t="s">
        <v>2255</v>
      </c>
      <c r="B285" s="21" t="s">
        <v>2256</v>
      </c>
      <c r="C285" s="21" t="s">
        <v>1046</v>
      </c>
      <c r="D285" s="21" t="s">
        <v>2258</v>
      </c>
      <c r="E285" s="22" t="s">
        <v>12</v>
      </c>
      <c r="F285" s="23" t="s">
        <v>2260</v>
      </c>
      <c r="G285" s="33" t="s">
        <v>14</v>
      </c>
      <c r="H285" s="25">
        <v>40768</v>
      </c>
      <c r="I285" s="26" t="s">
        <v>14</v>
      </c>
      <c r="J285" s="25">
        <v>40427.43</v>
      </c>
      <c r="K285" s="18">
        <v>404.86</v>
      </c>
      <c r="L285" s="18">
        <v>2811.78</v>
      </c>
      <c r="M285" s="27" t="s">
        <v>3520</v>
      </c>
      <c r="N285" s="18"/>
      <c r="O285" s="27">
        <v>43644.07</v>
      </c>
      <c r="P285" s="25">
        <v>19919.45</v>
      </c>
      <c r="Q285" s="28">
        <v>63563.519999999997</v>
      </c>
    </row>
    <row r="286" spans="1:17" x14ac:dyDescent="0.2">
      <c r="A286" s="21" t="s">
        <v>591</v>
      </c>
      <c r="B286" s="21" t="s">
        <v>2264</v>
      </c>
      <c r="C286" s="21" t="s">
        <v>705</v>
      </c>
      <c r="D286" s="21" t="s">
        <v>1933</v>
      </c>
      <c r="E286" s="22" t="s">
        <v>12</v>
      </c>
      <c r="F286" s="23" t="s">
        <v>2268</v>
      </c>
      <c r="G286" s="33" t="s">
        <v>14</v>
      </c>
      <c r="H286" s="25">
        <v>41475.199999999997</v>
      </c>
      <c r="I286" s="26" t="s">
        <v>14</v>
      </c>
      <c r="J286" s="25">
        <v>41144.620000000003</v>
      </c>
      <c r="K286" s="18">
        <v>444.87</v>
      </c>
      <c r="L286" s="18">
        <v>2123.08</v>
      </c>
      <c r="M286" s="27" t="s">
        <v>3520</v>
      </c>
      <c r="N286" s="18"/>
      <c r="O286" s="27">
        <v>43712.57</v>
      </c>
      <c r="P286" s="25">
        <v>19677.419999999998</v>
      </c>
      <c r="Q286" s="28">
        <v>63389.99</v>
      </c>
    </row>
    <row r="287" spans="1:17" x14ac:dyDescent="0.2">
      <c r="A287" s="21" t="s">
        <v>2271</v>
      </c>
      <c r="B287" s="21" t="s">
        <v>1219</v>
      </c>
      <c r="C287" s="21" t="s">
        <v>886</v>
      </c>
      <c r="D287" s="21" t="s">
        <v>2274</v>
      </c>
      <c r="E287" s="22" t="s">
        <v>12</v>
      </c>
      <c r="F287" s="23" t="s">
        <v>348</v>
      </c>
      <c r="G287" s="33" t="s">
        <v>14</v>
      </c>
      <c r="H287" s="18">
        <v>40705.599999999999</v>
      </c>
      <c r="I287" s="26" t="s">
        <v>14</v>
      </c>
      <c r="J287" s="25">
        <v>39421.78</v>
      </c>
      <c r="K287" s="18">
        <v>2116.29</v>
      </c>
      <c r="L287" s="18">
        <v>1663</v>
      </c>
      <c r="M287" s="27" t="s">
        <v>3520</v>
      </c>
      <c r="N287" s="18"/>
      <c r="O287" s="27">
        <v>43201.07</v>
      </c>
      <c r="P287" s="25">
        <v>19677.66</v>
      </c>
      <c r="Q287" s="28">
        <v>62878.73</v>
      </c>
    </row>
    <row r="288" spans="1:17" x14ac:dyDescent="0.2">
      <c r="A288" s="21" t="s">
        <v>2279</v>
      </c>
      <c r="B288" s="21" t="s">
        <v>1773</v>
      </c>
      <c r="C288" s="21" t="s">
        <v>97</v>
      </c>
      <c r="D288" s="21" t="s">
        <v>2282</v>
      </c>
      <c r="E288" s="22" t="s">
        <v>12</v>
      </c>
      <c r="F288" s="23" t="s">
        <v>2284</v>
      </c>
      <c r="G288" s="34" t="s">
        <v>805</v>
      </c>
      <c r="H288" s="25">
        <v>86102.12</v>
      </c>
      <c r="I288" s="25">
        <v>184.23</v>
      </c>
      <c r="J288" s="18">
        <v>46234.39</v>
      </c>
      <c r="K288" s="18" t="s">
        <v>3520</v>
      </c>
      <c r="L288" s="18">
        <v>346.67</v>
      </c>
      <c r="M288" s="27" t="s">
        <v>3520</v>
      </c>
      <c r="N288" s="18"/>
      <c r="O288" s="27">
        <v>46765.29</v>
      </c>
      <c r="P288" s="25">
        <v>16032.06</v>
      </c>
      <c r="Q288" s="28">
        <v>62797.35</v>
      </c>
    </row>
    <row r="289" spans="1:17" x14ac:dyDescent="0.2">
      <c r="A289" s="21" t="s">
        <v>2286</v>
      </c>
      <c r="B289" s="21" t="s">
        <v>2287</v>
      </c>
      <c r="C289" s="21" t="s">
        <v>81</v>
      </c>
      <c r="D289" s="21" t="s">
        <v>1736</v>
      </c>
      <c r="E289" s="22" t="s">
        <v>12</v>
      </c>
      <c r="F289" s="23" t="s">
        <v>284</v>
      </c>
      <c r="G289" s="33" t="s">
        <v>14</v>
      </c>
      <c r="H289" s="25">
        <v>38459.199999999997</v>
      </c>
      <c r="I289" s="26" t="s">
        <v>14</v>
      </c>
      <c r="J289" s="25">
        <v>38391.58</v>
      </c>
      <c r="K289" s="18">
        <v>81.430000000000007</v>
      </c>
      <c r="L289" s="18">
        <v>250</v>
      </c>
      <c r="M289" s="27" t="s">
        <v>3520</v>
      </c>
      <c r="N289" s="18"/>
      <c r="O289" s="27">
        <v>38723.01</v>
      </c>
      <c r="P289" s="25">
        <v>23973.71</v>
      </c>
      <c r="Q289" s="28">
        <v>62696.72</v>
      </c>
    </row>
    <row r="290" spans="1:17" x14ac:dyDescent="0.2">
      <c r="A290" s="21" t="s">
        <v>2294</v>
      </c>
      <c r="B290" s="21" t="s">
        <v>2295</v>
      </c>
      <c r="C290" s="21" t="s">
        <v>926</v>
      </c>
      <c r="D290" s="21" t="s">
        <v>2297</v>
      </c>
      <c r="E290" s="22" t="s">
        <v>12</v>
      </c>
      <c r="F290" s="23" t="s">
        <v>2299</v>
      </c>
      <c r="G290" s="33" t="s">
        <v>14</v>
      </c>
      <c r="H290" s="25">
        <v>53000.480000000003</v>
      </c>
      <c r="I290" s="26" t="s">
        <v>14</v>
      </c>
      <c r="J290" s="25">
        <v>49788.480000000003</v>
      </c>
      <c r="K290" s="18">
        <v>277.62</v>
      </c>
      <c r="L290" s="18">
        <v>160</v>
      </c>
      <c r="M290" s="27" t="s">
        <v>3520</v>
      </c>
      <c r="N290" s="18"/>
      <c r="O290" s="27">
        <v>50226.1</v>
      </c>
      <c r="P290" s="25">
        <v>12382.34</v>
      </c>
      <c r="Q290" s="28">
        <v>62608.44</v>
      </c>
    </row>
    <row r="291" spans="1:17" x14ac:dyDescent="0.2">
      <c r="A291" s="21" t="s">
        <v>246</v>
      </c>
      <c r="B291" s="21" t="s">
        <v>112</v>
      </c>
      <c r="C291" s="21" t="s">
        <v>137</v>
      </c>
      <c r="D291" s="21" t="s">
        <v>2305</v>
      </c>
      <c r="E291" s="22" t="s">
        <v>12</v>
      </c>
      <c r="F291" s="23" t="s">
        <v>227</v>
      </c>
      <c r="G291" s="33" t="s">
        <v>14</v>
      </c>
      <c r="H291" s="25">
        <v>42640</v>
      </c>
      <c r="I291" s="26" t="s">
        <v>14</v>
      </c>
      <c r="J291" s="25">
        <v>37466.699999999997</v>
      </c>
      <c r="K291" s="18">
        <v>467.5</v>
      </c>
      <c r="L291" s="18">
        <v>50</v>
      </c>
      <c r="M291" s="27" t="s">
        <v>3520</v>
      </c>
      <c r="N291" s="18"/>
      <c r="O291" s="27">
        <v>37984.199999999997</v>
      </c>
      <c r="P291" s="25">
        <v>23751.48</v>
      </c>
      <c r="Q291" s="28">
        <v>61735.68</v>
      </c>
    </row>
    <row r="292" spans="1:17" x14ac:dyDescent="0.2">
      <c r="A292" s="21" t="s">
        <v>2310</v>
      </c>
      <c r="B292" s="21" t="s">
        <v>25</v>
      </c>
      <c r="C292" s="21" t="s">
        <v>808</v>
      </c>
      <c r="D292" s="21" t="s">
        <v>2313</v>
      </c>
      <c r="E292" s="22" t="s">
        <v>12</v>
      </c>
      <c r="F292" s="23" t="s">
        <v>1509</v>
      </c>
      <c r="G292" s="34" t="s">
        <v>2316</v>
      </c>
      <c r="H292" s="25">
        <v>84879.34</v>
      </c>
      <c r="I292" s="18" t="s">
        <v>3520</v>
      </c>
      <c r="J292" s="25">
        <v>45577.8</v>
      </c>
      <c r="K292" s="18" t="s">
        <v>3520</v>
      </c>
      <c r="L292" s="18">
        <v>346.67</v>
      </c>
      <c r="M292" s="27" t="s">
        <v>3520</v>
      </c>
      <c r="N292" s="18"/>
      <c r="O292" s="30">
        <v>45924.47</v>
      </c>
      <c r="P292" s="25">
        <v>15603</v>
      </c>
      <c r="Q292" s="28">
        <v>61527.47</v>
      </c>
    </row>
    <row r="293" spans="1:17" x14ac:dyDescent="0.2">
      <c r="A293" s="21" t="s">
        <v>2317</v>
      </c>
      <c r="B293" s="21" t="s">
        <v>2318</v>
      </c>
      <c r="C293" s="21" t="s">
        <v>1283</v>
      </c>
      <c r="D293" s="21" t="s">
        <v>1523</v>
      </c>
      <c r="E293" s="22" t="s">
        <v>12</v>
      </c>
      <c r="F293" s="23" t="s">
        <v>2322</v>
      </c>
      <c r="G293" s="33" t="s">
        <v>14</v>
      </c>
      <c r="H293" s="25">
        <v>43680</v>
      </c>
      <c r="I293" s="26" t="s">
        <v>14</v>
      </c>
      <c r="J293" s="25">
        <v>38824.559999999998</v>
      </c>
      <c r="K293" s="18">
        <v>225.38</v>
      </c>
      <c r="L293" s="18">
        <v>2884</v>
      </c>
      <c r="M293" s="27" t="s">
        <v>3520</v>
      </c>
      <c r="N293" s="18"/>
      <c r="O293" s="31">
        <v>41933.94</v>
      </c>
      <c r="P293" s="25">
        <v>19439.82</v>
      </c>
      <c r="Q293" s="28">
        <v>61373.760000000002</v>
      </c>
    </row>
    <row r="294" spans="1:17" x14ac:dyDescent="0.2">
      <c r="A294" s="21" t="s">
        <v>2325</v>
      </c>
      <c r="B294" s="21" t="s">
        <v>17</v>
      </c>
      <c r="C294" s="21" t="s">
        <v>65</v>
      </c>
      <c r="D294" s="21" t="s">
        <v>594</v>
      </c>
      <c r="E294" s="22" t="s">
        <v>20</v>
      </c>
      <c r="F294" s="23" t="s">
        <v>492</v>
      </c>
      <c r="G294" s="34" t="s">
        <v>2331</v>
      </c>
      <c r="H294" s="25">
        <v>56971.199999999997</v>
      </c>
      <c r="I294" s="25">
        <v>3152.04</v>
      </c>
      <c r="J294" s="25">
        <v>33979.61</v>
      </c>
      <c r="K294" s="18">
        <v>5108.26</v>
      </c>
      <c r="L294" s="18">
        <v>2698.67</v>
      </c>
      <c r="M294" s="27" t="s">
        <v>3520</v>
      </c>
      <c r="N294" s="18"/>
      <c r="O294" s="31">
        <v>44938.58</v>
      </c>
      <c r="P294" s="25">
        <v>16273.05</v>
      </c>
      <c r="Q294" s="28">
        <v>61211.63</v>
      </c>
    </row>
    <row r="295" spans="1:17" x14ac:dyDescent="0.2">
      <c r="A295" s="21" t="s">
        <v>2332</v>
      </c>
      <c r="B295" s="21" t="s">
        <v>144</v>
      </c>
      <c r="C295" s="21" t="s">
        <v>65</v>
      </c>
      <c r="D295" s="21" t="s">
        <v>594</v>
      </c>
      <c r="E295" s="22" t="s">
        <v>20</v>
      </c>
      <c r="F295" s="23" t="s">
        <v>2061</v>
      </c>
      <c r="G295" s="33" t="s">
        <v>14</v>
      </c>
      <c r="H295" s="25">
        <v>55161.599999999999</v>
      </c>
      <c r="I295" s="26" t="s">
        <v>14</v>
      </c>
      <c r="J295" s="25">
        <v>38985.449999999997</v>
      </c>
      <c r="K295" s="18">
        <v>3665.78</v>
      </c>
      <c r="L295" s="18">
        <v>752.75</v>
      </c>
      <c r="M295" s="27" t="s">
        <v>3520</v>
      </c>
      <c r="N295" s="18"/>
      <c r="O295" s="31">
        <v>43403.98</v>
      </c>
      <c r="P295" s="25">
        <v>17674.11</v>
      </c>
      <c r="Q295" s="28">
        <v>61078.09</v>
      </c>
    </row>
    <row r="296" spans="1:17" x14ac:dyDescent="0.2">
      <c r="A296" s="21" t="s">
        <v>2340</v>
      </c>
      <c r="B296" s="21" t="s">
        <v>2341</v>
      </c>
      <c r="C296" s="21" t="s">
        <v>129</v>
      </c>
      <c r="D296" s="21" t="s">
        <v>2343</v>
      </c>
      <c r="E296" s="22" t="s">
        <v>12</v>
      </c>
      <c r="F296" s="23" t="s">
        <v>2345</v>
      </c>
      <c r="G296" s="33" t="s">
        <v>14</v>
      </c>
      <c r="H296" s="25">
        <v>45385.599999999999</v>
      </c>
      <c r="I296" s="26" t="s">
        <v>14</v>
      </c>
      <c r="J296" s="25">
        <v>39999.56</v>
      </c>
      <c r="K296" s="18">
        <v>1688.6</v>
      </c>
      <c r="L296" s="18">
        <v>220</v>
      </c>
      <c r="M296" s="27" t="s">
        <v>3520</v>
      </c>
      <c r="N296" s="18"/>
      <c r="O296" s="31">
        <v>41908.160000000003</v>
      </c>
      <c r="P296" s="25">
        <v>19095.41</v>
      </c>
      <c r="Q296" s="28">
        <v>61003.57</v>
      </c>
    </row>
    <row r="297" spans="1:17" x14ac:dyDescent="0.2">
      <c r="A297" s="21" t="s">
        <v>2348</v>
      </c>
      <c r="B297" s="21" t="s">
        <v>2349</v>
      </c>
      <c r="C297" s="21" t="s">
        <v>1252</v>
      </c>
      <c r="D297" s="21" t="s">
        <v>2351</v>
      </c>
      <c r="E297" s="22" t="s">
        <v>12</v>
      </c>
      <c r="F297" s="23" t="s">
        <v>2353</v>
      </c>
      <c r="G297" s="33" t="s">
        <v>14</v>
      </c>
      <c r="H297" s="25">
        <v>39956.800000000003</v>
      </c>
      <c r="I297" s="26" t="s">
        <v>14</v>
      </c>
      <c r="J297" s="25">
        <v>40248.03</v>
      </c>
      <c r="K297" s="18">
        <v>650.23</v>
      </c>
      <c r="L297" s="18">
        <v>610</v>
      </c>
      <c r="M297" s="27" t="s">
        <v>3520</v>
      </c>
      <c r="N297" s="18"/>
      <c r="O297" s="31">
        <v>41508.26</v>
      </c>
      <c r="P297" s="25">
        <v>19187.39</v>
      </c>
      <c r="Q297" s="28">
        <v>60695.65</v>
      </c>
    </row>
    <row r="298" spans="1:17" x14ac:dyDescent="0.2">
      <c r="A298" s="21" t="s">
        <v>2356</v>
      </c>
      <c r="B298" s="21" t="s">
        <v>696</v>
      </c>
      <c r="C298" s="21" t="s">
        <v>824</v>
      </c>
      <c r="D298" s="21" t="s">
        <v>2359</v>
      </c>
      <c r="E298" s="22" t="s">
        <v>12</v>
      </c>
      <c r="F298" s="23" t="s">
        <v>2361</v>
      </c>
      <c r="G298" s="33" t="s">
        <v>14</v>
      </c>
      <c r="H298" s="25">
        <v>39041.599999999999</v>
      </c>
      <c r="I298" s="26" t="s">
        <v>14</v>
      </c>
      <c r="J298" s="25">
        <v>39288.54</v>
      </c>
      <c r="K298" s="18">
        <v>926.31</v>
      </c>
      <c r="L298" s="18">
        <v>1321</v>
      </c>
      <c r="M298" s="27" t="s">
        <v>3520</v>
      </c>
      <c r="N298" s="18"/>
      <c r="O298" s="31">
        <v>41535.85</v>
      </c>
      <c r="P298" s="25">
        <v>19145.47</v>
      </c>
      <c r="Q298" s="28">
        <v>60681.32</v>
      </c>
    </row>
    <row r="299" spans="1:17" x14ac:dyDescent="0.2">
      <c r="A299" s="21" t="s">
        <v>246</v>
      </c>
      <c r="B299" s="21" t="s">
        <v>1227</v>
      </c>
      <c r="C299" s="21" t="s">
        <v>81</v>
      </c>
      <c r="D299" s="21" t="s">
        <v>378</v>
      </c>
      <c r="E299" s="22" t="s">
        <v>20</v>
      </c>
      <c r="F299" s="23" t="s">
        <v>2369</v>
      </c>
      <c r="G299" s="33" t="s">
        <v>14</v>
      </c>
      <c r="H299" s="25">
        <v>52543.17</v>
      </c>
      <c r="I299" s="26" t="s">
        <v>14</v>
      </c>
      <c r="J299" s="25">
        <v>24642.76</v>
      </c>
      <c r="K299" s="18">
        <v>17707.099999999999</v>
      </c>
      <c r="L299" s="18">
        <v>758.61</v>
      </c>
      <c r="M299" s="27" t="s">
        <v>3520</v>
      </c>
      <c r="N299" s="18"/>
      <c r="O299" s="27">
        <v>43108.47</v>
      </c>
      <c r="P299" s="25">
        <v>17567.900000000001</v>
      </c>
      <c r="Q299" s="28">
        <v>60676.37</v>
      </c>
    </row>
    <row r="300" spans="1:17" x14ac:dyDescent="0.2">
      <c r="A300" s="21" t="s">
        <v>2372</v>
      </c>
      <c r="B300" s="21" t="s">
        <v>2373</v>
      </c>
      <c r="C300" s="21" t="s">
        <v>18</v>
      </c>
      <c r="D300" s="21" t="s">
        <v>498</v>
      </c>
      <c r="E300" s="22" t="s">
        <v>20</v>
      </c>
      <c r="F300" s="23" t="s">
        <v>2377</v>
      </c>
      <c r="G300" s="33" t="s">
        <v>14</v>
      </c>
      <c r="H300" s="25">
        <v>54238.080000000002</v>
      </c>
      <c r="I300" s="26" t="s">
        <v>14</v>
      </c>
      <c r="J300" s="25">
        <v>44183.37</v>
      </c>
      <c r="K300" s="18">
        <v>3719.91</v>
      </c>
      <c r="L300" s="18">
        <v>377.67</v>
      </c>
      <c r="M300" s="27">
        <v>157.44</v>
      </c>
      <c r="N300" s="18"/>
      <c r="O300" s="27">
        <v>48438.39</v>
      </c>
      <c r="P300" s="25">
        <v>11821.09</v>
      </c>
      <c r="Q300" s="28">
        <v>60259.48</v>
      </c>
    </row>
    <row r="301" spans="1:17" x14ac:dyDescent="0.2">
      <c r="A301" s="21" t="s">
        <v>2380</v>
      </c>
      <c r="B301" s="21" t="s">
        <v>2381</v>
      </c>
      <c r="C301" s="21" t="s">
        <v>1323</v>
      </c>
      <c r="D301" s="21" t="s">
        <v>1523</v>
      </c>
      <c r="E301" s="22" t="s">
        <v>12</v>
      </c>
      <c r="F301" s="23" t="s">
        <v>881</v>
      </c>
      <c r="G301" s="33" t="s">
        <v>14</v>
      </c>
      <c r="H301" s="25">
        <v>39561.599999999999</v>
      </c>
      <c r="I301" s="26" t="s">
        <v>14</v>
      </c>
      <c r="J301" s="25">
        <v>39612.32</v>
      </c>
      <c r="K301" s="18">
        <v>118.13</v>
      </c>
      <c r="L301" s="18">
        <v>1150</v>
      </c>
      <c r="M301" s="27" t="s">
        <v>3520</v>
      </c>
      <c r="N301" s="18"/>
      <c r="O301" s="27">
        <v>40880.449999999997</v>
      </c>
      <c r="P301" s="25">
        <v>19035.05</v>
      </c>
      <c r="Q301" s="28">
        <v>59915.5</v>
      </c>
    </row>
    <row r="302" spans="1:17" x14ac:dyDescent="0.2">
      <c r="A302" s="21" t="s">
        <v>2388</v>
      </c>
      <c r="B302" s="21" t="s">
        <v>2389</v>
      </c>
      <c r="C302" s="21" t="s">
        <v>18</v>
      </c>
      <c r="D302" s="21" t="s">
        <v>2391</v>
      </c>
      <c r="E302" s="22" t="s">
        <v>12</v>
      </c>
      <c r="F302" s="23" t="s">
        <v>492</v>
      </c>
      <c r="G302" s="34" t="s">
        <v>805</v>
      </c>
      <c r="H302" s="25">
        <v>81448.899999999994</v>
      </c>
      <c r="I302" s="18" t="s">
        <v>3520</v>
      </c>
      <c r="J302" s="25">
        <v>43735.75</v>
      </c>
      <c r="K302" s="18" t="s">
        <v>3520</v>
      </c>
      <c r="L302" s="18">
        <v>850</v>
      </c>
      <c r="M302" s="27" t="s">
        <v>3520</v>
      </c>
      <c r="N302" s="18"/>
      <c r="O302" s="30">
        <v>44585.75</v>
      </c>
      <c r="P302" s="25">
        <v>15275.06</v>
      </c>
      <c r="Q302" s="28">
        <v>59860.81</v>
      </c>
    </row>
    <row r="303" spans="1:17" x14ac:dyDescent="0.2">
      <c r="A303" s="21" t="s">
        <v>2395</v>
      </c>
      <c r="B303" s="21" t="s">
        <v>2396</v>
      </c>
      <c r="C303" s="21" t="s">
        <v>1323</v>
      </c>
      <c r="D303" s="21" t="s">
        <v>1744</v>
      </c>
      <c r="E303" s="22" t="s">
        <v>12</v>
      </c>
      <c r="F303" s="23" t="s">
        <v>2400</v>
      </c>
      <c r="G303" s="33" t="s">
        <v>14</v>
      </c>
      <c r="H303" s="25">
        <v>50960</v>
      </c>
      <c r="I303" s="26" t="s">
        <v>14</v>
      </c>
      <c r="J303" s="25">
        <v>39718.699999999997</v>
      </c>
      <c r="K303" s="18">
        <v>2326.39</v>
      </c>
      <c r="L303" s="18">
        <v>400</v>
      </c>
      <c r="M303" s="27" t="s">
        <v>3520</v>
      </c>
      <c r="N303" s="18"/>
      <c r="O303" s="31">
        <v>42445.09</v>
      </c>
      <c r="P303" s="25">
        <v>17259.72</v>
      </c>
      <c r="Q303" s="28">
        <v>59704.81</v>
      </c>
    </row>
    <row r="304" spans="1:17" x14ac:dyDescent="0.2">
      <c r="A304" s="21" t="s">
        <v>2403</v>
      </c>
      <c r="B304" s="21" t="s">
        <v>2404</v>
      </c>
      <c r="C304" s="21" t="s">
        <v>65</v>
      </c>
      <c r="D304" s="21" t="s">
        <v>2195</v>
      </c>
      <c r="E304" s="22" t="s">
        <v>12</v>
      </c>
      <c r="F304" s="23" t="s">
        <v>2408</v>
      </c>
      <c r="G304" s="33" t="s">
        <v>14</v>
      </c>
      <c r="H304" s="25">
        <v>35651.199999999997</v>
      </c>
      <c r="I304" s="26" t="s">
        <v>14</v>
      </c>
      <c r="J304" s="25">
        <v>36339.01</v>
      </c>
      <c r="K304" s="18">
        <v>2998.86</v>
      </c>
      <c r="L304" s="18">
        <v>1201.0899999999999</v>
      </c>
      <c r="M304" s="27" t="s">
        <v>3520</v>
      </c>
      <c r="N304" s="18"/>
      <c r="O304" s="31">
        <v>40538.959999999999</v>
      </c>
      <c r="P304" s="25">
        <v>18893.82</v>
      </c>
      <c r="Q304" s="28">
        <v>59432.78</v>
      </c>
    </row>
    <row r="305" spans="1:17" x14ac:dyDescent="0.2">
      <c r="A305" s="21" t="s">
        <v>647</v>
      </c>
      <c r="B305" s="21" t="s">
        <v>2412</v>
      </c>
      <c r="C305" s="21" t="s">
        <v>81</v>
      </c>
      <c r="D305" s="21" t="s">
        <v>1419</v>
      </c>
      <c r="E305" s="22" t="s">
        <v>20</v>
      </c>
      <c r="F305" s="23" t="s">
        <v>2377</v>
      </c>
      <c r="G305" s="33" t="s">
        <v>14</v>
      </c>
      <c r="H305" s="25">
        <v>38294.699999999997</v>
      </c>
      <c r="I305" s="26" t="s">
        <v>14</v>
      </c>
      <c r="J305" s="25">
        <v>22541.279999999999</v>
      </c>
      <c r="K305" s="18">
        <v>19180.97</v>
      </c>
      <c r="L305" s="18">
        <v>413.84</v>
      </c>
      <c r="M305" s="27" t="s">
        <v>3520</v>
      </c>
      <c r="N305" s="18"/>
      <c r="O305" s="31">
        <v>42136.09</v>
      </c>
      <c r="P305" s="25">
        <v>17284.43</v>
      </c>
      <c r="Q305" s="28">
        <v>59420.52</v>
      </c>
    </row>
    <row r="306" spans="1:17" x14ac:dyDescent="0.2">
      <c r="A306" s="21" t="s">
        <v>2419</v>
      </c>
      <c r="B306" s="21" t="s">
        <v>2420</v>
      </c>
      <c r="C306" s="21" t="s">
        <v>65</v>
      </c>
      <c r="D306" s="21" t="s">
        <v>2422</v>
      </c>
      <c r="E306" s="22" t="s">
        <v>12</v>
      </c>
      <c r="F306" s="23" t="s">
        <v>564</v>
      </c>
      <c r="G306" s="34" t="s">
        <v>2425</v>
      </c>
      <c r="H306" s="25">
        <v>40768</v>
      </c>
      <c r="I306" s="25">
        <v>516.85</v>
      </c>
      <c r="J306" s="25">
        <v>32671.71</v>
      </c>
      <c r="K306" s="18">
        <v>2279.87</v>
      </c>
      <c r="L306" s="18">
        <v>1895.96</v>
      </c>
      <c r="M306" s="27" t="s">
        <v>3520</v>
      </c>
      <c r="N306" s="18"/>
      <c r="O306" s="31">
        <v>37364.39</v>
      </c>
      <c r="P306" s="25">
        <v>22021.77</v>
      </c>
      <c r="Q306" s="28">
        <v>59386.16</v>
      </c>
    </row>
    <row r="307" spans="1:17" x14ac:dyDescent="0.2">
      <c r="A307" s="21" t="s">
        <v>2426</v>
      </c>
      <c r="B307" s="21" t="s">
        <v>80</v>
      </c>
      <c r="C307" s="21" t="s">
        <v>81</v>
      </c>
      <c r="D307" s="21" t="s">
        <v>154</v>
      </c>
      <c r="E307" s="22" t="s">
        <v>20</v>
      </c>
      <c r="F307" s="23" t="s">
        <v>428</v>
      </c>
      <c r="G307" s="34" t="s">
        <v>2432</v>
      </c>
      <c r="H307" s="25">
        <v>89074.31</v>
      </c>
      <c r="I307" s="25">
        <v>10048.200000000001</v>
      </c>
      <c r="J307" s="25">
        <v>19257.689999999999</v>
      </c>
      <c r="K307" s="18">
        <v>11756.42</v>
      </c>
      <c r="L307" s="18">
        <v>2865.12</v>
      </c>
      <c r="M307" s="27" t="s">
        <v>3520</v>
      </c>
      <c r="N307" s="18"/>
      <c r="O307" s="31">
        <v>43927.43</v>
      </c>
      <c r="P307" s="25">
        <v>15425.74</v>
      </c>
      <c r="Q307" s="28">
        <v>59353.17</v>
      </c>
    </row>
    <row r="308" spans="1:17" x14ac:dyDescent="0.2">
      <c r="A308" s="21" t="s">
        <v>2433</v>
      </c>
      <c r="B308" s="21" t="s">
        <v>949</v>
      </c>
      <c r="C308" s="21" t="s">
        <v>240</v>
      </c>
      <c r="D308" s="21" t="s">
        <v>2436</v>
      </c>
      <c r="E308" s="22" t="s">
        <v>12</v>
      </c>
      <c r="F308" s="23" t="s">
        <v>2438</v>
      </c>
      <c r="G308" s="33" t="s">
        <v>14</v>
      </c>
      <c r="H308" s="25">
        <v>47008</v>
      </c>
      <c r="I308" s="26" t="s">
        <v>14</v>
      </c>
      <c r="J308" s="25">
        <v>38922.17</v>
      </c>
      <c r="K308" s="18">
        <v>3208.3</v>
      </c>
      <c r="L308" s="18" t="s">
        <v>3520</v>
      </c>
      <c r="M308" s="27" t="s">
        <v>3520</v>
      </c>
      <c r="N308" s="18"/>
      <c r="O308" s="31">
        <v>42130.47</v>
      </c>
      <c r="P308" s="25">
        <v>17173.52</v>
      </c>
      <c r="Q308" s="28">
        <v>59303.99</v>
      </c>
    </row>
    <row r="309" spans="1:17" x14ac:dyDescent="0.2">
      <c r="A309" s="21" t="s">
        <v>2441</v>
      </c>
      <c r="B309" s="21" t="s">
        <v>2442</v>
      </c>
      <c r="C309" s="21" t="s">
        <v>1252</v>
      </c>
      <c r="D309" s="21" t="s">
        <v>2083</v>
      </c>
      <c r="E309" s="22" t="s">
        <v>12</v>
      </c>
      <c r="F309" s="23" t="s">
        <v>1668</v>
      </c>
      <c r="G309" s="33" t="s">
        <v>14</v>
      </c>
      <c r="H309" s="25">
        <v>40102.400000000001</v>
      </c>
      <c r="I309" s="26" t="s">
        <v>14</v>
      </c>
      <c r="J309" s="25">
        <v>38685.82</v>
      </c>
      <c r="K309" s="18">
        <v>1708.71</v>
      </c>
      <c r="L309" s="18">
        <v>240</v>
      </c>
      <c r="M309" s="27" t="s">
        <v>3520</v>
      </c>
      <c r="N309" s="18"/>
      <c r="O309" s="31">
        <v>40634.53</v>
      </c>
      <c r="P309" s="25">
        <v>18195.48</v>
      </c>
      <c r="Q309" s="28">
        <v>58830.01</v>
      </c>
    </row>
    <row r="310" spans="1:17" x14ac:dyDescent="0.2">
      <c r="A310" s="21" t="s">
        <v>2449</v>
      </c>
      <c r="B310" s="21" t="s">
        <v>744</v>
      </c>
      <c r="C310" s="21" t="s">
        <v>65</v>
      </c>
      <c r="D310" s="21" t="s">
        <v>2195</v>
      </c>
      <c r="E310" s="22" t="s">
        <v>12</v>
      </c>
      <c r="F310" s="23" t="s">
        <v>756</v>
      </c>
      <c r="G310" s="33" t="s">
        <v>14</v>
      </c>
      <c r="H310" s="25">
        <v>36212.800000000003</v>
      </c>
      <c r="I310" s="26" t="s">
        <v>14</v>
      </c>
      <c r="J310" s="25">
        <v>36540.44</v>
      </c>
      <c r="K310" s="18">
        <v>1381.87</v>
      </c>
      <c r="L310" s="18">
        <v>2019.3</v>
      </c>
      <c r="M310" s="27" t="s">
        <v>3520</v>
      </c>
      <c r="N310" s="18"/>
      <c r="O310" s="31">
        <v>39941.61</v>
      </c>
      <c r="P310" s="25">
        <v>18786.54</v>
      </c>
      <c r="Q310" s="28">
        <v>58728.15</v>
      </c>
    </row>
    <row r="311" spans="1:17" x14ac:dyDescent="0.2">
      <c r="A311" s="21" t="s">
        <v>2457</v>
      </c>
      <c r="B311" s="21" t="s">
        <v>2458</v>
      </c>
      <c r="C311" s="21" t="s">
        <v>81</v>
      </c>
      <c r="D311" s="21" t="s">
        <v>378</v>
      </c>
      <c r="E311" s="22" t="s">
        <v>20</v>
      </c>
      <c r="F311" s="23" t="s">
        <v>1088</v>
      </c>
      <c r="G311" s="33" t="s">
        <v>14</v>
      </c>
      <c r="H311" s="25">
        <v>52543.17</v>
      </c>
      <c r="I311" s="26" t="s">
        <v>14</v>
      </c>
      <c r="J311" s="25">
        <v>20327.05</v>
      </c>
      <c r="K311" s="18">
        <v>16577.63</v>
      </c>
      <c r="L311" s="18">
        <v>388.4</v>
      </c>
      <c r="M311" s="27" t="s">
        <v>3520</v>
      </c>
      <c r="N311" s="18"/>
      <c r="O311" s="31">
        <v>37293.08</v>
      </c>
      <c r="P311" s="25">
        <v>21133.17</v>
      </c>
      <c r="Q311" s="28">
        <v>58426.25</v>
      </c>
    </row>
    <row r="312" spans="1:17" x14ac:dyDescent="0.2">
      <c r="A312" s="21" t="s">
        <v>2465</v>
      </c>
      <c r="B312" s="21" t="s">
        <v>2193</v>
      </c>
      <c r="C312" s="21" t="s">
        <v>1442</v>
      </c>
      <c r="D312" s="21" t="s">
        <v>2468</v>
      </c>
      <c r="E312" s="22" t="s">
        <v>12</v>
      </c>
      <c r="F312" s="23" t="s">
        <v>1730</v>
      </c>
      <c r="G312" s="33" t="s">
        <v>14</v>
      </c>
      <c r="H312" s="25">
        <v>35651.199999999997</v>
      </c>
      <c r="I312" s="26" t="s">
        <v>14</v>
      </c>
      <c r="J312" s="25">
        <v>35587.93</v>
      </c>
      <c r="K312" s="18">
        <v>239.55</v>
      </c>
      <c r="L312" s="18">
        <v>80</v>
      </c>
      <c r="M312" s="27" t="s">
        <v>3520</v>
      </c>
      <c r="N312" s="18"/>
      <c r="O312" s="31">
        <v>35907.480000000003</v>
      </c>
      <c r="P312" s="25">
        <v>22335.96</v>
      </c>
      <c r="Q312" s="28">
        <v>58243.44</v>
      </c>
    </row>
    <row r="313" spans="1:17" x14ac:dyDescent="0.2">
      <c r="A313" s="21" t="s">
        <v>2473</v>
      </c>
      <c r="B313" s="21" t="s">
        <v>496</v>
      </c>
      <c r="C313" s="21" t="s">
        <v>81</v>
      </c>
      <c r="D313" s="21" t="s">
        <v>1419</v>
      </c>
      <c r="E313" s="22" t="s">
        <v>20</v>
      </c>
      <c r="F313" s="23" t="s">
        <v>2377</v>
      </c>
      <c r="G313" s="33" t="s">
        <v>14</v>
      </c>
      <c r="H313" s="25">
        <v>38294.699999999997</v>
      </c>
      <c r="I313" s="26" t="s">
        <v>14</v>
      </c>
      <c r="J313" s="25">
        <v>26464.75</v>
      </c>
      <c r="K313" s="18">
        <v>7543.33</v>
      </c>
      <c r="L313" s="18">
        <v>743.76</v>
      </c>
      <c r="M313" s="27" t="s">
        <v>3520</v>
      </c>
      <c r="N313" s="18"/>
      <c r="O313" s="31">
        <v>34751.839999999997</v>
      </c>
      <c r="P313" s="25">
        <v>23457.55</v>
      </c>
      <c r="Q313" s="28">
        <v>58209.39</v>
      </c>
    </row>
    <row r="314" spans="1:17" x14ac:dyDescent="0.2">
      <c r="A314" s="21" t="s">
        <v>1655</v>
      </c>
      <c r="B314" s="21" t="s">
        <v>2482</v>
      </c>
      <c r="C314" s="21" t="s">
        <v>256</v>
      </c>
      <c r="D314" s="21" t="s">
        <v>2005</v>
      </c>
      <c r="E314" s="22" t="s">
        <v>12</v>
      </c>
      <c r="F314" s="23" t="s">
        <v>2486</v>
      </c>
      <c r="G314" s="33" t="s">
        <v>14</v>
      </c>
      <c r="H314" s="25">
        <v>37502.400000000001</v>
      </c>
      <c r="I314" s="26" t="s">
        <v>14</v>
      </c>
      <c r="J314" s="25">
        <v>37420.15</v>
      </c>
      <c r="K314" s="18">
        <v>165.48</v>
      </c>
      <c r="L314" s="18">
        <v>1865.08</v>
      </c>
      <c r="M314" s="27" t="s">
        <v>3520</v>
      </c>
      <c r="N314" s="18"/>
      <c r="O314" s="31">
        <v>39450.71</v>
      </c>
      <c r="P314" s="25">
        <v>18669.599999999999</v>
      </c>
      <c r="Q314" s="28">
        <v>58120.31</v>
      </c>
    </row>
    <row r="315" spans="1:17" x14ac:dyDescent="0.2">
      <c r="A315" s="21" t="s">
        <v>2489</v>
      </c>
      <c r="B315" s="21" t="s">
        <v>2490</v>
      </c>
      <c r="C315" s="21" t="s">
        <v>240</v>
      </c>
      <c r="D315" s="21" t="s">
        <v>2242</v>
      </c>
      <c r="E315" s="22" t="s">
        <v>12</v>
      </c>
      <c r="F315" s="23" t="s">
        <v>2229</v>
      </c>
      <c r="G315" s="33" t="s">
        <v>14</v>
      </c>
      <c r="H315" s="25">
        <v>34257.599999999999</v>
      </c>
      <c r="I315" s="26" t="s">
        <v>14</v>
      </c>
      <c r="J315" s="25">
        <v>34890.080000000002</v>
      </c>
      <c r="K315" s="18">
        <v>2474.4899999999998</v>
      </c>
      <c r="L315" s="18">
        <v>1563.96</v>
      </c>
      <c r="M315" s="27" t="s">
        <v>3520</v>
      </c>
      <c r="N315" s="18"/>
      <c r="O315" s="31">
        <v>38928.53</v>
      </c>
      <c r="P315" s="25">
        <v>18681.16</v>
      </c>
      <c r="Q315" s="28">
        <v>57609.69</v>
      </c>
    </row>
    <row r="316" spans="1:17" x14ac:dyDescent="0.2">
      <c r="A316" s="21" t="s">
        <v>2497</v>
      </c>
      <c r="B316" s="21" t="s">
        <v>1219</v>
      </c>
      <c r="C316" s="21" t="s">
        <v>824</v>
      </c>
      <c r="D316" s="21" t="s">
        <v>2500</v>
      </c>
      <c r="E316" s="22" t="s">
        <v>12</v>
      </c>
      <c r="F316" s="23" t="s">
        <v>1128</v>
      </c>
      <c r="G316" s="33" t="s">
        <v>14</v>
      </c>
      <c r="H316" s="25">
        <v>36628.800000000003</v>
      </c>
      <c r="I316" s="26" t="s">
        <v>14</v>
      </c>
      <c r="J316" s="25">
        <v>36635.93</v>
      </c>
      <c r="K316" s="18">
        <v>288.79000000000002</v>
      </c>
      <c r="L316" s="18">
        <v>1922</v>
      </c>
      <c r="M316" s="27" t="s">
        <v>3520</v>
      </c>
      <c r="N316" s="18"/>
      <c r="O316" s="31">
        <v>38846.720000000001</v>
      </c>
      <c r="P316" s="25">
        <v>18672.580000000002</v>
      </c>
      <c r="Q316" s="28">
        <v>57519.3</v>
      </c>
    </row>
    <row r="317" spans="1:17" x14ac:dyDescent="0.2">
      <c r="A317" s="21" t="s">
        <v>384</v>
      </c>
      <c r="B317" s="21" t="s">
        <v>2506</v>
      </c>
      <c r="C317" s="21" t="s">
        <v>2507</v>
      </c>
      <c r="D317" s="21" t="s">
        <v>1523</v>
      </c>
      <c r="E317" s="22" t="s">
        <v>12</v>
      </c>
      <c r="F317" s="23" t="s">
        <v>2510</v>
      </c>
      <c r="G317" s="33" t="s">
        <v>14</v>
      </c>
      <c r="H317" s="25">
        <v>36753.599999999999</v>
      </c>
      <c r="I317" s="26" t="s">
        <v>14</v>
      </c>
      <c r="J317" s="25">
        <v>36878.410000000003</v>
      </c>
      <c r="K317" s="18">
        <v>2065.89</v>
      </c>
      <c r="L317" s="18">
        <v>20</v>
      </c>
      <c r="M317" s="27" t="s">
        <v>3520</v>
      </c>
      <c r="N317" s="18"/>
      <c r="O317" s="31">
        <v>38964.300000000003</v>
      </c>
      <c r="P317" s="25">
        <v>18546.96</v>
      </c>
      <c r="Q317" s="28">
        <v>57511.26</v>
      </c>
    </row>
    <row r="318" spans="1:17" x14ac:dyDescent="0.2">
      <c r="A318" s="21" t="s">
        <v>2513</v>
      </c>
      <c r="B318" s="21" t="s">
        <v>2514</v>
      </c>
      <c r="C318" s="21" t="s">
        <v>65</v>
      </c>
      <c r="D318" s="21" t="s">
        <v>2516</v>
      </c>
      <c r="E318" s="22" t="s">
        <v>12</v>
      </c>
      <c r="F318" s="23" t="s">
        <v>2518</v>
      </c>
      <c r="G318" s="33" t="s">
        <v>14</v>
      </c>
      <c r="H318" s="25">
        <v>37065.599999999999</v>
      </c>
      <c r="I318" s="26" t="s">
        <v>14</v>
      </c>
      <c r="J318" s="25">
        <v>37087.050000000003</v>
      </c>
      <c r="K318" s="18">
        <v>791.83</v>
      </c>
      <c r="L318" s="18">
        <v>930</v>
      </c>
      <c r="M318" s="27" t="s">
        <v>3520</v>
      </c>
      <c r="N318" s="18"/>
      <c r="O318" s="31">
        <v>38808.879999999997</v>
      </c>
      <c r="P318" s="25">
        <v>18662.32</v>
      </c>
      <c r="Q318" s="28">
        <v>57471.199999999997</v>
      </c>
    </row>
    <row r="319" spans="1:17" x14ac:dyDescent="0.2">
      <c r="A319" s="21" t="s">
        <v>303</v>
      </c>
      <c r="B319" s="21" t="s">
        <v>2522</v>
      </c>
      <c r="C319" s="21" t="s">
        <v>2507</v>
      </c>
      <c r="D319" s="21" t="s">
        <v>2524</v>
      </c>
      <c r="E319" s="22" t="s">
        <v>12</v>
      </c>
      <c r="F319" s="23" t="s">
        <v>2526</v>
      </c>
      <c r="G319" s="33" t="s">
        <v>14</v>
      </c>
      <c r="H319" s="25">
        <v>33425.599999999999</v>
      </c>
      <c r="I319" s="26" t="s">
        <v>14</v>
      </c>
      <c r="J319" s="25">
        <v>33945.440000000002</v>
      </c>
      <c r="K319" s="18">
        <v>3928.53</v>
      </c>
      <c r="L319" s="18">
        <v>1140.8399999999999</v>
      </c>
      <c r="M319" s="27" t="s">
        <v>3520</v>
      </c>
      <c r="N319" s="18"/>
      <c r="O319" s="31">
        <v>39014.81</v>
      </c>
      <c r="P319" s="25">
        <v>18399.36</v>
      </c>
      <c r="Q319" s="28">
        <v>57414.17</v>
      </c>
    </row>
    <row r="320" spans="1:17" x14ac:dyDescent="0.2">
      <c r="A320" s="21" t="s">
        <v>2529</v>
      </c>
      <c r="B320" s="21" t="s">
        <v>2530</v>
      </c>
      <c r="C320" s="21" t="s">
        <v>137</v>
      </c>
      <c r="D320" s="21" t="s">
        <v>2532</v>
      </c>
      <c r="E320" s="22" t="s">
        <v>12</v>
      </c>
      <c r="F320" s="23" t="s">
        <v>2534</v>
      </c>
      <c r="G320" s="34" t="s">
        <v>2535</v>
      </c>
      <c r="H320" s="25">
        <v>107309.02</v>
      </c>
      <c r="I320" s="25">
        <v>205.33</v>
      </c>
      <c r="J320" s="18">
        <v>41269.99</v>
      </c>
      <c r="K320" s="18" t="s">
        <v>3520</v>
      </c>
      <c r="L320" s="18">
        <v>2326.39</v>
      </c>
      <c r="M320" s="27" t="s">
        <v>3520</v>
      </c>
      <c r="N320" s="18"/>
      <c r="O320" s="31">
        <v>43801.71</v>
      </c>
      <c r="P320" s="25">
        <v>13584.41</v>
      </c>
      <c r="Q320" s="28">
        <v>57386.12</v>
      </c>
    </row>
    <row r="321" spans="1:17" x14ac:dyDescent="0.2">
      <c r="A321" s="21" t="s">
        <v>2536</v>
      </c>
      <c r="B321" s="21" t="s">
        <v>2537</v>
      </c>
      <c r="C321" s="21" t="s">
        <v>65</v>
      </c>
      <c r="D321" s="21" t="s">
        <v>2539</v>
      </c>
      <c r="E321" s="22" t="s">
        <v>12</v>
      </c>
      <c r="F321" s="23" t="s">
        <v>2541</v>
      </c>
      <c r="G321" s="33" t="s">
        <v>14</v>
      </c>
      <c r="H321" s="25">
        <v>34216</v>
      </c>
      <c r="I321" s="26" t="s">
        <v>14</v>
      </c>
      <c r="J321" s="25">
        <v>34665.9</v>
      </c>
      <c r="K321" s="18">
        <v>1933.09</v>
      </c>
      <c r="L321" s="18">
        <v>1855.93</v>
      </c>
      <c r="M321" s="27" t="s">
        <v>3520</v>
      </c>
      <c r="N321" s="18"/>
      <c r="O321" s="31">
        <v>38454.92</v>
      </c>
      <c r="P321" s="25">
        <v>18432.97</v>
      </c>
      <c r="Q321" s="28">
        <v>56887.89</v>
      </c>
    </row>
    <row r="322" spans="1:17" x14ac:dyDescent="0.2">
      <c r="A322" s="21" t="s">
        <v>2544</v>
      </c>
      <c r="B322" s="21" t="s">
        <v>2545</v>
      </c>
      <c r="C322" s="21" t="s">
        <v>1474</v>
      </c>
      <c r="D322" s="21" t="s">
        <v>2547</v>
      </c>
      <c r="E322" s="22" t="s">
        <v>12</v>
      </c>
      <c r="F322" s="23" t="s">
        <v>1080</v>
      </c>
      <c r="G322" s="33" t="s">
        <v>14</v>
      </c>
      <c r="H322" s="25">
        <v>44054.400000000001</v>
      </c>
      <c r="I322" s="26" t="s">
        <v>14</v>
      </c>
      <c r="J322" s="25">
        <v>44035.3</v>
      </c>
      <c r="K322" s="18">
        <v>1044.3699999999999</v>
      </c>
      <c r="L322" s="18">
        <v>430</v>
      </c>
      <c r="M322" s="27" t="s">
        <v>3520</v>
      </c>
      <c r="N322" s="18"/>
      <c r="O322" s="31">
        <v>45509.67</v>
      </c>
      <c r="P322" s="25">
        <v>11224.5</v>
      </c>
      <c r="Q322" s="28">
        <v>56734.17</v>
      </c>
    </row>
    <row r="323" spans="1:17" x14ac:dyDescent="0.2">
      <c r="A323" s="21" t="s">
        <v>2552</v>
      </c>
      <c r="B323" s="21" t="s">
        <v>2553</v>
      </c>
      <c r="C323" s="21" t="s">
        <v>137</v>
      </c>
      <c r="D323" s="21" t="s">
        <v>2555</v>
      </c>
      <c r="E323" s="22" t="s">
        <v>12</v>
      </c>
      <c r="F323" s="23" t="s">
        <v>1453</v>
      </c>
      <c r="G323" s="33" t="s">
        <v>14</v>
      </c>
      <c r="H323" s="25">
        <v>45760</v>
      </c>
      <c r="I323" s="26" t="s">
        <v>14</v>
      </c>
      <c r="J323" s="25">
        <v>44358.21</v>
      </c>
      <c r="K323" s="18">
        <v>587.19000000000005</v>
      </c>
      <c r="L323" s="18">
        <v>80</v>
      </c>
      <c r="M323" s="27" t="s">
        <v>3520</v>
      </c>
      <c r="N323" s="18"/>
      <c r="O323" s="31">
        <v>45025.4</v>
      </c>
      <c r="P323" s="25">
        <v>11366.51</v>
      </c>
      <c r="Q323" s="28">
        <v>56391.91</v>
      </c>
    </row>
    <row r="324" spans="1:17" x14ac:dyDescent="0.2">
      <c r="A324" s="21" t="s">
        <v>2560</v>
      </c>
      <c r="B324" s="21" t="s">
        <v>1481</v>
      </c>
      <c r="C324" s="21" t="s">
        <v>65</v>
      </c>
      <c r="D324" s="21" t="s">
        <v>1150</v>
      </c>
      <c r="E324" s="22" t="s">
        <v>20</v>
      </c>
      <c r="F324" s="23" t="s">
        <v>2565</v>
      </c>
      <c r="G324" s="34" t="s">
        <v>2566</v>
      </c>
      <c r="H324" s="25">
        <v>64500.800000000003</v>
      </c>
      <c r="I324" s="25">
        <v>855.26</v>
      </c>
      <c r="J324" s="25">
        <v>38785.71</v>
      </c>
      <c r="K324" s="18">
        <v>2177.9699999999998</v>
      </c>
      <c r="L324" s="18">
        <v>2806.62</v>
      </c>
      <c r="M324" s="27" t="s">
        <v>3520</v>
      </c>
      <c r="N324" s="18"/>
      <c r="O324" s="31">
        <v>44625.56</v>
      </c>
      <c r="P324" s="25">
        <v>11259.27</v>
      </c>
      <c r="Q324" s="28">
        <v>55884.83</v>
      </c>
    </row>
    <row r="325" spans="1:17" x14ac:dyDescent="0.2">
      <c r="A325" s="21" t="s">
        <v>2567</v>
      </c>
      <c r="B325" s="21" t="s">
        <v>456</v>
      </c>
      <c r="C325" s="21" t="s">
        <v>1315</v>
      </c>
      <c r="D325" s="21" t="s">
        <v>2250</v>
      </c>
      <c r="E325" s="22" t="s">
        <v>12</v>
      </c>
      <c r="F325" s="23" t="s">
        <v>2284</v>
      </c>
      <c r="G325" s="33" t="s">
        <v>14</v>
      </c>
      <c r="H325" s="25">
        <v>34091.199999999997</v>
      </c>
      <c r="I325" s="26" t="s">
        <v>14</v>
      </c>
      <c r="J325" s="25">
        <v>34364.769999999997</v>
      </c>
      <c r="K325" s="18">
        <v>1866.9</v>
      </c>
      <c r="L325" s="18">
        <v>1322.4</v>
      </c>
      <c r="M325" s="27" t="s">
        <v>3520</v>
      </c>
      <c r="N325" s="18"/>
      <c r="O325" s="31">
        <v>37554.07</v>
      </c>
      <c r="P325" s="25">
        <v>18204.32</v>
      </c>
      <c r="Q325" s="28">
        <v>55758.39</v>
      </c>
    </row>
    <row r="326" spans="1:17" x14ac:dyDescent="0.2">
      <c r="A326" s="21" t="s">
        <v>2575</v>
      </c>
      <c r="B326" s="21" t="s">
        <v>2576</v>
      </c>
      <c r="C326" s="21" t="s">
        <v>1442</v>
      </c>
      <c r="D326" s="21" t="s">
        <v>2578</v>
      </c>
      <c r="E326" s="22" t="s">
        <v>12</v>
      </c>
      <c r="F326" s="23" t="s">
        <v>2580</v>
      </c>
      <c r="G326" s="33" t="s">
        <v>14</v>
      </c>
      <c r="H326" s="25">
        <v>36212.800000000003</v>
      </c>
      <c r="I326" s="26" t="s">
        <v>14</v>
      </c>
      <c r="J326" s="25">
        <v>36140.39</v>
      </c>
      <c r="K326" s="18">
        <v>502.22</v>
      </c>
      <c r="L326" s="18">
        <v>842</v>
      </c>
      <c r="M326" s="27" t="s">
        <v>3520</v>
      </c>
      <c r="N326" s="18"/>
      <c r="O326" s="31">
        <v>37484.61</v>
      </c>
      <c r="P326" s="25">
        <v>18161.59</v>
      </c>
      <c r="Q326" s="28">
        <v>55646.2</v>
      </c>
    </row>
    <row r="327" spans="1:17" x14ac:dyDescent="0.2">
      <c r="A327" s="21" t="s">
        <v>2583</v>
      </c>
      <c r="B327" s="21" t="s">
        <v>2584</v>
      </c>
      <c r="C327" s="21" t="s">
        <v>2585</v>
      </c>
      <c r="D327" s="21" t="s">
        <v>2586</v>
      </c>
      <c r="E327" s="22" t="s">
        <v>12</v>
      </c>
      <c r="F327" s="23" t="s">
        <v>2588</v>
      </c>
      <c r="G327" s="33" t="s">
        <v>14</v>
      </c>
      <c r="H327" s="25">
        <v>42182.400000000001</v>
      </c>
      <c r="I327" s="26" t="s">
        <v>14</v>
      </c>
      <c r="J327" s="25">
        <v>42095.040000000001</v>
      </c>
      <c r="K327" s="18">
        <v>204.2</v>
      </c>
      <c r="L327" s="18">
        <v>2006</v>
      </c>
      <c r="M327" s="27" t="s">
        <v>3520</v>
      </c>
      <c r="N327" s="18"/>
      <c r="O327" s="31">
        <v>44305.24</v>
      </c>
      <c r="P327" s="25">
        <v>11005.24</v>
      </c>
      <c r="Q327" s="28">
        <v>55310.48</v>
      </c>
    </row>
    <row r="328" spans="1:17" x14ac:dyDescent="0.2">
      <c r="A328" s="21" t="s">
        <v>2591</v>
      </c>
      <c r="B328" s="21" t="s">
        <v>2592</v>
      </c>
      <c r="C328" s="21" t="s">
        <v>18</v>
      </c>
      <c r="D328" s="21" t="s">
        <v>498</v>
      </c>
      <c r="E328" s="22" t="s">
        <v>20</v>
      </c>
      <c r="F328" s="23" t="s">
        <v>2377</v>
      </c>
      <c r="G328" s="33" t="s">
        <v>14</v>
      </c>
      <c r="H328" s="25">
        <v>52556.92</v>
      </c>
      <c r="I328" s="26" t="s">
        <v>14</v>
      </c>
      <c r="J328" s="25">
        <v>41356.53</v>
      </c>
      <c r="K328" s="18">
        <v>2026.39</v>
      </c>
      <c r="L328" s="18">
        <v>949.4</v>
      </c>
      <c r="M328" s="27" t="s">
        <v>3520</v>
      </c>
      <c r="N328" s="18"/>
      <c r="O328" s="31">
        <v>44332.32</v>
      </c>
      <c r="P328" s="25">
        <v>10830.61</v>
      </c>
      <c r="Q328" s="28">
        <v>55162.93</v>
      </c>
    </row>
    <row r="329" spans="1:17" x14ac:dyDescent="0.2">
      <c r="A329" s="21" t="s">
        <v>2599</v>
      </c>
      <c r="B329" s="21" t="s">
        <v>680</v>
      </c>
      <c r="C329" s="21" t="s">
        <v>81</v>
      </c>
      <c r="D329" s="21" t="s">
        <v>1419</v>
      </c>
      <c r="E329" s="22" t="s">
        <v>20</v>
      </c>
      <c r="F329" s="23" t="s">
        <v>2377</v>
      </c>
      <c r="G329" s="33" t="s">
        <v>14</v>
      </c>
      <c r="H329" s="25">
        <v>38294.699999999997</v>
      </c>
      <c r="I329" s="26" t="s">
        <v>14</v>
      </c>
      <c r="J329" s="25">
        <v>22071.25</v>
      </c>
      <c r="K329" s="18">
        <v>15914.23</v>
      </c>
      <c r="L329" s="18">
        <v>541.78</v>
      </c>
      <c r="M329" s="27" t="s">
        <v>3520</v>
      </c>
      <c r="N329" s="18"/>
      <c r="O329" s="31">
        <v>38527.26</v>
      </c>
      <c r="P329" s="25">
        <v>16456.599999999999</v>
      </c>
      <c r="Q329" s="28">
        <v>54983.86</v>
      </c>
    </row>
    <row r="330" spans="1:17" x14ac:dyDescent="0.2">
      <c r="A330" s="21" t="s">
        <v>2607</v>
      </c>
      <c r="B330" s="21" t="s">
        <v>2608</v>
      </c>
      <c r="C330" s="21" t="s">
        <v>81</v>
      </c>
      <c r="D330" s="21" t="s">
        <v>378</v>
      </c>
      <c r="E330" s="22" t="s">
        <v>20</v>
      </c>
      <c r="F330" s="23" t="s">
        <v>2369</v>
      </c>
      <c r="G330" s="33" t="s">
        <v>14</v>
      </c>
      <c r="H330" s="25">
        <v>54497.78</v>
      </c>
      <c r="I330" s="26" t="s">
        <v>14</v>
      </c>
      <c r="J330" s="25">
        <v>30135.75</v>
      </c>
      <c r="K330" s="18">
        <v>7288</v>
      </c>
      <c r="L330" s="18">
        <v>858.08</v>
      </c>
      <c r="M330" s="27" t="s">
        <v>3520</v>
      </c>
      <c r="N330" s="18"/>
      <c r="O330" s="31">
        <v>38281.83</v>
      </c>
      <c r="P330" s="25">
        <v>16230.5</v>
      </c>
      <c r="Q330" s="28">
        <v>54512.33</v>
      </c>
    </row>
    <row r="331" spans="1:17" x14ac:dyDescent="0.2">
      <c r="A331" s="21" t="s">
        <v>727</v>
      </c>
      <c r="B331" s="21" t="s">
        <v>727</v>
      </c>
      <c r="C331" s="21" t="s">
        <v>65</v>
      </c>
      <c r="D331" s="21" t="s">
        <v>594</v>
      </c>
      <c r="E331" s="22" t="s">
        <v>20</v>
      </c>
      <c r="F331" s="23" t="s">
        <v>2369</v>
      </c>
      <c r="G331" s="33" t="s">
        <v>14</v>
      </c>
      <c r="H331" s="25">
        <v>55161.599999999999</v>
      </c>
      <c r="I331" s="26" t="s">
        <v>14</v>
      </c>
      <c r="J331" s="25">
        <v>32002.78</v>
      </c>
      <c r="K331" s="18">
        <v>4799.51</v>
      </c>
      <c r="L331" s="18">
        <v>1230.3800000000001</v>
      </c>
      <c r="M331" s="27" t="s">
        <v>3520</v>
      </c>
      <c r="N331" s="18"/>
      <c r="O331" s="31">
        <v>38032.67</v>
      </c>
      <c r="P331" s="25">
        <v>16201.51</v>
      </c>
      <c r="Q331" s="28">
        <v>54234.18</v>
      </c>
    </row>
    <row r="332" spans="1:17" x14ac:dyDescent="0.2">
      <c r="A332" s="21" t="s">
        <v>2623</v>
      </c>
      <c r="B332" s="21" t="s">
        <v>2624</v>
      </c>
      <c r="C332" s="21" t="s">
        <v>824</v>
      </c>
      <c r="D332" s="21" t="s">
        <v>2500</v>
      </c>
      <c r="E332" s="22" t="s">
        <v>12</v>
      </c>
      <c r="F332" s="23" t="s">
        <v>2628</v>
      </c>
      <c r="G332" s="33" t="s">
        <v>14</v>
      </c>
      <c r="H332" s="25">
        <v>35651.199999999997</v>
      </c>
      <c r="I332" s="26" t="s">
        <v>14</v>
      </c>
      <c r="J332" s="25">
        <v>36026.839999999997</v>
      </c>
      <c r="K332" s="18">
        <v>962.75</v>
      </c>
      <c r="L332" s="18">
        <v>210</v>
      </c>
      <c r="M332" s="27" t="s">
        <v>3520</v>
      </c>
      <c r="N332" s="18"/>
      <c r="O332" s="31">
        <v>37199.589999999997</v>
      </c>
      <c r="P332" s="25">
        <v>16976.330000000002</v>
      </c>
      <c r="Q332" s="28">
        <v>54175.92</v>
      </c>
    </row>
    <row r="333" spans="1:17" x14ac:dyDescent="0.2">
      <c r="A333" s="21" t="s">
        <v>2631</v>
      </c>
      <c r="B333" s="21" t="s">
        <v>2632</v>
      </c>
      <c r="C333" s="21" t="s">
        <v>617</v>
      </c>
      <c r="D333" s="21" t="s">
        <v>2634</v>
      </c>
      <c r="E333" s="22" t="s">
        <v>12</v>
      </c>
      <c r="F333" s="23" t="s">
        <v>2117</v>
      </c>
      <c r="G333" s="33" t="s">
        <v>14</v>
      </c>
      <c r="H333" s="25">
        <v>57200</v>
      </c>
      <c r="I333" s="26" t="s">
        <v>14</v>
      </c>
      <c r="J333" s="25">
        <v>35309.74</v>
      </c>
      <c r="K333" s="18">
        <v>2109.86</v>
      </c>
      <c r="L333" s="18">
        <v>365</v>
      </c>
      <c r="M333" s="27" t="s">
        <v>3520</v>
      </c>
      <c r="N333" s="18"/>
      <c r="O333" s="31">
        <v>37784.6</v>
      </c>
      <c r="P333" s="25">
        <v>16150.11</v>
      </c>
      <c r="Q333" s="28">
        <v>53934.71</v>
      </c>
    </row>
    <row r="334" spans="1:17" x14ac:dyDescent="0.2">
      <c r="A334" s="21" t="s">
        <v>2639</v>
      </c>
      <c r="B334" s="21" t="s">
        <v>2640</v>
      </c>
      <c r="C334" s="21" t="s">
        <v>808</v>
      </c>
      <c r="D334" s="21" t="s">
        <v>1957</v>
      </c>
      <c r="E334" s="22" t="s">
        <v>12</v>
      </c>
      <c r="F334" s="23" t="s">
        <v>148</v>
      </c>
      <c r="G334" s="33" t="s">
        <v>14</v>
      </c>
      <c r="H334" s="25">
        <v>38417.599999999999</v>
      </c>
      <c r="I334" s="26" t="s">
        <v>14</v>
      </c>
      <c r="J334" s="25">
        <v>32959.14</v>
      </c>
      <c r="K334" s="18">
        <v>2936.85</v>
      </c>
      <c r="L334" s="18">
        <v>150</v>
      </c>
      <c r="M334" s="27" t="s">
        <v>3520</v>
      </c>
      <c r="N334" s="18"/>
      <c r="O334" s="31">
        <v>36045.99</v>
      </c>
      <c r="P334" s="25">
        <v>17823.52</v>
      </c>
      <c r="Q334" s="28">
        <v>53869.51</v>
      </c>
    </row>
    <row r="335" spans="1:17" x14ac:dyDescent="0.2">
      <c r="A335" s="21" t="s">
        <v>2647</v>
      </c>
      <c r="B335" s="21" t="s">
        <v>1465</v>
      </c>
      <c r="C335" s="21" t="s">
        <v>1371</v>
      </c>
      <c r="D335" s="21" t="s">
        <v>2650</v>
      </c>
      <c r="E335" s="22" t="s">
        <v>12</v>
      </c>
      <c r="F335" s="23" t="s">
        <v>2400</v>
      </c>
      <c r="G335" s="33" t="s">
        <v>14</v>
      </c>
      <c r="H335" s="25">
        <v>42016</v>
      </c>
      <c r="I335" s="26" t="s">
        <v>14</v>
      </c>
      <c r="J335" s="25">
        <v>32321.62</v>
      </c>
      <c r="K335" s="18">
        <v>3.03</v>
      </c>
      <c r="L335" s="18">
        <v>50</v>
      </c>
      <c r="M335" s="27" t="s">
        <v>3520</v>
      </c>
      <c r="N335" s="18"/>
      <c r="O335" s="31">
        <v>32374.65</v>
      </c>
      <c r="P335" s="25">
        <v>21245.06</v>
      </c>
      <c r="Q335" s="28">
        <v>53619.71</v>
      </c>
    </row>
    <row r="336" spans="1:17" x14ac:dyDescent="0.2">
      <c r="A336" s="21" t="s">
        <v>2426</v>
      </c>
      <c r="B336" s="21" t="s">
        <v>2656</v>
      </c>
      <c r="C336" s="21" t="s">
        <v>824</v>
      </c>
      <c r="D336" s="21" t="s">
        <v>2359</v>
      </c>
      <c r="E336" s="22" t="s">
        <v>12</v>
      </c>
      <c r="F336" s="23" t="s">
        <v>2229</v>
      </c>
      <c r="G336" s="33" t="s">
        <v>14</v>
      </c>
      <c r="H336" s="25">
        <v>36420.800000000003</v>
      </c>
      <c r="I336" s="26" t="s">
        <v>14</v>
      </c>
      <c r="J336" s="25">
        <v>34363.32</v>
      </c>
      <c r="K336" s="18">
        <v>1021.73</v>
      </c>
      <c r="L336" s="18">
        <v>410</v>
      </c>
      <c r="M336" s="27" t="s">
        <v>3520</v>
      </c>
      <c r="N336" s="18"/>
      <c r="O336" s="31">
        <v>35795.050000000003</v>
      </c>
      <c r="P336" s="25">
        <v>17756.080000000002</v>
      </c>
      <c r="Q336" s="28">
        <v>53551.13</v>
      </c>
    </row>
    <row r="337" spans="1:17" ht="17" thickBot="1" x14ac:dyDescent="0.25">
      <c r="A337" s="21" t="s">
        <v>2663</v>
      </c>
      <c r="B337" s="21" t="s">
        <v>2664</v>
      </c>
      <c r="C337" s="21" t="s">
        <v>808</v>
      </c>
      <c r="D337" s="21" t="s">
        <v>1957</v>
      </c>
      <c r="E337" s="22" t="s">
        <v>12</v>
      </c>
      <c r="F337" s="23" t="s">
        <v>148</v>
      </c>
      <c r="G337" s="33" t="s">
        <v>14</v>
      </c>
      <c r="H337" s="25">
        <v>38417.599999999999</v>
      </c>
      <c r="I337" s="26" t="s">
        <v>14</v>
      </c>
      <c r="J337" s="25">
        <v>32777.25</v>
      </c>
      <c r="K337" s="18">
        <v>3565.26</v>
      </c>
      <c r="L337" s="18">
        <v>100</v>
      </c>
      <c r="M337" s="27" t="s">
        <v>3520</v>
      </c>
      <c r="N337" s="18"/>
      <c r="O337" s="31">
        <v>36442.51</v>
      </c>
      <c r="P337" s="25">
        <v>16863.29</v>
      </c>
      <c r="Q337" s="28">
        <v>53305.8</v>
      </c>
    </row>
    <row r="338" spans="1:17" x14ac:dyDescent="0.2">
      <c r="A338" s="10" t="s">
        <v>2671</v>
      </c>
      <c r="B338" s="10" t="s">
        <v>2672</v>
      </c>
      <c r="C338" s="10" t="s">
        <v>65</v>
      </c>
      <c r="D338" s="10" t="s">
        <v>2539</v>
      </c>
      <c r="E338" s="11" t="s">
        <v>12</v>
      </c>
      <c r="F338" s="12" t="s">
        <v>2676</v>
      </c>
      <c r="G338" s="32" t="s">
        <v>14</v>
      </c>
      <c r="H338" s="16">
        <v>34528</v>
      </c>
      <c r="I338" s="15" t="s">
        <v>14</v>
      </c>
      <c r="J338" s="14">
        <v>35046.49</v>
      </c>
      <c r="K338" s="16">
        <v>5156.0200000000004</v>
      </c>
      <c r="L338" s="17">
        <v>2284.02</v>
      </c>
      <c r="M338" s="17" t="s">
        <v>3520</v>
      </c>
      <c r="N338" s="18"/>
      <c r="O338" s="14">
        <v>42486.53</v>
      </c>
      <c r="P338" s="14">
        <v>10687.36</v>
      </c>
      <c r="Q338" s="20">
        <v>53173.89</v>
      </c>
    </row>
    <row r="339" spans="1:17" x14ac:dyDescent="0.2">
      <c r="A339" s="21" t="s">
        <v>2679</v>
      </c>
      <c r="B339" s="21" t="s">
        <v>288</v>
      </c>
      <c r="C339" s="21" t="s">
        <v>1474</v>
      </c>
      <c r="D339" s="21" t="s">
        <v>2547</v>
      </c>
      <c r="E339" s="22" t="s">
        <v>12</v>
      </c>
      <c r="F339" s="23" t="s">
        <v>227</v>
      </c>
      <c r="G339" s="33" t="s">
        <v>14</v>
      </c>
      <c r="H339" s="18">
        <v>37440</v>
      </c>
      <c r="I339" s="26" t="s">
        <v>14</v>
      </c>
      <c r="J339" s="25">
        <v>33872.94</v>
      </c>
      <c r="K339" s="18">
        <v>1431.95</v>
      </c>
      <c r="L339" s="27">
        <v>50</v>
      </c>
      <c r="M339" s="27" t="s">
        <v>3520</v>
      </c>
      <c r="N339" s="18"/>
      <c r="O339" s="25">
        <v>35354.89</v>
      </c>
      <c r="P339" s="25">
        <v>17702.25</v>
      </c>
      <c r="Q339" s="28">
        <v>53057.14</v>
      </c>
    </row>
    <row r="340" spans="1:17" x14ac:dyDescent="0.2">
      <c r="A340" s="21" t="s">
        <v>2687</v>
      </c>
      <c r="B340" s="21" t="s">
        <v>2688</v>
      </c>
      <c r="C340" s="21" t="s">
        <v>824</v>
      </c>
      <c r="D340" s="21" t="s">
        <v>2500</v>
      </c>
      <c r="E340" s="22" t="s">
        <v>12</v>
      </c>
      <c r="F340" s="23" t="s">
        <v>1405</v>
      </c>
      <c r="G340" s="33" t="s">
        <v>14</v>
      </c>
      <c r="H340" s="18">
        <v>33425.599999999999</v>
      </c>
      <c r="I340" s="26" t="s">
        <v>14</v>
      </c>
      <c r="J340" s="25">
        <v>33559.699999999997</v>
      </c>
      <c r="K340" s="18">
        <v>1459.55</v>
      </c>
      <c r="L340" s="27">
        <v>50</v>
      </c>
      <c r="M340" s="27" t="s">
        <v>3520</v>
      </c>
      <c r="N340" s="18"/>
      <c r="O340" s="25">
        <v>35069.25</v>
      </c>
      <c r="P340" s="25">
        <v>17800.13</v>
      </c>
      <c r="Q340" s="28">
        <v>52869.38</v>
      </c>
    </row>
    <row r="341" spans="1:17" x14ac:dyDescent="0.2">
      <c r="A341" s="21" t="s">
        <v>263</v>
      </c>
      <c r="B341" s="21" t="s">
        <v>2696</v>
      </c>
      <c r="C341" s="21" t="s">
        <v>81</v>
      </c>
      <c r="D341" s="21" t="s">
        <v>378</v>
      </c>
      <c r="E341" s="22" t="s">
        <v>20</v>
      </c>
      <c r="F341" s="23" t="s">
        <v>2377</v>
      </c>
      <c r="G341" s="33" t="s">
        <v>14</v>
      </c>
      <c r="H341" s="18">
        <v>38294.699999999997</v>
      </c>
      <c r="I341" s="26" t="s">
        <v>14</v>
      </c>
      <c r="J341" s="25">
        <v>26305.47</v>
      </c>
      <c r="K341" s="18">
        <v>10041.02</v>
      </c>
      <c r="L341" s="27">
        <v>600.03</v>
      </c>
      <c r="M341" s="27" t="s">
        <v>3520</v>
      </c>
      <c r="N341" s="18"/>
      <c r="O341" s="25">
        <v>36946.519999999997</v>
      </c>
      <c r="P341" s="25">
        <v>15890.24</v>
      </c>
      <c r="Q341" s="28">
        <v>52836.76</v>
      </c>
    </row>
    <row r="342" spans="1:17" x14ac:dyDescent="0.2">
      <c r="A342" s="21" t="s">
        <v>2703</v>
      </c>
      <c r="B342" s="21" t="s">
        <v>2704</v>
      </c>
      <c r="C342" s="21" t="s">
        <v>81</v>
      </c>
      <c r="D342" s="21" t="s">
        <v>378</v>
      </c>
      <c r="E342" s="22" t="s">
        <v>20</v>
      </c>
      <c r="F342" s="23" t="s">
        <v>2708</v>
      </c>
      <c r="G342" s="33" t="s">
        <v>14</v>
      </c>
      <c r="H342" s="18">
        <v>52543.17</v>
      </c>
      <c r="I342" s="26" t="s">
        <v>14</v>
      </c>
      <c r="J342" s="25">
        <v>23233.61</v>
      </c>
      <c r="K342" s="18">
        <v>9024.8799999999992</v>
      </c>
      <c r="L342" s="27">
        <v>439.1</v>
      </c>
      <c r="M342" s="27" t="s">
        <v>3520</v>
      </c>
      <c r="N342" s="18"/>
      <c r="O342" s="25">
        <v>32697.59</v>
      </c>
      <c r="P342" s="25">
        <v>20139.09</v>
      </c>
      <c r="Q342" s="28">
        <v>52836.68</v>
      </c>
    </row>
    <row r="343" spans="1:17" x14ac:dyDescent="0.2">
      <c r="A343" s="21" t="s">
        <v>2583</v>
      </c>
      <c r="B343" s="21" t="s">
        <v>288</v>
      </c>
      <c r="C343" s="21" t="s">
        <v>81</v>
      </c>
      <c r="D343" s="21" t="s">
        <v>378</v>
      </c>
      <c r="E343" s="22" t="s">
        <v>20</v>
      </c>
      <c r="F343" s="23" t="s">
        <v>2708</v>
      </c>
      <c r="G343" s="33" t="s">
        <v>14</v>
      </c>
      <c r="H343" s="18">
        <v>52543.17</v>
      </c>
      <c r="I343" s="26" t="s">
        <v>14</v>
      </c>
      <c r="J343" s="25">
        <v>21810.1</v>
      </c>
      <c r="K343" s="18">
        <v>10118.23</v>
      </c>
      <c r="L343" s="27">
        <v>1084.5999999999999</v>
      </c>
      <c r="M343" s="27" t="s">
        <v>3520</v>
      </c>
      <c r="N343" s="18"/>
      <c r="O343" s="25">
        <v>33012.93</v>
      </c>
      <c r="P343" s="25">
        <v>19757.63</v>
      </c>
      <c r="Q343" s="28">
        <v>52770.559999999998</v>
      </c>
    </row>
    <row r="344" spans="1:17" x14ac:dyDescent="0.2">
      <c r="A344" s="21" t="s">
        <v>719</v>
      </c>
      <c r="B344" s="21" t="s">
        <v>384</v>
      </c>
      <c r="C344" s="21" t="s">
        <v>886</v>
      </c>
      <c r="D344" s="21" t="s">
        <v>1989</v>
      </c>
      <c r="E344" s="22" t="s">
        <v>12</v>
      </c>
      <c r="F344" s="23" t="s">
        <v>2628</v>
      </c>
      <c r="G344" s="33" t="s">
        <v>14</v>
      </c>
      <c r="H344" s="18">
        <v>33425.599999999999</v>
      </c>
      <c r="I344" s="26" t="s">
        <v>14</v>
      </c>
      <c r="J344" s="25">
        <v>33547.31</v>
      </c>
      <c r="K344" s="18">
        <v>1251.3399999999999</v>
      </c>
      <c r="L344" s="27">
        <v>160</v>
      </c>
      <c r="M344" s="27" t="s">
        <v>3520</v>
      </c>
      <c r="N344" s="18"/>
      <c r="O344" s="25">
        <v>34958.65</v>
      </c>
      <c r="P344" s="25">
        <v>17483.54</v>
      </c>
      <c r="Q344" s="28">
        <v>52442.19</v>
      </c>
    </row>
    <row r="345" spans="1:17" x14ac:dyDescent="0.2">
      <c r="A345" s="21" t="s">
        <v>2727</v>
      </c>
      <c r="B345" s="21" t="s">
        <v>2728</v>
      </c>
      <c r="C345" s="21" t="s">
        <v>81</v>
      </c>
      <c r="D345" s="21" t="s">
        <v>2730</v>
      </c>
      <c r="E345" s="22" t="s">
        <v>20</v>
      </c>
      <c r="F345" s="23" t="s">
        <v>1088</v>
      </c>
      <c r="G345" s="33" t="s">
        <v>14</v>
      </c>
      <c r="H345" s="18" t="s">
        <v>2734</v>
      </c>
      <c r="I345" s="26" t="s">
        <v>14</v>
      </c>
      <c r="J345" s="18">
        <v>27965.84</v>
      </c>
      <c r="K345" s="18">
        <v>9192.24</v>
      </c>
      <c r="L345" s="27">
        <v>2566.2600000000002</v>
      </c>
      <c r="M345" s="27" t="s">
        <v>3520</v>
      </c>
      <c r="N345" s="18"/>
      <c r="O345" s="18">
        <v>39724.339999999997</v>
      </c>
      <c r="P345" s="25">
        <v>12628.96</v>
      </c>
      <c r="Q345" s="28">
        <v>52353.3</v>
      </c>
    </row>
    <row r="346" spans="1:17" x14ac:dyDescent="0.2">
      <c r="A346" s="21" t="s">
        <v>303</v>
      </c>
      <c r="B346" s="21" t="s">
        <v>2737</v>
      </c>
      <c r="C346" s="21" t="s">
        <v>2585</v>
      </c>
      <c r="D346" s="21" t="s">
        <v>2586</v>
      </c>
      <c r="E346" s="22" t="s">
        <v>12</v>
      </c>
      <c r="F346" s="23" t="s">
        <v>1557</v>
      </c>
      <c r="G346" s="33" t="s">
        <v>14</v>
      </c>
      <c r="H346" s="18">
        <v>34091.199999999997</v>
      </c>
      <c r="I346" s="26" t="s">
        <v>14</v>
      </c>
      <c r="J346" s="25">
        <v>33941.33</v>
      </c>
      <c r="K346" s="18">
        <v>128.63</v>
      </c>
      <c r="L346" s="27">
        <v>721</v>
      </c>
      <c r="M346" s="27" t="s">
        <v>3520</v>
      </c>
      <c r="N346" s="18"/>
      <c r="O346" s="25">
        <v>34790.959999999999</v>
      </c>
      <c r="P346" s="25">
        <v>17469.36</v>
      </c>
      <c r="Q346" s="28">
        <v>52260.32</v>
      </c>
    </row>
    <row r="347" spans="1:17" x14ac:dyDescent="0.2">
      <c r="A347" s="21" t="s">
        <v>2744</v>
      </c>
      <c r="B347" s="21" t="s">
        <v>104</v>
      </c>
      <c r="C347" s="21" t="s">
        <v>81</v>
      </c>
      <c r="D347" s="21" t="s">
        <v>2747</v>
      </c>
      <c r="E347" s="22" t="s">
        <v>20</v>
      </c>
      <c r="F347" s="23" t="s">
        <v>2749</v>
      </c>
      <c r="G347" s="33" t="s">
        <v>14</v>
      </c>
      <c r="H347" s="18" t="s">
        <v>2734</v>
      </c>
      <c r="I347" s="26" t="s">
        <v>14</v>
      </c>
      <c r="J347" s="25">
        <v>34807.86</v>
      </c>
      <c r="K347" s="18">
        <v>10827.23</v>
      </c>
      <c r="L347" s="27">
        <v>2799.47</v>
      </c>
      <c r="M347" s="27" t="s">
        <v>3520</v>
      </c>
      <c r="N347" s="18"/>
      <c r="O347" s="25">
        <v>48434.559999999998</v>
      </c>
      <c r="P347" s="25">
        <v>3705.26</v>
      </c>
      <c r="Q347" s="28">
        <v>52139.82</v>
      </c>
    </row>
    <row r="348" spans="1:17" x14ac:dyDescent="0.2">
      <c r="A348" s="21" t="s">
        <v>2753</v>
      </c>
      <c r="B348" s="21" t="s">
        <v>2754</v>
      </c>
      <c r="C348" s="21" t="s">
        <v>18</v>
      </c>
      <c r="D348" s="21" t="s">
        <v>498</v>
      </c>
      <c r="E348" s="22" t="s">
        <v>20</v>
      </c>
      <c r="F348" s="23" t="s">
        <v>2117</v>
      </c>
      <c r="G348" s="33" t="s">
        <v>14</v>
      </c>
      <c r="H348" s="18">
        <v>52556.92</v>
      </c>
      <c r="I348" s="26" t="s">
        <v>14</v>
      </c>
      <c r="J348" s="25">
        <v>34205.480000000003</v>
      </c>
      <c r="K348" s="18">
        <v>1388.5</v>
      </c>
      <c r="L348" s="27">
        <v>485.28</v>
      </c>
      <c r="M348" s="27" t="s">
        <v>3520</v>
      </c>
      <c r="N348" s="18"/>
      <c r="O348" s="25">
        <v>36079.26</v>
      </c>
      <c r="P348" s="25">
        <v>15747.58</v>
      </c>
      <c r="Q348" s="28">
        <v>51826.84</v>
      </c>
    </row>
    <row r="349" spans="1:17" x14ac:dyDescent="0.2">
      <c r="A349" s="21" t="s">
        <v>263</v>
      </c>
      <c r="B349" s="21" t="s">
        <v>1875</v>
      </c>
      <c r="C349" s="21" t="s">
        <v>65</v>
      </c>
      <c r="D349" s="21" t="s">
        <v>594</v>
      </c>
      <c r="E349" s="22" t="s">
        <v>20</v>
      </c>
      <c r="F349" s="23" t="s">
        <v>2268</v>
      </c>
      <c r="G349" s="34" t="s">
        <v>805</v>
      </c>
      <c r="H349" s="18">
        <v>58822.400000000001</v>
      </c>
      <c r="I349" s="25">
        <v>4283.57</v>
      </c>
      <c r="J349" s="25">
        <v>31270.12</v>
      </c>
      <c r="K349" s="18">
        <v>667.16</v>
      </c>
      <c r="L349" s="27">
        <v>1858.63</v>
      </c>
      <c r="M349" s="27" t="s">
        <v>3520</v>
      </c>
      <c r="N349" s="18"/>
      <c r="O349" s="25">
        <v>38079.480000000003</v>
      </c>
      <c r="P349" s="25">
        <v>13713.65</v>
      </c>
      <c r="Q349" s="28">
        <v>51793.13</v>
      </c>
    </row>
    <row r="350" spans="1:17" x14ac:dyDescent="0.2">
      <c r="A350" s="21" t="s">
        <v>2768</v>
      </c>
      <c r="B350" s="21" t="s">
        <v>2769</v>
      </c>
      <c r="C350" s="21" t="s">
        <v>18</v>
      </c>
      <c r="D350" s="21" t="s">
        <v>498</v>
      </c>
      <c r="E350" s="22" t="s">
        <v>20</v>
      </c>
      <c r="F350" s="23" t="s">
        <v>2117</v>
      </c>
      <c r="G350" s="33" t="s">
        <v>14</v>
      </c>
      <c r="H350" s="18">
        <v>69644.12</v>
      </c>
      <c r="I350" s="26" t="s">
        <v>14</v>
      </c>
      <c r="J350" s="25">
        <v>35829.14</v>
      </c>
      <c r="K350" s="18">
        <v>768.9</v>
      </c>
      <c r="L350" s="27">
        <v>79.44</v>
      </c>
      <c r="M350" s="27" t="s">
        <v>3520</v>
      </c>
      <c r="N350" s="18"/>
      <c r="O350" s="25">
        <v>36677.480000000003</v>
      </c>
      <c r="P350" s="25">
        <v>14712.71</v>
      </c>
      <c r="Q350" s="28">
        <v>51390.19</v>
      </c>
    </row>
    <row r="351" spans="1:17" x14ac:dyDescent="0.2">
      <c r="A351" s="21" t="s">
        <v>2776</v>
      </c>
      <c r="B351" s="21" t="s">
        <v>1726</v>
      </c>
      <c r="C351" s="21" t="s">
        <v>1442</v>
      </c>
      <c r="D351" s="21" t="s">
        <v>2468</v>
      </c>
      <c r="E351" s="22" t="s">
        <v>12</v>
      </c>
      <c r="F351" s="23" t="s">
        <v>2781</v>
      </c>
      <c r="G351" s="33" t="s">
        <v>14</v>
      </c>
      <c r="H351" s="18">
        <v>35360</v>
      </c>
      <c r="I351" s="26" t="s">
        <v>14</v>
      </c>
      <c r="J351" s="25">
        <v>33853.46</v>
      </c>
      <c r="K351" s="18">
        <v>132.37</v>
      </c>
      <c r="L351" s="27">
        <v>50</v>
      </c>
      <c r="M351" s="27" t="s">
        <v>3520</v>
      </c>
      <c r="N351" s="18"/>
      <c r="O351" s="25">
        <v>34035.83</v>
      </c>
      <c r="P351" s="25">
        <v>17338.04</v>
      </c>
      <c r="Q351" s="28">
        <v>51373.87</v>
      </c>
    </row>
    <row r="352" spans="1:17" x14ac:dyDescent="0.2">
      <c r="A352" s="21" t="s">
        <v>2784</v>
      </c>
      <c r="B352" s="21" t="s">
        <v>592</v>
      </c>
      <c r="C352" s="21" t="s">
        <v>145</v>
      </c>
      <c r="D352" s="21" t="s">
        <v>2147</v>
      </c>
      <c r="E352" s="22" t="s">
        <v>12</v>
      </c>
      <c r="F352" s="23" t="s">
        <v>1660</v>
      </c>
      <c r="G352" s="33" t="s">
        <v>14</v>
      </c>
      <c r="H352" s="18">
        <v>33425.599999999999</v>
      </c>
      <c r="I352" s="26" t="s">
        <v>14</v>
      </c>
      <c r="J352" s="25">
        <v>33515.480000000003</v>
      </c>
      <c r="K352" s="18">
        <v>1001.86</v>
      </c>
      <c r="L352" s="27">
        <v>220</v>
      </c>
      <c r="M352" s="27" t="s">
        <v>3520</v>
      </c>
      <c r="N352" s="18"/>
      <c r="O352" s="25">
        <v>34737.339999999997</v>
      </c>
      <c r="P352" s="25">
        <v>16613.21</v>
      </c>
      <c r="Q352" s="28">
        <v>51350.55</v>
      </c>
    </row>
    <row r="353" spans="1:17" x14ac:dyDescent="0.2">
      <c r="A353" s="21" t="s">
        <v>2792</v>
      </c>
      <c r="B353" s="21" t="s">
        <v>2592</v>
      </c>
      <c r="C353" s="21" t="s">
        <v>81</v>
      </c>
      <c r="D353" s="21" t="s">
        <v>378</v>
      </c>
      <c r="E353" s="22" t="s">
        <v>20</v>
      </c>
      <c r="F353" s="23" t="s">
        <v>2377</v>
      </c>
      <c r="G353" s="33" t="s">
        <v>14</v>
      </c>
      <c r="H353" s="18">
        <v>52543.17</v>
      </c>
      <c r="I353" s="26" t="s">
        <v>14</v>
      </c>
      <c r="J353" s="25">
        <v>28748.48</v>
      </c>
      <c r="K353" s="18">
        <v>5101.1899999999996</v>
      </c>
      <c r="L353" s="27">
        <v>797.03</v>
      </c>
      <c r="M353" s="27" t="s">
        <v>3520</v>
      </c>
      <c r="N353" s="18"/>
      <c r="O353" s="25">
        <v>34646.699999999997</v>
      </c>
      <c r="P353" s="25">
        <v>15400.78</v>
      </c>
      <c r="Q353" s="28">
        <v>50047.48</v>
      </c>
    </row>
    <row r="354" spans="1:17" x14ac:dyDescent="0.2">
      <c r="A354" s="21" t="s">
        <v>2800</v>
      </c>
      <c r="B354" s="21" t="s">
        <v>2801</v>
      </c>
      <c r="C354" s="21" t="s">
        <v>281</v>
      </c>
      <c r="D354" s="21" t="s">
        <v>1245</v>
      </c>
      <c r="E354" s="22" t="s">
        <v>12</v>
      </c>
      <c r="F354" s="23" t="s">
        <v>2061</v>
      </c>
      <c r="G354" s="33" t="s">
        <v>14</v>
      </c>
      <c r="H354" s="18">
        <v>49920</v>
      </c>
      <c r="I354" s="26" t="s">
        <v>14</v>
      </c>
      <c r="J354" s="25">
        <v>33984.239999999998</v>
      </c>
      <c r="K354" s="18">
        <v>1177.56</v>
      </c>
      <c r="L354" s="27" t="s">
        <v>3520</v>
      </c>
      <c r="M354" s="27" t="s">
        <v>3520</v>
      </c>
      <c r="N354" s="18"/>
      <c r="O354" s="25">
        <v>35161.800000000003</v>
      </c>
      <c r="P354" s="25">
        <v>14718.15</v>
      </c>
      <c r="Q354" s="28">
        <v>49879.95</v>
      </c>
    </row>
    <row r="355" spans="1:17" x14ac:dyDescent="0.2">
      <c r="A355" s="21" t="s">
        <v>2808</v>
      </c>
      <c r="B355" s="21" t="s">
        <v>2809</v>
      </c>
      <c r="C355" s="21" t="s">
        <v>137</v>
      </c>
      <c r="D355" s="21" t="s">
        <v>1627</v>
      </c>
      <c r="E355" s="22" t="s">
        <v>12</v>
      </c>
      <c r="F355" s="23" t="s">
        <v>2400</v>
      </c>
      <c r="G355" s="33" t="s">
        <v>14</v>
      </c>
      <c r="H355" s="18">
        <v>42640</v>
      </c>
      <c r="I355" s="26" t="s">
        <v>14</v>
      </c>
      <c r="J355" s="25">
        <v>32873.449999999997</v>
      </c>
      <c r="K355" s="18">
        <v>1223.53</v>
      </c>
      <c r="L355" s="27">
        <v>50</v>
      </c>
      <c r="M355" s="27" t="s">
        <v>3520</v>
      </c>
      <c r="N355" s="18"/>
      <c r="O355" s="25">
        <v>34146.980000000003</v>
      </c>
      <c r="P355" s="25">
        <v>15400.5</v>
      </c>
      <c r="Q355" s="28">
        <v>49547.48</v>
      </c>
    </row>
    <row r="356" spans="1:17" x14ac:dyDescent="0.2">
      <c r="A356" s="21" t="s">
        <v>2816</v>
      </c>
      <c r="B356" s="21" t="s">
        <v>2817</v>
      </c>
      <c r="C356" s="21" t="s">
        <v>81</v>
      </c>
      <c r="D356" s="21" t="s">
        <v>378</v>
      </c>
      <c r="E356" s="22" t="s">
        <v>20</v>
      </c>
      <c r="F356" s="23" t="s">
        <v>2377</v>
      </c>
      <c r="G356" s="33" t="s">
        <v>14</v>
      </c>
      <c r="H356" s="18">
        <v>38294.699999999997</v>
      </c>
      <c r="I356" s="26" t="s">
        <v>14</v>
      </c>
      <c r="J356" s="25">
        <v>21001.78</v>
      </c>
      <c r="K356" s="18">
        <v>12362.88</v>
      </c>
      <c r="L356" s="27">
        <v>900.52</v>
      </c>
      <c r="M356" s="27" t="s">
        <v>3520</v>
      </c>
      <c r="N356" s="18"/>
      <c r="O356" s="25">
        <v>34265.18</v>
      </c>
      <c r="P356" s="25">
        <v>15241.08</v>
      </c>
      <c r="Q356" s="28">
        <v>49506.26</v>
      </c>
    </row>
    <row r="357" spans="1:17" x14ac:dyDescent="0.2">
      <c r="A357" s="21" t="s">
        <v>2824</v>
      </c>
      <c r="B357" s="21" t="s">
        <v>2825</v>
      </c>
      <c r="C357" s="21" t="s">
        <v>65</v>
      </c>
      <c r="D357" s="21" t="s">
        <v>1728</v>
      </c>
      <c r="E357" s="22" t="s">
        <v>12</v>
      </c>
      <c r="F357" s="23" t="s">
        <v>2438</v>
      </c>
      <c r="G357" s="33" t="s">
        <v>14</v>
      </c>
      <c r="H357" s="18">
        <v>39208</v>
      </c>
      <c r="I357" s="26" t="s">
        <v>14</v>
      </c>
      <c r="J357" s="25">
        <v>32262.16</v>
      </c>
      <c r="K357" s="18">
        <v>397</v>
      </c>
      <c r="L357" s="27">
        <v>1315.72</v>
      </c>
      <c r="M357" s="27" t="s">
        <v>3520</v>
      </c>
      <c r="N357" s="18"/>
      <c r="O357" s="25">
        <v>33974.879999999997</v>
      </c>
      <c r="P357" s="25">
        <v>15366.37</v>
      </c>
      <c r="Q357" s="28">
        <v>49341.25</v>
      </c>
    </row>
    <row r="358" spans="1:17" x14ac:dyDescent="0.2">
      <c r="A358" s="21" t="s">
        <v>2832</v>
      </c>
      <c r="B358" s="21" t="s">
        <v>2233</v>
      </c>
      <c r="C358" s="21" t="s">
        <v>65</v>
      </c>
      <c r="D358" s="21" t="s">
        <v>594</v>
      </c>
      <c r="E358" s="22" t="s">
        <v>20</v>
      </c>
      <c r="F358" s="23" t="s">
        <v>428</v>
      </c>
      <c r="G358" s="34" t="s">
        <v>2838</v>
      </c>
      <c r="H358" s="18">
        <v>62691.199999999997</v>
      </c>
      <c r="I358" s="25">
        <v>3139.99</v>
      </c>
      <c r="J358" s="25">
        <v>27653.200000000001</v>
      </c>
      <c r="K358" s="18">
        <v>482.82</v>
      </c>
      <c r="L358" s="27">
        <v>2243.33</v>
      </c>
      <c r="M358" s="27" t="s">
        <v>3520</v>
      </c>
      <c r="N358" s="18"/>
      <c r="O358" s="25">
        <v>33519.339999999997</v>
      </c>
      <c r="P358" s="25">
        <v>15802.47</v>
      </c>
      <c r="Q358" s="28">
        <v>49321.81</v>
      </c>
    </row>
    <row r="359" spans="1:17" x14ac:dyDescent="0.2">
      <c r="A359" s="21" t="s">
        <v>2839</v>
      </c>
      <c r="B359" s="21" t="s">
        <v>592</v>
      </c>
      <c r="C359" s="21" t="s">
        <v>81</v>
      </c>
      <c r="D359" s="21" t="s">
        <v>378</v>
      </c>
      <c r="E359" s="22" t="s">
        <v>20</v>
      </c>
      <c r="F359" s="23" t="s">
        <v>1549</v>
      </c>
      <c r="G359" s="33" t="s">
        <v>14</v>
      </c>
      <c r="H359" s="18" t="s">
        <v>2734</v>
      </c>
      <c r="I359" s="26" t="s">
        <v>14</v>
      </c>
      <c r="J359" s="18">
        <v>23402.240000000002</v>
      </c>
      <c r="K359" s="18">
        <v>11375.65</v>
      </c>
      <c r="L359" s="27">
        <v>1791.36</v>
      </c>
      <c r="M359" s="27"/>
      <c r="N359" s="18"/>
      <c r="O359" s="25">
        <v>36569.25</v>
      </c>
      <c r="P359" s="25">
        <v>11101.55</v>
      </c>
      <c r="Q359" s="28">
        <v>47670.8</v>
      </c>
    </row>
    <row r="360" spans="1:17" x14ac:dyDescent="0.2">
      <c r="A360" s="21" t="s">
        <v>2848</v>
      </c>
      <c r="B360" s="21" t="s">
        <v>2849</v>
      </c>
      <c r="C360" s="21" t="s">
        <v>2850</v>
      </c>
      <c r="D360" s="21" t="s">
        <v>2851</v>
      </c>
      <c r="E360" s="22" t="s">
        <v>12</v>
      </c>
      <c r="F360" s="23" t="s">
        <v>2628</v>
      </c>
      <c r="G360" s="34" t="s">
        <v>2854</v>
      </c>
      <c r="H360" s="18">
        <v>42827.199999999997</v>
      </c>
      <c r="I360" s="25">
        <v>1676.03</v>
      </c>
      <c r="J360" s="25">
        <v>35312.410000000003</v>
      </c>
      <c r="K360" s="18">
        <v>570.82000000000005</v>
      </c>
      <c r="L360" s="27">
        <v>200.24</v>
      </c>
      <c r="M360" s="31" t="s">
        <v>3520</v>
      </c>
      <c r="N360" s="18"/>
      <c r="O360" s="18">
        <v>37759.5</v>
      </c>
      <c r="P360" s="25">
        <v>9259.73</v>
      </c>
      <c r="Q360" s="28">
        <v>47019.23</v>
      </c>
    </row>
    <row r="361" spans="1:17" x14ac:dyDescent="0.2">
      <c r="A361" s="21" t="s">
        <v>2855</v>
      </c>
      <c r="B361" s="21" t="s">
        <v>2856</v>
      </c>
      <c r="C361" s="21" t="s">
        <v>1252</v>
      </c>
      <c r="D361" s="21" t="s">
        <v>2083</v>
      </c>
      <c r="E361" s="22" t="s">
        <v>12</v>
      </c>
      <c r="F361" s="23" t="s">
        <v>2860</v>
      </c>
      <c r="G361" s="33" t="s">
        <v>14</v>
      </c>
      <c r="H361" s="18">
        <v>37440</v>
      </c>
      <c r="I361" s="26" t="s">
        <v>14</v>
      </c>
      <c r="J361" s="25">
        <v>29695.040000000001</v>
      </c>
      <c r="K361" s="18">
        <v>344.77</v>
      </c>
      <c r="L361" s="27">
        <v>357.5</v>
      </c>
      <c r="M361" s="31" t="s">
        <v>3520</v>
      </c>
      <c r="N361" s="18"/>
      <c r="O361" s="25">
        <v>30397.31</v>
      </c>
      <c r="P361" s="25">
        <v>16487.77</v>
      </c>
      <c r="Q361" s="28">
        <v>46885.08</v>
      </c>
    </row>
    <row r="362" spans="1:17" x14ac:dyDescent="0.2">
      <c r="A362" s="21" t="s">
        <v>1028</v>
      </c>
      <c r="B362" s="21" t="s">
        <v>1377</v>
      </c>
      <c r="C362" s="21" t="s">
        <v>824</v>
      </c>
      <c r="D362" s="21" t="s">
        <v>2500</v>
      </c>
      <c r="E362" s="22" t="s">
        <v>12</v>
      </c>
      <c r="F362" s="23" t="s">
        <v>1573</v>
      </c>
      <c r="G362" s="33" t="s">
        <v>14</v>
      </c>
      <c r="H362" s="18">
        <v>33280</v>
      </c>
      <c r="I362" s="26" t="s">
        <v>14</v>
      </c>
      <c r="J362" s="25">
        <v>30768.32</v>
      </c>
      <c r="K362" s="18">
        <v>458.16</v>
      </c>
      <c r="L362" s="27" t="s">
        <v>3520</v>
      </c>
      <c r="M362" s="31" t="s">
        <v>3520</v>
      </c>
      <c r="N362" s="18"/>
      <c r="O362" s="25">
        <v>31226.48</v>
      </c>
      <c r="P362" s="25">
        <v>15578.75</v>
      </c>
      <c r="Q362" s="28">
        <v>46805.23</v>
      </c>
    </row>
    <row r="363" spans="1:17" x14ac:dyDescent="0.2">
      <c r="A363" s="21" t="s">
        <v>2871</v>
      </c>
      <c r="B363" s="21" t="s">
        <v>2872</v>
      </c>
      <c r="C363" s="21" t="s">
        <v>145</v>
      </c>
      <c r="D363" s="21" t="s">
        <v>2874</v>
      </c>
      <c r="E363" s="22" t="s">
        <v>12</v>
      </c>
      <c r="F363" s="23" t="s">
        <v>1541</v>
      </c>
      <c r="G363" s="33" t="s">
        <v>14</v>
      </c>
      <c r="H363" s="18">
        <v>46342.400000000001</v>
      </c>
      <c r="I363" s="26" t="s">
        <v>14</v>
      </c>
      <c r="J363" s="25">
        <v>24648.37</v>
      </c>
      <c r="K363" s="18">
        <v>3330.88</v>
      </c>
      <c r="L363" s="27">
        <v>100</v>
      </c>
      <c r="M363" s="31" t="s">
        <v>3520</v>
      </c>
      <c r="N363" s="18"/>
      <c r="O363" s="25">
        <v>28079.25</v>
      </c>
      <c r="P363" s="25">
        <v>18176.68</v>
      </c>
      <c r="Q363" s="28">
        <v>46255.93</v>
      </c>
    </row>
    <row r="364" spans="1:17" x14ac:dyDescent="0.2">
      <c r="A364" s="21" t="s">
        <v>2879</v>
      </c>
      <c r="B364" s="21" t="s">
        <v>2880</v>
      </c>
      <c r="C364" s="21" t="s">
        <v>65</v>
      </c>
      <c r="D364" s="21" t="s">
        <v>2539</v>
      </c>
      <c r="E364" s="22" t="s">
        <v>12</v>
      </c>
      <c r="F364" s="23" t="s">
        <v>2884</v>
      </c>
      <c r="G364" s="33" t="s">
        <v>14</v>
      </c>
      <c r="H364" s="18">
        <v>33425.599999999999</v>
      </c>
      <c r="I364" s="26" t="s">
        <v>14</v>
      </c>
      <c r="J364" s="25">
        <v>33937.160000000003</v>
      </c>
      <c r="K364" s="18">
        <v>1017.16</v>
      </c>
      <c r="L364" s="27">
        <v>1106.9100000000001</v>
      </c>
      <c r="M364" s="31" t="s">
        <v>3520</v>
      </c>
      <c r="N364" s="18"/>
      <c r="O364" s="25">
        <v>36061.230000000003</v>
      </c>
      <c r="P364" s="25">
        <v>9217.49</v>
      </c>
      <c r="Q364" s="28">
        <v>45278.720000000001</v>
      </c>
    </row>
    <row r="365" spans="1:17" x14ac:dyDescent="0.2">
      <c r="A365" s="21" t="s">
        <v>1906</v>
      </c>
      <c r="B365" s="21" t="s">
        <v>368</v>
      </c>
      <c r="C365" s="21" t="s">
        <v>65</v>
      </c>
      <c r="D365" s="21" t="s">
        <v>594</v>
      </c>
      <c r="E365" s="22" t="s">
        <v>20</v>
      </c>
      <c r="F365" s="23" t="s">
        <v>1871</v>
      </c>
      <c r="G365" s="33" t="s">
        <v>14</v>
      </c>
      <c r="H365" s="18">
        <v>56971.199999999997</v>
      </c>
      <c r="I365" s="26" t="s">
        <v>14</v>
      </c>
      <c r="J365" s="25">
        <v>22085.38</v>
      </c>
      <c r="K365" s="18">
        <v>3121.14</v>
      </c>
      <c r="L365" s="27">
        <v>1120.5</v>
      </c>
      <c r="M365" s="31" t="s">
        <v>3520</v>
      </c>
      <c r="N365" s="18"/>
      <c r="O365" s="25">
        <v>26327.02</v>
      </c>
      <c r="P365" s="25">
        <v>18610.93</v>
      </c>
      <c r="Q365" s="28">
        <v>44937.95</v>
      </c>
    </row>
    <row r="366" spans="1:17" x14ac:dyDescent="0.2">
      <c r="A366" s="21" t="s">
        <v>1028</v>
      </c>
      <c r="B366" s="21" t="s">
        <v>2896</v>
      </c>
      <c r="C366" s="21" t="s">
        <v>1283</v>
      </c>
      <c r="D366" s="21" t="s">
        <v>2898</v>
      </c>
      <c r="E366" s="22" t="s">
        <v>12</v>
      </c>
      <c r="F366" s="23" t="s">
        <v>2900</v>
      </c>
      <c r="G366" s="33" t="s">
        <v>14</v>
      </c>
      <c r="H366" s="18">
        <v>34257.599999999999</v>
      </c>
      <c r="I366" s="26" t="s">
        <v>14</v>
      </c>
      <c r="J366" s="25">
        <v>34459.68</v>
      </c>
      <c r="K366" s="18">
        <v>643.24</v>
      </c>
      <c r="L366" s="27">
        <v>510</v>
      </c>
      <c r="M366" s="31" t="s">
        <v>3520</v>
      </c>
      <c r="N366" s="18"/>
      <c r="O366" s="25">
        <v>35612.92</v>
      </c>
      <c r="P366" s="25">
        <v>9106.86</v>
      </c>
      <c r="Q366" s="28">
        <v>44719.78</v>
      </c>
    </row>
    <row r="367" spans="1:17" x14ac:dyDescent="0.2">
      <c r="A367" s="21" t="s">
        <v>2903</v>
      </c>
      <c r="B367" s="21" t="s">
        <v>744</v>
      </c>
      <c r="C367" s="21" t="s">
        <v>513</v>
      </c>
      <c r="D367" s="21" t="s">
        <v>2906</v>
      </c>
      <c r="E367" s="22" t="s">
        <v>12</v>
      </c>
      <c r="F367" s="23" t="s">
        <v>2908</v>
      </c>
      <c r="G367" s="33" t="s">
        <v>14</v>
      </c>
      <c r="H367" s="18">
        <v>55170.96</v>
      </c>
      <c r="I367" s="26" t="s">
        <v>14</v>
      </c>
      <c r="J367" s="25">
        <v>29707.439999999999</v>
      </c>
      <c r="K367" s="18" t="s">
        <v>3520</v>
      </c>
      <c r="L367" s="27">
        <v>50</v>
      </c>
      <c r="M367" s="31" t="s">
        <v>3520</v>
      </c>
      <c r="N367" s="18"/>
      <c r="O367" s="25">
        <v>29757.439999999999</v>
      </c>
      <c r="P367" s="25">
        <v>14256.9</v>
      </c>
      <c r="Q367" s="28">
        <v>44014.34</v>
      </c>
    </row>
    <row r="368" spans="1:17" x14ac:dyDescent="0.2">
      <c r="A368" s="21" t="s">
        <v>1345</v>
      </c>
      <c r="B368" s="21" t="s">
        <v>2912</v>
      </c>
      <c r="C368" s="21" t="s">
        <v>617</v>
      </c>
      <c r="D368" s="21" t="s">
        <v>2634</v>
      </c>
      <c r="E368" s="22" t="s">
        <v>12</v>
      </c>
      <c r="F368" s="23" t="s">
        <v>2916</v>
      </c>
      <c r="G368" s="33" t="s">
        <v>14</v>
      </c>
      <c r="H368" s="18">
        <v>58240</v>
      </c>
      <c r="I368" s="26" t="s">
        <v>14</v>
      </c>
      <c r="J368" s="25">
        <v>26955.32</v>
      </c>
      <c r="K368" s="18">
        <v>1597.04</v>
      </c>
      <c r="L368" s="27">
        <v>545</v>
      </c>
      <c r="M368" s="31" t="s">
        <v>3520</v>
      </c>
      <c r="N368" s="18"/>
      <c r="O368" s="25">
        <v>29097.360000000001</v>
      </c>
      <c r="P368" s="25">
        <v>14064.46</v>
      </c>
      <c r="Q368" s="28">
        <v>43161.82</v>
      </c>
    </row>
    <row r="369" spans="1:17" x14ac:dyDescent="0.2">
      <c r="A369" s="21" t="s">
        <v>2919</v>
      </c>
      <c r="B369" s="21" t="s">
        <v>144</v>
      </c>
      <c r="C369" s="21" t="s">
        <v>281</v>
      </c>
      <c r="D369" s="21" t="s">
        <v>2922</v>
      </c>
      <c r="E369" s="22" t="s">
        <v>12</v>
      </c>
      <c r="F369" s="23" t="s">
        <v>284</v>
      </c>
      <c r="G369" s="33" t="s">
        <v>14</v>
      </c>
      <c r="H369" s="18">
        <v>78000</v>
      </c>
      <c r="I369" s="26" t="s">
        <v>14</v>
      </c>
      <c r="J369" s="25">
        <v>24115.88</v>
      </c>
      <c r="K369" s="18">
        <v>3935.29</v>
      </c>
      <c r="L369" s="27" t="s">
        <v>3520</v>
      </c>
      <c r="M369" s="31" t="s">
        <v>3520</v>
      </c>
      <c r="N369" s="18"/>
      <c r="O369" s="25">
        <v>28051.17</v>
      </c>
      <c r="P369" s="25">
        <v>13904.02</v>
      </c>
      <c r="Q369" s="28">
        <v>41955.19</v>
      </c>
    </row>
    <row r="370" spans="1:17" x14ac:dyDescent="0.2">
      <c r="A370" s="21" t="s">
        <v>2927</v>
      </c>
      <c r="B370" s="21" t="s">
        <v>80</v>
      </c>
      <c r="C370" s="21" t="s">
        <v>18</v>
      </c>
      <c r="D370" s="21" t="s">
        <v>498</v>
      </c>
      <c r="E370" s="22" t="s">
        <v>20</v>
      </c>
      <c r="F370" s="23" t="s">
        <v>2932</v>
      </c>
      <c r="G370" s="34" t="s">
        <v>2933</v>
      </c>
      <c r="H370" s="18">
        <v>61651.72</v>
      </c>
      <c r="I370" s="25">
        <v>12241.31</v>
      </c>
      <c r="J370" s="25">
        <v>15944.75</v>
      </c>
      <c r="K370" s="18">
        <v>238.69</v>
      </c>
      <c r="L370" s="27">
        <v>2537.65</v>
      </c>
      <c r="M370" s="31" t="s">
        <v>3520</v>
      </c>
      <c r="N370" s="18"/>
      <c r="O370" s="25">
        <v>30962.400000000001</v>
      </c>
      <c r="P370" s="25">
        <v>10825.11</v>
      </c>
      <c r="Q370" s="28">
        <v>41787.51</v>
      </c>
    </row>
    <row r="371" spans="1:17" x14ac:dyDescent="0.2">
      <c r="A371" s="21" t="s">
        <v>1717</v>
      </c>
      <c r="B371" s="21" t="s">
        <v>128</v>
      </c>
      <c r="C371" s="21" t="s">
        <v>18</v>
      </c>
      <c r="D371" s="21" t="s">
        <v>498</v>
      </c>
      <c r="E371" s="22" t="s">
        <v>20</v>
      </c>
      <c r="F371" s="23" t="s">
        <v>516</v>
      </c>
      <c r="G371" s="34" t="s">
        <v>2940</v>
      </c>
      <c r="H371" s="18">
        <v>54238.080000000002</v>
      </c>
      <c r="I371" s="25">
        <v>1521.85</v>
      </c>
      <c r="J371" s="25">
        <v>24440.43</v>
      </c>
      <c r="K371" s="18">
        <v>575.5</v>
      </c>
      <c r="L371" s="27">
        <v>2006.4</v>
      </c>
      <c r="M371" s="31" t="s">
        <v>3520</v>
      </c>
      <c r="N371" s="18"/>
      <c r="O371" s="25">
        <v>28544.18</v>
      </c>
      <c r="P371" s="25">
        <v>13036.97</v>
      </c>
      <c r="Q371" s="28">
        <v>41581.15</v>
      </c>
    </row>
    <row r="372" spans="1:17" x14ac:dyDescent="0.2">
      <c r="A372" s="21" t="s">
        <v>2941</v>
      </c>
      <c r="B372" s="21" t="s">
        <v>440</v>
      </c>
      <c r="C372" s="21" t="s">
        <v>18</v>
      </c>
      <c r="D372" s="21" t="s">
        <v>498</v>
      </c>
      <c r="E372" s="22" t="s">
        <v>20</v>
      </c>
      <c r="F372" s="23" t="s">
        <v>2708</v>
      </c>
      <c r="G372" s="33" t="s">
        <v>14</v>
      </c>
      <c r="H372" s="18">
        <v>52556.92</v>
      </c>
      <c r="I372" s="26" t="s">
        <v>14</v>
      </c>
      <c r="J372" s="25">
        <v>26035.72</v>
      </c>
      <c r="K372" s="18">
        <v>876.35</v>
      </c>
      <c r="L372" s="27">
        <v>803.95</v>
      </c>
      <c r="M372" s="31" t="s">
        <v>3520</v>
      </c>
      <c r="N372" s="18"/>
      <c r="O372" s="25">
        <v>27716.02</v>
      </c>
      <c r="P372" s="25">
        <v>13850.4</v>
      </c>
      <c r="Q372" s="28">
        <v>41566.42</v>
      </c>
    </row>
    <row r="373" spans="1:17" x14ac:dyDescent="0.2">
      <c r="A373" s="21" t="s">
        <v>2949</v>
      </c>
      <c r="B373" s="21" t="s">
        <v>2950</v>
      </c>
      <c r="C373" s="21" t="s">
        <v>65</v>
      </c>
      <c r="D373" s="21" t="s">
        <v>594</v>
      </c>
      <c r="E373" s="22" t="s">
        <v>20</v>
      </c>
      <c r="F373" s="23" t="s">
        <v>2954</v>
      </c>
      <c r="G373" s="34" t="s">
        <v>2955</v>
      </c>
      <c r="H373" s="18">
        <v>64729.599999999999</v>
      </c>
      <c r="I373" s="25">
        <v>4529.5200000000004</v>
      </c>
      <c r="J373" s="25">
        <v>20743.849999999999</v>
      </c>
      <c r="K373" s="18">
        <v>2568.3000000000002</v>
      </c>
      <c r="L373" s="27">
        <v>3107.72</v>
      </c>
      <c r="M373" s="31" t="s">
        <v>3520</v>
      </c>
      <c r="N373" s="18"/>
      <c r="O373" s="25">
        <v>30949.39</v>
      </c>
      <c r="P373" s="25">
        <v>10473.969999999999</v>
      </c>
      <c r="Q373" s="28">
        <v>41423.360000000001</v>
      </c>
    </row>
    <row r="374" spans="1:17" x14ac:dyDescent="0.2">
      <c r="A374" s="21" t="s">
        <v>2956</v>
      </c>
      <c r="B374" s="21" t="s">
        <v>2957</v>
      </c>
      <c r="C374" s="21" t="s">
        <v>65</v>
      </c>
      <c r="D374" s="21" t="s">
        <v>594</v>
      </c>
      <c r="E374" s="22" t="s">
        <v>20</v>
      </c>
      <c r="F374" s="23" t="s">
        <v>2369</v>
      </c>
      <c r="G374" s="34" t="s">
        <v>2962</v>
      </c>
      <c r="H374" s="18">
        <v>55161.599999999999</v>
      </c>
      <c r="I374" s="25">
        <v>981.24</v>
      </c>
      <c r="J374" s="25">
        <v>23113.24</v>
      </c>
      <c r="K374" s="18">
        <v>2041.12</v>
      </c>
      <c r="L374" s="27">
        <v>75.400000000000006</v>
      </c>
      <c r="M374" s="31" t="s">
        <v>3520</v>
      </c>
      <c r="N374" s="18"/>
      <c r="O374" s="18">
        <v>26211</v>
      </c>
      <c r="P374" s="25">
        <v>15172.57</v>
      </c>
      <c r="Q374" s="28">
        <v>41383.57</v>
      </c>
    </row>
    <row r="375" spans="1:17" x14ac:dyDescent="0.2">
      <c r="A375" s="21" t="s">
        <v>375</v>
      </c>
      <c r="B375" s="21" t="s">
        <v>2248</v>
      </c>
      <c r="C375" s="21" t="s">
        <v>145</v>
      </c>
      <c r="D375" s="21" t="s">
        <v>2036</v>
      </c>
      <c r="E375" s="22" t="s">
        <v>12</v>
      </c>
      <c r="F375" s="23" t="s">
        <v>2141</v>
      </c>
      <c r="G375" s="34" t="s">
        <v>2969</v>
      </c>
      <c r="H375" s="25">
        <v>39956.800000000003</v>
      </c>
      <c r="I375" s="25">
        <v>80.3</v>
      </c>
      <c r="J375" s="25">
        <v>23244.560000000001</v>
      </c>
      <c r="K375" s="18">
        <v>410.33</v>
      </c>
      <c r="L375" s="27">
        <v>248.33</v>
      </c>
      <c r="M375" s="31" t="s">
        <v>3520</v>
      </c>
      <c r="N375" s="18"/>
      <c r="O375" s="25">
        <v>23983.52</v>
      </c>
      <c r="P375" s="25">
        <v>16825.189999999999</v>
      </c>
      <c r="Q375" s="28">
        <v>40808.71</v>
      </c>
    </row>
    <row r="376" spans="1:17" x14ac:dyDescent="0.2">
      <c r="A376" s="21" t="s">
        <v>2970</v>
      </c>
      <c r="B376" s="21" t="s">
        <v>96</v>
      </c>
      <c r="C376" s="21" t="s">
        <v>2507</v>
      </c>
      <c r="D376" s="21" t="s">
        <v>2973</v>
      </c>
      <c r="E376" s="22" t="s">
        <v>12</v>
      </c>
      <c r="F376" s="23" t="s">
        <v>2369</v>
      </c>
      <c r="G376" s="33" t="s">
        <v>14</v>
      </c>
      <c r="H376" s="25">
        <v>37689.599999999999</v>
      </c>
      <c r="I376" s="26" t="s">
        <v>14</v>
      </c>
      <c r="J376" s="25">
        <v>22447.78</v>
      </c>
      <c r="K376" s="18">
        <v>3421.7</v>
      </c>
      <c r="L376" s="27" t="s">
        <v>3520</v>
      </c>
      <c r="M376" s="31" t="s">
        <v>3520</v>
      </c>
      <c r="N376" s="18"/>
      <c r="O376" s="25">
        <v>25869.48</v>
      </c>
      <c r="P376" s="25">
        <v>13276.82</v>
      </c>
      <c r="Q376" s="28">
        <v>39146.300000000003</v>
      </c>
    </row>
    <row r="377" spans="1:17" x14ac:dyDescent="0.2">
      <c r="A377" s="21" t="s">
        <v>2978</v>
      </c>
      <c r="B377" s="21" t="s">
        <v>760</v>
      </c>
      <c r="C377" s="21" t="s">
        <v>65</v>
      </c>
      <c r="D377" s="21" t="s">
        <v>2516</v>
      </c>
      <c r="E377" s="22" t="s">
        <v>12</v>
      </c>
      <c r="F377" s="23" t="s">
        <v>148</v>
      </c>
      <c r="G377" s="33" t="s">
        <v>14</v>
      </c>
      <c r="H377" s="25">
        <v>35360</v>
      </c>
      <c r="I377" s="26" t="s">
        <v>14</v>
      </c>
      <c r="J377" s="25">
        <v>29986.3</v>
      </c>
      <c r="K377" s="18">
        <v>544.71</v>
      </c>
      <c r="L377" s="27">
        <v>102.51</v>
      </c>
      <c r="M377" s="31" t="s">
        <v>3520</v>
      </c>
      <c r="N377" s="18"/>
      <c r="O377" s="25">
        <v>30633.52</v>
      </c>
      <c r="P377" s="25">
        <v>8106.32</v>
      </c>
      <c r="Q377" s="28">
        <v>38739.839999999997</v>
      </c>
    </row>
    <row r="378" spans="1:17" x14ac:dyDescent="0.2">
      <c r="A378" s="21" t="s">
        <v>2986</v>
      </c>
      <c r="B378" s="21" t="s">
        <v>2987</v>
      </c>
      <c r="C378" s="21" t="s">
        <v>1283</v>
      </c>
      <c r="D378" s="21" t="s">
        <v>2898</v>
      </c>
      <c r="E378" s="22" t="s">
        <v>12</v>
      </c>
      <c r="F378" s="23" t="s">
        <v>1573</v>
      </c>
      <c r="G378" s="33" t="s">
        <v>14</v>
      </c>
      <c r="H378" s="25">
        <v>32136</v>
      </c>
      <c r="I378" s="26" t="s">
        <v>14</v>
      </c>
      <c r="J378" s="25">
        <v>29674.83</v>
      </c>
      <c r="K378" s="18">
        <v>1055.18</v>
      </c>
      <c r="L378" s="27" t="s">
        <v>3520</v>
      </c>
      <c r="M378" s="31" t="s">
        <v>3520</v>
      </c>
      <c r="N378" s="18"/>
      <c r="O378" s="25">
        <v>30730.01</v>
      </c>
      <c r="P378" s="25">
        <v>7568.37</v>
      </c>
      <c r="Q378" s="28">
        <v>38298.379999999997</v>
      </c>
    </row>
    <row r="379" spans="1:17" x14ac:dyDescent="0.2">
      <c r="A379" s="21" t="s">
        <v>2994</v>
      </c>
      <c r="B379" s="21" t="s">
        <v>2995</v>
      </c>
      <c r="C379" s="21" t="s">
        <v>81</v>
      </c>
      <c r="D379" s="21" t="s">
        <v>378</v>
      </c>
      <c r="E379" s="22" t="s">
        <v>20</v>
      </c>
      <c r="F379" s="23" t="s">
        <v>1755</v>
      </c>
      <c r="G379" s="33" t="s">
        <v>14</v>
      </c>
      <c r="H379" s="25">
        <v>54497.78</v>
      </c>
      <c r="I379" s="26" t="s">
        <v>14</v>
      </c>
      <c r="J379" s="25">
        <v>14188.01</v>
      </c>
      <c r="K379" s="18">
        <v>3211.51</v>
      </c>
      <c r="L379" s="27" t="s">
        <v>3520</v>
      </c>
      <c r="M379" s="31" t="s">
        <v>3520</v>
      </c>
      <c r="N379" s="18"/>
      <c r="O379" s="25">
        <v>17399.52</v>
      </c>
      <c r="P379" s="25">
        <v>20156.810000000001</v>
      </c>
      <c r="Q379" s="28">
        <v>37556.33</v>
      </c>
    </row>
    <row r="380" spans="1:17" x14ac:dyDescent="0.2">
      <c r="A380" s="21" t="s">
        <v>3002</v>
      </c>
      <c r="B380" s="21" t="s">
        <v>3003</v>
      </c>
      <c r="C380" s="21" t="s">
        <v>886</v>
      </c>
      <c r="D380" s="21" t="s">
        <v>3005</v>
      </c>
      <c r="E380" s="22" t="s">
        <v>12</v>
      </c>
      <c r="F380" s="23" t="s">
        <v>2781</v>
      </c>
      <c r="G380" s="34" t="s">
        <v>1646</v>
      </c>
      <c r="H380" s="25">
        <v>37440</v>
      </c>
      <c r="I380" s="25">
        <v>392.76</v>
      </c>
      <c r="J380" s="25">
        <v>24233.94</v>
      </c>
      <c r="K380" s="18">
        <v>612.76</v>
      </c>
      <c r="L380" s="27">
        <v>150</v>
      </c>
      <c r="M380" s="31" t="s">
        <v>3520</v>
      </c>
      <c r="N380" s="18"/>
      <c r="O380" s="18">
        <v>25389.46</v>
      </c>
      <c r="P380" s="25">
        <v>12140.88</v>
      </c>
      <c r="Q380" s="28">
        <v>37530.339999999997</v>
      </c>
    </row>
    <row r="381" spans="1:17" x14ac:dyDescent="0.2">
      <c r="A381" s="21" t="s">
        <v>246</v>
      </c>
      <c r="B381" s="21" t="s">
        <v>255</v>
      </c>
      <c r="C381" s="21" t="s">
        <v>129</v>
      </c>
      <c r="D381" s="21" t="s">
        <v>1523</v>
      </c>
      <c r="E381" s="22" t="s">
        <v>12</v>
      </c>
      <c r="F381" s="23" t="s">
        <v>3014</v>
      </c>
      <c r="G381" s="33" t="s">
        <v>14</v>
      </c>
      <c r="H381" s="25">
        <v>39728</v>
      </c>
      <c r="I381" s="26" t="s">
        <v>14</v>
      </c>
      <c r="J381" s="25">
        <v>29622.560000000001</v>
      </c>
      <c r="K381" s="18">
        <v>525.84</v>
      </c>
      <c r="L381" s="27" t="s">
        <v>3520</v>
      </c>
      <c r="M381" s="31" t="s">
        <v>3520</v>
      </c>
      <c r="N381" s="18"/>
      <c r="O381" s="25">
        <v>30148.400000000001</v>
      </c>
      <c r="P381" s="25">
        <v>7265.12</v>
      </c>
      <c r="Q381" s="28">
        <v>37413.519999999997</v>
      </c>
    </row>
    <row r="382" spans="1:17" x14ac:dyDescent="0.2">
      <c r="A382" s="21" t="s">
        <v>3017</v>
      </c>
      <c r="B382" s="21" t="s">
        <v>3018</v>
      </c>
      <c r="C382" s="21" t="s">
        <v>1442</v>
      </c>
      <c r="D382" s="21" t="s">
        <v>3020</v>
      </c>
      <c r="E382" s="22" t="s">
        <v>12</v>
      </c>
      <c r="F382" s="23" t="s">
        <v>1730</v>
      </c>
      <c r="G382" s="34" t="s">
        <v>2331</v>
      </c>
      <c r="H382" s="25">
        <v>35651.199999999997</v>
      </c>
      <c r="I382" s="25">
        <v>529.28</v>
      </c>
      <c r="J382" s="25">
        <v>20517.400000000001</v>
      </c>
      <c r="K382" s="18">
        <v>171.3</v>
      </c>
      <c r="L382" s="27">
        <v>163.33000000000001</v>
      </c>
      <c r="M382" s="31" t="s">
        <v>3520</v>
      </c>
      <c r="N382" s="18"/>
      <c r="O382" s="18">
        <v>21381.31</v>
      </c>
      <c r="P382" s="25">
        <v>15366.99</v>
      </c>
      <c r="Q382" s="28">
        <v>36748.300000000003</v>
      </c>
    </row>
    <row r="383" spans="1:17" x14ac:dyDescent="0.2">
      <c r="A383" s="21" t="s">
        <v>3024</v>
      </c>
      <c r="B383" s="21" t="s">
        <v>3025</v>
      </c>
      <c r="C383" s="21" t="s">
        <v>256</v>
      </c>
      <c r="D383" s="21" t="s">
        <v>2005</v>
      </c>
      <c r="E383" s="22" t="s">
        <v>12</v>
      </c>
      <c r="F383" s="23" t="s">
        <v>3029</v>
      </c>
      <c r="G383" s="33" t="s">
        <v>14</v>
      </c>
      <c r="H383" s="25">
        <v>16712.8</v>
      </c>
      <c r="I383" s="26" t="s">
        <v>14</v>
      </c>
      <c r="J383" s="25">
        <v>23925.98</v>
      </c>
      <c r="K383" s="18">
        <v>31.57</v>
      </c>
      <c r="L383" s="27" t="s">
        <v>3520</v>
      </c>
      <c r="M383" s="31" t="s">
        <v>3520</v>
      </c>
      <c r="N383" s="18"/>
      <c r="O383" s="25">
        <v>23957.55</v>
      </c>
      <c r="P383" s="25">
        <v>12717.15</v>
      </c>
      <c r="Q383" s="28">
        <v>36674.699999999997</v>
      </c>
    </row>
    <row r="384" spans="1:17" x14ac:dyDescent="0.2">
      <c r="A384" s="21" t="s">
        <v>1795</v>
      </c>
      <c r="B384" s="21" t="s">
        <v>3033</v>
      </c>
      <c r="C384" s="21" t="s">
        <v>1260</v>
      </c>
      <c r="D384" s="21" t="s">
        <v>1736</v>
      </c>
      <c r="E384" s="22" t="s">
        <v>12</v>
      </c>
      <c r="F384" s="23" t="s">
        <v>3037</v>
      </c>
      <c r="G384" s="33" t="s">
        <v>14</v>
      </c>
      <c r="H384" s="25">
        <v>47507.199999999997</v>
      </c>
      <c r="I384" s="26" t="s">
        <v>14</v>
      </c>
      <c r="J384" s="25">
        <v>17943.79</v>
      </c>
      <c r="K384" s="18">
        <v>1001.48</v>
      </c>
      <c r="L384" s="27">
        <v>50</v>
      </c>
      <c r="M384" s="31" t="s">
        <v>3520</v>
      </c>
      <c r="N384" s="18"/>
      <c r="O384" s="25">
        <v>18995.27</v>
      </c>
      <c r="P384" s="25">
        <v>17418.830000000002</v>
      </c>
      <c r="Q384" s="28">
        <v>36414.1</v>
      </c>
    </row>
    <row r="385" spans="1:17" x14ac:dyDescent="0.2">
      <c r="A385" s="21" t="s">
        <v>3040</v>
      </c>
      <c r="B385" s="21" t="s">
        <v>3041</v>
      </c>
      <c r="C385" s="21" t="s">
        <v>1283</v>
      </c>
      <c r="D385" s="21" t="s">
        <v>2898</v>
      </c>
      <c r="E385" s="22" t="s">
        <v>12</v>
      </c>
      <c r="F385" s="23" t="s">
        <v>2580</v>
      </c>
      <c r="G385" s="34" t="s">
        <v>3046</v>
      </c>
      <c r="H385" s="25">
        <v>36337.599999999999</v>
      </c>
      <c r="I385" s="25">
        <v>311.49</v>
      </c>
      <c r="J385" s="25">
        <v>22212.69</v>
      </c>
      <c r="K385" s="18">
        <v>164.32</v>
      </c>
      <c r="L385" s="27">
        <v>1254</v>
      </c>
      <c r="M385" s="31" t="s">
        <v>3520</v>
      </c>
      <c r="N385" s="18"/>
      <c r="O385" s="18">
        <v>23942.5</v>
      </c>
      <c r="P385" s="25">
        <v>11995.84</v>
      </c>
      <c r="Q385" s="28">
        <v>35938.339999999997</v>
      </c>
    </row>
    <row r="386" spans="1:17" x14ac:dyDescent="0.2">
      <c r="A386" s="21" t="s">
        <v>303</v>
      </c>
      <c r="B386" s="21" t="s">
        <v>3048</v>
      </c>
      <c r="C386" s="21" t="s">
        <v>1323</v>
      </c>
      <c r="D386" s="21" t="s">
        <v>3050</v>
      </c>
      <c r="E386" s="22" t="s">
        <v>12</v>
      </c>
      <c r="F386" s="23" t="s">
        <v>2061</v>
      </c>
      <c r="G386" s="33" t="s">
        <v>14</v>
      </c>
      <c r="H386" s="25">
        <v>40040</v>
      </c>
      <c r="I386" s="26" t="s">
        <v>14</v>
      </c>
      <c r="J386" s="25">
        <v>26756.21</v>
      </c>
      <c r="K386" s="18">
        <v>72.489999999999995</v>
      </c>
      <c r="L386" s="27" t="s">
        <v>3520</v>
      </c>
      <c r="M386" s="31" t="s">
        <v>3520</v>
      </c>
      <c r="N386" s="18"/>
      <c r="O386" s="25">
        <v>26828.7</v>
      </c>
      <c r="P386" s="25">
        <v>6651.96</v>
      </c>
      <c r="Q386" s="28">
        <v>33480.660000000003</v>
      </c>
    </row>
    <row r="387" spans="1:17" x14ac:dyDescent="0.2">
      <c r="A387" s="21" t="s">
        <v>3055</v>
      </c>
      <c r="B387" s="21" t="s">
        <v>223</v>
      </c>
      <c r="C387" s="21" t="s">
        <v>1315</v>
      </c>
      <c r="D387" s="21" t="s">
        <v>2250</v>
      </c>
      <c r="E387" s="22" t="s">
        <v>12</v>
      </c>
      <c r="F387" s="23" t="s">
        <v>2908</v>
      </c>
      <c r="G387" s="33" t="s">
        <v>14</v>
      </c>
      <c r="H387" s="25">
        <v>33280</v>
      </c>
      <c r="I387" s="26" t="s">
        <v>14</v>
      </c>
      <c r="J387" s="25">
        <v>18320.96</v>
      </c>
      <c r="K387" s="18">
        <v>1931.34</v>
      </c>
      <c r="L387" s="27">
        <v>380.8</v>
      </c>
      <c r="M387" s="31" t="s">
        <v>3520</v>
      </c>
      <c r="N387" s="18"/>
      <c r="O387" s="25">
        <v>20633.099999999999</v>
      </c>
      <c r="P387" s="25">
        <v>11984.42</v>
      </c>
      <c r="Q387" s="28">
        <v>32617.52</v>
      </c>
    </row>
    <row r="388" spans="1:17" x14ac:dyDescent="0.2">
      <c r="A388" s="21" t="s">
        <v>3063</v>
      </c>
      <c r="B388" s="21" t="s">
        <v>3064</v>
      </c>
      <c r="C388" s="21" t="s">
        <v>137</v>
      </c>
      <c r="D388" s="21" t="s">
        <v>2305</v>
      </c>
      <c r="E388" s="22" t="s">
        <v>12</v>
      </c>
      <c r="F388" s="23" t="s">
        <v>2377</v>
      </c>
      <c r="G388" s="34" t="s">
        <v>3069</v>
      </c>
      <c r="H388" s="25">
        <v>42640</v>
      </c>
      <c r="I388" s="25">
        <v>856.29</v>
      </c>
      <c r="J388" s="25">
        <v>24091.06</v>
      </c>
      <c r="K388" s="18">
        <v>452.59</v>
      </c>
      <c r="L388" s="27">
        <v>350</v>
      </c>
      <c r="M388" s="31" t="s">
        <v>3520</v>
      </c>
      <c r="N388" s="18"/>
      <c r="O388" s="18">
        <v>25749.94</v>
      </c>
      <c r="P388" s="25">
        <v>6662.56</v>
      </c>
      <c r="Q388" s="28">
        <v>32412.5</v>
      </c>
    </row>
    <row r="389" spans="1:17" x14ac:dyDescent="0.2">
      <c r="A389" s="21" t="s">
        <v>3070</v>
      </c>
      <c r="B389" s="21" t="s">
        <v>1561</v>
      </c>
      <c r="C389" s="21" t="s">
        <v>2507</v>
      </c>
      <c r="D389" s="21" t="s">
        <v>2524</v>
      </c>
      <c r="E389" s="22" t="s">
        <v>12</v>
      </c>
      <c r="F389" s="23" t="s">
        <v>2908</v>
      </c>
      <c r="G389" s="33" t="s">
        <v>14</v>
      </c>
      <c r="H389" s="25">
        <v>32323.200000000001</v>
      </c>
      <c r="I389" s="26" t="s">
        <v>14</v>
      </c>
      <c r="J389" s="25">
        <v>17691.97</v>
      </c>
      <c r="K389" s="18">
        <v>2085.29</v>
      </c>
      <c r="L389" s="27">
        <v>430.8</v>
      </c>
      <c r="M389" s="31" t="s">
        <v>3520</v>
      </c>
      <c r="N389" s="18"/>
      <c r="O389" s="25">
        <v>20208.060000000001</v>
      </c>
      <c r="P389" s="25">
        <v>12060.17</v>
      </c>
      <c r="Q389" s="28">
        <v>32268.23</v>
      </c>
    </row>
    <row r="390" spans="1:17" x14ac:dyDescent="0.2">
      <c r="A390" s="21" t="s">
        <v>3078</v>
      </c>
      <c r="B390" s="21" t="s">
        <v>3079</v>
      </c>
      <c r="C390" s="21" t="s">
        <v>926</v>
      </c>
      <c r="D390" s="21" t="s">
        <v>927</v>
      </c>
      <c r="E390" s="22" t="s">
        <v>12</v>
      </c>
      <c r="F390" s="23" t="s">
        <v>3083</v>
      </c>
      <c r="G390" s="34" t="s">
        <v>3084</v>
      </c>
      <c r="H390" s="25">
        <v>99452.86</v>
      </c>
      <c r="I390" s="25">
        <v>15393.86</v>
      </c>
      <c r="J390" s="18">
        <v>7650.22</v>
      </c>
      <c r="K390" s="18" t="s">
        <v>3520</v>
      </c>
      <c r="L390" s="30">
        <v>1958</v>
      </c>
      <c r="M390" s="31" t="s">
        <v>3520</v>
      </c>
      <c r="N390" s="18"/>
      <c r="O390" s="25">
        <v>25002.080000000002</v>
      </c>
      <c r="P390" s="25">
        <v>6762.69</v>
      </c>
      <c r="Q390" s="28">
        <v>31764.77</v>
      </c>
    </row>
    <row r="391" spans="1:17" x14ac:dyDescent="0.2">
      <c r="A391" s="21" t="s">
        <v>3085</v>
      </c>
      <c r="B391" s="21" t="s">
        <v>17</v>
      </c>
      <c r="C391" s="21" t="s">
        <v>886</v>
      </c>
      <c r="D391" s="21" t="s">
        <v>3088</v>
      </c>
      <c r="E391" s="22" t="s">
        <v>12</v>
      </c>
      <c r="F391" s="23" t="s">
        <v>2884</v>
      </c>
      <c r="G391" s="34" t="s">
        <v>2061</v>
      </c>
      <c r="H391" s="25">
        <v>78217.62</v>
      </c>
      <c r="I391" s="25">
        <v>496.38</v>
      </c>
      <c r="J391" s="18">
        <v>24251.26</v>
      </c>
      <c r="K391" s="18" t="s">
        <v>3520</v>
      </c>
      <c r="L391" s="27">
        <v>543.33000000000004</v>
      </c>
      <c r="M391" s="31" t="s">
        <v>3520</v>
      </c>
      <c r="N391" s="18"/>
      <c r="O391" s="25">
        <v>25290.97</v>
      </c>
      <c r="P391" s="25">
        <v>6215.03</v>
      </c>
      <c r="Q391" s="28">
        <v>31506</v>
      </c>
    </row>
    <row r="392" spans="1:17" x14ac:dyDescent="0.2">
      <c r="A392" s="21" t="s">
        <v>3092</v>
      </c>
      <c r="B392" s="21" t="s">
        <v>3093</v>
      </c>
      <c r="C392" s="21" t="s">
        <v>65</v>
      </c>
      <c r="D392" s="21" t="s">
        <v>2516</v>
      </c>
      <c r="E392" s="22" t="s">
        <v>12</v>
      </c>
      <c r="F392" s="23" t="s">
        <v>2969</v>
      </c>
      <c r="G392" s="33" t="s">
        <v>14</v>
      </c>
      <c r="H392" s="25">
        <v>35360</v>
      </c>
      <c r="I392" s="26" t="s">
        <v>14</v>
      </c>
      <c r="J392" s="25">
        <v>14991.45</v>
      </c>
      <c r="K392" s="18">
        <v>336.88</v>
      </c>
      <c r="L392" s="27" t="s">
        <v>3520</v>
      </c>
      <c r="M392" s="31" t="s">
        <v>3520</v>
      </c>
      <c r="N392" s="18"/>
      <c r="O392" s="25">
        <v>15328.33</v>
      </c>
      <c r="P392" s="25">
        <v>15604.69</v>
      </c>
      <c r="Q392" s="28">
        <v>30933.02</v>
      </c>
    </row>
    <row r="393" spans="1:17" ht="17" thickBot="1" x14ac:dyDescent="0.25">
      <c r="A393" s="21" t="s">
        <v>3100</v>
      </c>
      <c r="B393" s="21" t="s">
        <v>2097</v>
      </c>
      <c r="C393" s="21" t="s">
        <v>81</v>
      </c>
      <c r="D393" s="21" t="s">
        <v>2747</v>
      </c>
      <c r="E393" s="22" t="s">
        <v>20</v>
      </c>
      <c r="F393" s="23" t="s">
        <v>428</v>
      </c>
      <c r="G393" s="33" t="s">
        <v>14</v>
      </c>
      <c r="H393" s="18" t="s">
        <v>2734</v>
      </c>
      <c r="I393" s="26" t="s">
        <v>14</v>
      </c>
      <c r="J393" s="18">
        <v>26322.080000000002</v>
      </c>
      <c r="K393" s="18">
        <v>1394.07</v>
      </c>
      <c r="L393" s="27">
        <v>948.68</v>
      </c>
      <c r="M393" s="31" t="s">
        <v>3520</v>
      </c>
      <c r="N393" s="18"/>
      <c r="O393" s="25">
        <v>28664.83</v>
      </c>
      <c r="P393" s="25">
        <v>2192.85</v>
      </c>
      <c r="Q393" s="28">
        <v>30857.68</v>
      </c>
    </row>
    <row r="394" spans="1:17" x14ac:dyDescent="0.2">
      <c r="A394" s="10" t="s">
        <v>3109</v>
      </c>
      <c r="B394" s="10" t="s">
        <v>1773</v>
      </c>
      <c r="C394" s="10" t="s">
        <v>256</v>
      </c>
      <c r="D394" s="10" t="s">
        <v>2005</v>
      </c>
      <c r="E394" s="11" t="s">
        <v>12</v>
      </c>
      <c r="F394" s="12" t="s">
        <v>3029</v>
      </c>
      <c r="G394" s="35" t="s">
        <v>3115</v>
      </c>
      <c r="H394" s="16">
        <v>35713.599999999999</v>
      </c>
      <c r="I394" s="36">
        <v>295.83999999999997</v>
      </c>
      <c r="J394" s="14">
        <v>19035.73</v>
      </c>
      <c r="K394" s="16">
        <v>34.51</v>
      </c>
      <c r="L394" s="17">
        <v>1239.33</v>
      </c>
      <c r="M394" s="37" t="s">
        <v>14</v>
      </c>
      <c r="N394" s="18"/>
      <c r="O394" s="17">
        <v>20605.41</v>
      </c>
      <c r="P394" s="14">
        <v>10216.19</v>
      </c>
      <c r="Q394" s="20">
        <v>30821.599999999999</v>
      </c>
    </row>
    <row r="395" spans="1:17" x14ac:dyDescent="0.2">
      <c r="A395" s="21" t="s">
        <v>3117</v>
      </c>
      <c r="B395" s="21" t="s">
        <v>1696</v>
      </c>
      <c r="C395" s="21" t="s">
        <v>1442</v>
      </c>
      <c r="D395" s="21" t="s">
        <v>2468</v>
      </c>
      <c r="E395" s="22" t="s">
        <v>12</v>
      </c>
      <c r="F395" s="23" t="s">
        <v>2908</v>
      </c>
      <c r="G395" s="33" t="s">
        <v>14</v>
      </c>
      <c r="H395" s="18">
        <v>35360</v>
      </c>
      <c r="I395" s="38" t="s">
        <v>14</v>
      </c>
      <c r="J395" s="25">
        <v>19039.66</v>
      </c>
      <c r="K395" s="18">
        <v>4.8600000000000003</v>
      </c>
      <c r="L395" s="27">
        <v>50</v>
      </c>
      <c r="M395" s="29" t="s">
        <v>14</v>
      </c>
      <c r="N395" s="18"/>
      <c r="O395" s="27">
        <v>19094.52</v>
      </c>
      <c r="P395" s="25">
        <v>11640.77</v>
      </c>
      <c r="Q395" s="28">
        <v>30735.29</v>
      </c>
    </row>
    <row r="396" spans="1:17" x14ac:dyDescent="0.2">
      <c r="A396" s="21" t="s">
        <v>3126</v>
      </c>
      <c r="B396" s="21" t="s">
        <v>536</v>
      </c>
      <c r="C396" s="21" t="s">
        <v>1474</v>
      </c>
      <c r="D396" s="21" t="s">
        <v>2547</v>
      </c>
      <c r="E396" s="22" t="s">
        <v>12</v>
      </c>
      <c r="F396" s="23" t="s">
        <v>2969</v>
      </c>
      <c r="G396" s="33" t="s">
        <v>14</v>
      </c>
      <c r="H396" s="18">
        <v>42640</v>
      </c>
      <c r="I396" s="38" t="s">
        <v>14</v>
      </c>
      <c r="J396" s="25">
        <v>18068.11</v>
      </c>
      <c r="K396" s="18">
        <v>710.46</v>
      </c>
      <c r="L396" s="27">
        <v>50</v>
      </c>
      <c r="M396" s="29" t="s">
        <v>14</v>
      </c>
      <c r="N396" s="18"/>
      <c r="O396" s="27">
        <v>18828.57</v>
      </c>
      <c r="P396" s="25">
        <v>11742.24</v>
      </c>
      <c r="Q396" s="28">
        <v>30570.81</v>
      </c>
    </row>
    <row r="397" spans="1:17" x14ac:dyDescent="0.2">
      <c r="A397" s="21" t="s">
        <v>24</v>
      </c>
      <c r="B397" s="21" t="s">
        <v>3136</v>
      </c>
      <c r="C397" s="21" t="s">
        <v>145</v>
      </c>
      <c r="D397" s="21" t="s">
        <v>3138</v>
      </c>
      <c r="E397" s="22" t="s">
        <v>12</v>
      </c>
      <c r="F397" s="23" t="s">
        <v>2353</v>
      </c>
      <c r="G397" s="34" t="s">
        <v>3141</v>
      </c>
      <c r="H397" s="18">
        <v>129851.28</v>
      </c>
      <c r="I397" s="39">
        <v>13498.91</v>
      </c>
      <c r="J397" s="18">
        <v>9795.09</v>
      </c>
      <c r="K397" s="18" t="s">
        <v>3520</v>
      </c>
      <c r="L397" s="30">
        <v>375</v>
      </c>
      <c r="M397" s="40"/>
      <c r="N397" s="18"/>
      <c r="O397" s="27">
        <v>23669</v>
      </c>
      <c r="P397" s="25">
        <v>6420.38</v>
      </c>
      <c r="Q397" s="28">
        <v>30089.38</v>
      </c>
    </row>
    <row r="398" spans="1:17" x14ac:dyDescent="0.2">
      <c r="A398" s="21" t="s">
        <v>2599</v>
      </c>
      <c r="B398" s="21" t="s">
        <v>3143</v>
      </c>
      <c r="C398" s="21" t="s">
        <v>129</v>
      </c>
      <c r="D398" s="21" t="s">
        <v>498</v>
      </c>
      <c r="E398" s="22" t="s">
        <v>20</v>
      </c>
      <c r="F398" s="23" t="s">
        <v>1755</v>
      </c>
      <c r="G398" s="33" t="s">
        <v>14</v>
      </c>
      <c r="H398" s="18">
        <v>59722.52</v>
      </c>
      <c r="I398" s="38" t="s">
        <v>14</v>
      </c>
      <c r="J398" s="25">
        <v>17357.68</v>
      </c>
      <c r="K398" s="18">
        <v>1070.93</v>
      </c>
      <c r="L398" s="27">
        <v>319.94</v>
      </c>
      <c r="M398" s="41">
        <v>520.08000000000004</v>
      </c>
      <c r="N398" s="18"/>
      <c r="O398" s="27">
        <v>19268.63</v>
      </c>
      <c r="P398" s="25">
        <v>10817.45</v>
      </c>
      <c r="Q398" s="28">
        <v>30086.080000000002</v>
      </c>
    </row>
    <row r="399" spans="1:17" x14ac:dyDescent="0.2">
      <c r="A399" s="21" t="s">
        <v>3150</v>
      </c>
      <c r="B399" s="21" t="s">
        <v>536</v>
      </c>
      <c r="C399" s="21" t="s">
        <v>824</v>
      </c>
      <c r="D399" s="21" t="s">
        <v>2500</v>
      </c>
      <c r="E399" s="22" t="s">
        <v>12</v>
      </c>
      <c r="F399" s="23" t="s">
        <v>993</v>
      </c>
      <c r="G399" s="33" t="s">
        <v>14</v>
      </c>
      <c r="H399" s="18">
        <v>33425.599999999999</v>
      </c>
      <c r="I399" s="38" t="s">
        <v>14</v>
      </c>
      <c r="J399" s="25">
        <v>14934.08</v>
      </c>
      <c r="K399" s="18">
        <v>833.83</v>
      </c>
      <c r="L399" s="27">
        <v>683.33</v>
      </c>
      <c r="M399" s="29" t="s">
        <v>14</v>
      </c>
      <c r="N399" s="18"/>
      <c r="O399" s="27">
        <v>16451.240000000002</v>
      </c>
      <c r="P399" s="25">
        <v>13095.22</v>
      </c>
      <c r="Q399" s="28">
        <v>29546.46</v>
      </c>
    </row>
    <row r="400" spans="1:17" x14ac:dyDescent="0.2">
      <c r="A400" s="21" t="s">
        <v>159</v>
      </c>
      <c r="B400" s="21" t="s">
        <v>2592</v>
      </c>
      <c r="C400" s="21" t="s">
        <v>65</v>
      </c>
      <c r="D400" s="21" t="s">
        <v>3162</v>
      </c>
      <c r="E400" s="22" t="s">
        <v>12</v>
      </c>
      <c r="F400" s="23" t="s">
        <v>993</v>
      </c>
      <c r="G400" s="34" t="s">
        <v>3165</v>
      </c>
      <c r="H400" s="18">
        <v>33425.599999999999</v>
      </c>
      <c r="I400" s="39">
        <v>250.21</v>
      </c>
      <c r="J400" s="25">
        <v>18240.78</v>
      </c>
      <c r="K400" s="18">
        <v>654.39</v>
      </c>
      <c r="L400" s="27">
        <v>287.69</v>
      </c>
      <c r="M400" s="29" t="s">
        <v>14</v>
      </c>
      <c r="N400" s="18"/>
      <c r="O400" s="27">
        <v>19433.07</v>
      </c>
      <c r="P400" s="25">
        <v>9946.9699999999993</v>
      </c>
      <c r="Q400" s="28">
        <v>29380.04</v>
      </c>
    </row>
    <row r="401" spans="1:17" x14ac:dyDescent="0.2">
      <c r="A401" s="21" t="s">
        <v>3167</v>
      </c>
      <c r="B401" s="21" t="s">
        <v>3168</v>
      </c>
      <c r="C401" s="21" t="s">
        <v>81</v>
      </c>
      <c r="D401" s="21" t="s">
        <v>378</v>
      </c>
      <c r="E401" s="22" t="s">
        <v>20</v>
      </c>
      <c r="F401" s="23" t="s">
        <v>1755</v>
      </c>
      <c r="G401" s="33" t="s">
        <v>14</v>
      </c>
      <c r="H401" s="18">
        <v>54497.78</v>
      </c>
      <c r="I401" s="38" t="s">
        <v>14</v>
      </c>
      <c r="J401" s="25">
        <v>14463.85</v>
      </c>
      <c r="K401" s="18">
        <v>2970.56</v>
      </c>
      <c r="L401" s="27">
        <v>361.11</v>
      </c>
      <c r="M401" s="29" t="s">
        <v>14</v>
      </c>
      <c r="N401" s="18"/>
      <c r="O401" s="27">
        <v>17795.52</v>
      </c>
      <c r="P401" s="25">
        <v>11468.21</v>
      </c>
      <c r="Q401" s="28">
        <v>29263.73</v>
      </c>
    </row>
    <row r="402" spans="1:17" x14ac:dyDescent="0.2">
      <c r="A402" s="21" t="s">
        <v>3176</v>
      </c>
      <c r="B402" s="21" t="s">
        <v>3177</v>
      </c>
      <c r="C402" s="21" t="s">
        <v>81</v>
      </c>
      <c r="D402" s="21" t="s">
        <v>378</v>
      </c>
      <c r="E402" s="22" t="s">
        <v>20</v>
      </c>
      <c r="F402" s="23" t="s">
        <v>1755</v>
      </c>
      <c r="G402" s="33" t="s">
        <v>14</v>
      </c>
      <c r="H402" s="18">
        <v>52543.17</v>
      </c>
      <c r="I402" s="38" t="s">
        <v>14</v>
      </c>
      <c r="J402" s="25">
        <v>13579.44</v>
      </c>
      <c r="K402" s="18">
        <v>3434</v>
      </c>
      <c r="L402" s="27">
        <v>727.02</v>
      </c>
      <c r="M402" s="29" t="s">
        <v>14</v>
      </c>
      <c r="N402" s="18"/>
      <c r="O402" s="27">
        <v>17740.46</v>
      </c>
      <c r="P402" s="25">
        <v>10429.99</v>
      </c>
      <c r="Q402" s="28">
        <v>28170.45</v>
      </c>
    </row>
    <row r="403" spans="1:17" x14ac:dyDescent="0.2">
      <c r="A403" s="21" t="s">
        <v>3185</v>
      </c>
      <c r="B403" s="21" t="s">
        <v>440</v>
      </c>
      <c r="C403" s="21" t="s">
        <v>81</v>
      </c>
      <c r="D403" s="21" t="s">
        <v>3188</v>
      </c>
      <c r="E403" s="22" t="s">
        <v>20</v>
      </c>
      <c r="F403" s="23" t="s">
        <v>564</v>
      </c>
      <c r="G403" s="34" t="s">
        <v>3191</v>
      </c>
      <c r="H403" s="18" t="s">
        <v>2734</v>
      </c>
      <c r="I403" s="27" t="s">
        <v>3520</v>
      </c>
      <c r="J403" s="25">
        <v>14738.12</v>
      </c>
      <c r="K403" s="18">
        <v>5618.18</v>
      </c>
      <c r="L403" s="27">
        <v>1629.55</v>
      </c>
      <c r="M403" s="29" t="s">
        <v>14</v>
      </c>
      <c r="N403" s="18"/>
      <c r="O403" s="27">
        <v>21985.85</v>
      </c>
      <c r="P403" s="25">
        <v>6150.82</v>
      </c>
      <c r="Q403" s="28">
        <v>28136.67</v>
      </c>
    </row>
    <row r="404" spans="1:17" x14ac:dyDescent="0.2">
      <c r="A404" s="21" t="s">
        <v>3194</v>
      </c>
      <c r="B404" s="21" t="s">
        <v>680</v>
      </c>
      <c r="C404" s="21" t="s">
        <v>65</v>
      </c>
      <c r="D404" s="21" t="s">
        <v>3197</v>
      </c>
      <c r="E404" s="22" t="s">
        <v>20</v>
      </c>
      <c r="F404" s="23" t="s">
        <v>3199</v>
      </c>
      <c r="G404" s="33" t="s">
        <v>14</v>
      </c>
      <c r="H404" s="18">
        <v>62691.199999999997</v>
      </c>
      <c r="I404" s="38" t="s">
        <v>14</v>
      </c>
      <c r="J404" s="25">
        <v>19786.759999999998</v>
      </c>
      <c r="K404" s="18">
        <v>590.82000000000005</v>
      </c>
      <c r="L404" s="27">
        <v>2351.4899999999998</v>
      </c>
      <c r="M404" s="29" t="s">
        <v>14</v>
      </c>
      <c r="N404" s="18"/>
      <c r="O404" s="27">
        <v>22729.07</v>
      </c>
      <c r="P404" s="25">
        <v>5303.41</v>
      </c>
      <c r="Q404" s="28">
        <v>28032.48</v>
      </c>
    </row>
    <row r="405" spans="1:17" x14ac:dyDescent="0.2">
      <c r="A405" s="21" t="s">
        <v>3203</v>
      </c>
      <c r="B405" s="21" t="s">
        <v>432</v>
      </c>
      <c r="C405" s="21" t="s">
        <v>1323</v>
      </c>
      <c r="D405" s="21" t="s">
        <v>3206</v>
      </c>
      <c r="E405" s="22" t="s">
        <v>12</v>
      </c>
      <c r="F405" s="23" t="s">
        <v>3208</v>
      </c>
      <c r="G405" s="34" t="s">
        <v>3209</v>
      </c>
      <c r="H405" s="18">
        <v>104033.02</v>
      </c>
      <c r="I405" s="39">
        <v>7756.46</v>
      </c>
      <c r="J405" s="25">
        <v>11346.19</v>
      </c>
      <c r="K405" s="18" t="s">
        <v>3520</v>
      </c>
      <c r="L405" s="27">
        <v>704</v>
      </c>
      <c r="M405" s="29" t="s">
        <v>14</v>
      </c>
      <c r="N405" s="18"/>
      <c r="O405" s="27">
        <v>19806.650000000001</v>
      </c>
      <c r="P405" s="25">
        <v>7890.46</v>
      </c>
      <c r="Q405" s="28">
        <v>27697.11</v>
      </c>
    </row>
    <row r="406" spans="1:17" x14ac:dyDescent="0.2">
      <c r="A406" s="21" t="s">
        <v>3211</v>
      </c>
      <c r="B406" s="21" t="s">
        <v>680</v>
      </c>
      <c r="C406" s="21" t="s">
        <v>145</v>
      </c>
      <c r="D406" s="21" t="s">
        <v>2036</v>
      </c>
      <c r="E406" s="22" t="s">
        <v>12</v>
      </c>
      <c r="F406" s="23" t="s">
        <v>148</v>
      </c>
      <c r="G406" s="34" t="s">
        <v>3217</v>
      </c>
      <c r="H406" s="18">
        <v>40560</v>
      </c>
      <c r="I406" s="39">
        <v>577.20000000000005</v>
      </c>
      <c r="J406" s="25">
        <v>12379</v>
      </c>
      <c r="K406" s="18">
        <v>794.98</v>
      </c>
      <c r="L406" s="27">
        <v>50</v>
      </c>
      <c r="M406" s="29" t="s">
        <v>14</v>
      </c>
      <c r="N406" s="18"/>
      <c r="O406" s="27">
        <v>13801.18</v>
      </c>
      <c r="P406" s="25">
        <v>12802.62</v>
      </c>
      <c r="Q406" s="28">
        <v>26603.8</v>
      </c>
    </row>
    <row r="407" spans="1:17" x14ac:dyDescent="0.2">
      <c r="A407" s="21" t="s">
        <v>3219</v>
      </c>
      <c r="B407" s="21" t="s">
        <v>3220</v>
      </c>
      <c r="C407" s="21" t="s">
        <v>281</v>
      </c>
      <c r="D407" s="21" t="s">
        <v>2131</v>
      </c>
      <c r="E407" s="22" t="s">
        <v>12</v>
      </c>
      <c r="F407" s="23" t="s">
        <v>3224</v>
      </c>
      <c r="G407" s="33" t="s">
        <v>14</v>
      </c>
      <c r="H407" s="18">
        <v>47008</v>
      </c>
      <c r="I407" s="38" t="s">
        <v>14</v>
      </c>
      <c r="J407" s="25">
        <v>14585.59</v>
      </c>
      <c r="K407" s="18">
        <v>1640.11</v>
      </c>
      <c r="L407" s="27">
        <v>50</v>
      </c>
      <c r="M407" s="29" t="s">
        <v>14</v>
      </c>
      <c r="N407" s="18"/>
      <c r="O407" s="27">
        <v>16275.7</v>
      </c>
      <c r="P407" s="25">
        <v>10058.36</v>
      </c>
      <c r="Q407" s="28">
        <v>26334.06</v>
      </c>
    </row>
    <row r="408" spans="1:17" x14ac:dyDescent="0.2">
      <c r="A408" s="21" t="s">
        <v>3228</v>
      </c>
      <c r="B408" s="21" t="s">
        <v>3229</v>
      </c>
      <c r="C408" s="21" t="s">
        <v>81</v>
      </c>
      <c r="D408" s="21" t="s">
        <v>1419</v>
      </c>
      <c r="E408" s="22" t="s">
        <v>20</v>
      </c>
      <c r="F408" s="23" t="s">
        <v>516</v>
      </c>
      <c r="G408" s="34" t="s">
        <v>3234</v>
      </c>
      <c r="H408" s="18">
        <v>38294.699999999997</v>
      </c>
      <c r="I408" s="27" t="s">
        <v>3520</v>
      </c>
      <c r="J408" s="25">
        <v>11550.17</v>
      </c>
      <c r="K408" s="18">
        <v>6013.16</v>
      </c>
      <c r="L408" s="27">
        <v>1195.3599999999999</v>
      </c>
      <c r="M408" s="29" t="s">
        <v>14</v>
      </c>
      <c r="N408" s="18"/>
      <c r="O408" s="27">
        <v>18758.689999999999</v>
      </c>
      <c r="P408" s="25">
        <v>7437.99</v>
      </c>
      <c r="Q408" s="28">
        <v>26196.68</v>
      </c>
    </row>
    <row r="409" spans="1:17" x14ac:dyDescent="0.2">
      <c r="A409" s="21" t="s">
        <v>3236</v>
      </c>
      <c r="B409" s="21" t="s">
        <v>104</v>
      </c>
      <c r="C409" s="21" t="s">
        <v>18</v>
      </c>
      <c r="D409" s="21" t="s">
        <v>498</v>
      </c>
      <c r="E409" s="22" t="s">
        <v>20</v>
      </c>
      <c r="F409" s="23" t="s">
        <v>2117</v>
      </c>
      <c r="G409" s="34" t="s">
        <v>3242</v>
      </c>
      <c r="H409" s="18">
        <v>56001.919999999998</v>
      </c>
      <c r="I409" s="39">
        <v>674.62</v>
      </c>
      <c r="J409" s="25">
        <v>12709.76</v>
      </c>
      <c r="K409" s="18">
        <v>770.13</v>
      </c>
      <c r="L409" s="27">
        <v>11.04</v>
      </c>
      <c r="M409" s="29" t="s">
        <v>14</v>
      </c>
      <c r="N409" s="18"/>
      <c r="O409" s="27">
        <v>14165.55</v>
      </c>
      <c r="P409" s="25">
        <v>11836.98</v>
      </c>
      <c r="Q409" s="28">
        <v>26002.53</v>
      </c>
    </row>
    <row r="410" spans="1:17" x14ac:dyDescent="0.2">
      <c r="A410" s="21" t="s">
        <v>3244</v>
      </c>
      <c r="B410" s="21" t="s">
        <v>1211</v>
      </c>
      <c r="C410" s="21" t="s">
        <v>18</v>
      </c>
      <c r="D410" s="21" t="s">
        <v>498</v>
      </c>
      <c r="E410" s="22" t="s">
        <v>20</v>
      </c>
      <c r="F410" s="23" t="s">
        <v>1755</v>
      </c>
      <c r="G410" s="33" t="s">
        <v>14</v>
      </c>
      <c r="H410" s="18">
        <v>52556.92</v>
      </c>
      <c r="I410" s="38" t="s">
        <v>14</v>
      </c>
      <c r="J410" s="25">
        <v>15169.61</v>
      </c>
      <c r="K410" s="18">
        <v>407.15</v>
      </c>
      <c r="L410" s="27">
        <v>289.97000000000003</v>
      </c>
      <c r="M410" s="29" t="s">
        <v>14</v>
      </c>
      <c r="N410" s="18"/>
      <c r="O410" s="27">
        <v>15866.73</v>
      </c>
      <c r="P410" s="25">
        <v>9973.76</v>
      </c>
      <c r="Q410" s="28">
        <v>25840.49</v>
      </c>
    </row>
    <row r="411" spans="1:17" x14ac:dyDescent="0.2">
      <c r="A411" s="21" t="s">
        <v>375</v>
      </c>
      <c r="B411" s="21" t="s">
        <v>8</v>
      </c>
      <c r="C411" s="21" t="s">
        <v>81</v>
      </c>
      <c r="D411" s="21" t="s">
        <v>3256</v>
      </c>
      <c r="E411" s="22" t="s">
        <v>20</v>
      </c>
      <c r="F411" s="23" t="s">
        <v>796</v>
      </c>
      <c r="G411" s="33" t="s">
        <v>14</v>
      </c>
      <c r="H411" s="18" t="s">
        <v>2734</v>
      </c>
      <c r="I411" s="38" t="s">
        <v>14</v>
      </c>
      <c r="J411" s="18">
        <v>16832</v>
      </c>
      <c r="K411" s="18">
        <v>5472.65</v>
      </c>
      <c r="L411" s="27">
        <v>1333.67</v>
      </c>
      <c r="M411" s="29" t="s">
        <v>14</v>
      </c>
      <c r="N411" s="18"/>
      <c r="O411" s="27">
        <v>23638.32</v>
      </c>
      <c r="P411" s="25">
        <v>2051.38</v>
      </c>
      <c r="Q411" s="28">
        <v>25689.7</v>
      </c>
    </row>
    <row r="412" spans="1:17" x14ac:dyDescent="0.2">
      <c r="A412" s="21" t="s">
        <v>3263</v>
      </c>
      <c r="B412" s="21" t="s">
        <v>3264</v>
      </c>
      <c r="C412" s="21" t="s">
        <v>65</v>
      </c>
      <c r="D412" s="21" t="s">
        <v>1736</v>
      </c>
      <c r="E412" s="22" t="s">
        <v>12</v>
      </c>
      <c r="F412" s="23" t="s">
        <v>2969</v>
      </c>
      <c r="G412" s="33" t="s">
        <v>14</v>
      </c>
      <c r="H412" s="18">
        <v>47320</v>
      </c>
      <c r="I412" s="38" t="s">
        <v>14</v>
      </c>
      <c r="J412" s="25">
        <v>19379.84</v>
      </c>
      <c r="K412" s="18">
        <v>128.12</v>
      </c>
      <c r="L412" s="27">
        <v>330</v>
      </c>
      <c r="M412" s="29" t="s">
        <v>14</v>
      </c>
      <c r="N412" s="18"/>
      <c r="O412" s="27">
        <v>19837.96</v>
      </c>
      <c r="P412" s="25">
        <v>4945.12</v>
      </c>
      <c r="Q412" s="28">
        <v>24783.08</v>
      </c>
    </row>
    <row r="413" spans="1:17" x14ac:dyDescent="0.2">
      <c r="A413" s="21" t="s">
        <v>3272</v>
      </c>
      <c r="B413" s="21" t="s">
        <v>760</v>
      </c>
      <c r="C413" s="21" t="s">
        <v>81</v>
      </c>
      <c r="D413" s="21" t="s">
        <v>3275</v>
      </c>
      <c r="E413" s="22" t="s">
        <v>20</v>
      </c>
      <c r="F413" s="23" t="s">
        <v>516</v>
      </c>
      <c r="G413" s="33" t="s">
        <v>14</v>
      </c>
      <c r="H413" s="18">
        <v>16712.8</v>
      </c>
      <c r="I413" s="38" t="s">
        <v>14</v>
      </c>
      <c r="J413" s="25">
        <v>19945.689999999999</v>
      </c>
      <c r="K413" s="18" t="s">
        <v>3520</v>
      </c>
      <c r="L413" s="27" t="s">
        <v>3520</v>
      </c>
      <c r="M413" s="29" t="s">
        <v>14</v>
      </c>
      <c r="N413" s="18"/>
      <c r="O413" s="27">
        <v>19945.689999999999</v>
      </c>
      <c r="P413" s="25">
        <v>4794.93</v>
      </c>
      <c r="Q413" s="28">
        <v>24740.62</v>
      </c>
    </row>
    <row r="414" spans="1:17" x14ac:dyDescent="0.2">
      <c r="A414" s="21" t="s">
        <v>3281</v>
      </c>
      <c r="B414" s="21" t="s">
        <v>3282</v>
      </c>
      <c r="C414" s="21" t="s">
        <v>1260</v>
      </c>
      <c r="D414" s="21" t="s">
        <v>3284</v>
      </c>
      <c r="E414" s="22" t="s">
        <v>12</v>
      </c>
      <c r="F414" s="23" t="s">
        <v>3286</v>
      </c>
      <c r="G414" s="34" t="s">
        <v>3287</v>
      </c>
      <c r="H414" s="18">
        <v>63036.22</v>
      </c>
      <c r="I414" s="27" t="s">
        <v>3520</v>
      </c>
      <c r="J414" s="25">
        <v>16534.79</v>
      </c>
      <c r="K414" s="18" t="s">
        <v>3520</v>
      </c>
      <c r="L414" s="27">
        <v>298.33</v>
      </c>
      <c r="M414" s="29" t="s">
        <v>14</v>
      </c>
      <c r="N414" s="18"/>
      <c r="O414" s="30">
        <v>16833.12</v>
      </c>
      <c r="P414" s="25">
        <v>7810.1</v>
      </c>
      <c r="Q414" s="28">
        <v>24643.22</v>
      </c>
    </row>
    <row r="415" spans="1:17" x14ac:dyDescent="0.2">
      <c r="A415" s="21" t="s">
        <v>3289</v>
      </c>
      <c r="B415" s="21" t="s">
        <v>3290</v>
      </c>
      <c r="C415" s="21" t="s">
        <v>256</v>
      </c>
      <c r="D415" s="21" t="s">
        <v>2005</v>
      </c>
      <c r="E415" s="22" t="s">
        <v>12</v>
      </c>
      <c r="F415" s="23" t="s">
        <v>3294</v>
      </c>
      <c r="G415" s="33" t="s">
        <v>14</v>
      </c>
      <c r="H415" s="18">
        <v>18106.400000000001</v>
      </c>
      <c r="I415" s="42" t="s">
        <v>14</v>
      </c>
      <c r="J415" s="25">
        <v>19781.740000000002</v>
      </c>
      <c r="K415" s="18" t="s">
        <v>3520</v>
      </c>
      <c r="L415" s="27" t="s">
        <v>3520</v>
      </c>
      <c r="M415" s="29" t="s">
        <v>14</v>
      </c>
      <c r="N415" s="18"/>
      <c r="O415" s="31">
        <v>19781.740000000002</v>
      </c>
      <c r="P415" s="25">
        <v>4755.54</v>
      </c>
      <c r="Q415" s="28">
        <v>24537.279999999999</v>
      </c>
    </row>
    <row r="416" spans="1:17" x14ac:dyDescent="0.2">
      <c r="A416" s="21" t="s">
        <v>375</v>
      </c>
      <c r="B416" s="21" t="s">
        <v>424</v>
      </c>
      <c r="C416" s="21" t="s">
        <v>1283</v>
      </c>
      <c r="D416" s="21" t="s">
        <v>2898</v>
      </c>
      <c r="E416" s="22" t="s">
        <v>12</v>
      </c>
      <c r="F416" s="23" t="s">
        <v>1461</v>
      </c>
      <c r="G416" s="34" t="s">
        <v>3304</v>
      </c>
      <c r="H416" s="18">
        <v>16712.8</v>
      </c>
      <c r="I416" s="27" t="s">
        <v>3520</v>
      </c>
      <c r="J416" s="25">
        <v>19484.61</v>
      </c>
      <c r="K416" s="18" t="s">
        <v>3520</v>
      </c>
      <c r="L416" s="27" t="s">
        <v>3520</v>
      </c>
      <c r="M416" s="29" t="s">
        <v>14</v>
      </c>
      <c r="N416" s="18"/>
      <c r="O416" s="30">
        <v>19484.61</v>
      </c>
      <c r="P416" s="25">
        <v>4684.1099999999997</v>
      </c>
      <c r="Q416" s="28">
        <v>24168.720000000001</v>
      </c>
    </row>
    <row r="417" spans="1:17" x14ac:dyDescent="0.2">
      <c r="A417" s="21" t="s">
        <v>3306</v>
      </c>
      <c r="B417" s="21" t="s">
        <v>3307</v>
      </c>
      <c r="C417" s="21" t="s">
        <v>65</v>
      </c>
      <c r="D417" s="21" t="s">
        <v>3309</v>
      </c>
      <c r="E417" s="22" t="s">
        <v>12</v>
      </c>
      <c r="F417" s="23" t="s">
        <v>3311</v>
      </c>
      <c r="G417" s="33" t="s">
        <v>14</v>
      </c>
      <c r="H417" s="18" t="s">
        <v>3313</v>
      </c>
      <c r="I417" s="38" t="s">
        <v>14</v>
      </c>
      <c r="J417" s="25">
        <v>22176.1</v>
      </c>
      <c r="K417" s="18" t="s">
        <v>3520</v>
      </c>
      <c r="L417" s="27" t="s">
        <v>3520</v>
      </c>
      <c r="M417" s="29" t="s">
        <v>14</v>
      </c>
      <c r="N417" s="18"/>
      <c r="O417" s="31">
        <v>22176.1</v>
      </c>
      <c r="P417" s="25">
        <v>1696.46</v>
      </c>
      <c r="Q417" s="28">
        <v>23872.560000000001</v>
      </c>
    </row>
    <row r="418" spans="1:17" x14ac:dyDescent="0.2">
      <c r="A418" s="21" t="s">
        <v>727</v>
      </c>
      <c r="B418" s="21" t="s">
        <v>1219</v>
      </c>
      <c r="C418" s="21" t="s">
        <v>97</v>
      </c>
      <c r="D418" s="21" t="s">
        <v>1491</v>
      </c>
      <c r="E418" s="22" t="s">
        <v>12</v>
      </c>
      <c r="F418" s="23" t="s">
        <v>3321</v>
      </c>
      <c r="G418" s="33" t="s">
        <v>14</v>
      </c>
      <c r="H418" s="18">
        <v>58760</v>
      </c>
      <c r="I418" s="38" t="s">
        <v>14</v>
      </c>
      <c r="J418" s="18">
        <v>9040.01</v>
      </c>
      <c r="K418" s="18">
        <v>78.41</v>
      </c>
      <c r="L418" s="27" t="s">
        <v>3520</v>
      </c>
      <c r="M418" s="29" t="s">
        <v>14</v>
      </c>
      <c r="N418" s="18"/>
      <c r="O418" s="27">
        <v>9118.42</v>
      </c>
      <c r="P418" s="25">
        <v>14616.31</v>
      </c>
      <c r="Q418" s="28">
        <v>23734.73</v>
      </c>
    </row>
    <row r="419" spans="1:17" x14ac:dyDescent="0.2">
      <c r="A419" s="21" t="s">
        <v>24</v>
      </c>
      <c r="B419" s="21" t="s">
        <v>2872</v>
      </c>
      <c r="C419" s="21" t="s">
        <v>18</v>
      </c>
      <c r="D419" s="21" t="s">
        <v>498</v>
      </c>
      <c r="E419" s="22" t="s">
        <v>20</v>
      </c>
      <c r="F419" s="23" t="s">
        <v>1755</v>
      </c>
      <c r="G419" s="33" t="s">
        <v>14</v>
      </c>
      <c r="H419" s="18">
        <v>54238.080000000002</v>
      </c>
      <c r="I419" s="38" t="s">
        <v>14</v>
      </c>
      <c r="J419" s="25">
        <v>12750.84</v>
      </c>
      <c r="K419" s="18" t="s">
        <v>3520</v>
      </c>
      <c r="L419" s="27">
        <v>501.93</v>
      </c>
      <c r="M419" s="29" t="s">
        <v>14</v>
      </c>
      <c r="N419" s="18"/>
      <c r="O419" s="27">
        <v>13252.77</v>
      </c>
      <c r="P419" s="25">
        <v>9413.08</v>
      </c>
      <c r="Q419" s="28">
        <v>22665.85</v>
      </c>
    </row>
    <row r="420" spans="1:17" x14ac:dyDescent="0.2">
      <c r="A420" s="21" t="s">
        <v>3334</v>
      </c>
      <c r="B420" s="21" t="s">
        <v>3290</v>
      </c>
      <c r="C420" s="21" t="s">
        <v>256</v>
      </c>
      <c r="D420" s="21" t="s">
        <v>2005</v>
      </c>
      <c r="E420" s="22" t="s">
        <v>12</v>
      </c>
      <c r="F420" s="23" t="s">
        <v>3339</v>
      </c>
      <c r="G420" s="33" t="s">
        <v>14</v>
      </c>
      <c r="H420" s="18">
        <v>17316</v>
      </c>
      <c r="I420" s="38" t="s">
        <v>14</v>
      </c>
      <c r="J420" s="25">
        <v>18268.080000000002</v>
      </c>
      <c r="K420" s="18" t="s">
        <v>3520</v>
      </c>
      <c r="L420" s="27" t="s">
        <v>3520</v>
      </c>
      <c r="M420" s="29" t="s">
        <v>14</v>
      </c>
      <c r="N420" s="18"/>
      <c r="O420" s="27">
        <v>18268.080000000002</v>
      </c>
      <c r="P420" s="25">
        <v>4391.6400000000003</v>
      </c>
      <c r="Q420" s="28">
        <v>22659.72</v>
      </c>
    </row>
    <row r="421" spans="1:17" x14ac:dyDescent="0.2">
      <c r="A421" s="21" t="s">
        <v>3343</v>
      </c>
      <c r="B421" s="21" t="s">
        <v>3344</v>
      </c>
      <c r="C421" s="21" t="s">
        <v>256</v>
      </c>
      <c r="D421" s="21" t="s">
        <v>3346</v>
      </c>
      <c r="E421" s="22" t="s">
        <v>12</v>
      </c>
      <c r="F421" s="23" t="s">
        <v>2749</v>
      </c>
      <c r="G421" s="33" t="s">
        <v>14</v>
      </c>
      <c r="H421" s="18">
        <v>17461.599999999999</v>
      </c>
      <c r="I421" s="38" t="s">
        <v>14</v>
      </c>
      <c r="J421" s="25">
        <v>17853.97</v>
      </c>
      <c r="K421" s="18" t="s">
        <v>3520</v>
      </c>
      <c r="L421" s="27" t="s">
        <v>3520</v>
      </c>
      <c r="M421" s="29" t="s">
        <v>14</v>
      </c>
      <c r="N421" s="18"/>
      <c r="O421" s="27">
        <v>17853.97</v>
      </c>
      <c r="P421" s="25">
        <v>4292.1099999999997</v>
      </c>
      <c r="Q421" s="28">
        <v>22146.080000000002</v>
      </c>
    </row>
    <row r="422" spans="1:17" x14ac:dyDescent="0.2">
      <c r="A422" s="21" t="s">
        <v>159</v>
      </c>
      <c r="B422" s="21" t="s">
        <v>696</v>
      </c>
      <c r="C422" s="21" t="s">
        <v>886</v>
      </c>
      <c r="D422" s="21" t="s">
        <v>3355</v>
      </c>
      <c r="E422" s="22" t="s">
        <v>12</v>
      </c>
      <c r="F422" s="23" t="s">
        <v>3357</v>
      </c>
      <c r="G422" s="33" t="s">
        <v>14</v>
      </c>
      <c r="H422" s="18">
        <v>58240</v>
      </c>
      <c r="I422" s="38" t="s">
        <v>14</v>
      </c>
      <c r="J422" s="18">
        <v>4561.76</v>
      </c>
      <c r="K422" s="18">
        <v>488.46</v>
      </c>
      <c r="L422" s="27"/>
      <c r="M422" s="43" t="s">
        <v>3520</v>
      </c>
      <c r="N422" s="18"/>
      <c r="O422" s="27">
        <v>5050.22</v>
      </c>
      <c r="P422" s="25">
        <v>16700.03</v>
      </c>
      <c r="Q422" s="28">
        <v>21750.25</v>
      </c>
    </row>
    <row r="423" spans="1:17" x14ac:dyDescent="0.2">
      <c r="A423" s="21" t="s">
        <v>3360</v>
      </c>
      <c r="B423" s="21" t="s">
        <v>3361</v>
      </c>
      <c r="C423" s="21" t="s">
        <v>824</v>
      </c>
      <c r="D423" s="21" t="s">
        <v>1611</v>
      </c>
      <c r="E423" s="22" t="s">
        <v>12</v>
      </c>
      <c r="F423" s="23" t="s">
        <v>148</v>
      </c>
      <c r="G423" s="34" t="s">
        <v>3366</v>
      </c>
      <c r="H423" s="18">
        <v>36420.800000000003</v>
      </c>
      <c r="I423" s="39">
        <v>64.790000000000006</v>
      </c>
      <c r="J423" s="25">
        <v>13402.16</v>
      </c>
      <c r="K423" s="18">
        <v>217.47</v>
      </c>
      <c r="L423" s="31" t="s">
        <v>3520</v>
      </c>
      <c r="M423" s="29" t="s">
        <v>14</v>
      </c>
      <c r="N423" s="18"/>
      <c r="O423" s="27">
        <v>13684.42</v>
      </c>
      <c r="P423" s="25">
        <v>7993.19</v>
      </c>
      <c r="Q423" s="28">
        <v>21677.61</v>
      </c>
    </row>
    <row r="424" spans="1:17" x14ac:dyDescent="0.2">
      <c r="A424" s="21" t="s">
        <v>303</v>
      </c>
      <c r="B424" s="21" t="s">
        <v>2153</v>
      </c>
      <c r="C424" s="21" t="s">
        <v>2585</v>
      </c>
      <c r="D424" s="21" t="s">
        <v>1997</v>
      </c>
      <c r="E424" s="22" t="s">
        <v>12</v>
      </c>
      <c r="F424" s="23" t="s">
        <v>3286</v>
      </c>
      <c r="G424" s="33" t="s">
        <v>14</v>
      </c>
      <c r="H424" s="18">
        <v>16712.8</v>
      </c>
      <c r="I424" s="38" t="s">
        <v>14</v>
      </c>
      <c r="J424" s="25">
        <v>17175</v>
      </c>
      <c r="K424" s="18" t="s">
        <v>3520</v>
      </c>
      <c r="L424" s="27">
        <v>234.64</v>
      </c>
      <c r="M424" s="29" t="s">
        <v>14</v>
      </c>
      <c r="N424" s="18"/>
      <c r="O424" s="27">
        <v>17409.64</v>
      </c>
      <c r="P424" s="25">
        <v>4185.2700000000004</v>
      </c>
      <c r="Q424" s="28">
        <v>21594.91</v>
      </c>
    </row>
    <row r="425" spans="1:17" x14ac:dyDescent="0.2">
      <c r="A425" s="21" t="s">
        <v>3377</v>
      </c>
      <c r="B425" s="21" t="s">
        <v>3378</v>
      </c>
      <c r="C425" s="21" t="s">
        <v>256</v>
      </c>
      <c r="D425" s="21" t="s">
        <v>2005</v>
      </c>
      <c r="E425" s="22" t="s">
        <v>12</v>
      </c>
      <c r="F425" s="23" t="s">
        <v>3382</v>
      </c>
      <c r="G425" s="33" t="s">
        <v>14</v>
      </c>
      <c r="H425" s="18">
        <v>17108</v>
      </c>
      <c r="I425" s="38" t="s">
        <v>14</v>
      </c>
      <c r="J425" s="25">
        <v>17322.68</v>
      </c>
      <c r="K425" s="18" t="s">
        <v>3520</v>
      </c>
      <c r="L425" s="27" t="s">
        <v>3520</v>
      </c>
      <c r="M425" s="29" t="s">
        <v>14</v>
      </c>
      <c r="N425" s="18"/>
      <c r="O425" s="27">
        <v>17322.68</v>
      </c>
      <c r="P425" s="25">
        <v>4164.3900000000003</v>
      </c>
      <c r="Q425" s="28">
        <v>21487.07</v>
      </c>
    </row>
    <row r="426" spans="1:17" x14ac:dyDescent="0.2">
      <c r="A426" s="21" t="s">
        <v>3386</v>
      </c>
      <c r="B426" s="21" t="s">
        <v>424</v>
      </c>
      <c r="C426" s="21" t="s">
        <v>18</v>
      </c>
      <c r="D426" s="21" t="s">
        <v>2391</v>
      </c>
      <c r="E426" s="22" t="s">
        <v>12</v>
      </c>
      <c r="F426" s="23" t="s">
        <v>3391</v>
      </c>
      <c r="G426" s="33" t="s">
        <v>14</v>
      </c>
      <c r="H426" s="18">
        <v>87500.14</v>
      </c>
      <c r="I426" s="38" t="s">
        <v>14</v>
      </c>
      <c r="J426" s="25">
        <v>16826.95</v>
      </c>
      <c r="K426" s="18" t="s">
        <v>3520</v>
      </c>
      <c r="L426" s="27" t="s">
        <v>3520</v>
      </c>
      <c r="M426" s="29" t="s">
        <v>14</v>
      </c>
      <c r="N426" s="18"/>
      <c r="O426" s="27">
        <v>16826.95</v>
      </c>
      <c r="P426" s="25">
        <v>4642.1099999999997</v>
      </c>
      <c r="Q426" s="28">
        <v>21469.06</v>
      </c>
    </row>
    <row r="427" spans="1:17" x14ac:dyDescent="0.2">
      <c r="A427" s="21" t="s">
        <v>1258</v>
      </c>
      <c r="B427" s="21" t="s">
        <v>3396</v>
      </c>
      <c r="C427" s="21" t="s">
        <v>1442</v>
      </c>
      <c r="D427" s="21" t="s">
        <v>2578</v>
      </c>
      <c r="E427" s="22" t="s">
        <v>12</v>
      </c>
      <c r="F427" s="23" t="s">
        <v>3224</v>
      </c>
      <c r="G427" s="33" t="s">
        <v>14</v>
      </c>
      <c r="H427" s="18">
        <v>37440</v>
      </c>
      <c r="I427" s="38" t="s">
        <v>14</v>
      </c>
      <c r="J427" s="25">
        <v>11520</v>
      </c>
      <c r="K427" s="18">
        <v>4.8600000000000003</v>
      </c>
      <c r="L427" s="27">
        <v>50</v>
      </c>
      <c r="M427" s="29" t="s">
        <v>14</v>
      </c>
      <c r="N427" s="18"/>
      <c r="O427" s="27">
        <v>11574.86</v>
      </c>
      <c r="P427" s="25">
        <v>9787.49</v>
      </c>
      <c r="Q427" s="28">
        <v>21362.35</v>
      </c>
    </row>
    <row r="428" spans="1:17" x14ac:dyDescent="0.2">
      <c r="A428" s="21" t="s">
        <v>3404</v>
      </c>
      <c r="B428" s="21" t="s">
        <v>3405</v>
      </c>
      <c r="C428" s="21" t="s">
        <v>256</v>
      </c>
      <c r="D428" s="21" t="s">
        <v>2005</v>
      </c>
      <c r="E428" s="22" t="s">
        <v>12</v>
      </c>
      <c r="F428" s="23" t="s">
        <v>1613</v>
      </c>
      <c r="G428" s="33" t="s">
        <v>14</v>
      </c>
      <c r="H428" s="18">
        <v>16712.8</v>
      </c>
      <c r="I428" s="38" t="s">
        <v>14</v>
      </c>
      <c r="J428" s="25">
        <v>17177.740000000002</v>
      </c>
      <c r="K428" s="18" t="s">
        <v>3520</v>
      </c>
      <c r="L428" s="27" t="s">
        <v>3520</v>
      </c>
      <c r="M428" s="29" t="s">
        <v>14</v>
      </c>
      <c r="N428" s="18"/>
      <c r="O428" s="27">
        <v>17177.740000000002</v>
      </c>
      <c r="P428" s="25">
        <v>4129.51</v>
      </c>
      <c r="Q428" s="28">
        <v>21307.25</v>
      </c>
    </row>
    <row r="429" spans="1:17" x14ac:dyDescent="0.2">
      <c r="A429" s="21" t="s">
        <v>3413</v>
      </c>
      <c r="B429" s="21" t="s">
        <v>1393</v>
      </c>
      <c r="C429" s="21" t="s">
        <v>81</v>
      </c>
      <c r="D429" s="21" t="s">
        <v>378</v>
      </c>
      <c r="E429" s="22" t="s">
        <v>20</v>
      </c>
      <c r="F429" s="23" t="s">
        <v>564</v>
      </c>
      <c r="G429" s="34" t="s">
        <v>3419</v>
      </c>
      <c r="H429" s="18">
        <v>56525.1</v>
      </c>
      <c r="I429" s="39">
        <v>644.41</v>
      </c>
      <c r="J429" s="18">
        <v>7740.1</v>
      </c>
      <c r="K429" s="18">
        <v>5652.4</v>
      </c>
      <c r="L429" s="43">
        <v>626.37</v>
      </c>
      <c r="M429" s="18"/>
      <c r="N429" s="18"/>
      <c r="O429" s="27">
        <v>14663.28</v>
      </c>
      <c r="P429" s="25">
        <v>6489.94</v>
      </c>
      <c r="Q429" s="28">
        <v>21153.22</v>
      </c>
    </row>
    <row r="430" spans="1:17" x14ac:dyDescent="0.2">
      <c r="A430" s="21" t="s">
        <v>3420</v>
      </c>
      <c r="B430" s="21" t="s">
        <v>3421</v>
      </c>
      <c r="C430" s="21" t="s">
        <v>256</v>
      </c>
      <c r="D430" s="21" t="s">
        <v>2005</v>
      </c>
      <c r="E430" s="22" t="s">
        <v>12</v>
      </c>
      <c r="F430" s="23" t="s">
        <v>3425</v>
      </c>
      <c r="G430" s="33" t="s">
        <v>14</v>
      </c>
      <c r="H430" s="18">
        <v>17815.2</v>
      </c>
      <c r="I430" s="38" t="s">
        <v>14</v>
      </c>
      <c r="J430" s="25">
        <v>17006.05</v>
      </c>
      <c r="K430" s="18" t="s">
        <v>3520</v>
      </c>
      <c r="L430" s="27" t="s">
        <v>3520</v>
      </c>
      <c r="M430" s="18"/>
      <c r="N430" s="18"/>
      <c r="O430" s="27">
        <v>17006.05</v>
      </c>
      <c r="P430" s="25">
        <v>4088.27</v>
      </c>
      <c r="Q430" s="28">
        <v>21094.32</v>
      </c>
    </row>
    <row r="431" spans="1:17" x14ac:dyDescent="0.2">
      <c r="A431" s="21" t="s">
        <v>1875</v>
      </c>
      <c r="B431" s="21" t="s">
        <v>3429</v>
      </c>
      <c r="C431" s="21" t="s">
        <v>240</v>
      </c>
      <c r="D431" s="21" t="s">
        <v>3431</v>
      </c>
      <c r="E431" s="22" t="s">
        <v>12</v>
      </c>
      <c r="F431" s="23" t="s">
        <v>1009</v>
      </c>
      <c r="G431" s="34" t="s">
        <v>3434</v>
      </c>
      <c r="H431" s="18">
        <v>38376</v>
      </c>
      <c r="I431" s="39">
        <v>1946.84</v>
      </c>
      <c r="J431" s="25">
        <v>11039.88</v>
      </c>
      <c r="K431" s="18">
        <v>1044.02</v>
      </c>
      <c r="L431" s="27">
        <v>505</v>
      </c>
      <c r="M431" s="18"/>
      <c r="N431" s="18"/>
      <c r="O431" s="27">
        <v>14535.74</v>
      </c>
      <c r="P431" s="25">
        <v>6415.37</v>
      </c>
      <c r="Q431" s="28">
        <v>20951.11</v>
      </c>
    </row>
    <row r="432" spans="1:17" x14ac:dyDescent="0.2">
      <c r="A432" s="21" t="s">
        <v>3435</v>
      </c>
      <c r="B432" s="21" t="s">
        <v>3436</v>
      </c>
      <c r="C432" s="21" t="s">
        <v>1283</v>
      </c>
      <c r="D432" s="21" t="s">
        <v>2898</v>
      </c>
      <c r="E432" s="22" t="s">
        <v>12</v>
      </c>
      <c r="F432" s="23" t="s">
        <v>3440</v>
      </c>
      <c r="G432" s="33" t="s">
        <v>14</v>
      </c>
      <c r="H432" s="18">
        <v>32136</v>
      </c>
      <c r="I432" s="38" t="s">
        <v>14</v>
      </c>
      <c r="J432" s="25">
        <v>11208.98</v>
      </c>
      <c r="K432" s="18">
        <v>654.71</v>
      </c>
      <c r="L432" s="27" t="s">
        <v>3520</v>
      </c>
      <c r="M432" s="18"/>
      <c r="N432" s="18"/>
      <c r="O432" s="27">
        <v>11863.69</v>
      </c>
      <c r="P432" s="25">
        <v>8925.06</v>
      </c>
      <c r="Q432" s="28">
        <v>20788.75</v>
      </c>
    </row>
    <row r="433" spans="1:17" x14ac:dyDescent="0.2">
      <c r="A433" s="21" t="s">
        <v>3443</v>
      </c>
      <c r="B433" s="21" t="s">
        <v>2217</v>
      </c>
      <c r="C433" s="21" t="s">
        <v>256</v>
      </c>
      <c r="D433" s="21" t="s">
        <v>2005</v>
      </c>
      <c r="E433" s="22" t="s">
        <v>12</v>
      </c>
      <c r="F433" s="23" t="s">
        <v>3448</v>
      </c>
      <c r="G433" s="34" t="s">
        <v>3449</v>
      </c>
      <c r="H433" s="18">
        <v>20176</v>
      </c>
      <c r="I433" s="27" t="s">
        <v>3520</v>
      </c>
      <c r="J433" s="25">
        <v>16021.86</v>
      </c>
      <c r="K433" s="18" t="s">
        <v>3520</v>
      </c>
      <c r="L433" s="27">
        <v>511.6</v>
      </c>
      <c r="M433" s="18"/>
      <c r="N433" s="18"/>
      <c r="O433" s="30">
        <v>16533.46</v>
      </c>
      <c r="P433" s="25">
        <v>3974.65</v>
      </c>
      <c r="Q433" s="28">
        <v>20508.11</v>
      </c>
    </row>
    <row r="434" spans="1:17" x14ac:dyDescent="0.2">
      <c r="A434" s="21" t="s">
        <v>3450</v>
      </c>
      <c r="B434" s="21" t="s">
        <v>255</v>
      </c>
      <c r="C434" s="21" t="s">
        <v>65</v>
      </c>
      <c r="D434" s="21" t="s">
        <v>3453</v>
      </c>
      <c r="E434" s="22" t="s">
        <v>12</v>
      </c>
      <c r="F434" s="23" t="s">
        <v>969</v>
      </c>
      <c r="G434" s="34" t="s">
        <v>3456</v>
      </c>
      <c r="H434" s="18">
        <v>59009.599999999999</v>
      </c>
      <c r="I434" s="39">
        <v>209.94</v>
      </c>
      <c r="J434" s="25">
        <v>13458.91</v>
      </c>
      <c r="K434" s="18">
        <v>354.7</v>
      </c>
      <c r="L434" s="27">
        <v>270</v>
      </c>
      <c r="M434" s="18"/>
      <c r="N434" s="18"/>
      <c r="O434" s="31">
        <v>14293.55</v>
      </c>
      <c r="P434" s="25">
        <v>6017.24</v>
      </c>
      <c r="Q434" s="28">
        <v>20310.79</v>
      </c>
    </row>
    <row r="435" spans="1:17" x14ac:dyDescent="0.2">
      <c r="A435" s="21" t="s">
        <v>3457</v>
      </c>
      <c r="B435" s="21" t="s">
        <v>1561</v>
      </c>
      <c r="C435" s="21" t="s">
        <v>81</v>
      </c>
      <c r="D435" s="21" t="s">
        <v>746</v>
      </c>
      <c r="E435" s="22" t="s">
        <v>20</v>
      </c>
      <c r="F435" s="23" t="s">
        <v>1088</v>
      </c>
      <c r="G435" s="33" t="s">
        <v>14</v>
      </c>
      <c r="H435" s="18" t="s">
        <v>2734</v>
      </c>
      <c r="I435" s="38" t="s">
        <v>14</v>
      </c>
      <c r="J435" s="18">
        <v>17851.349999999999</v>
      </c>
      <c r="K435" s="18">
        <v>937.28</v>
      </c>
      <c r="L435" s="27" t="s">
        <v>3520</v>
      </c>
      <c r="M435" s="18"/>
      <c r="N435" s="18"/>
      <c r="O435" s="31">
        <v>18788.63</v>
      </c>
      <c r="P435" s="25">
        <v>1454.77</v>
      </c>
      <c r="Q435" s="28">
        <v>20243.400000000001</v>
      </c>
    </row>
    <row r="436" spans="1:17" x14ac:dyDescent="0.2">
      <c r="A436" s="21" t="s">
        <v>3466</v>
      </c>
      <c r="B436" s="21" t="s">
        <v>288</v>
      </c>
      <c r="C436" s="21" t="s">
        <v>145</v>
      </c>
      <c r="D436" s="21" t="s">
        <v>2147</v>
      </c>
      <c r="E436" s="22" t="s">
        <v>12</v>
      </c>
      <c r="F436" s="23" t="s">
        <v>3321</v>
      </c>
      <c r="G436" s="33" t="s">
        <v>14</v>
      </c>
      <c r="H436" s="18">
        <v>38417.599999999999</v>
      </c>
      <c r="I436" s="38" t="s">
        <v>14</v>
      </c>
      <c r="J436" s="18">
        <v>6050.77</v>
      </c>
      <c r="K436" s="18">
        <v>321.66000000000003</v>
      </c>
      <c r="L436" s="27"/>
      <c r="M436" s="18"/>
      <c r="N436" s="28"/>
      <c r="O436" s="27">
        <v>6372.43</v>
      </c>
      <c r="P436" s="25">
        <v>13788.28</v>
      </c>
      <c r="Q436" s="28">
        <v>20160.71</v>
      </c>
    </row>
    <row r="437" spans="1:17" x14ac:dyDescent="0.2">
      <c r="A437" s="21" t="s">
        <v>3474</v>
      </c>
      <c r="B437" s="21" t="s">
        <v>239</v>
      </c>
      <c r="C437" s="21" t="s">
        <v>886</v>
      </c>
      <c r="D437" s="21" t="s">
        <v>3477</v>
      </c>
      <c r="E437" s="22" t="s">
        <v>12</v>
      </c>
      <c r="F437" s="23" t="s">
        <v>3321</v>
      </c>
      <c r="G437" s="33" t="s">
        <v>14</v>
      </c>
      <c r="H437" s="18">
        <v>39520</v>
      </c>
      <c r="I437" s="38" t="s">
        <v>14</v>
      </c>
      <c r="J437" s="18">
        <v>5966.95</v>
      </c>
      <c r="K437" s="18">
        <v>117.71</v>
      </c>
      <c r="L437" s="27"/>
      <c r="M437" s="28" t="s">
        <v>3520</v>
      </c>
      <c r="N437" s="18"/>
      <c r="O437" s="27">
        <v>6084.66</v>
      </c>
      <c r="P437" s="25">
        <v>13868.38</v>
      </c>
      <c r="Q437" s="28">
        <v>19953.04</v>
      </c>
    </row>
    <row r="438" spans="1:17" x14ac:dyDescent="0.2">
      <c r="A438" s="21" t="s">
        <v>1930</v>
      </c>
      <c r="B438" s="21" t="s">
        <v>1971</v>
      </c>
      <c r="C438" s="21" t="s">
        <v>1371</v>
      </c>
      <c r="D438" s="21" t="s">
        <v>2650</v>
      </c>
      <c r="E438" s="22" t="s">
        <v>12</v>
      </c>
      <c r="F438" s="23" t="s">
        <v>3487</v>
      </c>
      <c r="G438" s="34" t="s">
        <v>3488</v>
      </c>
      <c r="H438" s="18">
        <v>47964.800000000003</v>
      </c>
      <c r="I438" s="39">
        <v>2344.7399999999998</v>
      </c>
      <c r="J438" s="18">
        <v>9400.02</v>
      </c>
      <c r="K438" s="18" t="s">
        <v>3520</v>
      </c>
      <c r="L438" s="43">
        <v>2368</v>
      </c>
      <c r="M438" s="18"/>
      <c r="N438" s="18"/>
      <c r="O438" s="27">
        <v>14112.76</v>
      </c>
      <c r="P438" s="25">
        <v>5542.57</v>
      </c>
      <c r="Q438" s="28">
        <v>19655.330000000002</v>
      </c>
    </row>
    <row r="439" spans="1:17" x14ac:dyDescent="0.2">
      <c r="A439" s="21" t="s">
        <v>1717</v>
      </c>
      <c r="B439" s="21" t="s">
        <v>3490</v>
      </c>
      <c r="C439" s="21" t="s">
        <v>145</v>
      </c>
      <c r="D439" s="21" t="s">
        <v>3492</v>
      </c>
      <c r="E439" s="22" t="s">
        <v>12</v>
      </c>
      <c r="F439" s="23" t="s">
        <v>3321</v>
      </c>
      <c r="G439" s="33" t="s">
        <v>14</v>
      </c>
      <c r="H439" s="18">
        <v>39520</v>
      </c>
      <c r="I439" s="38" t="s">
        <v>14</v>
      </c>
      <c r="J439" s="18">
        <v>5928.38</v>
      </c>
      <c r="K439" s="18">
        <v>63.57</v>
      </c>
      <c r="L439" s="27" t="s">
        <v>3520</v>
      </c>
      <c r="M439" s="18"/>
      <c r="N439" s="18"/>
      <c r="O439" s="27">
        <v>5991.95</v>
      </c>
      <c r="P439" s="25">
        <v>12881.52</v>
      </c>
      <c r="Q439" s="28">
        <v>18873.47</v>
      </c>
    </row>
    <row r="440" spans="1:17" x14ac:dyDescent="0.2">
      <c r="A440" s="21" t="s">
        <v>3497</v>
      </c>
      <c r="B440" s="21" t="s">
        <v>2193</v>
      </c>
      <c r="C440" s="21" t="s">
        <v>1315</v>
      </c>
      <c r="D440" s="21" t="s">
        <v>2250</v>
      </c>
      <c r="E440" s="22" t="s">
        <v>12</v>
      </c>
      <c r="F440" s="23" t="s">
        <v>3502</v>
      </c>
      <c r="G440" s="34" t="s">
        <v>3503</v>
      </c>
      <c r="H440" s="18">
        <v>34985.599999999999</v>
      </c>
      <c r="I440" s="27" t="s">
        <v>3520</v>
      </c>
      <c r="J440" s="25">
        <v>11158.62</v>
      </c>
      <c r="K440" s="18">
        <v>474.46</v>
      </c>
      <c r="L440" s="27">
        <v>959.03</v>
      </c>
      <c r="M440" s="18"/>
      <c r="N440" s="18"/>
      <c r="O440" s="27">
        <v>12592.11</v>
      </c>
      <c r="P440" s="25">
        <v>5944.1</v>
      </c>
      <c r="Q440" s="28">
        <v>18536.21</v>
      </c>
    </row>
    <row r="441" spans="1:17" x14ac:dyDescent="0.2">
      <c r="A441" s="21" t="s">
        <v>3504</v>
      </c>
      <c r="B441" s="21" t="s">
        <v>3505</v>
      </c>
      <c r="C441" s="21" t="s">
        <v>81</v>
      </c>
      <c r="D441" s="21" t="s">
        <v>3256</v>
      </c>
      <c r="E441" s="22" t="s">
        <v>20</v>
      </c>
      <c r="F441" s="23" t="s">
        <v>3509</v>
      </c>
      <c r="G441" s="33" t="s">
        <v>14</v>
      </c>
      <c r="H441" s="18" t="s">
        <v>2734</v>
      </c>
      <c r="I441" s="42" t="s">
        <v>14</v>
      </c>
      <c r="J441" s="18">
        <v>11451.88</v>
      </c>
      <c r="K441" s="18">
        <v>4631.21</v>
      </c>
      <c r="L441" s="27">
        <v>978.98</v>
      </c>
      <c r="M441" s="18"/>
      <c r="N441" s="18"/>
      <c r="O441" s="27">
        <v>17062.07</v>
      </c>
      <c r="P441" s="25">
        <v>1305.25</v>
      </c>
      <c r="Q441" s="28">
        <v>18367.32</v>
      </c>
    </row>
    <row r="442" spans="1:17" x14ac:dyDescent="0.2">
      <c r="A442" s="21" t="s">
        <v>719</v>
      </c>
      <c r="B442" s="21" t="s">
        <v>901</v>
      </c>
      <c r="C442" s="21" t="s">
        <v>18</v>
      </c>
      <c r="D442" s="21" t="s">
        <v>498</v>
      </c>
      <c r="E442" s="22" t="s">
        <v>20</v>
      </c>
      <c r="F442" s="23" t="s">
        <v>2117</v>
      </c>
      <c r="G442" s="34" t="s">
        <v>3519</v>
      </c>
      <c r="H442" s="18">
        <v>61651.72</v>
      </c>
      <c r="I442" s="27"/>
      <c r="J442" s="18">
        <v>8789.16</v>
      </c>
      <c r="K442" s="18">
        <v>274.22000000000003</v>
      </c>
      <c r="L442" s="27">
        <v>9.1999999999999993</v>
      </c>
      <c r="M442" s="18"/>
      <c r="N442" s="18"/>
      <c r="O442" s="30">
        <v>9072.58</v>
      </c>
      <c r="P442" s="25">
        <v>9265.34</v>
      </c>
      <c r="Q442" s="28">
        <v>18337.919999999998</v>
      </c>
    </row>
    <row r="443" spans="1:17" x14ac:dyDescent="0.2">
      <c r="A443" s="21" t="s">
        <v>3521</v>
      </c>
      <c r="B443" s="21" t="s">
        <v>3522</v>
      </c>
      <c r="C443" s="21" t="s">
        <v>65</v>
      </c>
      <c r="D443" s="21" t="s">
        <v>2516</v>
      </c>
      <c r="E443" s="22" t="s">
        <v>12</v>
      </c>
      <c r="F443" s="23" t="s">
        <v>3526</v>
      </c>
      <c r="G443" s="34" t="s">
        <v>3434</v>
      </c>
      <c r="H443" s="18">
        <v>35651.199999999997</v>
      </c>
      <c r="I443" s="39">
        <v>68.05</v>
      </c>
      <c r="J443" s="25">
        <v>10092.870000000001</v>
      </c>
      <c r="K443" s="18">
        <v>42.67</v>
      </c>
      <c r="L443" s="27">
        <v>588.33000000000004</v>
      </c>
      <c r="M443" s="18"/>
      <c r="N443" s="18"/>
      <c r="O443" s="30">
        <v>10791.92</v>
      </c>
      <c r="P443" s="25">
        <v>7527.27</v>
      </c>
      <c r="Q443" s="28">
        <v>18319.29</v>
      </c>
    </row>
    <row r="444" spans="1:17" x14ac:dyDescent="0.2">
      <c r="A444" s="21" t="s">
        <v>3528</v>
      </c>
      <c r="B444" s="21" t="s">
        <v>3344</v>
      </c>
      <c r="C444" s="21" t="s">
        <v>256</v>
      </c>
      <c r="D444" s="21" t="s">
        <v>2005</v>
      </c>
      <c r="E444" s="22" t="s">
        <v>12</v>
      </c>
      <c r="F444" s="23" t="s">
        <v>3526</v>
      </c>
      <c r="G444" s="33" t="s">
        <v>14</v>
      </c>
      <c r="H444" s="18">
        <v>8356.4</v>
      </c>
      <c r="I444" s="38" t="s">
        <v>14</v>
      </c>
      <c r="J444" s="25">
        <v>14446.83</v>
      </c>
      <c r="K444" s="18" t="s">
        <v>3520</v>
      </c>
      <c r="L444" s="27" t="s">
        <v>3520</v>
      </c>
      <c r="M444" s="18"/>
      <c r="N444" s="18"/>
      <c r="O444" s="30">
        <v>14446.83</v>
      </c>
      <c r="P444" s="25">
        <v>3473.02</v>
      </c>
      <c r="Q444" s="28">
        <v>17919.849999999999</v>
      </c>
    </row>
    <row r="445" spans="1:17" x14ac:dyDescent="0.2">
      <c r="A445" s="21" t="s">
        <v>3536</v>
      </c>
      <c r="B445" s="21" t="s">
        <v>255</v>
      </c>
      <c r="C445" s="21" t="s">
        <v>65</v>
      </c>
      <c r="D445" s="21" t="s">
        <v>1736</v>
      </c>
      <c r="E445" s="22" t="s">
        <v>12</v>
      </c>
      <c r="F445" s="23" t="s">
        <v>644</v>
      </c>
      <c r="G445" s="34" t="s">
        <v>3542</v>
      </c>
      <c r="H445" s="18">
        <v>43596.800000000003</v>
      </c>
      <c r="I445" s="39">
        <v>2158.46</v>
      </c>
      <c r="J445" s="25">
        <v>11080.87</v>
      </c>
      <c r="K445" s="18" t="s">
        <v>3520</v>
      </c>
      <c r="L445" s="27">
        <v>672.5</v>
      </c>
      <c r="M445" s="18"/>
      <c r="N445" s="18"/>
      <c r="O445" s="27">
        <v>13911.83</v>
      </c>
      <c r="P445" s="25">
        <v>3415</v>
      </c>
      <c r="Q445" s="28">
        <v>17326.830000000002</v>
      </c>
    </row>
    <row r="446" spans="1:17" x14ac:dyDescent="0.2">
      <c r="A446" s="21" t="s">
        <v>3543</v>
      </c>
      <c r="B446" s="21" t="s">
        <v>3544</v>
      </c>
      <c r="C446" s="21" t="s">
        <v>65</v>
      </c>
      <c r="D446" s="21" t="s">
        <v>2195</v>
      </c>
      <c r="E446" s="22" t="s">
        <v>12</v>
      </c>
      <c r="F446" s="23" t="s">
        <v>1573</v>
      </c>
      <c r="G446" s="34" t="s">
        <v>3549</v>
      </c>
      <c r="H446" s="18">
        <v>33862.400000000001</v>
      </c>
      <c r="I446" s="39">
        <v>120.47</v>
      </c>
      <c r="J446" s="18">
        <v>9205.52</v>
      </c>
      <c r="K446" s="18">
        <v>260.72000000000003</v>
      </c>
      <c r="L446" s="43">
        <v>100</v>
      </c>
      <c r="M446" s="18"/>
      <c r="N446" s="18"/>
      <c r="O446" s="27">
        <v>9686.7099999999991</v>
      </c>
      <c r="P446" s="25">
        <v>6833.22</v>
      </c>
      <c r="Q446" s="28">
        <v>16519.93</v>
      </c>
    </row>
    <row r="447" spans="1:17" x14ac:dyDescent="0.2">
      <c r="A447" s="21" t="s">
        <v>3550</v>
      </c>
      <c r="B447" s="21" t="s">
        <v>384</v>
      </c>
      <c r="C447" s="21" t="s">
        <v>81</v>
      </c>
      <c r="D447" s="21" t="s">
        <v>746</v>
      </c>
      <c r="E447" s="22" t="s">
        <v>20</v>
      </c>
      <c r="F447" s="23" t="s">
        <v>796</v>
      </c>
      <c r="G447" s="33" t="s">
        <v>14</v>
      </c>
      <c r="H447" s="18" t="s">
        <v>2734</v>
      </c>
      <c r="I447" s="38" t="s">
        <v>14</v>
      </c>
      <c r="J447" s="18">
        <v>10613.6</v>
      </c>
      <c r="K447" s="18">
        <v>3007.45</v>
      </c>
      <c r="L447" s="27">
        <v>988.7</v>
      </c>
      <c r="M447" s="18"/>
      <c r="N447" s="18"/>
      <c r="O447" s="27">
        <v>14609.75</v>
      </c>
      <c r="P447" s="25">
        <v>1176.5899999999999</v>
      </c>
      <c r="Q447" s="28">
        <v>15786.34</v>
      </c>
    </row>
    <row r="448" spans="1:17" x14ac:dyDescent="0.2">
      <c r="A448" s="21" t="s">
        <v>3559</v>
      </c>
      <c r="B448" s="21" t="s">
        <v>3560</v>
      </c>
      <c r="C448" s="21" t="s">
        <v>65</v>
      </c>
      <c r="D448" s="21" t="s">
        <v>3162</v>
      </c>
      <c r="E448" s="22" t="s">
        <v>12</v>
      </c>
      <c r="F448" s="23" t="s">
        <v>1755</v>
      </c>
      <c r="G448" s="34" t="s">
        <v>3565</v>
      </c>
      <c r="H448" s="18">
        <v>32136</v>
      </c>
      <c r="I448" s="39">
        <v>342.99</v>
      </c>
      <c r="J448" s="18">
        <v>6343.77</v>
      </c>
      <c r="K448" s="18">
        <v>409.27</v>
      </c>
      <c r="L448" s="43">
        <v>193.9</v>
      </c>
      <c r="M448" s="18"/>
      <c r="N448" s="18"/>
      <c r="O448" s="27">
        <v>7289.93</v>
      </c>
      <c r="P448" s="25">
        <v>7950.86</v>
      </c>
      <c r="Q448" s="28">
        <v>15240.79</v>
      </c>
    </row>
    <row r="449" spans="1:17" ht="17" thickBot="1" x14ac:dyDescent="0.25">
      <c r="A449" s="21" t="s">
        <v>3566</v>
      </c>
      <c r="B449" s="21" t="s">
        <v>3567</v>
      </c>
      <c r="C449" s="21" t="s">
        <v>1442</v>
      </c>
      <c r="D449" s="21" t="s">
        <v>3020</v>
      </c>
      <c r="E449" s="22" t="s">
        <v>12</v>
      </c>
      <c r="F449" s="23" t="s">
        <v>1730</v>
      </c>
      <c r="G449" s="34" t="s">
        <v>3572</v>
      </c>
      <c r="H449" s="18">
        <v>35651.199999999997</v>
      </c>
      <c r="I449" s="39">
        <v>652.69000000000005</v>
      </c>
      <c r="J449" s="25">
        <v>10095.9</v>
      </c>
      <c r="K449" s="18">
        <v>47.56</v>
      </c>
      <c r="L449" s="31">
        <v>113.33</v>
      </c>
      <c r="M449" s="18"/>
      <c r="N449" s="18"/>
      <c r="O449" s="27">
        <v>10909.48</v>
      </c>
      <c r="P449" s="25">
        <v>3454.79</v>
      </c>
      <c r="Q449" s="28">
        <v>14364.27</v>
      </c>
    </row>
    <row r="450" spans="1:17" x14ac:dyDescent="0.2">
      <c r="A450" s="10" t="s">
        <v>3573</v>
      </c>
      <c r="B450" s="10" t="s">
        <v>3574</v>
      </c>
      <c r="C450" s="10" t="s">
        <v>65</v>
      </c>
      <c r="D450" s="10" t="s">
        <v>594</v>
      </c>
      <c r="E450" s="11" t="s">
        <v>20</v>
      </c>
      <c r="F450" s="12" t="s">
        <v>3357</v>
      </c>
      <c r="G450" s="32" t="s">
        <v>14</v>
      </c>
      <c r="H450" s="16">
        <v>58822.400000000001</v>
      </c>
      <c r="I450" s="44" t="s">
        <v>14</v>
      </c>
      <c r="J450" s="16">
        <v>4524.8</v>
      </c>
      <c r="K450" s="16">
        <v>651.21</v>
      </c>
      <c r="L450" s="45">
        <v>3.68</v>
      </c>
      <c r="M450" s="18"/>
      <c r="N450" s="18"/>
      <c r="O450" s="17">
        <v>5179.6899999999996</v>
      </c>
      <c r="P450" s="14">
        <v>8322.33</v>
      </c>
      <c r="Q450" s="20">
        <v>13502.02</v>
      </c>
    </row>
    <row r="451" spans="1:17" x14ac:dyDescent="0.2">
      <c r="A451" s="21" t="s">
        <v>3581</v>
      </c>
      <c r="B451" s="21" t="s">
        <v>3582</v>
      </c>
      <c r="C451" s="21" t="s">
        <v>65</v>
      </c>
      <c r="D451" s="21" t="s">
        <v>3309</v>
      </c>
      <c r="E451" s="22" t="s">
        <v>12</v>
      </c>
      <c r="F451" s="23" t="s">
        <v>3586</v>
      </c>
      <c r="G451" s="34" t="s">
        <v>3587</v>
      </c>
      <c r="H451" s="18" t="s">
        <v>3313</v>
      </c>
      <c r="I451" s="27" t="s">
        <v>3520</v>
      </c>
      <c r="J451" s="25">
        <v>12165.13</v>
      </c>
      <c r="K451" s="18" t="s">
        <v>3520</v>
      </c>
      <c r="L451" s="40"/>
      <c r="M451" s="18" t="s">
        <v>3520</v>
      </c>
      <c r="N451" s="18"/>
      <c r="O451" s="30">
        <v>12165.13</v>
      </c>
      <c r="P451" s="25">
        <v>930.65</v>
      </c>
      <c r="Q451" s="28">
        <v>13095.78</v>
      </c>
    </row>
    <row r="452" spans="1:17" x14ac:dyDescent="0.2">
      <c r="A452" s="21" t="s">
        <v>3589</v>
      </c>
      <c r="B452" s="21" t="s">
        <v>25</v>
      </c>
      <c r="C452" s="21" t="s">
        <v>256</v>
      </c>
      <c r="D452" s="21" t="s">
        <v>2005</v>
      </c>
      <c r="E452" s="22" t="s">
        <v>12</v>
      </c>
      <c r="F452" s="23" t="s">
        <v>3594</v>
      </c>
      <c r="G452" s="33" t="s">
        <v>14</v>
      </c>
      <c r="H452" s="18">
        <v>8554</v>
      </c>
      <c r="I452" s="42" t="s">
        <v>14</v>
      </c>
      <c r="J452" s="25">
        <v>10049.24</v>
      </c>
      <c r="K452" s="18" t="s">
        <v>3520</v>
      </c>
      <c r="L452" s="40"/>
      <c r="M452" s="18" t="s">
        <v>3520</v>
      </c>
      <c r="N452" s="18"/>
      <c r="O452" s="31">
        <v>10049.24</v>
      </c>
      <c r="P452" s="25">
        <v>2415.83</v>
      </c>
      <c r="Q452" s="28">
        <v>12465.07</v>
      </c>
    </row>
    <row r="453" spans="1:17" x14ac:dyDescent="0.2">
      <c r="A453" s="21" t="s">
        <v>3597</v>
      </c>
      <c r="B453" s="21" t="s">
        <v>760</v>
      </c>
      <c r="C453" s="21" t="s">
        <v>824</v>
      </c>
      <c r="D453" s="21" t="s">
        <v>1611</v>
      </c>
      <c r="E453" s="22" t="s">
        <v>12</v>
      </c>
      <c r="F453" s="23" t="s">
        <v>3602</v>
      </c>
      <c r="G453" s="33" t="s">
        <v>14</v>
      </c>
      <c r="H453" s="18">
        <v>33280</v>
      </c>
      <c r="I453" s="42" t="s">
        <v>14</v>
      </c>
      <c r="J453" s="18">
        <v>3840.48</v>
      </c>
      <c r="K453" s="18">
        <v>92.16</v>
      </c>
      <c r="L453" s="40"/>
      <c r="M453" s="18" t="s">
        <v>3520</v>
      </c>
      <c r="N453" s="18"/>
      <c r="O453" s="27">
        <v>3932.64</v>
      </c>
      <c r="P453" s="25">
        <v>7948.39</v>
      </c>
      <c r="Q453" s="28">
        <v>11881.03</v>
      </c>
    </row>
    <row r="454" spans="1:17" x14ac:dyDescent="0.2">
      <c r="A454" s="21" t="s">
        <v>3605</v>
      </c>
      <c r="B454" s="21" t="s">
        <v>3606</v>
      </c>
      <c r="C454" s="21" t="s">
        <v>65</v>
      </c>
      <c r="D454" s="21" t="s">
        <v>1728</v>
      </c>
      <c r="E454" s="22" t="s">
        <v>12</v>
      </c>
      <c r="F454" s="23" t="s">
        <v>3357</v>
      </c>
      <c r="G454" s="33" t="s">
        <v>14</v>
      </c>
      <c r="H454" s="18">
        <v>39208</v>
      </c>
      <c r="I454" s="42" t="s">
        <v>14</v>
      </c>
      <c r="J454" s="18">
        <v>3016</v>
      </c>
      <c r="K454" s="18">
        <v>42.98</v>
      </c>
      <c r="L454" s="27">
        <v>229.03</v>
      </c>
      <c r="M454" s="18"/>
      <c r="N454" s="18"/>
      <c r="O454" s="27">
        <v>3288.01</v>
      </c>
      <c r="P454" s="25">
        <v>7862.04</v>
      </c>
      <c r="Q454" s="28">
        <v>11150.05</v>
      </c>
    </row>
    <row r="455" spans="1:17" x14ac:dyDescent="0.2">
      <c r="A455" s="21" t="s">
        <v>3613</v>
      </c>
      <c r="B455" s="21" t="s">
        <v>3614</v>
      </c>
      <c r="C455" s="21" t="s">
        <v>256</v>
      </c>
      <c r="D455" s="21" t="s">
        <v>2005</v>
      </c>
      <c r="E455" s="22" t="s">
        <v>12</v>
      </c>
      <c r="F455" s="23" t="s">
        <v>1239</v>
      </c>
      <c r="G455" s="33" t="s">
        <v>14</v>
      </c>
      <c r="H455" s="18">
        <v>8590.4</v>
      </c>
      <c r="I455" s="42" t="s">
        <v>14</v>
      </c>
      <c r="J455" s="18">
        <v>8717.61</v>
      </c>
      <c r="K455" s="18" t="s">
        <v>3520</v>
      </c>
      <c r="L455" s="43">
        <v>240</v>
      </c>
      <c r="M455" s="18"/>
      <c r="N455" s="18"/>
      <c r="O455" s="27">
        <v>8957.61</v>
      </c>
      <c r="P455" s="25">
        <v>2153.4</v>
      </c>
      <c r="Q455" s="28">
        <v>11111.01</v>
      </c>
    </row>
    <row r="456" spans="1:17" x14ac:dyDescent="0.2">
      <c r="A456" s="21" t="s">
        <v>246</v>
      </c>
      <c r="B456" s="21" t="s">
        <v>807</v>
      </c>
      <c r="C456" s="21" t="s">
        <v>240</v>
      </c>
      <c r="D456" s="21" t="s">
        <v>2250</v>
      </c>
      <c r="E456" s="22" t="s">
        <v>12</v>
      </c>
      <c r="F456" s="23" t="s">
        <v>3626</v>
      </c>
      <c r="G456" s="34" t="s">
        <v>3046</v>
      </c>
      <c r="H456" s="18">
        <v>16712.8</v>
      </c>
      <c r="I456" s="27"/>
      <c r="J456" s="18">
        <v>8832.41</v>
      </c>
      <c r="K456" s="18" t="s">
        <v>3520</v>
      </c>
      <c r="L456" s="27" t="s">
        <v>3520</v>
      </c>
      <c r="M456" s="18"/>
      <c r="N456" s="18"/>
      <c r="O456" s="30">
        <v>8832.41</v>
      </c>
      <c r="P456" s="25">
        <v>2123.31</v>
      </c>
      <c r="Q456" s="28">
        <v>10955.72</v>
      </c>
    </row>
    <row r="457" spans="1:17" x14ac:dyDescent="0.2">
      <c r="A457" s="21" t="s">
        <v>3628</v>
      </c>
      <c r="B457" s="21" t="s">
        <v>3629</v>
      </c>
      <c r="C457" s="21" t="s">
        <v>256</v>
      </c>
      <c r="D457" s="21" t="s">
        <v>2005</v>
      </c>
      <c r="E457" s="22" t="s">
        <v>12</v>
      </c>
      <c r="F457" s="23" t="s">
        <v>1088</v>
      </c>
      <c r="G457" s="34" t="s">
        <v>3634</v>
      </c>
      <c r="H457" s="18">
        <v>16712.8</v>
      </c>
      <c r="I457" s="27"/>
      <c r="J457" s="18">
        <v>8828.1200000000008</v>
      </c>
      <c r="K457" s="18" t="s">
        <v>3520</v>
      </c>
      <c r="L457" s="27" t="s">
        <v>3520</v>
      </c>
      <c r="M457" s="18"/>
      <c r="N457" s="18"/>
      <c r="O457" s="30">
        <v>8828.1200000000008</v>
      </c>
      <c r="P457" s="25">
        <v>2122.29</v>
      </c>
      <c r="Q457" s="28">
        <v>10950.41</v>
      </c>
    </row>
    <row r="458" spans="1:17" x14ac:dyDescent="0.2">
      <c r="A458" s="21" t="s">
        <v>3635</v>
      </c>
      <c r="B458" s="21" t="s">
        <v>384</v>
      </c>
      <c r="C458" s="21" t="s">
        <v>2507</v>
      </c>
      <c r="D458" s="21" t="s">
        <v>3638</v>
      </c>
      <c r="E458" s="22" t="s">
        <v>12</v>
      </c>
      <c r="F458" s="23" t="s">
        <v>2438</v>
      </c>
      <c r="G458" s="34" t="s">
        <v>3641</v>
      </c>
      <c r="H458" s="18">
        <v>32136</v>
      </c>
      <c r="I458" s="39">
        <v>207.49</v>
      </c>
      <c r="J458" s="18">
        <v>6973.81</v>
      </c>
      <c r="K458" s="18">
        <v>71.849999999999994</v>
      </c>
      <c r="L458" s="27" t="s">
        <v>3520</v>
      </c>
      <c r="M458" s="18"/>
      <c r="N458" s="18"/>
      <c r="O458" s="31">
        <v>7253.15</v>
      </c>
      <c r="P458" s="25">
        <v>3293.76</v>
      </c>
      <c r="Q458" s="28">
        <v>10546.91</v>
      </c>
    </row>
    <row r="459" spans="1:17" x14ac:dyDescent="0.2">
      <c r="A459" s="21" t="s">
        <v>24</v>
      </c>
      <c r="B459" s="21" t="s">
        <v>3643</v>
      </c>
      <c r="C459" s="21" t="s">
        <v>65</v>
      </c>
      <c r="D459" s="21" t="s">
        <v>3309</v>
      </c>
      <c r="E459" s="22" t="s">
        <v>12</v>
      </c>
      <c r="F459" s="23" t="s">
        <v>850</v>
      </c>
      <c r="G459" s="33" t="s">
        <v>14</v>
      </c>
      <c r="H459" s="18" t="s">
        <v>3313</v>
      </c>
      <c r="I459" s="38" t="s">
        <v>14</v>
      </c>
      <c r="J459" s="18">
        <v>9769.4</v>
      </c>
      <c r="K459" s="18" t="s">
        <v>3520</v>
      </c>
      <c r="L459" s="27"/>
      <c r="M459" s="18"/>
      <c r="N459" s="28"/>
      <c r="O459" s="30">
        <v>9769.4</v>
      </c>
      <c r="P459" s="25">
        <v>747.36</v>
      </c>
      <c r="Q459" s="28">
        <v>10516.76</v>
      </c>
    </row>
    <row r="460" spans="1:17" x14ac:dyDescent="0.2">
      <c r="A460" s="21" t="s">
        <v>900</v>
      </c>
      <c r="B460" s="21" t="s">
        <v>1773</v>
      </c>
      <c r="C460" s="21" t="s">
        <v>81</v>
      </c>
      <c r="D460" s="21" t="s">
        <v>378</v>
      </c>
      <c r="E460" s="22" t="s">
        <v>20</v>
      </c>
      <c r="F460" s="23" t="s">
        <v>2708</v>
      </c>
      <c r="G460" s="33" t="s">
        <v>14</v>
      </c>
      <c r="H460" s="18" t="s">
        <v>2734</v>
      </c>
      <c r="I460" s="38" t="s">
        <v>14</v>
      </c>
      <c r="J460" s="25">
        <v>8397.1</v>
      </c>
      <c r="K460" s="18">
        <v>1134.02</v>
      </c>
      <c r="L460" s="27">
        <v>96.36</v>
      </c>
      <c r="M460" s="18"/>
      <c r="N460" s="18"/>
      <c r="O460" s="31">
        <v>9627.48</v>
      </c>
      <c r="P460" s="25">
        <v>736.51</v>
      </c>
      <c r="Q460" s="28">
        <v>10363.99</v>
      </c>
    </row>
    <row r="461" spans="1:17" x14ac:dyDescent="0.2">
      <c r="A461" s="21" t="s">
        <v>3660</v>
      </c>
      <c r="B461" s="21" t="s">
        <v>3661</v>
      </c>
      <c r="C461" s="21" t="s">
        <v>2850</v>
      </c>
      <c r="D461" s="21" t="s">
        <v>2851</v>
      </c>
      <c r="E461" s="22" t="s">
        <v>12</v>
      </c>
      <c r="F461" s="23" t="s">
        <v>3357</v>
      </c>
      <c r="G461" s="33" t="s">
        <v>14</v>
      </c>
      <c r="H461" s="18">
        <v>41163.199999999997</v>
      </c>
      <c r="I461" s="38" t="s">
        <v>14</v>
      </c>
      <c r="J461" s="18">
        <v>3191.14</v>
      </c>
      <c r="K461" s="18" t="s">
        <v>3520</v>
      </c>
      <c r="L461" s="27"/>
      <c r="M461" s="18"/>
      <c r="N461" s="28"/>
      <c r="O461" s="27">
        <v>3191.14</v>
      </c>
      <c r="P461" s="25">
        <v>6935.58</v>
      </c>
      <c r="Q461" s="28">
        <v>10126.719999999999</v>
      </c>
    </row>
    <row r="462" spans="1:17" x14ac:dyDescent="0.2">
      <c r="A462" s="21" t="s">
        <v>375</v>
      </c>
      <c r="B462" s="21" t="s">
        <v>760</v>
      </c>
      <c r="C462" s="21" t="s">
        <v>1474</v>
      </c>
      <c r="D462" s="21" t="s">
        <v>2547</v>
      </c>
      <c r="E462" s="22" t="s">
        <v>12</v>
      </c>
      <c r="F462" s="23" t="s">
        <v>3673</v>
      </c>
      <c r="G462" s="34" t="s">
        <v>2316</v>
      </c>
      <c r="H462" s="18">
        <v>48880</v>
      </c>
      <c r="I462" s="39">
        <v>89.3</v>
      </c>
      <c r="J462" s="18">
        <v>7602.49</v>
      </c>
      <c r="K462" s="18">
        <v>81.44</v>
      </c>
      <c r="L462" s="27" t="s">
        <v>3520</v>
      </c>
      <c r="M462" s="18"/>
      <c r="N462" s="18"/>
      <c r="O462" s="30">
        <v>7773.23</v>
      </c>
      <c r="P462" s="25">
        <v>1928.75</v>
      </c>
      <c r="Q462" s="28">
        <v>9701.98</v>
      </c>
    </row>
    <row r="463" spans="1:17" x14ac:dyDescent="0.2">
      <c r="A463" s="21" t="s">
        <v>3675</v>
      </c>
      <c r="B463" s="21" t="s">
        <v>917</v>
      </c>
      <c r="C463" s="21" t="s">
        <v>81</v>
      </c>
      <c r="D463" s="21" t="s">
        <v>3256</v>
      </c>
      <c r="E463" s="22" t="s">
        <v>20</v>
      </c>
      <c r="F463" s="23" t="s">
        <v>668</v>
      </c>
      <c r="G463" s="33" t="s">
        <v>14</v>
      </c>
      <c r="H463" s="18" t="s">
        <v>2734</v>
      </c>
      <c r="I463" s="38" t="s">
        <v>14</v>
      </c>
      <c r="J463" s="25">
        <v>7810.17</v>
      </c>
      <c r="K463" s="18" t="s">
        <v>3520</v>
      </c>
      <c r="L463" s="27">
        <v>494.43</v>
      </c>
      <c r="M463" s="18"/>
      <c r="N463" s="18"/>
      <c r="O463" s="31">
        <v>8304.6</v>
      </c>
      <c r="P463" s="25">
        <v>635.29</v>
      </c>
      <c r="Q463" s="28">
        <v>8939.89</v>
      </c>
    </row>
    <row r="464" spans="1:17" x14ac:dyDescent="0.2">
      <c r="A464" s="21" t="s">
        <v>3684</v>
      </c>
      <c r="B464" s="21" t="s">
        <v>3685</v>
      </c>
      <c r="C464" s="21" t="s">
        <v>256</v>
      </c>
      <c r="D464" s="21" t="s">
        <v>2005</v>
      </c>
      <c r="E464" s="22" t="s">
        <v>12</v>
      </c>
      <c r="F464" s="23" t="s">
        <v>1871</v>
      </c>
      <c r="G464" s="34" t="s">
        <v>3690</v>
      </c>
      <c r="H464" s="18">
        <v>16068</v>
      </c>
      <c r="I464" s="27"/>
      <c r="J464" s="18">
        <v>6979.83</v>
      </c>
      <c r="K464" s="18" t="s">
        <v>3520</v>
      </c>
      <c r="L464" s="27" t="s">
        <v>3520</v>
      </c>
      <c r="M464" s="18"/>
      <c r="N464" s="18"/>
      <c r="O464" s="30">
        <v>6979.83</v>
      </c>
      <c r="P464" s="25">
        <v>1677.94</v>
      </c>
      <c r="Q464" s="28">
        <v>8657.77</v>
      </c>
    </row>
    <row r="465" spans="1:17" x14ac:dyDescent="0.2">
      <c r="A465" s="21" t="s">
        <v>3691</v>
      </c>
      <c r="B465" s="21" t="s">
        <v>1995</v>
      </c>
      <c r="C465" s="21" t="s">
        <v>81</v>
      </c>
      <c r="D465" s="21" t="s">
        <v>746</v>
      </c>
      <c r="E465" s="22" t="s">
        <v>20</v>
      </c>
      <c r="F465" s="23" t="s">
        <v>2369</v>
      </c>
      <c r="G465" s="34" t="s">
        <v>3697</v>
      </c>
      <c r="H465" s="18" t="s">
        <v>2734</v>
      </c>
      <c r="I465" s="27"/>
      <c r="J465" s="18">
        <v>7920.57</v>
      </c>
      <c r="K465" s="18" t="s">
        <v>3520</v>
      </c>
      <c r="L465" s="27" t="s">
        <v>3520</v>
      </c>
      <c r="M465" s="18"/>
      <c r="N465" s="18"/>
      <c r="O465" s="30">
        <v>7920.57</v>
      </c>
      <c r="P465" s="25">
        <v>605.91999999999996</v>
      </c>
      <c r="Q465" s="28">
        <v>8526.49</v>
      </c>
    </row>
    <row r="466" spans="1:17" x14ac:dyDescent="0.2">
      <c r="A466" s="21" t="s">
        <v>3699</v>
      </c>
      <c r="B466" s="21" t="s">
        <v>168</v>
      </c>
      <c r="C466" s="21" t="s">
        <v>256</v>
      </c>
      <c r="D466" s="21" t="s">
        <v>2005</v>
      </c>
      <c r="E466" s="22" t="s">
        <v>12</v>
      </c>
      <c r="F466" s="23" t="s">
        <v>3704</v>
      </c>
      <c r="G466" s="33" t="s">
        <v>14</v>
      </c>
      <c r="H466" s="18">
        <v>32136</v>
      </c>
      <c r="I466" s="38" t="s">
        <v>14</v>
      </c>
      <c r="J466" s="18">
        <v>6536.59</v>
      </c>
      <c r="K466" s="18" t="s">
        <v>3520</v>
      </c>
      <c r="L466" s="27"/>
      <c r="M466" s="18"/>
      <c r="N466" s="28"/>
      <c r="O466" s="31">
        <v>6536.59</v>
      </c>
      <c r="P466" s="25">
        <v>1571.4</v>
      </c>
      <c r="Q466" s="28">
        <v>8107.99</v>
      </c>
    </row>
    <row r="467" spans="1:17" x14ac:dyDescent="0.2">
      <c r="A467" s="21" t="s">
        <v>111</v>
      </c>
      <c r="B467" s="21" t="s">
        <v>1171</v>
      </c>
      <c r="C467" s="21" t="s">
        <v>81</v>
      </c>
      <c r="D467" s="21" t="s">
        <v>378</v>
      </c>
      <c r="E467" s="22" t="s">
        <v>20</v>
      </c>
      <c r="F467" s="23" t="s">
        <v>1755</v>
      </c>
      <c r="G467" s="33" t="s">
        <v>14</v>
      </c>
      <c r="H467" s="18" t="s">
        <v>2734</v>
      </c>
      <c r="I467" s="38" t="s">
        <v>14</v>
      </c>
      <c r="J467" s="25">
        <v>6961.85</v>
      </c>
      <c r="K467" s="18">
        <v>555.17999999999995</v>
      </c>
      <c r="L467" s="31" t="s">
        <v>3520</v>
      </c>
      <c r="M467" s="18"/>
      <c r="N467" s="18"/>
      <c r="O467" s="31">
        <v>7517.03</v>
      </c>
      <c r="P467" s="25">
        <v>575.05999999999995</v>
      </c>
      <c r="Q467" s="28">
        <v>8092.09</v>
      </c>
    </row>
    <row r="468" spans="1:17" x14ac:dyDescent="0.2">
      <c r="A468" s="21" t="s">
        <v>2064</v>
      </c>
      <c r="B468" s="21" t="s">
        <v>3717</v>
      </c>
      <c r="C468" s="21" t="s">
        <v>3718</v>
      </c>
      <c r="D468" s="21" t="s">
        <v>3719</v>
      </c>
      <c r="E468" s="22" t="s">
        <v>12</v>
      </c>
      <c r="F468" s="23" t="s">
        <v>3721</v>
      </c>
      <c r="G468" s="33" t="s">
        <v>14</v>
      </c>
      <c r="H468" s="18" t="s">
        <v>3723</v>
      </c>
      <c r="I468" s="38" t="s">
        <v>14</v>
      </c>
      <c r="J468" s="25">
        <v>4978.29</v>
      </c>
      <c r="K468" s="18" t="s">
        <v>3520</v>
      </c>
      <c r="L468" s="27">
        <v>2489.59</v>
      </c>
      <c r="M468" s="18"/>
      <c r="N468" s="18"/>
      <c r="O468" s="31">
        <v>7467.88</v>
      </c>
      <c r="P468" s="25">
        <v>571.28</v>
      </c>
      <c r="Q468" s="28">
        <v>8039.16</v>
      </c>
    </row>
    <row r="469" spans="1:17" x14ac:dyDescent="0.2">
      <c r="A469" s="21" t="s">
        <v>3725</v>
      </c>
      <c r="B469" s="21" t="s">
        <v>112</v>
      </c>
      <c r="C469" s="21" t="s">
        <v>65</v>
      </c>
      <c r="D469" s="21" t="s">
        <v>2123</v>
      </c>
      <c r="E469" s="22" t="s">
        <v>12</v>
      </c>
      <c r="F469" s="23" t="s">
        <v>1374</v>
      </c>
      <c r="G469" s="33" t="s">
        <v>14</v>
      </c>
      <c r="H469" s="18" t="s">
        <v>2734</v>
      </c>
      <c r="I469" s="38" t="s">
        <v>14</v>
      </c>
      <c r="J469" s="18">
        <v>6827.17</v>
      </c>
      <c r="K469" s="18" t="s">
        <v>3520</v>
      </c>
      <c r="L469" s="27">
        <v>622.72</v>
      </c>
      <c r="M469" s="18"/>
      <c r="N469" s="18"/>
      <c r="O469" s="31">
        <v>7449.89</v>
      </c>
      <c r="P469" s="25">
        <v>569.92999999999995</v>
      </c>
      <c r="Q469" s="28">
        <v>8019.82</v>
      </c>
    </row>
    <row r="470" spans="1:17" x14ac:dyDescent="0.2">
      <c r="A470" s="21" t="s">
        <v>3734</v>
      </c>
      <c r="B470" s="21" t="s">
        <v>3735</v>
      </c>
      <c r="C470" s="21" t="s">
        <v>18</v>
      </c>
      <c r="D470" s="21" t="s">
        <v>498</v>
      </c>
      <c r="E470" s="22" t="s">
        <v>20</v>
      </c>
      <c r="F470" s="23" t="s">
        <v>2038</v>
      </c>
      <c r="G470" s="34" t="s">
        <v>3740</v>
      </c>
      <c r="H470" s="18">
        <v>52556.92</v>
      </c>
      <c r="I470" s="39">
        <v>2321.39</v>
      </c>
      <c r="J470" s="18">
        <v>3614.27</v>
      </c>
      <c r="K470" s="18" t="s">
        <v>3520</v>
      </c>
      <c r="L470" s="43">
        <v>419.54</v>
      </c>
      <c r="M470" s="18"/>
      <c r="N470" s="18"/>
      <c r="O470" s="31">
        <v>6355.2</v>
      </c>
      <c r="P470" s="25">
        <v>1552</v>
      </c>
      <c r="Q470" s="28">
        <v>7907.2</v>
      </c>
    </row>
    <row r="471" spans="1:17" x14ac:dyDescent="0.2">
      <c r="A471" s="21" t="s">
        <v>3741</v>
      </c>
      <c r="B471" s="21" t="s">
        <v>384</v>
      </c>
      <c r="C471" s="21" t="s">
        <v>2507</v>
      </c>
      <c r="D471" s="21" t="s">
        <v>3638</v>
      </c>
      <c r="E471" s="22" t="s">
        <v>12</v>
      </c>
      <c r="F471" s="23" t="s">
        <v>1755</v>
      </c>
      <c r="G471" s="34" t="s">
        <v>3747</v>
      </c>
      <c r="H471" s="18" t="s">
        <v>3313</v>
      </c>
      <c r="I471" s="27"/>
      <c r="J471" s="18">
        <v>7234.46</v>
      </c>
      <c r="K471" s="18">
        <v>35.92</v>
      </c>
      <c r="L471" s="27" t="s">
        <v>3520</v>
      </c>
      <c r="M471" s="18"/>
      <c r="N471" s="18"/>
      <c r="O471" s="30">
        <v>7270.38</v>
      </c>
      <c r="P471" s="25">
        <v>573.64</v>
      </c>
      <c r="Q471" s="28">
        <v>7844.02</v>
      </c>
    </row>
    <row r="472" spans="1:17" x14ac:dyDescent="0.2">
      <c r="A472" s="21" t="s">
        <v>3749</v>
      </c>
      <c r="B472" s="21" t="s">
        <v>17</v>
      </c>
      <c r="C472" s="21" t="s">
        <v>65</v>
      </c>
      <c r="D472" s="21" t="s">
        <v>3309</v>
      </c>
      <c r="E472" s="22" t="s">
        <v>12</v>
      </c>
      <c r="F472" s="23" t="s">
        <v>1429</v>
      </c>
      <c r="G472" s="33" t="s">
        <v>14</v>
      </c>
      <c r="H472" s="18" t="s">
        <v>3313</v>
      </c>
      <c r="I472" s="42" t="s">
        <v>14</v>
      </c>
      <c r="J472" s="18">
        <v>7125.28</v>
      </c>
      <c r="K472" s="18" t="s">
        <v>3520</v>
      </c>
      <c r="L472" s="27"/>
      <c r="M472" s="18"/>
      <c r="N472" s="28"/>
      <c r="O472" s="31">
        <v>7125.28</v>
      </c>
      <c r="P472" s="25">
        <v>545.09</v>
      </c>
      <c r="Q472" s="28">
        <v>7670.37</v>
      </c>
    </row>
    <row r="473" spans="1:17" x14ac:dyDescent="0.2">
      <c r="A473" s="21" t="s">
        <v>2395</v>
      </c>
      <c r="B473" s="21" t="s">
        <v>3759</v>
      </c>
      <c r="C473" s="21" t="s">
        <v>824</v>
      </c>
      <c r="D473" s="21" t="s">
        <v>2500</v>
      </c>
      <c r="E473" s="22" t="s">
        <v>12</v>
      </c>
      <c r="F473" s="23" t="s">
        <v>2038</v>
      </c>
      <c r="G473" s="34" t="s">
        <v>3764</v>
      </c>
      <c r="H473" s="18">
        <v>33425.599999999999</v>
      </c>
      <c r="I473" s="27"/>
      <c r="J473" s="18">
        <v>5984.47</v>
      </c>
      <c r="K473" s="18">
        <v>39.29</v>
      </c>
      <c r="L473" s="27">
        <v>100</v>
      </c>
      <c r="M473" s="18"/>
      <c r="N473" s="18"/>
      <c r="O473" s="31">
        <v>6123.76</v>
      </c>
      <c r="P473" s="25">
        <v>1487.16</v>
      </c>
      <c r="Q473" s="28">
        <v>7610.92</v>
      </c>
    </row>
    <row r="474" spans="1:17" x14ac:dyDescent="0.2">
      <c r="A474" s="21" t="s">
        <v>3765</v>
      </c>
      <c r="B474" s="21" t="s">
        <v>2599</v>
      </c>
      <c r="C474" s="21" t="s">
        <v>65</v>
      </c>
      <c r="D474" s="21" t="s">
        <v>3309</v>
      </c>
      <c r="E474" s="22" t="s">
        <v>12</v>
      </c>
      <c r="F474" s="23" t="s">
        <v>1660</v>
      </c>
      <c r="G474" s="33" t="s">
        <v>14</v>
      </c>
      <c r="H474" s="18" t="s">
        <v>3313</v>
      </c>
      <c r="I474" s="42" t="s">
        <v>14</v>
      </c>
      <c r="J474" s="25">
        <v>6984.62</v>
      </c>
      <c r="K474" s="18" t="s">
        <v>3520</v>
      </c>
      <c r="L474" s="27"/>
      <c r="M474" s="18"/>
      <c r="N474" s="28"/>
      <c r="O474" s="30">
        <v>6984.62</v>
      </c>
      <c r="P474" s="25">
        <v>534.32000000000005</v>
      </c>
      <c r="Q474" s="28">
        <v>7518.94</v>
      </c>
    </row>
    <row r="475" spans="1:17" x14ac:dyDescent="0.2">
      <c r="A475" s="21" t="s">
        <v>3774</v>
      </c>
      <c r="B475" s="21" t="s">
        <v>877</v>
      </c>
      <c r="C475" s="21" t="s">
        <v>256</v>
      </c>
      <c r="D475" s="21" t="s">
        <v>2005</v>
      </c>
      <c r="E475" s="22" t="s">
        <v>12</v>
      </c>
      <c r="F475" s="23" t="s">
        <v>1871</v>
      </c>
      <c r="G475" s="34" t="s">
        <v>3780</v>
      </c>
      <c r="H475" s="18">
        <v>16068</v>
      </c>
      <c r="I475" s="27"/>
      <c r="J475" s="18">
        <v>5930.81</v>
      </c>
      <c r="K475" s="18" t="s">
        <v>3520</v>
      </c>
      <c r="L475" s="31" t="s">
        <v>3520</v>
      </c>
      <c r="M475" s="18"/>
      <c r="N475" s="18"/>
      <c r="O475" s="30">
        <v>5930.81</v>
      </c>
      <c r="P475" s="25">
        <v>1425.75</v>
      </c>
      <c r="Q475" s="28">
        <v>7356.56</v>
      </c>
    </row>
    <row r="476" spans="1:17" x14ac:dyDescent="0.2">
      <c r="A476" s="21" t="s">
        <v>3781</v>
      </c>
      <c r="B476" s="21" t="s">
        <v>3782</v>
      </c>
      <c r="C476" s="21" t="s">
        <v>81</v>
      </c>
      <c r="D476" s="21" t="s">
        <v>746</v>
      </c>
      <c r="E476" s="22" t="s">
        <v>20</v>
      </c>
      <c r="F476" s="23" t="s">
        <v>3786</v>
      </c>
      <c r="G476" s="46" t="s">
        <v>3787</v>
      </c>
      <c r="H476" s="41" t="s">
        <v>14</v>
      </c>
      <c r="I476" s="27"/>
      <c r="J476" s="18">
        <v>6051.27</v>
      </c>
      <c r="K476" s="18" t="s">
        <v>3520</v>
      </c>
      <c r="L476" s="27">
        <v>761.96</v>
      </c>
      <c r="M476" s="18"/>
      <c r="N476" s="18"/>
      <c r="O476" s="30">
        <v>6813.23</v>
      </c>
      <c r="P476" s="25">
        <v>538.64</v>
      </c>
      <c r="Q476" s="28">
        <v>7351.87</v>
      </c>
    </row>
    <row r="477" spans="1:17" x14ac:dyDescent="0.2">
      <c r="A477" s="21" t="s">
        <v>3789</v>
      </c>
      <c r="B477" s="21" t="s">
        <v>8</v>
      </c>
      <c r="C477" s="21" t="s">
        <v>81</v>
      </c>
      <c r="D477" s="21" t="s">
        <v>746</v>
      </c>
      <c r="E477" s="22" t="s">
        <v>20</v>
      </c>
      <c r="F477" s="23" t="s">
        <v>2708</v>
      </c>
      <c r="G477" s="33" t="s">
        <v>14</v>
      </c>
      <c r="H477" s="18" t="s">
        <v>2734</v>
      </c>
      <c r="I477" s="47" t="s">
        <v>14</v>
      </c>
      <c r="J477" s="25">
        <v>6785.35</v>
      </c>
      <c r="K477" s="18" t="s">
        <v>3520</v>
      </c>
      <c r="L477" s="27"/>
      <c r="M477" s="18"/>
      <c r="N477" s="28"/>
      <c r="O477" s="27">
        <v>6785.35</v>
      </c>
      <c r="P477" s="25">
        <v>526.42999999999995</v>
      </c>
      <c r="Q477" s="28">
        <v>7311.78</v>
      </c>
    </row>
    <row r="478" spans="1:17" x14ac:dyDescent="0.2">
      <c r="A478" s="21" t="s">
        <v>3798</v>
      </c>
      <c r="B478" s="21" t="s">
        <v>3799</v>
      </c>
      <c r="C478" s="21" t="s">
        <v>65</v>
      </c>
      <c r="D478" s="21" t="s">
        <v>3309</v>
      </c>
      <c r="E478" s="22" t="s">
        <v>12</v>
      </c>
      <c r="F478" s="23" t="s">
        <v>2093</v>
      </c>
      <c r="G478" s="33" t="s">
        <v>14</v>
      </c>
      <c r="H478" s="18" t="s">
        <v>3313</v>
      </c>
      <c r="I478" s="47" t="s">
        <v>14</v>
      </c>
      <c r="J478" s="25">
        <v>6567.17</v>
      </c>
      <c r="K478" s="18" t="s">
        <v>3520</v>
      </c>
      <c r="L478" s="27"/>
      <c r="M478" s="18"/>
      <c r="N478" s="28"/>
      <c r="O478" s="27">
        <v>6567.17</v>
      </c>
      <c r="P478" s="25">
        <v>502.38</v>
      </c>
      <c r="Q478" s="28">
        <v>7069.55</v>
      </c>
    </row>
    <row r="479" spans="1:17" x14ac:dyDescent="0.2">
      <c r="A479" s="21" t="s">
        <v>3807</v>
      </c>
      <c r="B479" s="21" t="s">
        <v>3808</v>
      </c>
      <c r="C479" s="21" t="s">
        <v>65</v>
      </c>
      <c r="D479" s="21" t="s">
        <v>3309</v>
      </c>
      <c r="E479" s="22" t="s">
        <v>12</v>
      </c>
      <c r="F479" s="23" t="s">
        <v>2093</v>
      </c>
      <c r="G479" s="33" t="s">
        <v>14</v>
      </c>
      <c r="H479" s="18" t="s">
        <v>3313</v>
      </c>
      <c r="I479" s="47" t="s">
        <v>14</v>
      </c>
      <c r="J479" s="18">
        <v>6554.64</v>
      </c>
      <c r="K479" s="18" t="s">
        <v>3520</v>
      </c>
      <c r="L479" s="31" t="s">
        <v>3520</v>
      </c>
      <c r="M479" s="18"/>
      <c r="N479" s="18"/>
      <c r="O479" s="30">
        <v>6554.64</v>
      </c>
      <c r="P479" s="25">
        <v>501.43</v>
      </c>
      <c r="Q479" s="28">
        <v>7056.07</v>
      </c>
    </row>
    <row r="480" spans="1:17" x14ac:dyDescent="0.2">
      <c r="A480" s="21" t="s">
        <v>3816</v>
      </c>
      <c r="B480" s="21" t="s">
        <v>3817</v>
      </c>
      <c r="C480" s="21" t="s">
        <v>65</v>
      </c>
      <c r="D480" s="21" t="s">
        <v>594</v>
      </c>
      <c r="E480" s="22" t="s">
        <v>20</v>
      </c>
      <c r="F480" s="23" t="s">
        <v>3602</v>
      </c>
      <c r="G480" s="33" t="s">
        <v>14</v>
      </c>
      <c r="H480" s="18" t="s">
        <v>3723</v>
      </c>
      <c r="I480" s="47" t="s">
        <v>14</v>
      </c>
      <c r="J480" s="25">
        <v>6062.4</v>
      </c>
      <c r="K480" s="18" t="s">
        <v>3520</v>
      </c>
      <c r="L480" s="43">
        <v>5.52</v>
      </c>
      <c r="M480" s="18"/>
      <c r="N480" s="18"/>
      <c r="O480" s="31">
        <v>6067.92</v>
      </c>
      <c r="P480" s="25">
        <v>663.33</v>
      </c>
      <c r="Q480" s="28">
        <v>6731.25</v>
      </c>
    </row>
    <row r="481" spans="1:17" x14ac:dyDescent="0.2">
      <c r="A481" s="21" t="s">
        <v>3825</v>
      </c>
      <c r="B481" s="21" t="s">
        <v>2809</v>
      </c>
      <c r="C481" s="21" t="s">
        <v>824</v>
      </c>
      <c r="D481" s="21" t="s">
        <v>2500</v>
      </c>
      <c r="E481" s="22" t="s">
        <v>12</v>
      </c>
      <c r="F481" s="23" t="s">
        <v>3321</v>
      </c>
      <c r="G481" s="33" t="s">
        <v>14</v>
      </c>
      <c r="H481" s="18">
        <v>32136</v>
      </c>
      <c r="I481" s="47" t="s">
        <v>14</v>
      </c>
      <c r="J481" s="18">
        <v>4944</v>
      </c>
      <c r="K481" s="18">
        <v>50.28</v>
      </c>
      <c r="L481" s="27" t="s">
        <v>3520</v>
      </c>
      <c r="M481" s="18"/>
      <c r="N481" s="18"/>
      <c r="O481" s="31">
        <v>4994.28</v>
      </c>
      <c r="P481" s="25">
        <v>1336.26</v>
      </c>
      <c r="Q481" s="28">
        <v>6330.54</v>
      </c>
    </row>
    <row r="482" spans="1:17" x14ac:dyDescent="0.2">
      <c r="A482" s="21" t="s">
        <v>3833</v>
      </c>
      <c r="B482" s="21" t="s">
        <v>120</v>
      </c>
      <c r="C482" s="21" t="s">
        <v>65</v>
      </c>
      <c r="D482" s="21" t="s">
        <v>3309</v>
      </c>
      <c r="E482" s="22" t="s">
        <v>12</v>
      </c>
      <c r="F482" s="23" t="s">
        <v>2510</v>
      </c>
      <c r="G482" s="33" t="s">
        <v>14</v>
      </c>
      <c r="H482" s="18" t="s">
        <v>3313</v>
      </c>
      <c r="I482" s="47" t="s">
        <v>14</v>
      </c>
      <c r="J482" s="25">
        <v>5318.97</v>
      </c>
      <c r="K482" s="18" t="s">
        <v>3520</v>
      </c>
      <c r="L482" s="27"/>
      <c r="M482" s="18"/>
      <c r="N482" s="28"/>
      <c r="O482" s="31">
        <v>5318.97</v>
      </c>
      <c r="P482" s="25">
        <v>406.89</v>
      </c>
      <c r="Q482" s="28">
        <v>5725.86</v>
      </c>
    </row>
    <row r="483" spans="1:17" x14ac:dyDescent="0.2">
      <c r="A483" s="21" t="s">
        <v>3842</v>
      </c>
      <c r="B483" s="21" t="s">
        <v>680</v>
      </c>
      <c r="C483" s="21" t="s">
        <v>81</v>
      </c>
      <c r="D483" s="21" t="s">
        <v>3256</v>
      </c>
      <c r="E483" s="22" t="s">
        <v>20</v>
      </c>
      <c r="F483" s="23" t="s">
        <v>3847</v>
      </c>
      <c r="G483" s="33" t="s">
        <v>14</v>
      </c>
      <c r="H483" s="18" t="s">
        <v>2734</v>
      </c>
      <c r="I483" s="47" t="s">
        <v>14</v>
      </c>
      <c r="J483" s="25">
        <v>5119.28</v>
      </c>
      <c r="K483" s="18" t="s">
        <v>3520</v>
      </c>
      <c r="L483" s="27"/>
      <c r="M483" s="18"/>
      <c r="N483" s="28"/>
      <c r="O483" s="31">
        <v>5119.28</v>
      </c>
      <c r="P483" s="25">
        <v>391.63</v>
      </c>
      <c r="Q483" s="28">
        <v>5510.91</v>
      </c>
    </row>
    <row r="484" spans="1:17" x14ac:dyDescent="0.2">
      <c r="A484" s="21" t="s">
        <v>3851</v>
      </c>
      <c r="B484" s="21" t="s">
        <v>3852</v>
      </c>
      <c r="C484" s="21" t="s">
        <v>2106</v>
      </c>
      <c r="D484" s="21" t="s">
        <v>2107</v>
      </c>
      <c r="E484" s="22" t="s">
        <v>12</v>
      </c>
      <c r="F484" s="23" t="s">
        <v>3391</v>
      </c>
      <c r="G484" s="33" t="s">
        <v>14</v>
      </c>
      <c r="H484" s="18">
        <v>16068</v>
      </c>
      <c r="I484" s="47" t="s">
        <v>14</v>
      </c>
      <c r="J484" s="18">
        <v>4192.0600000000004</v>
      </c>
      <c r="K484" s="18" t="s">
        <v>3520</v>
      </c>
      <c r="L484" s="27"/>
      <c r="M484" s="18"/>
      <c r="N484" s="28"/>
      <c r="O484" s="27">
        <v>4192.0600000000004</v>
      </c>
      <c r="P484" s="25">
        <v>1007.77</v>
      </c>
      <c r="Q484" s="28">
        <v>5199.83</v>
      </c>
    </row>
    <row r="485" spans="1:17" x14ac:dyDescent="0.2">
      <c r="A485" s="21" t="s">
        <v>3859</v>
      </c>
      <c r="B485" s="21" t="s">
        <v>592</v>
      </c>
      <c r="C485" s="21" t="s">
        <v>81</v>
      </c>
      <c r="D485" s="21" t="s">
        <v>2730</v>
      </c>
      <c r="E485" s="22" t="s">
        <v>20</v>
      </c>
      <c r="F485" s="23" t="s">
        <v>3864</v>
      </c>
      <c r="G485" s="33" t="s">
        <v>14</v>
      </c>
      <c r="H485" s="18" t="s">
        <v>2734</v>
      </c>
      <c r="I485" s="47" t="s">
        <v>14</v>
      </c>
      <c r="J485" s="25">
        <v>4636.82</v>
      </c>
      <c r="K485" s="18">
        <v>59.03</v>
      </c>
      <c r="L485" s="27"/>
      <c r="M485" s="18"/>
      <c r="N485" s="28"/>
      <c r="O485" s="27">
        <v>4695.8500000000004</v>
      </c>
      <c r="P485" s="25">
        <v>359.23</v>
      </c>
      <c r="Q485" s="28">
        <v>5055.08</v>
      </c>
    </row>
    <row r="486" spans="1:17" x14ac:dyDescent="0.2">
      <c r="A486" s="21" t="s">
        <v>3868</v>
      </c>
      <c r="B486" s="21" t="s">
        <v>3064</v>
      </c>
      <c r="C486" s="21" t="s">
        <v>65</v>
      </c>
      <c r="D486" s="21" t="s">
        <v>3309</v>
      </c>
      <c r="E486" s="22" t="s">
        <v>12</v>
      </c>
      <c r="F486" s="23" t="s">
        <v>850</v>
      </c>
      <c r="G486" s="33" t="s">
        <v>14</v>
      </c>
      <c r="H486" s="18" t="s">
        <v>3313</v>
      </c>
      <c r="I486" s="47" t="s">
        <v>14</v>
      </c>
      <c r="J486" s="25">
        <v>4665.33</v>
      </c>
      <c r="K486" s="18" t="s">
        <v>3520</v>
      </c>
      <c r="L486" s="27"/>
      <c r="M486" s="18"/>
      <c r="N486" s="28"/>
      <c r="O486" s="27">
        <v>4665.33</v>
      </c>
      <c r="P486" s="25">
        <v>356.9</v>
      </c>
      <c r="Q486" s="28">
        <v>5022.2299999999996</v>
      </c>
    </row>
    <row r="487" spans="1:17" x14ac:dyDescent="0.2">
      <c r="A487" s="21" t="s">
        <v>3877</v>
      </c>
      <c r="B487" s="21" t="s">
        <v>830</v>
      </c>
      <c r="C487" s="21" t="s">
        <v>3718</v>
      </c>
      <c r="D487" s="21" t="s">
        <v>3880</v>
      </c>
      <c r="E487" s="22" t="s">
        <v>12</v>
      </c>
      <c r="F487" s="23" t="s">
        <v>3882</v>
      </c>
      <c r="G487" s="33" t="s">
        <v>14</v>
      </c>
      <c r="H487" s="18" t="s">
        <v>3723</v>
      </c>
      <c r="I487" s="47" t="s">
        <v>14</v>
      </c>
      <c r="J487" s="25">
        <v>3319.07</v>
      </c>
      <c r="K487" s="18" t="s">
        <v>3520</v>
      </c>
      <c r="L487" s="27">
        <v>1229.06</v>
      </c>
      <c r="M487" s="18"/>
      <c r="N487" s="18"/>
      <c r="O487" s="27">
        <v>4548.13</v>
      </c>
      <c r="P487" s="25">
        <v>347.97</v>
      </c>
      <c r="Q487" s="28">
        <v>4896.1000000000004</v>
      </c>
    </row>
    <row r="488" spans="1:17" x14ac:dyDescent="0.2">
      <c r="A488" s="21" t="s">
        <v>2583</v>
      </c>
      <c r="B488" s="21" t="s">
        <v>2097</v>
      </c>
      <c r="C488" s="21" t="s">
        <v>3718</v>
      </c>
      <c r="D488" s="21" t="s">
        <v>3880</v>
      </c>
      <c r="E488" s="22" t="s">
        <v>12</v>
      </c>
      <c r="F488" s="23" t="s">
        <v>3721</v>
      </c>
      <c r="G488" s="33" t="s">
        <v>14</v>
      </c>
      <c r="H488" s="18" t="s">
        <v>3723</v>
      </c>
      <c r="I488" s="47" t="s">
        <v>14</v>
      </c>
      <c r="J488" s="25">
        <v>3319.07</v>
      </c>
      <c r="K488" s="18" t="s">
        <v>3520</v>
      </c>
      <c r="L488" s="27">
        <v>1229.06</v>
      </c>
      <c r="M488" s="18"/>
      <c r="N488" s="18"/>
      <c r="O488" s="27">
        <v>4548.13</v>
      </c>
      <c r="P488" s="25">
        <v>347.97</v>
      </c>
      <c r="Q488" s="28">
        <v>4896.1000000000004</v>
      </c>
    </row>
    <row r="489" spans="1:17" x14ac:dyDescent="0.2">
      <c r="A489" s="21" t="s">
        <v>3895</v>
      </c>
      <c r="B489" s="21" t="s">
        <v>528</v>
      </c>
      <c r="C489" s="21" t="s">
        <v>3718</v>
      </c>
      <c r="D489" s="21" t="s">
        <v>3880</v>
      </c>
      <c r="E489" s="22" t="s">
        <v>12</v>
      </c>
      <c r="F489" s="23" t="s">
        <v>3882</v>
      </c>
      <c r="G489" s="33" t="s">
        <v>14</v>
      </c>
      <c r="H489" s="18" t="s">
        <v>3723</v>
      </c>
      <c r="I489" s="47" t="s">
        <v>14</v>
      </c>
      <c r="J489" s="25">
        <v>3319.07</v>
      </c>
      <c r="K489" s="18" t="s">
        <v>3520</v>
      </c>
      <c r="L489" s="27">
        <v>1229.06</v>
      </c>
      <c r="M489" s="18"/>
      <c r="N489" s="18"/>
      <c r="O489" s="27">
        <v>4548.13</v>
      </c>
      <c r="P489" s="25">
        <v>347.97</v>
      </c>
      <c r="Q489" s="28">
        <v>4896.1000000000004</v>
      </c>
    </row>
    <row r="490" spans="1:17" x14ac:dyDescent="0.2">
      <c r="A490" s="21" t="s">
        <v>3904</v>
      </c>
      <c r="B490" s="21" t="s">
        <v>384</v>
      </c>
      <c r="C490" s="21" t="s">
        <v>3718</v>
      </c>
      <c r="D490" s="21" t="s">
        <v>3880</v>
      </c>
      <c r="E490" s="22" t="s">
        <v>12</v>
      </c>
      <c r="F490" s="23" t="s">
        <v>3909</v>
      </c>
      <c r="G490" s="33" t="s">
        <v>14</v>
      </c>
      <c r="H490" s="18" t="s">
        <v>3723</v>
      </c>
      <c r="I490" s="47" t="s">
        <v>14</v>
      </c>
      <c r="J490" s="25">
        <v>3319.07</v>
      </c>
      <c r="K490" s="18" t="s">
        <v>3520</v>
      </c>
      <c r="L490" s="27">
        <v>1229.06</v>
      </c>
      <c r="M490" s="18"/>
      <c r="N490" s="18"/>
      <c r="O490" s="27">
        <v>4548.13</v>
      </c>
      <c r="P490" s="25">
        <v>347.97</v>
      </c>
      <c r="Q490" s="28">
        <v>4896.1000000000004</v>
      </c>
    </row>
    <row r="491" spans="1:17" x14ac:dyDescent="0.2">
      <c r="A491" s="21" t="s">
        <v>3913</v>
      </c>
      <c r="B491" s="21" t="s">
        <v>760</v>
      </c>
      <c r="C491" s="21" t="s">
        <v>3718</v>
      </c>
      <c r="D491" s="21" t="s">
        <v>3880</v>
      </c>
      <c r="E491" s="22" t="s">
        <v>12</v>
      </c>
      <c r="F491" s="23" t="s">
        <v>3918</v>
      </c>
      <c r="G491" s="33" t="s">
        <v>14</v>
      </c>
      <c r="H491" s="18" t="s">
        <v>3723</v>
      </c>
      <c r="I491" s="47" t="s">
        <v>14</v>
      </c>
      <c r="J491" s="18">
        <v>3319.07</v>
      </c>
      <c r="K491" s="18" t="s">
        <v>3520</v>
      </c>
      <c r="L491" s="27">
        <v>1229.06</v>
      </c>
      <c r="M491" s="18"/>
      <c r="N491" s="18"/>
      <c r="O491" s="27">
        <v>4548.13</v>
      </c>
      <c r="P491" s="25">
        <v>347.97</v>
      </c>
      <c r="Q491" s="28">
        <v>4896.1000000000004</v>
      </c>
    </row>
    <row r="492" spans="1:17" x14ac:dyDescent="0.2">
      <c r="A492" s="21" t="s">
        <v>504</v>
      </c>
      <c r="B492" s="21" t="s">
        <v>1124</v>
      </c>
      <c r="C492" s="21" t="s">
        <v>65</v>
      </c>
      <c r="D492" s="21" t="s">
        <v>3309</v>
      </c>
      <c r="E492" s="22" t="s">
        <v>12</v>
      </c>
      <c r="F492" s="23" t="s">
        <v>756</v>
      </c>
      <c r="G492" s="33" t="s">
        <v>14</v>
      </c>
      <c r="H492" s="18" t="s">
        <v>3313</v>
      </c>
      <c r="I492" s="47" t="s">
        <v>14</v>
      </c>
      <c r="J492" s="25">
        <v>4478.3999999999996</v>
      </c>
      <c r="K492" s="18" t="s">
        <v>3520</v>
      </c>
      <c r="L492" s="27"/>
      <c r="M492" s="18"/>
      <c r="N492" s="28"/>
      <c r="O492" s="27">
        <v>4478.3999999999996</v>
      </c>
      <c r="P492" s="25">
        <v>342.58</v>
      </c>
      <c r="Q492" s="28">
        <v>4820.9799999999996</v>
      </c>
    </row>
    <row r="493" spans="1:17" x14ac:dyDescent="0.2">
      <c r="A493" s="21" t="s">
        <v>111</v>
      </c>
      <c r="B493" s="21" t="s">
        <v>3932</v>
      </c>
      <c r="C493" s="21" t="s">
        <v>65</v>
      </c>
      <c r="D493" s="21" t="s">
        <v>3309</v>
      </c>
      <c r="E493" s="22" t="s">
        <v>12</v>
      </c>
      <c r="F493" s="23" t="s">
        <v>203</v>
      </c>
      <c r="G493" s="33" t="s">
        <v>14</v>
      </c>
      <c r="H493" s="18" t="s">
        <v>3313</v>
      </c>
      <c r="I493" s="47" t="s">
        <v>14</v>
      </c>
      <c r="J493" s="18">
        <v>4449.16</v>
      </c>
      <c r="K493" s="18" t="s">
        <v>3520</v>
      </c>
      <c r="L493" s="27"/>
      <c r="M493" s="18"/>
      <c r="N493" s="28"/>
      <c r="O493" s="30">
        <v>4449.16</v>
      </c>
      <c r="P493" s="25">
        <v>340.35</v>
      </c>
      <c r="Q493" s="28">
        <v>4789.51</v>
      </c>
    </row>
    <row r="494" spans="1:17" x14ac:dyDescent="0.2">
      <c r="A494" s="21" t="s">
        <v>3940</v>
      </c>
      <c r="B494" s="21" t="s">
        <v>3941</v>
      </c>
      <c r="C494" s="21" t="s">
        <v>3718</v>
      </c>
      <c r="D494" s="21" t="s">
        <v>3880</v>
      </c>
      <c r="E494" s="22" t="s">
        <v>12</v>
      </c>
      <c r="F494" s="23" t="s">
        <v>3945</v>
      </c>
      <c r="G494" s="33" t="s">
        <v>14</v>
      </c>
      <c r="H494" s="18" t="s">
        <v>3723</v>
      </c>
      <c r="I494" s="47" t="s">
        <v>14</v>
      </c>
      <c r="J494" s="25">
        <v>3221.39</v>
      </c>
      <c r="K494" s="18" t="s">
        <v>3520</v>
      </c>
      <c r="L494" s="27">
        <v>1204.31</v>
      </c>
      <c r="M494" s="18"/>
      <c r="N494" s="18"/>
      <c r="O494" s="31">
        <v>4425.7</v>
      </c>
      <c r="P494" s="25">
        <v>338.6</v>
      </c>
      <c r="Q494" s="28">
        <v>4764.3</v>
      </c>
    </row>
    <row r="495" spans="1:17" x14ac:dyDescent="0.2">
      <c r="A495" s="21" t="s">
        <v>2583</v>
      </c>
      <c r="B495" s="21" t="s">
        <v>384</v>
      </c>
      <c r="C495" s="21" t="s">
        <v>81</v>
      </c>
      <c r="D495" s="21" t="s">
        <v>746</v>
      </c>
      <c r="E495" s="22" t="s">
        <v>20</v>
      </c>
      <c r="F495" s="23" t="s">
        <v>3954</v>
      </c>
      <c r="G495" s="33" t="s">
        <v>14</v>
      </c>
      <c r="H495" s="18" t="s">
        <v>2734</v>
      </c>
      <c r="I495" s="47" t="s">
        <v>14</v>
      </c>
      <c r="J495" s="25">
        <v>4044.8</v>
      </c>
      <c r="K495" s="18" t="s">
        <v>3520</v>
      </c>
      <c r="L495" s="43">
        <v>69.05</v>
      </c>
      <c r="M495" s="18"/>
      <c r="N495" s="18"/>
      <c r="O495" s="31">
        <v>4113.8500000000004</v>
      </c>
      <c r="P495" s="25">
        <v>314.70999999999998</v>
      </c>
      <c r="Q495" s="28">
        <v>4428.5600000000004</v>
      </c>
    </row>
    <row r="496" spans="1:17" x14ac:dyDescent="0.2">
      <c r="A496" s="21" t="s">
        <v>3958</v>
      </c>
      <c r="B496" s="21" t="s">
        <v>3959</v>
      </c>
      <c r="C496" s="21" t="s">
        <v>256</v>
      </c>
      <c r="D496" s="21" t="s">
        <v>2005</v>
      </c>
      <c r="E496" s="22" t="s">
        <v>12</v>
      </c>
      <c r="F496" s="23" t="s">
        <v>3382</v>
      </c>
      <c r="G496" s="33" t="s">
        <v>14</v>
      </c>
      <c r="H496" s="18">
        <v>16712.8</v>
      </c>
      <c r="I496" s="47" t="s">
        <v>14</v>
      </c>
      <c r="J496" s="18">
        <v>3494.93</v>
      </c>
      <c r="K496" s="18" t="s">
        <v>3520</v>
      </c>
      <c r="L496" s="27"/>
      <c r="M496" s="18"/>
      <c r="N496" s="28"/>
      <c r="O496" s="31">
        <v>3494.93</v>
      </c>
      <c r="P496" s="25">
        <v>840.18</v>
      </c>
      <c r="Q496" s="28">
        <v>4335.1099999999997</v>
      </c>
    </row>
    <row r="497" spans="1:17" x14ac:dyDescent="0.2">
      <c r="A497" s="21" t="s">
        <v>3966</v>
      </c>
      <c r="B497" s="21" t="s">
        <v>296</v>
      </c>
      <c r="C497" s="21" t="s">
        <v>65</v>
      </c>
      <c r="D497" s="21" t="s">
        <v>3309</v>
      </c>
      <c r="E497" s="22" t="s">
        <v>12</v>
      </c>
      <c r="F497" s="23" t="s">
        <v>2400</v>
      </c>
      <c r="G497" s="33" t="s">
        <v>14</v>
      </c>
      <c r="H497" s="18" t="s">
        <v>3313</v>
      </c>
      <c r="I497" s="47" t="s">
        <v>14</v>
      </c>
      <c r="J497" s="18">
        <v>3897.64</v>
      </c>
      <c r="K497" s="18" t="s">
        <v>3520</v>
      </c>
      <c r="L497" s="27"/>
      <c r="M497" s="18"/>
      <c r="N497" s="28"/>
      <c r="O497" s="30">
        <v>3897.64</v>
      </c>
      <c r="P497" s="25">
        <v>298.17</v>
      </c>
      <c r="Q497" s="28">
        <v>4195.8100000000004</v>
      </c>
    </row>
    <row r="498" spans="1:17" x14ac:dyDescent="0.2">
      <c r="A498" s="21" t="s">
        <v>719</v>
      </c>
      <c r="B498" s="21" t="s">
        <v>3976</v>
      </c>
      <c r="C498" s="21" t="s">
        <v>65</v>
      </c>
      <c r="D498" s="21" t="s">
        <v>3309</v>
      </c>
      <c r="E498" s="22" t="s">
        <v>12</v>
      </c>
      <c r="F498" s="23" t="s">
        <v>1660</v>
      </c>
      <c r="G498" s="33" t="s">
        <v>14</v>
      </c>
      <c r="H498" s="18" t="s">
        <v>3313</v>
      </c>
      <c r="I498" s="47" t="s">
        <v>14</v>
      </c>
      <c r="J498" s="25">
        <v>3870.14</v>
      </c>
      <c r="K498" s="18" t="s">
        <v>3520</v>
      </c>
      <c r="L498" s="27"/>
      <c r="M498" s="18"/>
      <c r="N498" s="28"/>
      <c r="O498" s="30">
        <v>3870.14</v>
      </c>
      <c r="P498" s="25">
        <v>296.10000000000002</v>
      </c>
      <c r="Q498" s="28">
        <v>4166.24</v>
      </c>
    </row>
    <row r="499" spans="1:17" x14ac:dyDescent="0.2">
      <c r="A499" s="21" t="s">
        <v>3984</v>
      </c>
      <c r="B499" s="21" t="s">
        <v>9</v>
      </c>
      <c r="C499" s="21" t="s">
        <v>145</v>
      </c>
      <c r="D499" s="21" t="s">
        <v>2036</v>
      </c>
      <c r="E499" s="22" t="s">
        <v>12</v>
      </c>
      <c r="F499" s="23" t="s">
        <v>993</v>
      </c>
      <c r="G499" s="34" t="s">
        <v>3141</v>
      </c>
      <c r="H499" s="18">
        <v>39956.800000000003</v>
      </c>
      <c r="I499" s="31">
        <v>370.75</v>
      </c>
      <c r="J499" s="18">
        <v>2300.1999999999998</v>
      </c>
      <c r="K499" s="18" t="s">
        <v>3520</v>
      </c>
      <c r="L499" s="27"/>
      <c r="M499" s="18"/>
      <c r="N499" s="28"/>
      <c r="O499" s="30">
        <v>2670.95</v>
      </c>
      <c r="P499" s="25">
        <v>1359.28</v>
      </c>
      <c r="Q499" s="28">
        <v>4030.23</v>
      </c>
    </row>
    <row r="500" spans="1:17" x14ac:dyDescent="0.2">
      <c r="A500" s="21" t="s">
        <v>3991</v>
      </c>
      <c r="B500" s="21" t="s">
        <v>600</v>
      </c>
      <c r="C500" s="21" t="s">
        <v>81</v>
      </c>
      <c r="D500" s="21" t="s">
        <v>746</v>
      </c>
      <c r="E500" s="22" t="s">
        <v>20</v>
      </c>
      <c r="F500" s="23" t="s">
        <v>3996</v>
      </c>
      <c r="G500" s="33" t="s">
        <v>14</v>
      </c>
      <c r="H500" s="18" t="s">
        <v>2734</v>
      </c>
      <c r="I500" s="47" t="s">
        <v>14</v>
      </c>
      <c r="J500" s="25">
        <v>3626.07</v>
      </c>
      <c r="K500" s="18" t="s">
        <v>3520</v>
      </c>
      <c r="L500" s="27"/>
      <c r="M500" s="18"/>
      <c r="N500" s="28"/>
      <c r="O500" s="31">
        <v>3626.07</v>
      </c>
      <c r="P500" s="25">
        <v>277.39</v>
      </c>
      <c r="Q500" s="28">
        <v>3903.46</v>
      </c>
    </row>
    <row r="501" spans="1:17" x14ac:dyDescent="0.2">
      <c r="A501" s="21" t="s">
        <v>4000</v>
      </c>
      <c r="B501" s="21" t="s">
        <v>853</v>
      </c>
      <c r="C501" s="21" t="s">
        <v>65</v>
      </c>
      <c r="D501" s="21" t="s">
        <v>3309</v>
      </c>
      <c r="E501" s="22" t="s">
        <v>12</v>
      </c>
      <c r="F501" s="23" t="s">
        <v>4005</v>
      </c>
      <c r="G501" s="33" t="s">
        <v>14</v>
      </c>
      <c r="H501" s="18" t="s">
        <v>3313</v>
      </c>
      <c r="I501" s="47" t="s">
        <v>14</v>
      </c>
      <c r="J501" s="18">
        <v>3581.57</v>
      </c>
      <c r="K501" s="18" t="s">
        <v>3520</v>
      </c>
      <c r="L501" s="27"/>
      <c r="M501" s="18"/>
      <c r="N501" s="28"/>
      <c r="O501" s="31">
        <v>3581.57</v>
      </c>
      <c r="P501" s="25">
        <v>274</v>
      </c>
      <c r="Q501" s="28">
        <v>3855.57</v>
      </c>
    </row>
    <row r="502" spans="1:17" x14ac:dyDescent="0.2">
      <c r="A502" s="21" t="s">
        <v>303</v>
      </c>
      <c r="B502" s="21" t="s">
        <v>4010</v>
      </c>
      <c r="C502" s="21" t="s">
        <v>2507</v>
      </c>
      <c r="D502" s="21" t="s">
        <v>3638</v>
      </c>
      <c r="E502" s="22" t="s">
        <v>12</v>
      </c>
      <c r="F502" s="23" t="s">
        <v>1755</v>
      </c>
      <c r="G502" s="34" t="s">
        <v>4015</v>
      </c>
      <c r="H502" s="18" t="s">
        <v>3313</v>
      </c>
      <c r="I502" s="27"/>
      <c r="J502" s="18">
        <v>3230.6</v>
      </c>
      <c r="K502" s="18" t="s">
        <v>3520</v>
      </c>
      <c r="L502" s="31" t="s">
        <v>3520</v>
      </c>
      <c r="M502" s="18"/>
      <c r="N502" s="18"/>
      <c r="O502" s="30">
        <v>3230.6</v>
      </c>
      <c r="P502" s="25">
        <v>247.14</v>
      </c>
      <c r="Q502" s="28">
        <v>3477.74</v>
      </c>
    </row>
    <row r="503" spans="1:17" x14ac:dyDescent="0.2">
      <c r="A503" s="21" t="s">
        <v>4017</v>
      </c>
      <c r="B503" s="21" t="s">
        <v>3344</v>
      </c>
      <c r="C503" s="21" t="s">
        <v>3718</v>
      </c>
      <c r="D503" s="21" t="s">
        <v>3880</v>
      </c>
      <c r="E503" s="22" t="s">
        <v>12</v>
      </c>
      <c r="F503" s="23" t="s">
        <v>2061</v>
      </c>
      <c r="G503" s="33" t="s">
        <v>14</v>
      </c>
      <c r="H503" s="18" t="s">
        <v>3723</v>
      </c>
      <c r="I503" s="42" t="s">
        <v>14</v>
      </c>
      <c r="J503" s="25">
        <v>2336.91</v>
      </c>
      <c r="K503" s="18" t="s">
        <v>3520</v>
      </c>
      <c r="L503" s="27">
        <v>865.38</v>
      </c>
      <c r="M503" s="18"/>
      <c r="N503" s="18"/>
      <c r="O503" s="31">
        <v>3202.29</v>
      </c>
      <c r="P503" s="25">
        <v>245.01</v>
      </c>
      <c r="Q503" s="28">
        <v>3447.3</v>
      </c>
    </row>
    <row r="504" spans="1:17" x14ac:dyDescent="0.2">
      <c r="A504" s="21" t="s">
        <v>4026</v>
      </c>
      <c r="B504" s="21" t="s">
        <v>4027</v>
      </c>
      <c r="C504" s="21" t="s">
        <v>65</v>
      </c>
      <c r="D504" s="21" t="s">
        <v>3309</v>
      </c>
      <c r="E504" s="22" t="s">
        <v>12</v>
      </c>
      <c r="F504" s="23" t="s">
        <v>2969</v>
      </c>
      <c r="G504" s="33" t="s">
        <v>14</v>
      </c>
      <c r="H504" s="18" t="s">
        <v>3313</v>
      </c>
      <c r="I504" s="42" t="s">
        <v>14</v>
      </c>
      <c r="J504" s="18">
        <v>2402.08</v>
      </c>
      <c r="K504" s="18" t="s">
        <v>3520</v>
      </c>
      <c r="L504" s="27"/>
      <c r="M504" s="18"/>
      <c r="N504" s="28"/>
      <c r="O504" s="31">
        <v>2402.08</v>
      </c>
      <c r="P504" s="25">
        <v>183.76</v>
      </c>
      <c r="Q504" s="28">
        <v>2585.84</v>
      </c>
    </row>
    <row r="505" spans="1:17" ht="17" thickBot="1" x14ac:dyDescent="0.25">
      <c r="A505" s="21" t="s">
        <v>4035</v>
      </c>
      <c r="B505" s="21" t="s">
        <v>432</v>
      </c>
      <c r="C505" s="21" t="s">
        <v>81</v>
      </c>
      <c r="D505" s="21" t="s">
        <v>4038</v>
      </c>
      <c r="E505" s="22" t="s">
        <v>20</v>
      </c>
      <c r="F505" s="23" t="s">
        <v>516</v>
      </c>
      <c r="G505" s="34" t="s">
        <v>2535</v>
      </c>
      <c r="H505" s="18" t="s">
        <v>2734</v>
      </c>
      <c r="I505" s="27"/>
      <c r="J505" s="18">
        <v>2012.82</v>
      </c>
      <c r="K505" s="18" t="s">
        <v>3520</v>
      </c>
      <c r="L505" s="31" t="s">
        <v>3520</v>
      </c>
      <c r="M505" s="18"/>
      <c r="N505" s="18"/>
      <c r="O505" s="30">
        <v>2012.82</v>
      </c>
      <c r="P505" s="25">
        <v>153.97999999999999</v>
      </c>
      <c r="Q505" s="28">
        <v>2166.8000000000002</v>
      </c>
    </row>
    <row r="506" spans="1:17" x14ac:dyDescent="0.2">
      <c r="A506" s="10" t="s">
        <v>4043</v>
      </c>
      <c r="B506" s="10" t="s">
        <v>8</v>
      </c>
      <c r="C506" s="10" t="s">
        <v>81</v>
      </c>
      <c r="D506" s="10" t="s">
        <v>746</v>
      </c>
      <c r="E506" s="11" t="s">
        <v>20</v>
      </c>
      <c r="F506" s="12" t="s">
        <v>2221</v>
      </c>
      <c r="G506" s="35" t="s">
        <v>4049</v>
      </c>
      <c r="H506" s="16" t="s">
        <v>2734</v>
      </c>
      <c r="I506" s="17"/>
      <c r="J506" s="16">
        <v>942.77</v>
      </c>
      <c r="K506" s="17"/>
      <c r="L506" s="17">
        <v>220.5</v>
      </c>
      <c r="M506" s="18"/>
      <c r="N506" s="18"/>
      <c r="O506" s="48">
        <v>1163.27</v>
      </c>
      <c r="P506" s="14">
        <v>88.99</v>
      </c>
      <c r="Q506" s="20">
        <v>1252.26</v>
      </c>
    </row>
    <row r="507" spans="1:17" x14ac:dyDescent="0.2">
      <c r="A507" s="21" t="s">
        <v>4051</v>
      </c>
      <c r="B507" s="21" t="s">
        <v>2825</v>
      </c>
      <c r="C507" s="21" t="s">
        <v>81</v>
      </c>
      <c r="D507" s="21" t="s">
        <v>4038</v>
      </c>
      <c r="E507" s="22" t="s">
        <v>20</v>
      </c>
      <c r="F507" s="23" t="s">
        <v>564</v>
      </c>
      <c r="G507" s="34" t="s">
        <v>4057</v>
      </c>
      <c r="H507" s="27">
        <v>715.2</v>
      </c>
      <c r="I507" s="29" t="s">
        <v>14</v>
      </c>
      <c r="J507" s="18">
        <v>715.2</v>
      </c>
      <c r="K507" s="27">
        <v>338.34</v>
      </c>
      <c r="L507" s="29" t="s">
        <v>14</v>
      </c>
      <c r="M507" s="18"/>
      <c r="N507" s="18"/>
      <c r="O507" s="30">
        <v>1053.54</v>
      </c>
      <c r="P507" s="25">
        <v>80.599999999999994</v>
      </c>
      <c r="Q507" s="28">
        <v>1134.1400000000001</v>
      </c>
    </row>
    <row r="508" spans="1:17" x14ac:dyDescent="0.2">
      <c r="A508" s="21" t="s">
        <v>4060</v>
      </c>
      <c r="B508" s="21" t="s">
        <v>3344</v>
      </c>
      <c r="C508" s="21" t="s">
        <v>137</v>
      </c>
      <c r="D508" s="21" t="s">
        <v>2305</v>
      </c>
      <c r="E508" s="22" t="s">
        <v>12</v>
      </c>
      <c r="F508" s="23" t="s">
        <v>4065</v>
      </c>
      <c r="G508" s="33" t="s">
        <v>14</v>
      </c>
      <c r="H508" s="18">
        <v>42640</v>
      </c>
      <c r="I508" s="42" t="s">
        <v>14</v>
      </c>
      <c r="J508" s="18">
        <v>820</v>
      </c>
      <c r="K508" s="27">
        <v>15.38</v>
      </c>
      <c r="L508" s="29" t="s">
        <v>14</v>
      </c>
      <c r="M508" s="18"/>
      <c r="N508" s="18"/>
      <c r="O508" s="27">
        <v>835.38</v>
      </c>
      <c r="P508" s="25">
        <v>218.29</v>
      </c>
      <c r="Q508" s="28">
        <v>1053.67</v>
      </c>
    </row>
    <row r="509" spans="1:17" x14ac:dyDescent="0.2">
      <c r="A509" s="21" t="s">
        <v>40</v>
      </c>
      <c r="B509" s="21" t="s">
        <v>4070</v>
      </c>
      <c r="C509" s="21" t="s">
        <v>137</v>
      </c>
      <c r="D509" s="21" t="s">
        <v>2305</v>
      </c>
      <c r="E509" s="22" t="s">
        <v>12</v>
      </c>
      <c r="F509" s="23" t="s">
        <v>4065</v>
      </c>
      <c r="G509" s="33" t="s">
        <v>14</v>
      </c>
      <c r="H509" s="18">
        <v>42640</v>
      </c>
      <c r="I509" s="42" t="s">
        <v>14</v>
      </c>
      <c r="J509" s="18">
        <v>820</v>
      </c>
      <c r="K509" s="27">
        <v>4.62</v>
      </c>
      <c r="L509" s="29" t="s">
        <v>14</v>
      </c>
      <c r="M509" s="18"/>
      <c r="N509" s="18"/>
      <c r="O509" s="27">
        <v>824.62</v>
      </c>
      <c r="P509" s="25">
        <v>215.7</v>
      </c>
      <c r="Q509" s="28">
        <v>1040.32</v>
      </c>
    </row>
    <row r="510" spans="1:17" x14ac:dyDescent="0.2">
      <c r="A510" s="21" t="s">
        <v>4078</v>
      </c>
      <c r="B510" s="21" t="s">
        <v>1037</v>
      </c>
      <c r="C510" s="21" t="s">
        <v>256</v>
      </c>
      <c r="D510" s="21" t="s">
        <v>3346</v>
      </c>
      <c r="E510" s="22" t="s">
        <v>12</v>
      </c>
      <c r="F510" s="23" t="s">
        <v>4015</v>
      </c>
      <c r="G510" s="33" t="s">
        <v>14</v>
      </c>
      <c r="H510" s="18">
        <v>16068</v>
      </c>
      <c r="I510" s="42" t="s">
        <v>14</v>
      </c>
      <c r="J510" s="18">
        <v>598.38</v>
      </c>
      <c r="K510" s="27" t="s">
        <v>3520</v>
      </c>
      <c r="L510" s="29" t="s">
        <v>14</v>
      </c>
      <c r="M510" s="18"/>
      <c r="N510" s="18"/>
      <c r="O510" s="30">
        <v>598.38</v>
      </c>
      <c r="P510" s="25">
        <v>143.85</v>
      </c>
      <c r="Q510" s="28">
        <v>742.23</v>
      </c>
    </row>
    <row r="511" spans="1:17" x14ac:dyDescent="0.2">
      <c r="A511" s="21" t="s">
        <v>4087</v>
      </c>
      <c r="B511" s="21" t="s">
        <v>4088</v>
      </c>
      <c r="C511" s="21" t="s">
        <v>81</v>
      </c>
      <c r="D511" s="21" t="s">
        <v>2747</v>
      </c>
      <c r="E511" s="22" t="s">
        <v>20</v>
      </c>
      <c r="F511" s="23" t="s">
        <v>4092</v>
      </c>
      <c r="G511" s="34" t="s">
        <v>4093</v>
      </c>
      <c r="H511" s="18" t="s">
        <v>2734</v>
      </c>
      <c r="I511" s="27"/>
      <c r="J511" s="18">
        <v>633.54</v>
      </c>
      <c r="K511" s="27"/>
      <c r="L511" s="43" t="s">
        <v>3520</v>
      </c>
      <c r="M511" s="18"/>
      <c r="N511" s="28"/>
      <c r="O511" s="30">
        <v>633.54</v>
      </c>
      <c r="P511" s="25">
        <v>48.47</v>
      </c>
      <c r="Q511" s="28">
        <v>682.01</v>
      </c>
    </row>
    <row r="512" spans="1:17" x14ac:dyDescent="0.2">
      <c r="A512" s="21" t="s">
        <v>948</v>
      </c>
      <c r="B512" s="21" t="s">
        <v>4097</v>
      </c>
      <c r="C512" s="21" t="s">
        <v>65</v>
      </c>
      <c r="D512" s="21" t="s">
        <v>3309</v>
      </c>
      <c r="E512" s="22" t="s">
        <v>12</v>
      </c>
      <c r="F512" s="23" t="s">
        <v>4101</v>
      </c>
      <c r="G512" s="34" t="s">
        <v>1849</v>
      </c>
      <c r="H512" s="18" t="s">
        <v>3313</v>
      </c>
      <c r="I512" s="27"/>
      <c r="J512" s="18">
        <v>284.08</v>
      </c>
      <c r="K512" s="27"/>
      <c r="L512" s="43" t="s">
        <v>3520</v>
      </c>
      <c r="M512" s="18"/>
      <c r="N512" s="28"/>
      <c r="O512" s="30">
        <v>284.08</v>
      </c>
      <c r="P512" s="25">
        <v>21.73</v>
      </c>
      <c r="Q512" s="28">
        <v>305.81</v>
      </c>
    </row>
    <row r="513" spans="1:17" x14ac:dyDescent="0.2">
      <c r="A513" s="21" t="s">
        <v>4105</v>
      </c>
      <c r="B513" s="21" t="s">
        <v>4106</v>
      </c>
      <c r="C513" s="21" t="s">
        <v>65</v>
      </c>
      <c r="D513" s="21" t="s">
        <v>3309</v>
      </c>
      <c r="E513" s="22" t="s">
        <v>12</v>
      </c>
      <c r="F513" s="23" t="s">
        <v>2400</v>
      </c>
      <c r="G513" s="34" t="s">
        <v>3434</v>
      </c>
      <c r="H513" s="18" t="s">
        <v>3313</v>
      </c>
      <c r="I513" s="27"/>
      <c r="J513" s="18">
        <v>233.94</v>
      </c>
      <c r="K513" s="27"/>
      <c r="L513" s="43" t="s">
        <v>3520</v>
      </c>
      <c r="M513" s="18"/>
      <c r="N513" s="28"/>
      <c r="O513" s="30">
        <v>233.94</v>
      </c>
      <c r="P513" s="25">
        <v>17.899999999999999</v>
      </c>
      <c r="Q513" s="28">
        <v>251.84</v>
      </c>
    </row>
    <row r="514" spans="1:17" x14ac:dyDescent="0.2">
      <c r="A514" s="21" t="s">
        <v>4114</v>
      </c>
      <c r="B514" s="21" t="s">
        <v>2011</v>
      </c>
      <c r="C514" s="21" t="s">
        <v>65</v>
      </c>
      <c r="D514" s="21" t="s">
        <v>3309</v>
      </c>
      <c r="E514" s="22" t="s">
        <v>12</v>
      </c>
      <c r="F514" s="23" t="s">
        <v>4119</v>
      </c>
      <c r="G514" s="33" t="s">
        <v>14</v>
      </c>
      <c r="H514" s="18" t="s">
        <v>3313</v>
      </c>
      <c r="I514" s="42" t="s">
        <v>14</v>
      </c>
      <c r="J514" s="18">
        <v>104.44</v>
      </c>
      <c r="K514" s="31" t="s">
        <v>3520</v>
      </c>
      <c r="L514" s="29" t="s">
        <v>14</v>
      </c>
      <c r="M514" s="18"/>
      <c r="N514" s="28"/>
      <c r="O514" s="30">
        <v>104.44</v>
      </c>
      <c r="P514" s="25">
        <v>7.99</v>
      </c>
      <c r="Q514" s="28">
        <v>112.43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39497-6AB6-7748-95D3-E281FFFAEE42}">
  <dimension ref="A1:U516"/>
  <sheetViews>
    <sheetView tabSelected="1" topLeftCell="E1" zoomScale="140" zoomScaleNormal="140" workbookViewId="0">
      <pane ySplit="1" topLeftCell="A462" activePane="bottomLeft" state="frozen"/>
      <selection activeCell="K519" sqref="K519"/>
      <selection pane="bottomLeft" activeCell="K519" sqref="K519"/>
    </sheetView>
  </sheetViews>
  <sheetFormatPr baseColWidth="10" defaultColWidth="8.83203125" defaultRowHeight="16" x14ac:dyDescent="0.2"/>
  <cols>
    <col min="1" max="1" width="16.1640625" style="1" bestFit="1" customWidth="1"/>
    <col min="2" max="2" width="12" style="1" bestFit="1" customWidth="1"/>
    <col min="3" max="3" width="24.83203125" style="1" bestFit="1" customWidth="1"/>
    <col min="4" max="4" width="38.33203125" style="1" bestFit="1" customWidth="1"/>
    <col min="5" max="5" width="10.6640625" style="1" bestFit="1" customWidth="1"/>
    <col min="6" max="6" width="11.33203125" style="1" bestFit="1" customWidth="1"/>
    <col min="7" max="7" width="14.83203125" style="1" bestFit="1" customWidth="1"/>
    <col min="8" max="8" width="12.5" style="1" bestFit="1" customWidth="1"/>
    <col min="9" max="9" width="11.83203125" style="1" bestFit="1" customWidth="1"/>
    <col min="10" max="10" width="14.5" style="1" bestFit="1" customWidth="1"/>
    <col min="11" max="12" width="13.33203125" style="1" bestFit="1" customWidth="1"/>
    <col min="13" max="13" width="11.83203125" style="1" bestFit="1" customWidth="1"/>
    <col min="14" max="14" width="14.1640625" style="1" bestFit="1" customWidth="1"/>
    <col min="15" max="16" width="14.5" style="1" bestFit="1" customWidth="1"/>
    <col min="17" max="17" width="11.83203125" style="1" customWidth="1"/>
    <col min="18" max="20" width="14.5" style="1" bestFit="1" customWidth="1"/>
    <col min="21" max="21" width="6.6640625" style="1" bestFit="1" customWidth="1"/>
    <col min="22" max="16384" width="8.83203125" style="1"/>
  </cols>
  <sheetData>
    <row r="1" spans="1:21" ht="72" thickBot="1" x14ac:dyDescent="0.25">
      <c r="A1" s="2" t="s">
        <v>0</v>
      </c>
      <c r="B1" s="2" t="s">
        <v>1</v>
      </c>
      <c r="C1" s="2" t="s">
        <v>2</v>
      </c>
      <c r="D1" s="2" t="s">
        <v>3</v>
      </c>
      <c r="E1" s="3" t="s">
        <v>4</v>
      </c>
      <c r="F1" s="2" t="s">
        <v>5</v>
      </c>
      <c r="G1" s="4" t="s">
        <v>6</v>
      </c>
      <c r="H1" s="5" t="s">
        <v>4138</v>
      </c>
      <c r="I1" s="6" t="s">
        <v>4139</v>
      </c>
      <c r="J1" s="6" t="s">
        <v>4140</v>
      </c>
      <c r="K1" s="6" t="s">
        <v>4141</v>
      </c>
      <c r="L1" s="7" t="s">
        <v>4142</v>
      </c>
      <c r="M1" s="5" t="s">
        <v>4143</v>
      </c>
      <c r="N1" s="8" t="s">
        <v>7</v>
      </c>
      <c r="O1" s="55" t="s">
        <v>4158</v>
      </c>
      <c r="P1" s="1" t="s">
        <v>4147</v>
      </c>
      <c r="Q1" s="1" t="s">
        <v>4148</v>
      </c>
      <c r="R1" s="5" t="s">
        <v>4145</v>
      </c>
      <c r="S1" s="9" t="s">
        <v>4146</v>
      </c>
      <c r="T1" s="1" t="s">
        <v>4147</v>
      </c>
      <c r="U1" s="1" t="s">
        <v>4148</v>
      </c>
    </row>
    <row r="2" spans="1:21" ht="17" thickBot="1" x14ac:dyDescent="0.25">
      <c r="A2" s="10" t="s">
        <v>8</v>
      </c>
      <c r="B2" s="10" t="s">
        <v>9</v>
      </c>
      <c r="C2" s="10" t="s">
        <v>10</v>
      </c>
      <c r="D2" s="10" t="s">
        <v>11</v>
      </c>
      <c r="E2" s="11" t="s">
        <v>12</v>
      </c>
      <c r="F2" s="12" t="s">
        <v>13</v>
      </c>
      <c r="G2" s="13" t="s">
        <v>14</v>
      </c>
      <c r="H2" s="14">
        <v>185825.12</v>
      </c>
      <c r="I2" s="15" t="s">
        <v>14</v>
      </c>
      <c r="J2" s="16">
        <v>182571.4</v>
      </c>
      <c r="K2" s="16" t="s">
        <v>3520</v>
      </c>
      <c r="L2" s="17">
        <v>8497.25</v>
      </c>
      <c r="M2" s="17" t="s">
        <v>3520</v>
      </c>
      <c r="N2" s="18"/>
      <c r="O2" s="19">
        <v>191068.65</v>
      </c>
      <c r="P2" s="19">
        <f>SUM(I2:N2)</f>
        <v>191068.65</v>
      </c>
      <c r="Q2" s="19">
        <f>SUM(O2-P2)</f>
        <v>0</v>
      </c>
      <c r="R2" s="14">
        <v>64073.37</v>
      </c>
      <c r="S2" s="20">
        <v>255142.02</v>
      </c>
      <c r="T2" s="49">
        <f>SUM(O2+R2)</f>
        <v>255142.02</v>
      </c>
      <c r="U2" s="49">
        <f>SUM(S2-T2)</f>
        <v>0</v>
      </c>
    </row>
    <row r="3" spans="1:21" ht="17" thickBot="1" x14ac:dyDescent="0.25">
      <c r="A3" s="21" t="s">
        <v>16</v>
      </c>
      <c r="B3" s="21" t="s">
        <v>17</v>
      </c>
      <c r="C3" s="21" t="s">
        <v>18</v>
      </c>
      <c r="D3" s="21" t="s">
        <v>19</v>
      </c>
      <c r="E3" s="22" t="s">
        <v>20</v>
      </c>
      <c r="F3" s="23" t="s">
        <v>21</v>
      </c>
      <c r="G3" s="24" t="s">
        <v>14</v>
      </c>
      <c r="H3" s="25">
        <v>98554.559999999998</v>
      </c>
      <c r="I3" s="26" t="s">
        <v>14</v>
      </c>
      <c r="J3" s="25">
        <v>93957.43</v>
      </c>
      <c r="K3" s="18">
        <v>41411.5</v>
      </c>
      <c r="L3" s="27">
        <v>10228.81</v>
      </c>
      <c r="M3" s="27">
        <v>49402.44</v>
      </c>
      <c r="N3" s="18"/>
      <c r="O3" s="25">
        <v>195000.18</v>
      </c>
      <c r="P3" s="19">
        <f t="shared" ref="P3:P66" si="0">SUM(I3:N3)</f>
        <v>195000.18</v>
      </c>
      <c r="Q3" s="19">
        <f t="shared" ref="Q3:Q66" si="1">SUM(O3-P3)</f>
        <v>0</v>
      </c>
      <c r="R3" s="25">
        <v>59277</v>
      </c>
      <c r="S3" s="28">
        <v>254277.18</v>
      </c>
      <c r="T3" s="49">
        <f t="shared" ref="T3:T66" si="2">SUM(O3+R3)</f>
        <v>254277.18</v>
      </c>
      <c r="U3" s="49">
        <f t="shared" ref="U3:U66" si="3">SUM(S3-T3)</f>
        <v>0</v>
      </c>
    </row>
    <row r="4" spans="1:21" ht="17" thickBot="1" x14ac:dyDescent="0.25">
      <c r="A4" s="21" t="s">
        <v>24</v>
      </c>
      <c r="B4" s="21" t="s">
        <v>25</v>
      </c>
      <c r="C4" s="21" t="s">
        <v>10</v>
      </c>
      <c r="D4" s="21" t="s">
        <v>27</v>
      </c>
      <c r="E4" s="22" t="s">
        <v>12</v>
      </c>
      <c r="F4" s="23" t="s">
        <v>29</v>
      </c>
      <c r="G4" s="24" t="s">
        <v>14</v>
      </c>
      <c r="H4" s="25">
        <v>272000.03999999998</v>
      </c>
      <c r="I4" s="26" t="s">
        <v>14</v>
      </c>
      <c r="J4" s="18">
        <v>183153.97</v>
      </c>
      <c r="K4" s="18" t="s">
        <v>3520</v>
      </c>
      <c r="L4" s="27">
        <v>1538.5</v>
      </c>
      <c r="M4" s="27" t="s">
        <v>3520</v>
      </c>
      <c r="N4" s="18"/>
      <c r="O4" s="25">
        <v>184692.47</v>
      </c>
      <c r="P4" s="19">
        <f t="shared" si="0"/>
        <v>184692.47</v>
      </c>
      <c r="Q4" s="19">
        <f t="shared" si="1"/>
        <v>0</v>
      </c>
      <c r="R4" s="25">
        <v>63422.080000000002</v>
      </c>
      <c r="S4" s="28">
        <v>248114.55</v>
      </c>
      <c r="T4" s="49">
        <f t="shared" si="2"/>
        <v>248114.55</v>
      </c>
      <c r="U4" s="49">
        <f t="shared" si="3"/>
        <v>0</v>
      </c>
    </row>
    <row r="5" spans="1:21" ht="17" thickBot="1" x14ac:dyDescent="0.25">
      <c r="A5" s="21" t="s">
        <v>32</v>
      </c>
      <c r="B5" s="21" t="s">
        <v>33</v>
      </c>
      <c r="C5" s="21" t="s">
        <v>18</v>
      </c>
      <c r="D5" s="21" t="s">
        <v>35</v>
      </c>
      <c r="E5" s="22" t="s">
        <v>20</v>
      </c>
      <c r="F5" s="23" t="s">
        <v>37</v>
      </c>
      <c r="G5" s="24" t="s">
        <v>14</v>
      </c>
      <c r="H5" s="25">
        <v>143561.60000000001</v>
      </c>
      <c r="I5" s="26" t="s">
        <v>14</v>
      </c>
      <c r="J5" s="18">
        <v>143347.70000000001</v>
      </c>
      <c r="K5" s="18" t="s">
        <v>3520</v>
      </c>
      <c r="L5" s="27">
        <v>2379.52</v>
      </c>
      <c r="M5" s="27">
        <v>18230.28</v>
      </c>
      <c r="N5" s="18"/>
      <c r="O5" s="25">
        <v>163957.5</v>
      </c>
      <c r="P5" s="19">
        <f t="shared" si="0"/>
        <v>163957.5</v>
      </c>
      <c r="Q5" s="19">
        <f t="shared" si="1"/>
        <v>0</v>
      </c>
      <c r="R5" s="25">
        <v>47322.11</v>
      </c>
      <c r="S5" s="28">
        <v>211279.61</v>
      </c>
      <c r="T5" s="49">
        <f t="shared" si="2"/>
        <v>211279.61</v>
      </c>
      <c r="U5" s="49">
        <f t="shared" si="3"/>
        <v>0</v>
      </c>
    </row>
    <row r="6" spans="1:21" ht="17" thickBot="1" x14ac:dyDescent="0.25">
      <c r="A6" s="21" t="s">
        <v>40</v>
      </c>
      <c r="B6" s="21" t="s">
        <v>41</v>
      </c>
      <c r="C6" s="21" t="s">
        <v>18</v>
      </c>
      <c r="D6" s="21" t="s">
        <v>58</v>
      </c>
      <c r="E6" s="22" t="s">
        <v>20</v>
      </c>
      <c r="F6" s="23" t="s">
        <v>44</v>
      </c>
      <c r="G6" s="24" t="s">
        <v>14</v>
      </c>
      <c r="H6" s="25">
        <v>101751.52</v>
      </c>
      <c r="I6" s="26" t="s">
        <v>14</v>
      </c>
      <c r="J6" s="25">
        <v>110211.32</v>
      </c>
      <c r="K6" s="18">
        <v>18974.07</v>
      </c>
      <c r="L6" s="27">
        <v>12252.52</v>
      </c>
      <c r="M6" s="27">
        <v>22373.52</v>
      </c>
      <c r="N6" s="18"/>
      <c r="O6" s="25">
        <v>163811.43</v>
      </c>
      <c r="P6" s="19">
        <f t="shared" si="0"/>
        <v>163811.43</v>
      </c>
      <c r="Q6" s="19">
        <f t="shared" si="1"/>
        <v>0</v>
      </c>
      <c r="R6" s="25">
        <v>46496.14</v>
      </c>
      <c r="S6" s="28">
        <v>210307.57</v>
      </c>
      <c r="T6" s="49">
        <f t="shared" si="2"/>
        <v>210307.57</v>
      </c>
      <c r="U6" s="49">
        <f t="shared" si="3"/>
        <v>0</v>
      </c>
    </row>
    <row r="7" spans="1:21" ht="17" thickBot="1" x14ac:dyDescent="0.25">
      <c r="A7" s="21" t="s">
        <v>47</v>
      </c>
      <c r="B7" s="21" t="s">
        <v>48</v>
      </c>
      <c r="C7" s="21" t="s">
        <v>18</v>
      </c>
      <c r="D7" s="21" t="s">
        <v>50</v>
      </c>
      <c r="E7" s="22" t="s">
        <v>20</v>
      </c>
      <c r="F7" s="23" t="s">
        <v>52</v>
      </c>
      <c r="G7" s="24" t="s">
        <v>14</v>
      </c>
      <c r="H7" s="25">
        <v>137937.79999999999</v>
      </c>
      <c r="I7" s="26" t="s">
        <v>14</v>
      </c>
      <c r="J7" s="18">
        <v>103417.26</v>
      </c>
      <c r="K7" s="18">
        <v>12146.48</v>
      </c>
      <c r="L7" s="27">
        <v>8245.0499999999993</v>
      </c>
      <c r="M7" s="27">
        <v>22401.05</v>
      </c>
      <c r="N7" s="18"/>
      <c r="O7" s="25">
        <v>146209.84</v>
      </c>
      <c r="P7" s="19">
        <f t="shared" si="0"/>
        <v>146209.84</v>
      </c>
      <c r="Q7" s="19">
        <f t="shared" si="1"/>
        <v>0</v>
      </c>
      <c r="R7" s="25">
        <v>54986.32</v>
      </c>
      <c r="S7" s="28">
        <v>201196.16</v>
      </c>
      <c r="T7" s="49">
        <f t="shared" si="2"/>
        <v>201196.16</v>
      </c>
      <c r="U7" s="49">
        <f t="shared" si="3"/>
        <v>0</v>
      </c>
    </row>
    <row r="8" spans="1:21" ht="17" thickBot="1" x14ac:dyDescent="0.25">
      <c r="A8" s="21" t="s">
        <v>55</v>
      </c>
      <c r="B8" s="21" t="s">
        <v>56</v>
      </c>
      <c r="C8" s="21" t="s">
        <v>18</v>
      </c>
      <c r="D8" s="21" t="s">
        <v>58</v>
      </c>
      <c r="E8" s="22" t="s">
        <v>20</v>
      </c>
      <c r="F8" s="23" t="s">
        <v>60</v>
      </c>
      <c r="G8" s="24" t="s">
        <v>14</v>
      </c>
      <c r="H8" s="25">
        <v>84030.44</v>
      </c>
      <c r="I8" s="26" t="s">
        <v>14</v>
      </c>
      <c r="J8" s="25">
        <v>83209.06</v>
      </c>
      <c r="K8" s="18">
        <v>27351.22</v>
      </c>
      <c r="L8" s="27">
        <v>6670.14</v>
      </c>
      <c r="M8" s="27">
        <v>37243.54</v>
      </c>
      <c r="N8" s="18"/>
      <c r="O8" s="25">
        <v>154473.96</v>
      </c>
      <c r="P8" s="19">
        <f t="shared" si="0"/>
        <v>154473.96</v>
      </c>
      <c r="Q8" s="19">
        <f t="shared" si="1"/>
        <v>0</v>
      </c>
      <c r="R8" s="25">
        <v>45911.68</v>
      </c>
      <c r="S8" s="28">
        <v>200385.64</v>
      </c>
      <c r="T8" s="49">
        <f t="shared" si="2"/>
        <v>200385.63999999998</v>
      </c>
      <c r="U8" s="49">
        <f t="shared" si="3"/>
        <v>2.9103830456733704E-11</v>
      </c>
    </row>
    <row r="9" spans="1:21" ht="17" thickBot="1" x14ac:dyDescent="0.25">
      <c r="A9" s="21" t="s">
        <v>63</v>
      </c>
      <c r="B9" s="21" t="s">
        <v>8</v>
      </c>
      <c r="C9" s="21" t="s">
        <v>65</v>
      </c>
      <c r="D9" s="21" t="s">
        <v>66</v>
      </c>
      <c r="E9" s="22" t="s">
        <v>20</v>
      </c>
      <c r="F9" s="23" t="s">
        <v>68</v>
      </c>
      <c r="G9" s="24" t="s">
        <v>14</v>
      </c>
      <c r="H9" s="25">
        <v>150993.96</v>
      </c>
      <c r="I9" s="26" t="s">
        <v>14</v>
      </c>
      <c r="J9" s="18">
        <v>150824.81</v>
      </c>
      <c r="K9" s="18" t="s">
        <v>3520</v>
      </c>
      <c r="L9" s="27">
        <v>3463.36</v>
      </c>
      <c r="M9" s="27" t="s">
        <v>3520</v>
      </c>
      <c r="N9" s="18"/>
      <c r="O9" s="25">
        <v>154288.17000000001</v>
      </c>
      <c r="P9" s="19">
        <f t="shared" si="0"/>
        <v>154288.16999999998</v>
      </c>
      <c r="Q9" s="19">
        <f t="shared" si="1"/>
        <v>2.9103830456733704E-11</v>
      </c>
      <c r="R9" s="25">
        <v>45638.39</v>
      </c>
      <c r="S9" s="28">
        <v>199926.56</v>
      </c>
      <c r="T9" s="49">
        <f t="shared" si="2"/>
        <v>199926.56</v>
      </c>
      <c r="U9" s="49">
        <f t="shared" si="3"/>
        <v>0</v>
      </c>
    </row>
    <row r="10" spans="1:21" ht="17" thickBot="1" x14ac:dyDescent="0.25">
      <c r="A10" s="21" t="s">
        <v>71</v>
      </c>
      <c r="B10" s="21" t="s">
        <v>72</v>
      </c>
      <c r="C10" s="21" t="s">
        <v>18</v>
      </c>
      <c r="D10" s="21" t="s">
        <v>74</v>
      </c>
      <c r="E10" s="22" t="s">
        <v>20</v>
      </c>
      <c r="F10" s="23" t="s">
        <v>76</v>
      </c>
      <c r="G10" s="24" t="s">
        <v>14</v>
      </c>
      <c r="H10" s="25">
        <v>77691.64</v>
      </c>
      <c r="I10" s="26" t="s">
        <v>14</v>
      </c>
      <c r="J10" s="25">
        <v>77414.28</v>
      </c>
      <c r="K10" s="18">
        <v>20137.400000000001</v>
      </c>
      <c r="L10" s="27">
        <v>9995.57</v>
      </c>
      <c r="M10" s="27">
        <v>36214.01</v>
      </c>
      <c r="N10" s="18"/>
      <c r="O10" s="25">
        <v>143761.26</v>
      </c>
      <c r="P10" s="19">
        <f t="shared" si="0"/>
        <v>143761.26</v>
      </c>
      <c r="Q10" s="19">
        <f t="shared" si="1"/>
        <v>0</v>
      </c>
      <c r="R10" s="25">
        <v>53483.88</v>
      </c>
      <c r="S10" s="28">
        <v>197245.14</v>
      </c>
      <c r="T10" s="49">
        <f t="shared" si="2"/>
        <v>197245.14</v>
      </c>
      <c r="U10" s="49">
        <f t="shared" si="3"/>
        <v>0</v>
      </c>
    </row>
    <row r="11" spans="1:21" ht="17" thickBot="1" x14ac:dyDescent="0.25">
      <c r="A11" s="21" t="s">
        <v>79</v>
      </c>
      <c r="B11" s="21" t="s">
        <v>80</v>
      </c>
      <c r="C11" s="21" t="s">
        <v>81</v>
      </c>
      <c r="D11" s="21" t="s">
        <v>82</v>
      </c>
      <c r="E11" s="22" t="s">
        <v>20</v>
      </c>
      <c r="F11" s="23" t="s">
        <v>84</v>
      </c>
      <c r="G11" s="24" t="s">
        <v>14</v>
      </c>
      <c r="H11" s="25">
        <v>134394.26</v>
      </c>
      <c r="I11" s="26" t="s">
        <v>14</v>
      </c>
      <c r="J11" s="18">
        <v>134194.01999999999</v>
      </c>
      <c r="K11" s="18" t="s">
        <v>3520</v>
      </c>
      <c r="L11" s="27">
        <v>4706</v>
      </c>
      <c r="M11" s="27" t="s">
        <v>3520</v>
      </c>
      <c r="N11" s="18"/>
      <c r="O11" s="25">
        <v>138900.01999999999</v>
      </c>
      <c r="P11" s="19">
        <f t="shared" si="0"/>
        <v>138900.01999999999</v>
      </c>
      <c r="Q11" s="19">
        <f t="shared" si="1"/>
        <v>0</v>
      </c>
      <c r="R11" s="25">
        <v>54026.64</v>
      </c>
      <c r="S11" s="28">
        <v>192926.66</v>
      </c>
      <c r="T11" s="49">
        <f t="shared" si="2"/>
        <v>192926.65999999997</v>
      </c>
      <c r="U11" s="49">
        <f t="shared" si="3"/>
        <v>2.9103830456733704E-11</v>
      </c>
    </row>
    <row r="12" spans="1:21" ht="17" thickBot="1" x14ac:dyDescent="0.25">
      <c r="A12" s="21" t="s">
        <v>24</v>
      </c>
      <c r="B12" s="21" t="s">
        <v>88</v>
      </c>
      <c r="C12" s="21" t="s">
        <v>18</v>
      </c>
      <c r="D12" s="21" t="s">
        <v>90</v>
      </c>
      <c r="E12" s="22" t="s">
        <v>20</v>
      </c>
      <c r="F12" s="23" t="s">
        <v>92</v>
      </c>
      <c r="G12" s="24" t="s">
        <v>14</v>
      </c>
      <c r="H12" s="25">
        <v>98554.559999999998</v>
      </c>
      <c r="I12" s="26" t="s">
        <v>14</v>
      </c>
      <c r="J12" s="25">
        <v>109617.71</v>
      </c>
      <c r="K12" s="18">
        <v>10361.08</v>
      </c>
      <c r="L12" s="27">
        <v>11699.83</v>
      </c>
      <c r="M12" s="27">
        <v>7250.34</v>
      </c>
      <c r="N12" s="18"/>
      <c r="O12" s="25">
        <v>138928.95999999999</v>
      </c>
      <c r="P12" s="19">
        <f t="shared" si="0"/>
        <v>138928.95999999999</v>
      </c>
      <c r="Q12" s="19">
        <f t="shared" si="1"/>
        <v>0</v>
      </c>
      <c r="R12" s="25">
        <v>51102.32</v>
      </c>
      <c r="S12" s="28">
        <v>190031.28</v>
      </c>
      <c r="T12" s="49">
        <f t="shared" si="2"/>
        <v>190031.28</v>
      </c>
      <c r="U12" s="49">
        <f t="shared" si="3"/>
        <v>0</v>
      </c>
    </row>
    <row r="13" spans="1:21" ht="17" thickBot="1" x14ac:dyDescent="0.25">
      <c r="A13" s="21" t="s">
        <v>95</v>
      </c>
      <c r="B13" s="21" t="s">
        <v>96</v>
      </c>
      <c r="C13" s="21" t="s">
        <v>97</v>
      </c>
      <c r="D13" s="21" t="s">
        <v>98</v>
      </c>
      <c r="E13" s="22" t="s">
        <v>12</v>
      </c>
      <c r="F13" s="23" t="s">
        <v>100</v>
      </c>
      <c r="G13" s="24" t="s">
        <v>14</v>
      </c>
      <c r="H13" s="25">
        <v>134378.14000000001</v>
      </c>
      <c r="I13" s="26" t="s">
        <v>14</v>
      </c>
      <c r="J13" s="18">
        <v>134177.92000000001</v>
      </c>
      <c r="K13" s="18" t="s">
        <v>3520</v>
      </c>
      <c r="L13" s="27">
        <v>1227</v>
      </c>
      <c r="M13" s="27" t="s">
        <v>3520</v>
      </c>
      <c r="N13" s="18"/>
      <c r="O13" s="25">
        <v>135404.92000000001</v>
      </c>
      <c r="P13" s="19">
        <f t="shared" si="0"/>
        <v>135404.92000000001</v>
      </c>
      <c r="Q13" s="19">
        <f t="shared" si="1"/>
        <v>0</v>
      </c>
      <c r="R13" s="25">
        <v>51968.06</v>
      </c>
      <c r="S13" s="28">
        <v>187372.98</v>
      </c>
      <c r="T13" s="49">
        <f t="shared" si="2"/>
        <v>187372.98</v>
      </c>
      <c r="U13" s="49">
        <f t="shared" si="3"/>
        <v>0</v>
      </c>
    </row>
    <row r="14" spans="1:21" ht="17" thickBot="1" x14ac:dyDescent="0.25">
      <c r="A14" s="21" t="s">
        <v>103</v>
      </c>
      <c r="B14" s="21" t="s">
        <v>104</v>
      </c>
      <c r="C14" s="21" t="s">
        <v>18</v>
      </c>
      <c r="D14" s="21" t="s">
        <v>106</v>
      </c>
      <c r="E14" s="22" t="s">
        <v>20</v>
      </c>
      <c r="F14" s="23" t="s">
        <v>108</v>
      </c>
      <c r="G14" s="24" t="s">
        <v>14</v>
      </c>
      <c r="H14" s="25">
        <v>84030.44</v>
      </c>
      <c r="I14" s="26" t="s">
        <v>14</v>
      </c>
      <c r="J14" s="25">
        <v>91907.34</v>
      </c>
      <c r="K14" s="18">
        <v>17028.080000000002</v>
      </c>
      <c r="L14" s="27">
        <v>9941.43</v>
      </c>
      <c r="M14" s="27">
        <v>16281.66</v>
      </c>
      <c r="N14" s="18"/>
      <c r="O14" s="25">
        <v>135158.51</v>
      </c>
      <c r="P14" s="19">
        <f t="shared" si="0"/>
        <v>135158.51</v>
      </c>
      <c r="Q14" s="19">
        <f t="shared" si="1"/>
        <v>0</v>
      </c>
      <c r="R14" s="25">
        <v>51960.11</v>
      </c>
      <c r="S14" s="28">
        <v>187118.62</v>
      </c>
      <c r="T14" s="49">
        <f t="shared" si="2"/>
        <v>187118.62</v>
      </c>
      <c r="U14" s="49">
        <f t="shared" si="3"/>
        <v>0</v>
      </c>
    </row>
    <row r="15" spans="1:21" ht="17" thickBot="1" x14ac:dyDescent="0.25">
      <c r="A15" s="21" t="s">
        <v>111</v>
      </c>
      <c r="B15" s="21" t="s">
        <v>112</v>
      </c>
      <c r="C15" s="21" t="s">
        <v>113</v>
      </c>
      <c r="D15" s="21" t="s">
        <v>114</v>
      </c>
      <c r="E15" s="22" t="s">
        <v>12</v>
      </c>
      <c r="F15" s="23" t="s">
        <v>116</v>
      </c>
      <c r="G15" s="24" t="s">
        <v>14</v>
      </c>
      <c r="H15" s="25">
        <v>137856.94</v>
      </c>
      <c r="I15" s="26" t="s">
        <v>14</v>
      </c>
      <c r="J15" s="18">
        <v>128375.89</v>
      </c>
      <c r="K15" s="18" t="s">
        <v>3520</v>
      </c>
      <c r="L15" s="27">
        <v>3013.12</v>
      </c>
      <c r="M15" s="27" t="s">
        <v>3520</v>
      </c>
      <c r="N15" s="18"/>
      <c r="O15" s="25">
        <v>131389.01</v>
      </c>
      <c r="P15" s="19">
        <f t="shared" si="0"/>
        <v>131389.01</v>
      </c>
      <c r="Q15" s="19">
        <f t="shared" si="1"/>
        <v>0</v>
      </c>
      <c r="R15" s="25">
        <v>51311.4</v>
      </c>
      <c r="S15" s="28">
        <v>182700.41</v>
      </c>
      <c r="T15" s="49">
        <f t="shared" si="2"/>
        <v>182700.41</v>
      </c>
      <c r="U15" s="49">
        <f t="shared" si="3"/>
        <v>0</v>
      </c>
    </row>
    <row r="16" spans="1:21" ht="17" thickBot="1" x14ac:dyDescent="0.25">
      <c r="A16" s="21" t="s">
        <v>119</v>
      </c>
      <c r="B16" s="21" t="s">
        <v>120</v>
      </c>
      <c r="C16" s="21" t="s">
        <v>18</v>
      </c>
      <c r="D16" s="21" t="s">
        <v>122</v>
      </c>
      <c r="E16" s="22" t="s">
        <v>20</v>
      </c>
      <c r="F16" s="23" t="s">
        <v>124</v>
      </c>
      <c r="G16" s="24" t="s">
        <v>14</v>
      </c>
      <c r="H16" s="25">
        <v>107473.60000000001</v>
      </c>
      <c r="I16" s="26" t="s">
        <v>14</v>
      </c>
      <c r="J16" s="18">
        <v>107335.64</v>
      </c>
      <c r="K16" s="18">
        <v>1767.93</v>
      </c>
      <c r="L16" s="27">
        <v>4228.57</v>
      </c>
      <c r="M16" s="27">
        <v>14260.92</v>
      </c>
      <c r="N16" s="18"/>
      <c r="O16" s="25">
        <v>127593.06</v>
      </c>
      <c r="P16" s="19">
        <f t="shared" si="0"/>
        <v>127593.05999999998</v>
      </c>
      <c r="Q16" s="19">
        <f t="shared" si="1"/>
        <v>1.4551915228366852E-11</v>
      </c>
      <c r="R16" s="25">
        <v>51393.85</v>
      </c>
      <c r="S16" s="28">
        <v>178986.91</v>
      </c>
      <c r="T16" s="49">
        <f t="shared" si="2"/>
        <v>178986.91</v>
      </c>
      <c r="U16" s="49">
        <f t="shared" si="3"/>
        <v>0</v>
      </c>
    </row>
    <row r="17" spans="1:21" ht="17" thickBot="1" x14ac:dyDescent="0.25">
      <c r="A17" s="21" t="s">
        <v>127</v>
      </c>
      <c r="B17" s="21" t="s">
        <v>128</v>
      </c>
      <c r="C17" s="21" t="s">
        <v>129</v>
      </c>
      <c r="D17" s="21" t="s">
        <v>130</v>
      </c>
      <c r="E17" s="22" t="s">
        <v>20</v>
      </c>
      <c r="F17" s="23" t="s">
        <v>132</v>
      </c>
      <c r="G17" s="24" t="s">
        <v>14</v>
      </c>
      <c r="H17" s="25">
        <v>80870.399999999994</v>
      </c>
      <c r="I17" s="26" t="s">
        <v>14</v>
      </c>
      <c r="J17" s="25">
        <v>83428.490000000005</v>
      </c>
      <c r="K17" s="18">
        <v>8908.23</v>
      </c>
      <c r="L17" s="27">
        <v>4033.65</v>
      </c>
      <c r="M17" s="27">
        <v>30606.04</v>
      </c>
      <c r="N17" s="18"/>
      <c r="O17" s="25">
        <v>126976.41</v>
      </c>
      <c r="P17" s="19">
        <f t="shared" si="0"/>
        <v>126976.41</v>
      </c>
      <c r="Q17" s="19">
        <f t="shared" si="1"/>
        <v>0</v>
      </c>
      <c r="R17" s="25">
        <v>46418.41</v>
      </c>
      <c r="S17" s="28">
        <v>173394.82</v>
      </c>
      <c r="T17" s="49">
        <f t="shared" si="2"/>
        <v>173394.82</v>
      </c>
      <c r="U17" s="49">
        <f t="shared" si="3"/>
        <v>0</v>
      </c>
    </row>
    <row r="18" spans="1:21" ht="17" thickBot="1" x14ac:dyDescent="0.25">
      <c r="A18" s="21" t="s">
        <v>135</v>
      </c>
      <c r="B18" s="21" t="s">
        <v>136</v>
      </c>
      <c r="C18" s="21" t="s">
        <v>137</v>
      </c>
      <c r="D18" s="21" t="s">
        <v>138</v>
      </c>
      <c r="E18" s="22" t="s">
        <v>12</v>
      </c>
      <c r="F18" s="23" t="s">
        <v>140</v>
      </c>
      <c r="G18" s="24" t="s">
        <v>14</v>
      </c>
      <c r="H18" s="25">
        <v>129493.26</v>
      </c>
      <c r="I18" s="26" t="s">
        <v>14</v>
      </c>
      <c r="J18" s="18">
        <v>129300.32</v>
      </c>
      <c r="K18" s="18" t="s">
        <v>3520</v>
      </c>
      <c r="L18" s="27">
        <v>2494</v>
      </c>
      <c r="M18" s="27" t="s">
        <v>3520</v>
      </c>
      <c r="N18" s="18"/>
      <c r="O18" s="25">
        <v>131794.32</v>
      </c>
      <c r="P18" s="19">
        <f t="shared" si="0"/>
        <v>131794.32</v>
      </c>
      <c r="Q18" s="19">
        <f t="shared" si="1"/>
        <v>0</v>
      </c>
      <c r="R18" s="25">
        <v>41321.43</v>
      </c>
      <c r="S18" s="28">
        <v>173115.75</v>
      </c>
      <c r="T18" s="49">
        <f t="shared" si="2"/>
        <v>173115.75</v>
      </c>
      <c r="U18" s="49">
        <f t="shared" si="3"/>
        <v>0</v>
      </c>
    </row>
    <row r="19" spans="1:21" ht="17" thickBot="1" x14ac:dyDescent="0.25">
      <c r="A19" s="21" t="s">
        <v>143</v>
      </c>
      <c r="B19" s="21" t="s">
        <v>144</v>
      </c>
      <c r="C19" s="21" t="s">
        <v>145</v>
      </c>
      <c r="D19" s="21" t="s">
        <v>146</v>
      </c>
      <c r="E19" s="22" t="s">
        <v>12</v>
      </c>
      <c r="F19" s="23" t="s">
        <v>148</v>
      </c>
      <c r="G19" s="24" t="s">
        <v>14</v>
      </c>
      <c r="H19" s="25">
        <v>150000.24</v>
      </c>
      <c r="I19" s="26" t="s">
        <v>14</v>
      </c>
      <c r="J19" s="18">
        <v>126923.28</v>
      </c>
      <c r="K19" s="18" t="s">
        <v>3520</v>
      </c>
      <c r="L19" s="27"/>
      <c r="M19" s="27" t="s">
        <v>3520</v>
      </c>
      <c r="N19" s="18"/>
      <c r="O19" s="25">
        <v>126923.28</v>
      </c>
      <c r="P19" s="19">
        <f t="shared" si="0"/>
        <v>126923.28</v>
      </c>
      <c r="Q19" s="19">
        <f t="shared" si="1"/>
        <v>0</v>
      </c>
      <c r="R19" s="25">
        <v>46030.9</v>
      </c>
      <c r="S19" s="28">
        <v>172954.18</v>
      </c>
      <c r="T19" s="49">
        <f t="shared" si="2"/>
        <v>172954.18</v>
      </c>
      <c r="U19" s="49">
        <f t="shared" si="3"/>
        <v>0</v>
      </c>
    </row>
    <row r="20" spans="1:21" ht="17" thickBot="1" x14ac:dyDescent="0.25">
      <c r="A20" s="21" t="s">
        <v>151</v>
      </c>
      <c r="B20" s="21" t="s">
        <v>104</v>
      </c>
      <c r="C20" s="21" t="s">
        <v>81</v>
      </c>
      <c r="D20" s="21" t="s">
        <v>154</v>
      </c>
      <c r="E20" s="22" t="s">
        <v>20</v>
      </c>
      <c r="F20" s="23" t="s">
        <v>156</v>
      </c>
      <c r="G20" s="24" t="s">
        <v>14</v>
      </c>
      <c r="H20" s="25">
        <v>83151.83</v>
      </c>
      <c r="I20" s="26" t="s">
        <v>14</v>
      </c>
      <c r="J20" s="25">
        <v>63911.76</v>
      </c>
      <c r="K20" s="18">
        <v>47524.21</v>
      </c>
      <c r="L20" s="27">
        <v>6721.2</v>
      </c>
      <c r="N20" s="18"/>
      <c r="O20" s="25">
        <v>118157.17</v>
      </c>
      <c r="P20" s="19">
        <f t="shared" si="0"/>
        <v>118157.17</v>
      </c>
      <c r="Q20" s="19">
        <f t="shared" si="1"/>
        <v>0</v>
      </c>
      <c r="R20" s="25">
        <v>48753.41</v>
      </c>
      <c r="S20" s="28">
        <v>166910.57999999999</v>
      </c>
      <c r="T20" s="49">
        <f t="shared" si="2"/>
        <v>166910.58000000002</v>
      </c>
      <c r="U20" s="49">
        <f t="shared" si="3"/>
        <v>-2.9103830456733704E-11</v>
      </c>
    </row>
    <row r="21" spans="1:21" ht="17" thickBot="1" x14ac:dyDescent="0.25">
      <c r="A21" s="21" t="s">
        <v>159</v>
      </c>
      <c r="B21" s="21" t="s">
        <v>160</v>
      </c>
      <c r="C21" s="21" t="s">
        <v>18</v>
      </c>
      <c r="D21" s="21" t="s">
        <v>74</v>
      </c>
      <c r="E21" s="22" t="s">
        <v>20</v>
      </c>
      <c r="F21" s="23" t="s">
        <v>164</v>
      </c>
      <c r="G21" s="24" t="s">
        <v>14</v>
      </c>
      <c r="H21" s="25">
        <v>71821.36</v>
      </c>
      <c r="I21" s="26" t="s">
        <v>14</v>
      </c>
      <c r="J21" s="25">
        <v>81922.36</v>
      </c>
      <c r="K21" s="18">
        <v>17703.560000000001</v>
      </c>
      <c r="L21" s="27">
        <v>7913.05</v>
      </c>
      <c r="M21" s="27">
        <v>10880.05</v>
      </c>
      <c r="N21" s="18"/>
      <c r="O21" s="25">
        <v>118419.02</v>
      </c>
      <c r="P21" s="19">
        <f t="shared" si="0"/>
        <v>118419.02</v>
      </c>
      <c r="Q21" s="19">
        <f t="shared" si="1"/>
        <v>0</v>
      </c>
      <c r="R21" s="25">
        <v>47954.51</v>
      </c>
      <c r="S21" s="28">
        <v>166373.53</v>
      </c>
      <c r="T21" s="49">
        <f t="shared" si="2"/>
        <v>166373.53</v>
      </c>
      <c r="U21" s="49">
        <f t="shared" si="3"/>
        <v>0</v>
      </c>
    </row>
    <row r="22" spans="1:21" ht="17" thickBot="1" x14ac:dyDescent="0.25">
      <c r="A22" s="21" t="s">
        <v>167</v>
      </c>
      <c r="B22" s="21" t="s">
        <v>168</v>
      </c>
      <c r="C22" s="21" t="s">
        <v>169</v>
      </c>
      <c r="D22" s="21" t="s">
        <v>170</v>
      </c>
      <c r="E22" s="22" t="s">
        <v>12</v>
      </c>
      <c r="F22" s="23" t="s">
        <v>172</v>
      </c>
      <c r="G22" s="24" t="s">
        <v>14</v>
      </c>
      <c r="H22" s="25">
        <v>119600</v>
      </c>
      <c r="I22" s="26" t="s">
        <v>14</v>
      </c>
      <c r="J22" s="18">
        <v>119421.9</v>
      </c>
      <c r="K22" s="18" t="s">
        <v>3520</v>
      </c>
      <c r="L22" s="27">
        <v>2232</v>
      </c>
      <c r="M22" s="27" t="s">
        <v>3520</v>
      </c>
      <c r="N22" s="18"/>
      <c r="O22" s="25">
        <v>121653.9</v>
      </c>
      <c r="P22" s="19">
        <f t="shared" si="0"/>
        <v>121653.9</v>
      </c>
      <c r="Q22" s="19">
        <f t="shared" si="1"/>
        <v>0</v>
      </c>
      <c r="R22" s="25">
        <v>44269.279999999999</v>
      </c>
      <c r="S22" s="28">
        <v>165923.18</v>
      </c>
      <c r="T22" s="49">
        <f t="shared" si="2"/>
        <v>165923.18</v>
      </c>
      <c r="U22" s="49">
        <f t="shared" si="3"/>
        <v>0</v>
      </c>
    </row>
    <row r="23" spans="1:21" ht="17" thickBot="1" x14ac:dyDescent="0.25">
      <c r="A23" s="21" t="s">
        <v>175</v>
      </c>
      <c r="B23" s="21" t="s">
        <v>176</v>
      </c>
      <c r="C23" s="21" t="s">
        <v>81</v>
      </c>
      <c r="D23" s="21" t="s">
        <v>154</v>
      </c>
      <c r="E23" s="22" t="s">
        <v>20</v>
      </c>
      <c r="F23" s="23" t="s">
        <v>180</v>
      </c>
      <c r="G23" s="24" t="s">
        <v>14</v>
      </c>
      <c r="H23" s="25">
        <v>89074.31</v>
      </c>
      <c r="I23" s="26" t="s">
        <v>14</v>
      </c>
      <c r="J23" s="25">
        <v>67392.36</v>
      </c>
      <c r="K23" s="18">
        <v>46687.22</v>
      </c>
      <c r="L23" s="27">
        <v>6243.89</v>
      </c>
      <c r="M23" s="27"/>
      <c r="N23" s="18"/>
      <c r="O23" s="25">
        <v>120323.47</v>
      </c>
      <c r="P23" s="19">
        <f t="shared" si="0"/>
        <v>120323.47</v>
      </c>
      <c r="Q23" s="19">
        <f t="shared" si="1"/>
        <v>0</v>
      </c>
      <c r="R23" s="25">
        <v>44426</v>
      </c>
      <c r="S23" s="28">
        <v>164749.47</v>
      </c>
      <c r="T23" s="49">
        <f t="shared" si="2"/>
        <v>164749.47</v>
      </c>
      <c r="U23" s="49">
        <f t="shared" si="3"/>
        <v>0</v>
      </c>
    </row>
    <row r="24" spans="1:21" ht="17" thickBot="1" x14ac:dyDescent="0.25">
      <c r="A24" s="21" t="s">
        <v>183</v>
      </c>
      <c r="B24" s="21" t="s">
        <v>184</v>
      </c>
      <c r="C24" s="21" t="s">
        <v>18</v>
      </c>
      <c r="D24" s="21" t="s">
        <v>74</v>
      </c>
      <c r="E24" s="22" t="s">
        <v>20</v>
      </c>
      <c r="F24" s="23" t="s">
        <v>187</v>
      </c>
      <c r="G24" s="24" t="s">
        <v>14</v>
      </c>
      <c r="H24" s="25">
        <v>74687.600000000006</v>
      </c>
      <c r="I24" s="26" t="s">
        <v>14</v>
      </c>
      <c r="J24" s="25">
        <v>74034.42</v>
      </c>
      <c r="K24" s="18">
        <v>18320</v>
      </c>
      <c r="L24" s="27">
        <v>6090.13</v>
      </c>
      <c r="M24" s="27">
        <v>18606.84</v>
      </c>
      <c r="N24" s="18"/>
      <c r="O24" s="25">
        <v>117051.39</v>
      </c>
      <c r="P24" s="19">
        <f t="shared" si="0"/>
        <v>117051.39</v>
      </c>
      <c r="Q24" s="19">
        <f t="shared" si="1"/>
        <v>0</v>
      </c>
      <c r="R24" s="25">
        <v>46152.56</v>
      </c>
      <c r="S24" s="28">
        <v>163203.95000000001</v>
      </c>
      <c r="T24" s="49">
        <f t="shared" si="2"/>
        <v>163203.95000000001</v>
      </c>
      <c r="U24" s="49">
        <f t="shared" si="3"/>
        <v>0</v>
      </c>
    </row>
    <row r="25" spans="1:21" ht="17" thickBot="1" x14ac:dyDescent="0.25">
      <c r="A25" s="21" t="s">
        <v>190</v>
      </c>
      <c r="B25" s="21" t="s">
        <v>191</v>
      </c>
      <c r="C25" s="21" t="s">
        <v>18</v>
      </c>
      <c r="D25" s="21" t="s">
        <v>74</v>
      </c>
      <c r="E25" s="22" t="s">
        <v>20</v>
      </c>
      <c r="F25" s="23" t="s">
        <v>195</v>
      </c>
      <c r="G25" s="24" t="s">
        <v>14</v>
      </c>
      <c r="H25" s="25">
        <v>77691.64</v>
      </c>
      <c r="I25" s="26" t="s">
        <v>14</v>
      </c>
      <c r="J25" s="25">
        <v>84014.78</v>
      </c>
      <c r="K25" s="18">
        <v>14431.17</v>
      </c>
      <c r="L25" s="27">
        <v>6898.47</v>
      </c>
      <c r="M25" s="27">
        <v>15996.12</v>
      </c>
      <c r="N25" s="18"/>
      <c r="O25" s="25">
        <v>121340.54</v>
      </c>
      <c r="P25" s="19">
        <f t="shared" si="0"/>
        <v>121340.54</v>
      </c>
      <c r="Q25" s="19">
        <f t="shared" si="1"/>
        <v>0</v>
      </c>
      <c r="R25" s="25">
        <v>40521.43</v>
      </c>
      <c r="S25" s="28">
        <v>161861.97</v>
      </c>
      <c r="T25" s="49">
        <f t="shared" si="2"/>
        <v>161861.97</v>
      </c>
      <c r="U25" s="49">
        <f t="shared" si="3"/>
        <v>0</v>
      </c>
    </row>
    <row r="26" spans="1:21" ht="17" thickBot="1" x14ac:dyDescent="0.25">
      <c r="A26" s="21" t="s">
        <v>198</v>
      </c>
      <c r="B26" s="21" t="s">
        <v>199</v>
      </c>
      <c r="C26" s="21" t="s">
        <v>18</v>
      </c>
      <c r="D26" s="21" t="s">
        <v>74</v>
      </c>
      <c r="E26" s="22" t="s">
        <v>20</v>
      </c>
      <c r="F26" s="23" t="s">
        <v>203</v>
      </c>
      <c r="G26" s="24" t="s">
        <v>14</v>
      </c>
      <c r="H26" s="25">
        <v>77691.64</v>
      </c>
      <c r="I26" s="26" t="s">
        <v>14</v>
      </c>
      <c r="J26" s="25">
        <v>85663.23</v>
      </c>
      <c r="K26" s="18">
        <v>13538.81</v>
      </c>
      <c r="L26" s="27">
        <v>5980.88</v>
      </c>
      <c r="M26" s="27">
        <v>10067.14</v>
      </c>
      <c r="N26" s="18"/>
      <c r="O26" s="25">
        <v>115250.06</v>
      </c>
      <c r="P26" s="19">
        <f t="shared" si="0"/>
        <v>115250.06</v>
      </c>
      <c r="Q26" s="19">
        <f t="shared" si="1"/>
        <v>0</v>
      </c>
      <c r="R26" s="25">
        <v>45369.53</v>
      </c>
      <c r="S26" s="28">
        <v>160619.59</v>
      </c>
      <c r="T26" s="49">
        <f t="shared" si="2"/>
        <v>160619.59</v>
      </c>
      <c r="U26" s="49">
        <f t="shared" si="3"/>
        <v>0</v>
      </c>
    </row>
    <row r="27" spans="1:21" ht="17" thickBot="1" x14ac:dyDescent="0.25">
      <c r="A27" s="21" t="s">
        <v>206</v>
      </c>
      <c r="B27" s="21" t="s">
        <v>8</v>
      </c>
      <c r="C27" s="21" t="s">
        <v>208</v>
      </c>
      <c r="D27" s="21" t="s">
        <v>209</v>
      </c>
      <c r="E27" s="22" t="s">
        <v>12</v>
      </c>
      <c r="F27" s="23" t="s">
        <v>211</v>
      </c>
      <c r="G27" s="24" t="s">
        <v>14</v>
      </c>
      <c r="H27" s="25">
        <v>118731.34</v>
      </c>
      <c r="I27" s="26" t="s">
        <v>14</v>
      </c>
      <c r="J27" s="18">
        <v>118554.43</v>
      </c>
      <c r="K27" s="18" t="s">
        <v>3520</v>
      </c>
      <c r="L27" s="27">
        <v>2984</v>
      </c>
      <c r="M27" s="27" t="s">
        <v>3520</v>
      </c>
      <c r="N27" s="18"/>
      <c r="O27" s="25">
        <v>121538.43</v>
      </c>
      <c r="P27" s="19">
        <f t="shared" si="0"/>
        <v>121538.43</v>
      </c>
      <c r="Q27" s="19">
        <f t="shared" si="1"/>
        <v>0</v>
      </c>
      <c r="R27" s="25">
        <v>38273.379999999997</v>
      </c>
      <c r="S27" s="28">
        <v>159811.81</v>
      </c>
      <c r="T27" s="49">
        <f t="shared" si="2"/>
        <v>159811.81</v>
      </c>
      <c r="U27" s="49">
        <f t="shared" si="3"/>
        <v>0</v>
      </c>
    </row>
    <row r="28" spans="1:21" ht="17" thickBot="1" x14ac:dyDescent="0.25">
      <c r="A28" s="21" t="s">
        <v>214</v>
      </c>
      <c r="B28" s="21" t="s">
        <v>215</v>
      </c>
      <c r="C28" s="21" t="s">
        <v>65</v>
      </c>
      <c r="D28" s="21" t="s">
        <v>217</v>
      </c>
      <c r="E28" s="22" t="s">
        <v>20</v>
      </c>
      <c r="F28" s="23" t="s">
        <v>219</v>
      </c>
      <c r="G28" s="24" t="s">
        <v>14</v>
      </c>
      <c r="H28" s="25">
        <v>94504.28</v>
      </c>
      <c r="I28" s="26" t="s">
        <v>14</v>
      </c>
      <c r="J28" s="18">
        <v>122769.34</v>
      </c>
      <c r="K28" s="18">
        <v>575.09</v>
      </c>
      <c r="L28" s="27">
        <v>4654.2700000000004</v>
      </c>
      <c r="N28" s="18"/>
      <c r="O28" s="25">
        <v>127998.7</v>
      </c>
      <c r="P28" s="19">
        <f t="shared" si="0"/>
        <v>127998.7</v>
      </c>
      <c r="Q28" s="19">
        <f t="shared" si="1"/>
        <v>0</v>
      </c>
      <c r="R28" s="25">
        <v>31259.08</v>
      </c>
      <c r="S28" s="28">
        <v>159257.78</v>
      </c>
      <c r="T28" s="49">
        <f t="shared" si="2"/>
        <v>159257.78</v>
      </c>
      <c r="U28" s="49">
        <f t="shared" si="3"/>
        <v>0</v>
      </c>
    </row>
    <row r="29" spans="1:21" ht="17" thickBot="1" x14ac:dyDescent="0.25">
      <c r="A29" s="21" t="s">
        <v>222</v>
      </c>
      <c r="B29" s="21" t="s">
        <v>223</v>
      </c>
      <c r="C29" s="21" t="s">
        <v>129</v>
      </c>
      <c r="D29" s="21" t="s">
        <v>225</v>
      </c>
      <c r="E29" s="22" t="s">
        <v>20</v>
      </c>
      <c r="F29" s="23" t="s">
        <v>227</v>
      </c>
      <c r="G29" s="24" t="s">
        <v>14</v>
      </c>
      <c r="H29" s="25">
        <v>115000.08</v>
      </c>
      <c r="I29" s="26" t="s">
        <v>14</v>
      </c>
      <c r="J29" s="18">
        <v>101730.84</v>
      </c>
      <c r="K29" s="18" t="s">
        <v>3520</v>
      </c>
      <c r="L29" s="27">
        <v>2652.4</v>
      </c>
      <c r="M29" s="27">
        <v>5307.84</v>
      </c>
      <c r="N29" s="18"/>
      <c r="O29" s="25">
        <v>109691.08</v>
      </c>
      <c r="P29" s="19">
        <f t="shared" si="0"/>
        <v>109691.07999999999</v>
      </c>
      <c r="Q29" s="19">
        <f t="shared" si="1"/>
        <v>1.4551915228366852E-11</v>
      </c>
      <c r="R29" s="25">
        <v>47484.55</v>
      </c>
      <c r="S29" s="28">
        <v>157175.63</v>
      </c>
      <c r="T29" s="49">
        <f t="shared" si="2"/>
        <v>157175.63</v>
      </c>
      <c r="U29" s="49">
        <f t="shared" si="3"/>
        <v>0</v>
      </c>
    </row>
    <row r="30" spans="1:21" ht="17" thickBot="1" x14ac:dyDescent="0.25">
      <c r="A30" s="21" t="s">
        <v>230</v>
      </c>
      <c r="B30" s="21" t="s">
        <v>231</v>
      </c>
      <c r="C30" s="21" t="s">
        <v>65</v>
      </c>
      <c r="D30" s="21" t="s">
        <v>233</v>
      </c>
      <c r="E30" s="22" t="s">
        <v>20</v>
      </c>
      <c r="F30" s="23" t="s">
        <v>235</v>
      </c>
      <c r="G30" s="24" t="s">
        <v>14</v>
      </c>
      <c r="H30" s="25">
        <v>116000.04</v>
      </c>
      <c r="I30" s="26" t="s">
        <v>14</v>
      </c>
      <c r="J30" s="18">
        <v>112851.72</v>
      </c>
      <c r="K30" s="18" t="s">
        <v>3520</v>
      </c>
      <c r="L30" s="27">
        <v>5801.84</v>
      </c>
      <c r="M30" s="27" t="s">
        <v>3520</v>
      </c>
      <c r="N30" s="18"/>
      <c r="O30" s="25">
        <v>118653.56</v>
      </c>
      <c r="P30" s="19">
        <f t="shared" si="0"/>
        <v>118653.56</v>
      </c>
      <c r="Q30" s="19">
        <f t="shared" si="1"/>
        <v>0</v>
      </c>
      <c r="R30" s="25">
        <v>38025.72</v>
      </c>
      <c r="S30" s="28">
        <v>156679.28</v>
      </c>
      <c r="T30" s="49">
        <f t="shared" si="2"/>
        <v>156679.28</v>
      </c>
      <c r="U30" s="49">
        <f t="shared" si="3"/>
        <v>0</v>
      </c>
    </row>
    <row r="31" spans="1:21" ht="17" thickBot="1" x14ac:dyDescent="0.25">
      <c r="A31" s="21" t="s">
        <v>238</v>
      </c>
      <c r="B31" s="21" t="s">
        <v>239</v>
      </c>
      <c r="C31" s="21" t="s">
        <v>240</v>
      </c>
      <c r="D31" s="21" t="s">
        <v>241</v>
      </c>
      <c r="E31" s="22" t="s">
        <v>12</v>
      </c>
      <c r="F31" s="23" t="s">
        <v>243</v>
      </c>
      <c r="G31" s="24" t="s">
        <v>14</v>
      </c>
      <c r="H31" s="25">
        <v>112281</v>
      </c>
      <c r="I31" s="26" t="s">
        <v>14</v>
      </c>
      <c r="J31" s="18">
        <v>109653.87</v>
      </c>
      <c r="K31" s="18" t="s">
        <v>3520</v>
      </c>
      <c r="L31" s="27">
        <v>2056</v>
      </c>
      <c r="M31" s="27" t="s">
        <v>3520</v>
      </c>
      <c r="N31" s="18"/>
      <c r="O31" s="25">
        <v>111709.87</v>
      </c>
      <c r="P31" s="19">
        <f t="shared" si="0"/>
        <v>111709.87</v>
      </c>
      <c r="Q31" s="19">
        <f t="shared" si="1"/>
        <v>0</v>
      </c>
      <c r="R31" s="25">
        <v>44898.400000000001</v>
      </c>
      <c r="S31" s="28">
        <v>156608.26999999999</v>
      </c>
      <c r="T31" s="49">
        <f t="shared" si="2"/>
        <v>156608.26999999999</v>
      </c>
      <c r="U31" s="49">
        <f t="shared" si="3"/>
        <v>0</v>
      </c>
    </row>
    <row r="32" spans="1:21" ht="17" thickBot="1" x14ac:dyDescent="0.25">
      <c r="A32" s="21" t="s">
        <v>246</v>
      </c>
      <c r="B32" s="21" t="s">
        <v>247</v>
      </c>
      <c r="C32" s="21" t="s">
        <v>81</v>
      </c>
      <c r="D32" s="21" t="s">
        <v>249</v>
      </c>
      <c r="E32" s="22" t="s">
        <v>20</v>
      </c>
      <c r="F32" s="23" t="s">
        <v>251</v>
      </c>
      <c r="G32" s="24" t="s">
        <v>14</v>
      </c>
      <c r="H32" s="25">
        <v>83253.820000000007</v>
      </c>
      <c r="I32" s="26" t="s">
        <v>14</v>
      </c>
      <c r="J32" s="25">
        <v>87933.7</v>
      </c>
      <c r="K32" s="18">
        <v>18970.82</v>
      </c>
      <c r="L32" s="27">
        <v>5878.28</v>
      </c>
      <c r="M32" s="27" t="s">
        <v>3520</v>
      </c>
      <c r="N32" s="18"/>
      <c r="O32" s="25">
        <v>112782.8</v>
      </c>
      <c r="P32" s="19">
        <f t="shared" si="0"/>
        <v>112782.79999999999</v>
      </c>
      <c r="Q32" s="19">
        <f t="shared" si="1"/>
        <v>1.4551915228366852E-11</v>
      </c>
      <c r="R32" s="25">
        <v>42775.39</v>
      </c>
      <c r="S32" s="28">
        <v>155558.19</v>
      </c>
      <c r="T32" s="49">
        <f t="shared" si="2"/>
        <v>155558.19</v>
      </c>
      <c r="U32" s="49">
        <f t="shared" si="3"/>
        <v>0</v>
      </c>
    </row>
    <row r="33" spans="1:21" ht="17" thickBot="1" x14ac:dyDescent="0.25">
      <c r="A33" s="21" t="s">
        <v>254</v>
      </c>
      <c r="B33" s="21" t="s">
        <v>255</v>
      </c>
      <c r="C33" s="21" t="s">
        <v>256</v>
      </c>
      <c r="D33" s="21" t="s">
        <v>257</v>
      </c>
      <c r="E33" s="22" t="s">
        <v>12</v>
      </c>
      <c r="F33" s="23" t="s">
        <v>259</v>
      </c>
      <c r="G33" s="24" t="s">
        <v>14</v>
      </c>
      <c r="H33" s="25">
        <v>109168.54</v>
      </c>
      <c r="I33" s="26" t="s">
        <v>14</v>
      </c>
      <c r="J33" s="18">
        <v>109005.88</v>
      </c>
      <c r="K33" s="18" t="s">
        <v>3520</v>
      </c>
      <c r="L33" s="27">
        <v>3486</v>
      </c>
      <c r="M33" s="27" t="s">
        <v>3520</v>
      </c>
      <c r="N33" s="18"/>
      <c r="O33" s="25">
        <v>112491.88</v>
      </c>
      <c r="P33" s="19">
        <f t="shared" si="0"/>
        <v>112491.88</v>
      </c>
      <c r="Q33" s="19">
        <f t="shared" si="1"/>
        <v>0</v>
      </c>
      <c r="R33" s="25">
        <v>41971.97</v>
      </c>
      <c r="S33" s="28">
        <v>154463.85</v>
      </c>
      <c r="T33" s="49">
        <f t="shared" si="2"/>
        <v>154463.85</v>
      </c>
      <c r="U33" s="49">
        <f t="shared" si="3"/>
        <v>0</v>
      </c>
    </row>
    <row r="34" spans="1:21" ht="17" thickBot="1" x14ac:dyDescent="0.25">
      <c r="A34" s="21" t="s">
        <v>262</v>
      </c>
      <c r="B34" s="21" t="s">
        <v>263</v>
      </c>
      <c r="C34" s="21" t="s">
        <v>65</v>
      </c>
      <c r="D34" s="21" t="s">
        <v>265</v>
      </c>
      <c r="E34" s="22" t="s">
        <v>20</v>
      </c>
      <c r="F34" s="23" t="s">
        <v>267</v>
      </c>
      <c r="G34" s="24" t="s">
        <v>14</v>
      </c>
      <c r="H34" s="25">
        <v>88212.800000000003</v>
      </c>
      <c r="I34" s="26" t="s">
        <v>14</v>
      </c>
      <c r="J34" s="25">
        <v>89702.24</v>
      </c>
      <c r="K34" s="18">
        <v>12985.11</v>
      </c>
      <c r="L34" s="27">
        <v>4295.75</v>
      </c>
      <c r="M34" s="27" t="s">
        <v>3520</v>
      </c>
      <c r="N34" s="18"/>
      <c r="O34" s="25">
        <v>106983.1</v>
      </c>
      <c r="P34" s="19">
        <f t="shared" si="0"/>
        <v>106983.1</v>
      </c>
      <c r="Q34" s="19">
        <f t="shared" si="1"/>
        <v>0</v>
      </c>
      <c r="R34" s="25">
        <v>46247.12</v>
      </c>
      <c r="S34" s="28">
        <v>153230.22</v>
      </c>
      <c r="T34" s="49">
        <f t="shared" si="2"/>
        <v>153230.22</v>
      </c>
      <c r="U34" s="49">
        <f t="shared" si="3"/>
        <v>0</v>
      </c>
    </row>
    <row r="35" spans="1:21" ht="17" thickBot="1" x14ac:dyDescent="0.25">
      <c r="A35" s="21" t="s">
        <v>270</v>
      </c>
      <c r="B35" s="21" t="s">
        <v>223</v>
      </c>
      <c r="C35" s="21" t="s">
        <v>65</v>
      </c>
      <c r="D35" s="21" t="s">
        <v>233</v>
      </c>
      <c r="E35" s="22" t="s">
        <v>20</v>
      </c>
      <c r="F35" s="23" t="s">
        <v>275</v>
      </c>
      <c r="G35" s="24" t="s">
        <v>14</v>
      </c>
      <c r="H35" s="25">
        <v>110000.02</v>
      </c>
      <c r="I35" s="26" t="s">
        <v>14</v>
      </c>
      <c r="J35" s="18">
        <v>106042.3</v>
      </c>
      <c r="K35" s="18" t="s">
        <v>3520</v>
      </c>
      <c r="L35" s="27">
        <v>4094.46</v>
      </c>
      <c r="M35" s="29" t="s">
        <v>14</v>
      </c>
      <c r="N35" s="18"/>
      <c r="O35" s="25">
        <v>110136.76</v>
      </c>
      <c r="P35" s="19">
        <f t="shared" si="0"/>
        <v>110136.76000000001</v>
      </c>
      <c r="Q35" s="19">
        <f t="shared" si="1"/>
        <v>-1.4551915228366852E-11</v>
      </c>
      <c r="R35" s="25">
        <v>41485.5</v>
      </c>
      <c r="S35" s="28">
        <v>151622.26</v>
      </c>
      <c r="T35" s="49">
        <f t="shared" si="2"/>
        <v>151622.26</v>
      </c>
      <c r="U35" s="49">
        <f t="shared" si="3"/>
        <v>0</v>
      </c>
    </row>
    <row r="36" spans="1:21" ht="17" thickBot="1" x14ac:dyDescent="0.25">
      <c r="A36" s="21" t="s">
        <v>279</v>
      </c>
      <c r="B36" s="21" t="s">
        <v>280</v>
      </c>
      <c r="C36" s="21" t="s">
        <v>281</v>
      </c>
      <c r="D36" s="21" t="s">
        <v>282</v>
      </c>
      <c r="E36" s="22" t="s">
        <v>12</v>
      </c>
      <c r="F36" s="23" t="s">
        <v>284</v>
      </c>
      <c r="G36" s="24" t="s">
        <v>14</v>
      </c>
      <c r="H36" s="25">
        <v>114433.02</v>
      </c>
      <c r="I36" s="26" t="s">
        <v>14</v>
      </c>
      <c r="J36" s="18">
        <v>114262.52</v>
      </c>
      <c r="K36" s="18" t="s">
        <v>3520</v>
      </c>
      <c r="L36" s="30">
        <v>250</v>
      </c>
      <c r="M36" s="27" t="s">
        <v>3520</v>
      </c>
      <c r="N36" s="18"/>
      <c r="O36" s="25">
        <v>114512.52</v>
      </c>
      <c r="P36" s="19">
        <f t="shared" si="0"/>
        <v>114512.52</v>
      </c>
      <c r="Q36" s="19">
        <f t="shared" si="1"/>
        <v>0</v>
      </c>
      <c r="R36" s="25">
        <v>36939.870000000003</v>
      </c>
      <c r="S36" s="28">
        <v>151452.39000000001</v>
      </c>
      <c r="T36" s="49">
        <f t="shared" si="2"/>
        <v>151452.39000000001</v>
      </c>
      <c r="U36" s="49">
        <f t="shared" si="3"/>
        <v>0</v>
      </c>
    </row>
    <row r="37" spans="1:21" ht="17" thickBot="1" x14ac:dyDescent="0.25">
      <c r="A37" s="21" t="s">
        <v>287</v>
      </c>
      <c r="B37" s="21" t="s">
        <v>288</v>
      </c>
      <c r="C37" s="21" t="s">
        <v>18</v>
      </c>
      <c r="D37" s="21" t="s">
        <v>290</v>
      </c>
      <c r="E37" s="22" t="s">
        <v>20</v>
      </c>
      <c r="F37" s="23" t="s">
        <v>292</v>
      </c>
      <c r="G37" s="24" t="s">
        <v>14</v>
      </c>
      <c r="H37" s="25">
        <v>72096.960000000006</v>
      </c>
      <c r="I37" s="26" t="s">
        <v>14</v>
      </c>
      <c r="J37" s="25">
        <v>90542.34</v>
      </c>
      <c r="K37" s="18">
        <v>8250.39</v>
      </c>
      <c r="L37" s="27">
        <v>7452.1</v>
      </c>
      <c r="M37" s="27">
        <v>1220.1500000000001</v>
      </c>
      <c r="N37" s="18"/>
      <c r="O37" s="25">
        <v>107464.98</v>
      </c>
      <c r="P37" s="19">
        <f t="shared" si="0"/>
        <v>107464.98</v>
      </c>
      <c r="Q37" s="19">
        <f t="shared" si="1"/>
        <v>0</v>
      </c>
      <c r="R37" s="25">
        <v>43919.4</v>
      </c>
      <c r="S37" s="28">
        <v>151384.38</v>
      </c>
      <c r="T37" s="49">
        <f t="shared" si="2"/>
        <v>151384.38</v>
      </c>
      <c r="U37" s="49">
        <f t="shared" si="3"/>
        <v>0</v>
      </c>
    </row>
    <row r="38" spans="1:21" ht="17" thickBot="1" x14ac:dyDescent="0.25">
      <c r="A38" s="21" t="s">
        <v>295</v>
      </c>
      <c r="B38" s="21" t="s">
        <v>296</v>
      </c>
      <c r="C38" s="21" t="s">
        <v>65</v>
      </c>
      <c r="D38" s="21" t="s">
        <v>265</v>
      </c>
      <c r="E38" s="22" t="s">
        <v>20</v>
      </c>
      <c r="F38" s="23" t="s">
        <v>300</v>
      </c>
      <c r="G38" s="24" t="s">
        <v>14</v>
      </c>
      <c r="H38" s="25">
        <v>88212.800000000003</v>
      </c>
      <c r="I38" s="26" t="s">
        <v>14</v>
      </c>
      <c r="J38" s="25">
        <v>91031.79</v>
      </c>
      <c r="K38" s="18">
        <v>11044.39</v>
      </c>
      <c r="L38" s="27">
        <v>7726.23</v>
      </c>
      <c r="M38" s="27" t="s">
        <v>3520</v>
      </c>
      <c r="N38" s="18"/>
      <c r="O38" s="25">
        <v>109802.41</v>
      </c>
      <c r="P38" s="19">
        <f t="shared" si="0"/>
        <v>109802.40999999999</v>
      </c>
      <c r="Q38" s="19">
        <f t="shared" si="1"/>
        <v>1.4551915228366852E-11</v>
      </c>
      <c r="R38" s="25">
        <v>41342.370000000003</v>
      </c>
      <c r="S38" s="28">
        <v>151144.78</v>
      </c>
      <c r="T38" s="49">
        <f t="shared" si="2"/>
        <v>151144.78</v>
      </c>
      <c r="U38" s="49">
        <f t="shared" si="3"/>
        <v>0</v>
      </c>
    </row>
    <row r="39" spans="1:21" ht="17" thickBot="1" x14ac:dyDescent="0.25">
      <c r="A39" s="21" t="s">
        <v>303</v>
      </c>
      <c r="B39" s="21" t="s">
        <v>104</v>
      </c>
      <c r="C39" s="21" t="s">
        <v>65</v>
      </c>
      <c r="D39" s="21" t="s">
        <v>265</v>
      </c>
      <c r="E39" s="22" t="s">
        <v>20</v>
      </c>
      <c r="F39" s="23" t="s">
        <v>308</v>
      </c>
      <c r="G39" s="24" t="s">
        <v>14</v>
      </c>
      <c r="H39" s="25">
        <v>75691.199999999997</v>
      </c>
      <c r="I39" s="26" t="s">
        <v>14</v>
      </c>
      <c r="J39" s="25">
        <v>78410.84</v>
      </c>
      <c r="K39" s="18">
        <v>21079.71</v>
      </c>
      <c r="L39" s="27">
        <v>5172.26</v>
      </c>
      <c r="M39" s="27" t="s">
        <v>3520</v>
      </c>
      <c r="N39" s="18"/>
      <c r="O39" s="25">
        <v>104662.81</v>
      </c>
      <c r="P39" s="19">
        <f t="shared" si="0"/>
        <v>104662.80999999998</v>
      </c>
      <c r="Q39" s="19">
        <f t="shared" si="1"/>
        <v>1.4551915228366852E-11</v>
      </c>
      <c r="R39" s="25">
        <v>45850.82</v>
      </c>
      <c r="S39" s="28">
        <v>150513.63</v>
      </c>
      <c r="T39" s="49">
        <f t="shared" si="2"/>
        <v>150513.63</v>
      </c>
      <c r="U39" s="49">
        <f t="shared" si="3"/>
        <v>0</v>
      </c>
    </row>
    <row r="40" spans="1:21" ht="17" thickBot="1" x14ac:dyDescent="0.25">
      <c r="A40" s="21" t="s">
        <v>311</v>
      </c>
      <c r="B40" s="21" t="s">
        <v>312</v>
      </c>
      <c r="C40" s="21" t="s">
        <v>65</v>
      </c>
      <c r="D40" s="21" t="s">
        <v>217</v>
      </c>
      <c r="E40" s="22" t="s">
        <v>20</v>
      </c>
      <c r="F40" s="23" t="s">
        <v>316</v>
      </c>
      <c r="G40" s="24" t="s">
        <v>14</v>
      </c>
      <c r="H40" s="25">
        <v>98284.42</v>
      </c>
      <c r="I40" s="26" t="s">
        <v>14</v>
      </c>
      <c r="J40" s="25">
        <v>99157.49</v>
      </c>
      <c r="K40" s="18" t="s">
        <v>3520</v>
      </c>
      <c r="L40" s="27">
        <v>5339.9</v>
      </c>
      <c r="M40" s="27" t="s">
        <v>3520</v>
      </c>
      <c r="N40" s="18"/>
      <c r="O40" s="25">
        <v>104497.39</v>
      </c>
      <c r="P40" s="19">
        <f t="shared" si="0"/>
        <v>104497.39</v>
      </c>
      <c r="Q40" s="19">
        <f t="shared" si="1"/>
        <v>0</v>
      </c>
      <c r="R40" s="25">
        <v>45763.19</v>
      </c>
      <c r="S40" s="28">
        <v>150260.57999999999</v>
      </c>
      <c r="T40" s="49">
        <f t="shared" si="2"/>
        <v>150260.58000000002</v>
      </c>
      <c r="U40" s="49">
        <f t="shared" si="3"/>
        <v>-2.9103830456733704E-11</v>
      </c>
    </row>
    <row r="41" spans="1:21" ht="17" thickBot="1" x14ac:dyDescent="0.25">
      <c r="A41" s="21" t="s">
        <v>319</v>
      </c>
      <c r="B41" s="21" t="s">
        <v>9</v>
      </c>
      <c r="C41" s="21" t="s">
        <v>18</v>
      </c>
      <c r="D41" s="21" t="s">
        <v>74</v>
      </c>
      <c r="E41" s="22" t="s">
        <v>20</v>
      </c>
      <c r="F41" s="23" t="s">
        <v>324</v>
      </c>
      <c r="G41" s="24" t="s">
        <v>14</v>
      </c>
      <c r="H41" s="25">
        <v>111425.08</v>
      </c>
      <c r="I41" s="26" t="s">
        <v>14</v>
      </c>
      <c r="J41" s="25">
        <v>82591.61</v>
      </c>
      <c r="K41" s="18">
        <v>9813.35</v>
      </c>
      <c r="L41" s="27">
        <v>6265.89</v>
      </c>
      <c r="M41" s="27">
        <v>5694.38</v>
      </c>
      <c r="N41" s="18"/>
      <c r="O41" s="25">
        <v>104365.23</v>
      </c>
      <c r="P41" s="19">
        <f t="shared" si="0"/>
        <v>104365.23000000001</v>
      </c>
      <c r="Q41" s="19">
        <f t="shared" si="1"/>
        <v>-1.4551915228366852E-11</v>
      </c>
      <c r="R41" s="25">
        <v>45522.38</v>
      </c>
      <c r="S41" s="28">
        <v>149887.60999999999</v>
      </c>
      <c r="T41" s="49">
        <f t="shared" si="2"/>
        <v>149887.60999999999</v>
      </c>
      <c r="U41" s="49">
        <f t="shared" si="3"/>
        <v>0</v>
      </c>
    </row>
    <row r="42" spans="1:21" ht="17" thickBot="1" x14ac:dyDescent="0.25">
      <c r="A42" s="21" t="s">
        <v>327</v>
      </c>
      <c r="B42" s="21" t="s">
        <v>328</v>
      </c>
      <c r="C42" s="21" t="s">
        <v>65</v>
      </c>
      <c r="D42" s="21" t="s">
        <v>265</v>
      </c>
      <c r="E42" s="22" t="s">
        <v>20</v>
      </c>
      <c r="F42" s="23" t="s">
        <v>332</v>
      </c>
      <c r="G42" s="24" t="s">
        <v>14</v>
      </c>
      <c r="H42" s="25">
        <v>88212.800000000003</v>
      </c>
      <c r="I42" s="26" t="s">
        <v>14</v>
      </c>
      <c r="J42" s="25">
        <v>89764.32</v>
      </c>
      <c r="K42" s="18">
        <v>11902.12</v>
      </c>
      <c r="L42" s="27">
        <v>6544.91</v>
      </c>
      <c r="M42" s="27" t="s">
        <v>3520</v>
      </c>
      <c r="N42" s="18"/>
      <c r="O42" s="25">
        <v>108211.35</v>
      </c>
      <c r="P42" s="19">
        <f t="shared" si="0"/>
        <v>108211.35</v>
      </c>
      <c r="Q42" s="19">
        <f t="shared" si="1"/>
        <v>0</v>
      </c>
      <c r="R42" s="25">
        <v>41532.81</v>
      </c>
      <c r="S42" s="28">
        <v>149744.16</v>
      </c>
      <c r="T42" s="49">
        <f t="shared" si="2"/>
        <v>149744.16</v>
      </c>
      <c r="U42" s="49">
        <f t="shared" si="3"/>
        <v>0</v>
      </c>
    </row>
    <row r="43" spans="1:21" ht="17" thickBot="1" x14ac:dyDescent="0.25">
      <c r="A43" s="21" t="s">
        <v>335</v>
      </c>
      <c r="B43" s="21" t="s">
        <v>17</v>
      </c>
      <c r="C43" s="21" t="s">
        <v>97</v>
      </c>
      <c r="D43" s="21" t="s">
        <v>338</v>
      </c>
      <c r="E43" s="22" t="s">
        <v>12</v>
      </c>
      <c r="F43" s="23" t="s">
        <v>340</v>
      </c>
      <c r="G43" s="24" t="s">
        <v>14</v>
      </c>
      <c r="H43" s="25">
        <v>105037.4</v>
      </c>
      <c r="I43" s="26" t="s">
        <v>14</v>
      </c>
      <c r="J43" s="18">
        <v>104880.9</v>
      </c>
      <c r="K43" s="18" t="s">
        <v>3520</v>
      </c>
      <c r="L43" s="30">
        <v>715</v>
      </c>
      <c r="M43" s="27" t="s">
        <v>3520</v>
      </c>
      <c r="N43" s="18"/>
      <c r="O43" s="25">
        <v>105595.9</v>
      </c>
      <c r="P43" s="19">
        <f t="shared" si="0"/>
        <v>105595.9</v>
      </c>
      <c r="Q43" s="19">
        <f t="shared" si="1"/>
        <v>0</v>
      </c>
      <c r="R43" s="25">
        <v>42154.81</v>
      </c>
      <c r="S43" s="28">
        <v>147750.71</v>
      </c>
      <c r="T43" s="49">
        <f t="shared" si="2"/>
        <v>147750.71</v>
      </c>
      <c r="U43" s="49">
        <f t="shared" si="3"/>
        <v>0</v>
      </c>
    </row>
    <row r="44" spans="1:21" ht="17" thickBot="1" x14ac:dyDescent="0.25">
      <c r="A44" s="21" t="s">
        <v>343</v>
      </c>
      <c r="B44" s="21" t="s">
        <v>199</v>
      </c>
      <c r="C44" s="21" t="s">
        <v>18</v>
      </c>
      <c r="D44" s="21" t="s">
        <v>74</v>
      </c>
      <c r="E44" s="22" t="s">
        <v>20</v>
      </c>
      <c r="F44" s="23" t="s">
        <v>348</v>
      </c>
      <c r="G44" s="24" t="s">
        <v>14</v>
      </c>
      <c r="H44" s="25">
        <v>63415.56</v>
      </c>
      <c r="I44" s="26" t="s">
        <v>14</v>
      </c>
      <c r="J44" s="25">
        <v>66481.929999999993</v>
      </c>
      <c r="K44" s="18">
        <v>14275.09</v>
      </c>
      <c r="L44" s="31">
        <v>8645.82</v>
      </c>
      <c r="M44" s="27">
        <v>16533.599999999999</v>
      </c>
      <c r="N44" s="18"/>
      <c r="O44" s="25">
        <v>105936.44</v>
      </c>
      <c r="P44" s="19">
        <f t="shared" si="0"/>
        <v>105936.44</v>
      </c>
      <c r="Q44" s="19">
        <f t="shared" si="1"/>
        <v>0</v>
      </c>
      <c r="R44" s="25">
        <v>41208.79</v>
      </c>
      <c r="S44" s="28">
        <v>147145.23000000001</v>
      </c>
      <c r="T44" s="49">
        <f t="shared" si="2"/>
        <v>147145.23000000001</v>
      </c>
      <c r="U44" s="49">
        <f t="shared" si="3"/>
        <v>0</v>
      </c>
    </row>
    <row r="45" spans="1:21" ht="17" thickBot="1" x14ac:dyDescent="0.25">
      <c r="A45" s="21" t="s">
        <v>351</v>
      </c>
      <c r="B45" s="21" t="s">
        <v>352</v>
      </c>
      <c r="C45" s="21" t="s">
        <v>65</v>
      </c>
      <c r="D45" s="21" t="s">
        <v>217</v>
      </c>
      <c r="E45" s="22" t="s">
        <v>20</v>
      </c>
      <c r="F45" s="23" t="s">
        <v>356</v>
      </c>
      <c r="G45" s="24" t="s">
        <v>14</v>
      </c>
      <c r="H45" s="25">
        <v>94504.28</v>
      </c>
      <c r="I45" s="26" t="s">
        <v>14</v>
      </c>
      <c r="J45" s="25">
        <v>95343.46</v>
      </c>
      <c r="K45" s="18" t="s">
        <v>3520</v>
      </c>
      <c r="L45" s="31">
        <v>6372.74</v>
      </c>
      <c r="M45" s="27" t="s">
        <v>3520</v>
      </c>
      <c r="N45" s="18"/>
      <c r="O45" s="25">
        <v>101716.2</v>
      </c>
      <c r="P45" s="19">
        <f t="shared" si="0"/>
        <v>101716.20000000001</v>
      </c>
      <c r="Q45" s="19">
        <f t="shared" si="1"/>
        <v>-1.4551915228366852E-11</v>
      </c>
      <c r="R45" s="25">
        <v>45039.41</v>
      </c>
      <c r="S45" s="28">
        <v>146755.60999999999</v>
      </c>
      <c r="T45" s="49">
        <f t="shared" si="2"/>
        <v>146755.60999999999</v>
      </c>
      <c r="U45" s="49">
        <f t="shared" si="3"/>
        <v>0</v>
      </c>
    </row>
    <row r="46" spans="1:21" ht="17" thickBot="1" x14ac:dyDescent="0.25">
      <c r="A46" s="21" t="s">
        <v>359</v>
      </c>
      <c r="B46" s="21" t="s">
        <v>360</v>
      </c>
      <c r="C46" s="21" t="s">
        <v>361</v>
      </c>
      <c r="D46" s="21" t="s">
        <v>362</v>
      </c>
      <c r="E46" s="22" t="s">
        <v>12</v>
      </c>
      <c r="F46" s="23" t="s">
        <v>364</v>
      </c>
      <c r="G46" s="24" t="s">
        <v>14</v>
      </c>
      <c r="H46" s="25">
        <v>107939.52</v>
      </c>
      <c r="I46" s="26" t="s">
        <v>14</v>
      </c>
      <c r="J46" s="18">
        <v>107778.7</v>
      </c>
      <c r="K46" s="18" t="s">
        <v>3520</v>
      </c>
      <c r="L46" s="31">
        <v>1656</v>
      </c>
      <c r="M46" s="27" t="s">
        <v>3520</v>
      </c>
      <c r="N46" s="18"/>
      <c r="O46" s="25">
        <v>109434.7</v>
      </c>
      <c r="P46" s="19">
        <f t="shared" si="0"/>
        <v>109434.7</v>
      </c>
      <c r="Q46" s="19">
        <f t="shared" si="1"/>
        <v>0</v>
      </c>
      <c r="R46" s="25">
        <v>35286.730000000003</v>
      </c>
      <c r="S46" s="28">
        <v>144721.43</v>
      </c>
      <c r="T46" s="49">
        <f t="shared" si="2"/>
        <v>144721.43</v>
      </c>
      <c r="U46" s="49">
        <f t="shared" si="3"/>
        <v>0</v>
      </c>
    </row>
    <row r="47" spans="1:21" ht="17" thickBot="1" x14ac:dyDescent="0.25">
      <c r="A47" s="21" t="s">
        <v>367</v>
      </c>
      <c r="B47" s="21" t="s">
        <v>368</v>
      </c>
      <c r="C47" s="21" t="s">
        <v>129</v>
      </c>
      <c r="D47" s="21" t="s">
        <v>370</v>
      </c>
      <c r="E47" s="22" t="s">
        <v>20</v>
      </c>
      <c r="F47" s="23" t="s">
        <v>372</v>
      </c>
      <c r="G47" s="24" t="s">
        <v>14</v>
      </c>
      <c r="H47" s="25">
        <v>65482.559999999998</v>
      </c>
      <c r="I47" s="26" t="s">
        <v>14</v>
      </c>
      <c r="J47" s="25">
        <v>76282.2</v>
      </c>
      <c r="K47" s="18">
        <v>9642.8700000000008</v>
      </c>
      <c r="L47" s="31">
        <v>6629.75</v>
      </c>
      <c r="M47" s="27">
        <v>8877.2999999999993</v>
      </c>
      <c r="N47" s="18"/>
      <c r="O47" s="25">
        <v>101432.12</v>
      </c>
      <c r="P47" s="19">
        <f t="shared" si="0"/>
        <v>101432.12</v>
      </c>
      <c r="Q47" s="19">
        <f t="shared" si="1"/>
        <v>0</v>
      </c>
      <c r="R47" s="25">
        <v>41984.51</v>
      </c>
      <c r="S47" s="28">
        <v>143416.63</v>
      </c>
      <c r="T47" s="49">
        <f t="shared" si="2"/>
        <v>143416.63</v>
      </c>
      <c r="U47" s="49">
        <f t="shared" si="3"/>
        <v>0</v>
      </c>
    </row>
    <row r="48" spans="1:21" ht="17" thickBot="1" x14ac:dyDescent="0.25">
      <c r="A48" s="21" t="s">
        <v>375</v>
      </c>
      <c r="B48" s="21" t="s">
        <v>376</v>
      </c>
      <c r="C48" s="21" t="s">
        <v>81</v>
      </c>
      <c r="D48" s="21" t="s">
        <v>378</v>
      </c>
      <c r="E48" s="22" t="s">
        <v>20</v>
      </c>
      <c r="F48" s="23" t="s">
        <v>380</v>
      </c>
      <c r="G48" s="24" t="s">
        <v>14</v>
      </c>
      <c r="H48" s="25">
        <v>54497.78</v>
      </c>
      <c r="I48" s="26" t="s">
        <v>14</v>
      </c>
      <c r="J48" s="25">
        <v>55001.7</v>
      </c>
      <c r="K48" s="18">
        <v>47179.27</v>
      </c>
      <c r="L48" s="31">
        <v>4635.01</v>
      </c>
      <c r="M48" s="27" t="s">
        <v>3520</v>
      </c>
      <c r="N48" s="18"/>
      <c r="O48" s="25">
        <v>106815.98</v>
      </c>
      <c r="P48" s="19">
        <f t="shared" si="0"/>
        <v>106815.98</v>
      </c>
      <c r="Q48" s="19">
        <f t="shared" si="1"/>
        <v>0</v>
      </c>
      <c r="R48" s="25">
        <v>34891.39</v>
      </c>
      <c r="S48" s="28">
        <v>141707.37</v>
      </c>
      <c r="T48" s="49">
        <f t="shared" si="2"/>
        <v>141707.37</v>
      </c>
      <c r="U48" s="49">
        <f t="shared" si="3"/>
        <v>0</v>
      </c>
    </row>
    <row r="49" spans="1:21" ht="17" thickBot="1" x14ac:dyDescent="0.25">
      <c r="A49" s="21" t="s">
        <v>383</v>
      </c>
      <c r="B49" s="21" t="s">
        <v>384</v>
      </c>
      <c r="C49" s="21" t="s">
        <v>81</v>
      </c>
      <c r="D49" s="21" t="s">
        <v>386</v>
      </c>
      <c r="E49" s="22" t="s">
        <v>20</v>
      </c>
      <c r="F49" s="23" t="s">
        <v>388</v>
      </c>
      <c r="G49" s="24" t="s">
        <v>14</v>
      </c>
      <c r="H49" s="25">
        <v>102946.22</v>
      </c>
      <c r="I49" s="26" t="s">
        <v>14</v>
      </c>
      <c r="J49" s="18">
        <v>103860.21</v>
      </c>
      <c r="K49" s="18" t="s">
        <v>3520</v>
      </c>
      <c r="L49" s="31">
        <v>2635</v>
      </c>
      <c r="M49" s="27" t="s">
        <v>3520</v>
      </c>
      <c r="N49" s="18"/>
      <c r="O49" s="25">
        <v>106495.21</v>
      </c>
      <c r="P49" s="19">
        <f t="shared" si="0"/>
        <v>106495.21</v>
      </c>
      <c r="Q49" s="19">
        <f t="shared" si="1"/>
        <v>0</v>
      </c>
      <c r="R49" s="25">
        <v>35183.5</v>
      </c>
      <c r="S49" s="28">
        <v>141678.71</v>
      </c>
      <c r="T49" s="49">
        <f t="shared" si="2"/>
        <v>141678.71000000002</v>
      </c>
      <c r="U49" s="49">
        <f t="shared" si="3"/>
        <v>-2.9103830456733704E-11</v>
      </c>
    </row>
    <row r="50" spans="1:21" ht="17" thickBot="1" x14ac:dyDescent="0.25">
      <c r="A50" s="21" t="s">
        <v>391</v>
      </c>
      <c r="B50" s="21" t="s">
        <v>17</v>
      </c>
      <c r="C50" s="21" t="s">
        <v>65</v>
      </c>
      <c r="D50" s="21" t="s">
        <v>265</v>
      </c>
      <c r="E50" s="22" t="s">
        <v>20</v>
      </c>
      <c r="F50" s="23" t="s">
        <v>396</v>
      </c>
      <c r="G50" s="24" t="s">
        <v>14</v>
      </c>
      <c r="H50" s="25">
        <v>88212.800000000003</v>
      </c>
      <c r="I50" s="26" t="s">
        <v>14</v>
      </c>
      <c r="J50" s="25">
        <v>90714.99</v>
      </c>
      <c r="K50" s="18">
        <v>1929.71</v>
      </c>
      <c r="L50" s="31">
        <v>9273.7900000000009</v>
      </c>
      <c r="M50" s="27" t="s">
        <v>3520</v>
      </c>
      <c r="N50" s="18"/>
      <c r="O50" s="25">
        <v>101918.49</v>
      </c>
      <c r="P50" s="19">
        <f t="shared" si="0"/>
        <v>101918.49000000002</v>
      </c>
      <c r="Q50" s="19">
        <f t="shared" si="1"/>
        <v>-1.4551915228366852E-11</v>
      </c>
      <c r="R50" s="25">
        <v>39473.83</v>
      </c>
      <c r="S50" s="28">
        <v>141392.32000000001</v>
      </c>
      <c r="T50" s="49">
        <f t="shared" si="2"/>
        <v>141392.32000000001</v>
      </c>
      <c r="U50" s="49">
        <f t="shared" si="3"/>
        <v>0</v>
      </c>
    </row>
    <row r="51" spans="1:21" ht="17" thickBot="1" x14ac:dyDescent="0.25">
      <c r="A51" s="21" t="s">
        <v>399</v>
      </c>
      <c r="B51" s="21" t="s">
        <v>400</v>
      </c>
      <c r="C51" s="21" t="s">
        <v>65</v>
      </c>
      <c r="D51" s="21" t="s">
        <v>265</v>
      </c>
      <c r="E51" s="22" t="s">
        <v>20</v>
      </c>
      <c r="F51" s="23" t="s">
        <v>404</v>
      </c>
      <c r="G51" s="24" t="s">
        <v>14</v>
      </c>
      <c r="H51" s="25">
        <v>84822.399999999994</v>
      </c>
      <c r="I51" s="26" t="s">
        <v>14</v>
      </c>
      <c r="J51" s="25">
        <v>87028.83</v>
      </c>
      <c r="K51" s="18">
        <v>10142.11</v>
      </c>
      <c r="L51" s="31">
        <v>7732.48</v>
      </c>
      <c r="M51" s="27" t="s">
        <v>3520</v>
      </c>
      <c r="N51" s="18"/>
      <c r="O51" s="25">
        <v>104903.42</v>
      </c>
      <c r="P51" s="19">
        <f t="shared" si="0"/>
        <v>104903.42</v>
      </c>
      <c r="Q51" s="19">
        <f t="shared" si="1"/>
        <v>0</v>
      </c>
      <c r="R51" s="25">
        <v>34335.83</v>
      </c>
      <c r="S51" s="28">
        <v>139239.25</v>
      </c>
      <c r="T51" s="49">
        <f t="shared" si="2"/>
        <v>139239.25</v>
      </c>
      <c r="U51" s="49">
        <f t="shared" si="3"/>
        <v>0</v>
      </c>
    </row>
    <row r="52" spans="1:21" ht="17" thickBot="1" x14ac:dyDescent="0.25">
      <c r="A52" s="21" t="s">
        <v>407</v>
      </c>
      <c r="B52" s="21" t="s">
        <v>104</v>
      </c>
      <c r="C52" s="21" t="s">
        <v>18</v>
      </c>
      <c r="D52" s="21" t="s">
        <v>74</v>
      </c>
      <c r="E52" s="22" t="s">
        <v>20</v>
      </c>
      <c r="F52" s="23" t="s">
        <v>412</v>
      </c>
      <c r="G52" s="24" t="s">
        <v>14</v>
      </c>
      <c r="H52" s="25">
        <v>80778.36</v>
      </c>
      <c r="I52" s="26" t="s">
        <v>14</v>
      </c>
      <c r="J52" s="25">
        <v>91736.95</v>
      </c>
      <c r="K52" s="18">
        <v>7859.78</v>
      </c>
      <c r="L52" s="31">
        <v>10920.44</v>
      </c>
      <c r="M52" s="27">
        <v>703.44</v>
      </c>
      <c r="N52" s="18"/>
      <c r="O52" s="25">
        <v>111220.61</v>
      </c>
      <c r="P52" s="19">
        <f t="shared" si="0"/>
        <v>111220.61</v>
      </c>
      <c r="Q52" s="19">
        <f t="shared" si="1"/>
        <v>0</v>
      </c>
      <c r="R52" s="25">
        <v>27354.57</v>
      </c>
      <c r="S52" s="28">
        <v>138575.18</v>
      </c>
      <c r="T52" s="49">
        <f t="shared" si="2"/>
        <v>138575.18</v>
      </c>
      <c r="U52" s="49">
        <f t="shared" si="3"/>
        <v>0</v>
      </c>
    </row>
    <row r="53" spans="1:21" ht="17" thickBot="1" x14ac:dyDescent="0.25">
      <c r="A53" s="21" t="s">
        <v>415</v>
      </c>
      <c r="B53" s="21" t="s">
        <v>416</v>
      </c>
      <c r="C53" s="21" t="s">
        <v>65</v>
      </c>
      <c r="D53" s="21" t="s">
        <v>217</v>
      </c>
      <c r="E53" s="22" t="s">
        <v>20</v>
      </c>
      <c r="F53" s="23" t="s">
        <v>420</v>
      </c>
      <c r="G53" s="24" t="s">
        <v>14</v>
      </c>
      <c r="H53" s="25">
        <v>90869.48</v>
      </c>
      <c r="I53" s="26" t="s">
        <v>14</v>
      </c>
      <c r="J53" s="25">
        <v>91676</v>
      </c>
      <c r="K53" s="18" t="s">
        <v>3520</v>
      </c>
      <c r="L53" s="31">
        <v>6298.6</v>
      </c>
      <c r="M53" s="27" t="s">
        <v>3520</v>
      </c>
      <c r="N53" s="18"/>
      <c r="O53" s="25">
        <v>97974.6</v>
      </c>
      <c r="P53" s="19">
        <f t="shared" si="0"/>
        <v>97974.6</v>
      </c>
      <c r="Q53" s="19">
        <f t="shared" si="1"/>
        <v>0</v>
      </c>
      <c r="R53" s="25">
        <v>39652.870000000003</v>
      </c>
      <c r="S53" s="28">
        <v>137627.47</v>
      </c>
      <c r="T53" s="49">
        <f t="shared" si="2"/>
        <v>137627.47</v>
      </c>
      <c r="U53" s="49">
        <f t="shared" si="3"/>
        <v>0</v>
      </c>
    </row>
    <row r="54" spans="1:21" ht="17" thickBot="1" x14ac:dyDescent="0.25">
      <c r="A54" s="21" t="s">
        <v>423</v>
      </c>
      <c r="B54" s="21" t="s">
        <v>424</v>
      </c>
      <c r="C54" s="21" t="s">
        <v>81</v>
      </c>
      <c r="D54" s="21" t="s">
        <v>386</v>
      </c>
      <c r="E54" s="22" t="s">
        <v>20</v>
      </c>
      <c r="F54" s="23" t="s">
        <v>428</v>
      </c>
      <c r="G54" s="24" t="s">
        <v>14</v>
      </c>
      <c r="H54" s="25">
        <v>99706.1</v>
      </c>
      <c r="I54" s="26" t="s">
        <v>14</v>
      </c>
      <c r="J54" s="25">
        <v>99114.6</v>
      </c>
      <c r="K54" s="18" t="s">
        <v>3520</v>
      </c>
      <c r="L54" s="31">
        <v>4012</v>
      </c>
      <c r="M54" s="27" t="s">
        <v>3520</v>
      </c>
      <c r="N54" s="18"/>
      <c r="O54" s="25">
        <v>103126.6</v>
      </c>
      <c r="P54" s="19">
        <f t="shared" si="0"/>
        <v>103126.6</v>
      </c>
      <c r="Q54" s="19">
        <f t="shared" si="1"/>
        <v>0</v>
      </c>
      <c r="R54" s="25">
        <v>33808.639999999999</v>
      </c>
      <c r="S54" s="28">
        <v>136935.24</v>
      </c>
      <c r="T54" s="49">
        <f t="shared" si="2"/>
        <v>136935.24</v>
      </c>
      <c r="U54" s="49">
        <f t="shared" si="3"/>
        <v>0</v>
      </c>
    </row>
    <row r="55" spans="1:21" ht="17" thickBot="1" x14ac:dyDescent="0.25">
      <c r="A55" s="21" t="s">
        <v>431</v>
      </c>
      <c r="B55" s="21" t="s">
        <v>432</v>
      </c>
      <c r="C55" s="21" t="s">
        <v>65</v>
      </c>
      <c r="D55" s="21" t="s">
        <v>265</v>
      </c>
      <c r="E55" s="22" t="s">
        <v>20</v>
      </c>
      <c r="F55" s="23" t="s">
        <v>436</v>
      </c>
      <c r="G55" s="24" t="s">
        <v>14</v>
      </c>
      <c r="H55" s="25">
        <v>78436.800000000003</v>
      </c>
      <c r="I55" s="26" t="s">
        <v>14</v>
      </c>
      <c r="J55" s="25">
        <v>77395.13</v>
      </c>
      <c r="K55" s="18">
        <v>9472.24</v>
      </c>
      <c r="L55" s="31">
        <v>6953.42</v>
      </c>
      <c r="M55" s="27" t="s">
        <v>3520</v>
      </c>
      <c r="N55" s="18"/>
      <c r="O55" s="25">
        <v>93820.79</v>
      </c>
      <c r="P55" s="19">
        <f t="shared" si="0"/>
        <v>93820.790000000008</v>
      </c>
      <c r="Q55" s="19">
        <f t="shared" si="1"/>
        <v>-1.4551915228366852E-11</v>
      </c>
      <c r="R55" s="25">
        <v>42948.480000000003</v>
      </c>
      <c r="S55" s="28">
        <v>136769.26999999999</v>
      </c>
      <c r="T55" s="49">
        <f t="shared" si="2"/>
        <v>136769.26999999999</v>
      </c>
      <c r="U55" s="49">
        <f t="shared" si="3"/>
        <v>0</v>
      </c>
    </row>
    <row r="56" spans="1:21" ht="17" thickBot="1" x14ac:dyDescent="0.25">
      <c r="A56" s="21" t="s">
        <v>439</v>
      </c>
      <c r="B56" s="21" t="s">
        <v>440</v>
      </c>
      <c r="C56" s="21" t="s">
        <v>129</v>
      </c>
      <c r="D56" s="21" t="s">
        <v>130</v>
      </c>
      <c r="E56" s="22" t="s">
        <v>20</v>
      </c>
      <c r="F56" s="23" t="s">
        <v>444</v>
      </c>
      <c r="G56" s="24" t="s">
        <v>14</v>
      </c>
      <c r="H56" s="25">
        <v>74439.56</v>
      </c>
      <c r="I56" s="26" t="s">
        <v>14</v>
      </c>
      <c r="J56" s="25">
        <v>93328.15</v>
      </c>
      <c r="K56" s="18">
        <v>1726.45</v>
      </c>
      <c r="L56" s="31">
        <v>7698.69</v>
      </c>
      <c r="M56" s="27" t="s">
        <v>3520</v>
      </c>
      <c r="N56" s="18"/>
      <c r="O56" s="25">
        <v>102753.29</v>
      </c>
      <c r="P56" s="19">
        <f t="shared" si="0"/>
        <v>102753.29</v>
      </c>
      <c r="Q56" s="19">
        <f t="shared" si="1"/>
        <v>0</v>
      </c>
      <c r="R56" s="25">
        <v>33993.89</v>
      </c>
      <c r="S56" s="28">
        <v>136747.18</v>
      </c>
      <c r="T56" s="49">
        <f t="shared" si="2"/>
        <v>136747.18</v>
      </c>
      <c r="U56" s="49">
        <f t="shared" si="3"/>
        <v>0</v>
      </c>
    </row>
    <row r="57" spans="1:21" ht="17" thickBot="1" x14ac:dyDescent="0.25">
      <c r="A57" s="21" t="s">
        <v>447</v>
      </c>
      <c r="B57" s="21" t="s">
        <v>17</v>
      </c>
      <c r="C57" s="21" t="s">
        <v>18</v>
      </c>
      <c r="D57" s="21" t="s">
        <v>450</v>
      </c>
      <c r="E57" s="22" t="s">
        <v>20</v>
      </c>
      <c r="F57" s="23" t="s">
        <v>452</v>
      </c>
      <c r="G57" s="24" t="s">
        <v>14</v>
      </c>
      <c r="H57" s="25">
        <v>61431.24</v>
      </c>
      <c r="I57" s="26" t="s">
        <v>14</v>
      </c>
      <c r="J57" s="25">
        <v>72347.87</v>
      </c>
      <c r="K57" s="18">
        <v>12389.42</v>
      </c>
      <c r="L57" s="31">
        <v>3342.82</v>
      </c>
      <c r="M57" s="27">
        <v>9138.84</v>
      </c>
      <c r="N57" s="18"/>
      <c r="O57" s="25">
        <v>97218.95</v>
      </c>
      <c r="P57" s="19">
        <f t="shared" si="0"/>
        <v>97218.95</v>
      </c>
      <c r="Q57" s="19">
        <f t="shared" si="1"/>
        <v>0</v>
      </c>
      <c r="R57" s="25">
        <v>39105.5</v>
      </c>
      <c r="S57" s="28">
        <v>136324.45000000001</v>
      </c>
      <c r="T57" s="49">
        <f t="shared" si="2"/>
        <v>136324.45000000001</v>
      </c>
      <c r="U57" s="49">
        <f t="shared" si="3"/>
        <v>0</v>
      </c>
    </row>
    <row r="58" spans="1:21" ht="17" thickBot="1" x14ac:dyDescent="0.25">
      <c r="A58" s="10" t="s">
        <v>455</v>
      </c>
      <c r="B58" s="10" t="s">
        <v>456</v>
      </c>
      <c r="C58" s="10" t="s">
        <v>145</v>
      </c>
      <c r="D58" s="10" t="s">
        <v>458</v>
      </c>
      <c r="E58" s="11" t="s">
        <v>12</v>
      </c>
      <c r="F58" s="12" t="s">
        <v>460</v>
      </c>
      <c r="G58" s="32" t="s">
        <v>14</v>
      </c>
      <c r="H58" s="14">
        <v>107150.16</v>
      </c>
      <c r="I58" s="15" t="s">
        <v>14</v>
      </c>
      <c r="J58" s="14">
        <v>83548.17</v>
      </c>
      <c r="K58" s="16" t="s">
        <v>3520</v>
      </c>
      <c r="L58" s="14">
        <v>10481.86</v>
      </c>
      <c r="M58" s="17" t="s">
        <v>3520</v>
      </c>
      <c r="N58" s="18"/>
      <c r="O58" s="14">
        <v>94030.03</v>
      </c>
      <c r="P58" s="19">
        <f t="shared" si="0"/>
        <v>94030.03</v>
      </c>
      <c r="Q58" s="19">
        <f t="shared" si="1"/>
        <v>0</v>
      </c>
      <c r="R58" s="14">
        <v>42154.15</v>
      </c>
      <c r="S58" s="20">
        <v>136184.18</v>
      </c>
      <c r="T58" s="49">
        <f t="shared" si="2"/>
        <v>136184.18</v>
      </c>
      <c r="U58" s="49">
        <f t="shared" si="3"/>
        <v>0</v>
      </c>
    </row>
    <row r="59" spans="1:21" ht="17" thickBot="1" x14ac:dyDescent="0.25">
      <c r="A59" s="21" t="s">
        <v>463</v>
      </c>
      <c r="B59" s="21" t="s">
        <v>80</v>
      </c>
      <c r="C59" s="21" t="s">
        <v>18</v>
      </c>
      <c r="D59" s="21" t="s">
        <v>74</v>
      </c>
      <c r="E59" s="22" t="s">
        <v>20</v>
      </c>
      <c r="F59" s="23" t="s">
        <v>468</v>
      </c>
      <c r="G59" s="33" t="s">
        <v>14</v>
      </c>
      <c r="H59" s="25">
        <v>69809.48</v>
      </c>
      <c r="I59" s="26" t="s">
        <v>14</v>
      </c>
      <c r="J59" s="25">
        <v>83408.639999999999</v>
      </c>
      <c r="K59" s="18">
        <v>3601.05</v>
      </c>
      <c r="L59" s="18">
        <v>6109.72</v>
      </c>
      <c r="M59" s="27" t="s">
        <v>3520</v>
      </c>
      <c r="N59" s="18"/>
      <c r="O59" s="25">
        <v>93119.41</v>
      </c>
      <c r="P59" s="19">
        <f t="shared" si="0"/>
        <v>93119.41</v>
      </c>
      <c r="Q59" s="19">
        <f t="shared" si="1"/>
        <v>0</v>
      </c>
      <c r="R59" s="25">
        <v>42860.14</v>
      </c>
      <c r="S59" s="28">
        <v>135979.54999999999</v>
      </c>
      <c r="T59" s="49">
        <f t="shared" si="2"/>
        <v>135979.54999999999</v>
      </c>
      <c r="U59" s="49">
        <f t="shared" si="3"/>
        <v>0</v>
      </c>
    </row>
    <row r="60" spans="1:21" ht="17" thickBot="1" x14ac:dyDescent="0.25">
      <c r="A60" s="21" t="s">
        <v>471</v>
      </c>
      <c r="B60" s="21" t="s">
        <v>472</v>
      </c>
      <c r="C60" s="21" t="s">
        <v>81</v>
      </c>
      <c r="D60" s="21" t="s">
        <v>154</v>
      </c>
      <c r="E60" s="22" t="s">
        <v>20</v>
      </c>
      <c r="F60" s="23" t="s">
        <v>476</v>
      </c>
      <c r="G60" s="33" t="s">
        <v>14</v>
      </c>
      <c r="H60" s="25">
        <v>80339.929999999993</v>
      </c>
      <c r="I60" s="26" t="s">
        <v>14</v>
      </c>
      <c r="J60" s="25">
        <v>72191.520000000004</v>
      </c>
      <c r="K60" s="18">
        <v>25914.38</v>
      </c>
      <c r="L60" s="18">
        <v>3940.51</v>
      </c>
      <c r="M60" s="27" t="s">
        <v>3520</v>
      </c>
      <c r="N60" s="18"/>
      <c r="O60" s="25">
        <v>102046.41</v>
      </c>
      <c r="P60" s="19">
        <f t="shared" si="0"/>
        <v>102046.41</v>
      </c>
      <c r="Q60" s="19">
        <f t="shared" si="1"/>
        <v>0</v>
      </c>
      <c r="R60" s="25">
        <v>33797.46</v>
      </c>
      <c r="S60" s="28">
        <v>135843.87</v>
      </c>
      <c r="T60" s="49">
        <f t="shared" si="2"/>
        <v>135843.87</v>
      </c>
      <c r="U60" s="49">
        <f t="shared" si="3"/>
        <v>0</v>
      </c>
    </row>
    <row r="61" spans="1:21" ht="17" thickBot="1" x14ac:dyDescent="0.25">
      <c r="A61" s="21" t="s">
        <v>479</v>
      </c>
      <c r="B61" s="21" t="s">
        <v>480</v>
      </c>
      <c r="C61" s="21" t="s">
        <v>81</v>
      </c>
      <c r="D61" s="21" t="s">
        <v>378</v>
      </c>
      <c r="E61" s="22" t="s">
        <v>20</v>
      </c>
      <c r="F61" s="23" t="s">
        <v>484</v>
      </c>
      <c r="G61" s="33" t="s">
        <v>14</v>
      </c>
      <c r="H61" s="25">
        <v>65417.11</v>
      </c>
      <c r="I61" s="26" t="s">
        <v>14</v>
      </c>
      <c r="J61" s="25">
        <v>50371.76</v>
      </c>
      <c r="K61" s="18">
        <v>34147.65</v>
      </c>
      <c r="L61" s="25">
        <v>11128.97</v>
      </c>
      <c r="M61" s="27" t="s">
        <v>3520</v>
      </c>
      <c r="N61" s="18"/>
      <c r="O61" s="25">
        <v>95648.38</v>
      </c>
      <c r="P61" s="19">
        <f t="shared" si="0"/>
        <v>95648.38</v>
      </c>
      <c r="Q61" s="19">
        <f t="shared" si="1"/>
        <v>0</v>
      </c>
      <c r="R61" s="25">
        <v>39477.949999999997</v>
      </c>
      <c r="S61" s="28">
        <v>135126.32999999999</v>
      </c>
      <c r="T61" s="49">
        <f t="shared" si="2"/>
        <v>135126.33000000002</v>
      </c>
      <c r="U61" s="49">
        <f t="shared" si="3"/>
        <v>-2.9103830456733704E-11</v>
      </c>
    </row>
    <row r="62" spans="1:21" ht="17" thickBot="1" x14ac:dyDescent="0.25">
      <c r="A62" s="21" t="s">
        <v>487</v>
      </c>
      <c r="B62" s="21" t="s">
        <v>128</v>
      </c>
      <c r="C62" s="21" t="s">
        <v>97</v>
      </c>
      <c r="D62" s="21" t="s">
        <v>490</v>
      </c>
      <c r="E62" s="22" t="s">
        <v>12</v>
      </c>
      <c r="F62" s="23" t="s">
        <v>492</v>
      </c>
      <c r="G62" s="33" t="s">
        <v>14</v>
      </c>
      <c r="H62" s="25">
        <v>96885.36</v>
      </c>
      <c r="I62" s="26" t="s">
        <v>14</v>
      </c>
      <c r="J62" s="25">
        <v>96741.01</v>
      </c>
      <c r="K62" s="18" t="s">
        <v>3520</v>
      </c>
      <c r="L62" s="18">
        <v>250</v>
      </c>
      <c r="M62" s="27" t="s">
        <v>3520</v>
      </c>
      <c r="N62" s="18"/>
      <c r="O62" s="18">
        <v>96991.01</v>
      </c>
      <c r="P62" s="19">
        <f t="shared" si="0"/>
        <v>96991.01</v>
      </c>
      <c r="Q62" s="19">
        <f t="shared" si="1"/>
        <v>0</v>
      </c>
      <c r="R62" s="25">
        <v>37306.85</v>
      </c>
      <c r="S62" s="28">
        <v>134297.85999999999</v>
      </c>
      <c r="T62" s="49">
        <f t="shared" si="2"/>
        <v>134297.85999999999</v>
      </c>
      <c r="U62" s="49">
        <f t="shared" si="3"/>
        <v>0</v>
      </c>
    </row>
    <row r="63" spans="1:21" ht="17" thickBot="1" x14ac:dyDescent="0.25">
      <c r="A63" s="21" t="s">
        <v>495</v>
      </c>
      <c r="B63" s="21" t="s">
        <v>496</v>
      </c>
      <c r="C63" s="21" t="s">
        <v>18</v>
      </c>
      <c r="D63" s="21" t="s">
        <v>498</v>
      </c>
      <c r="E63" s="22" t="s">
        <v>20</v>
      </c>
      <c r="F63" s="23" t="s">
        <v>500</v>
      </c>
      <c r="G63" s="33" t="s">
        <v>14</v>
      </c>
      <c r="H63" s="25">
        <v>57820.88</v>
      </c>
      <c r="I63" s="26" t="s">
        <v>14</v>
      </c>
      <c r="J63" s="25">
        <v>69190.14</v>
      </c>
      <c r="K63" s="18">
        <v>9800.4699999999993</v>
      </c>
      <c r="L63" s="18">
        <v>3502.14</v>
      </c>
      <c r="M63" s="27">
        <v>14675.51</v>
      </c>
      <c r="N63" s="18"/>
      <c r="O63" s="25">
        <v>97168.26</v>
      </c>
      <c r="P63" s="19">
        <f t="shared" si="0"/>
        <v>97168.26</v>
      </c>
      <c r="Q63" s="19">
        <f t="shared" si="1"/>
        <v>0</v>
      </c>
      <c r="R63" s="25">
        <v>37105.550000000003</v>
      </c>
      <c r="S63" s="28">
        <v>134273.81</v>
      </c>
      <c r="T63" s="49">
        <f t="shared" si="2"/>
        <v>134273.81</v>
      </c>
      <c r="U63" s="49">
        <f t="shared" si="3"/>
        <v>0</v>
      </c>
    </row>
    <row r="64" spans="1:21" ht="17" thickBot="1" x14ac:dyDescent="0.25">
      <c r="A64" s="21" t="s">
        <v>503</v>
      </c>
      <c r="B64" s="21" t="s">
        <v>504</v>
      </c>
      <c r="C64" s="21" t="s">
        <v>81</v>
      </c>
      <c r="D64" s="21" t="s">
        <v>378</v>
      </c>
      <c r="E64" s="22" t="s">
        <v>20</v>
      </c>
      <c r="F64" s="23" t="s">
        <v>508</v>
      </c>
      <c r="G64" s="33" t="s">
        <v>14</v>
      </c>
      <c r="H64" s="25">
        <v>70521.36</v>
      </c>
      <c r="I64" s="26" t="s">
        <v>14</v>
      </c>
      <c r="J64" s="25">
        <v>70653.429999999993</v>
      </c>
      <c r="K64" s="18">
        <v>16931.3</v>
      </c>
      <c r="L64" s="18">
        <v>7481.41</v>
      </c>
      <c r="M64" s="27" t="s">
        <v>3520</v>
      </c>
      <c r="N64" s="18"/>
      <c r="O64" s="25">
        <v>95066.14</v>
      </c>
      <c r="P64" s="19">
        <f t="shared" si="0"/>
        <v>95066.14</v>
      </c>
      <c r="Q64" s="19">
        <f t="shared" si="1"/>
        <v>0</v>
      </c>
      <c r="R64" s="25">
        <v>37629.4</v>
      </c>
      <c r="S64" s="28">
        <v>132695.54</v>
      </c>
      <c r="T64" s="49">
        <f t="shared" si="2"/>
        <v>132695.54</v>
      </c>
      <c r="U64" s="49">
        <f t="shared" si="3"/>
        <v>0</v>
      </c>
    </row>
    <row r="65" spans="1:21" ht="17" thickBot="1" x14ac:dyDescent="0.25">
      <c r="A65" s="21" t="s">
        <v>511</v>
      </c>
      <c r="B65" s="21" t="s">
        <v>512</v>
      </c>
      <c r="C65" s="21" t="s">
        <v>513</v>
      </c>
      <c r="D65" s="21" t="s">
        <v>514</v>
      </c>
      <c r="E65" s="22" t="s">
        <v>12</v>
      </c>
      <c r="F65" s="23" t="s">
        <v>516</v>
      </c>
      <c r="G65" s="33" t="s">
        <v>14</v>
      </c>
      <c r="H65" s="25">
        <v>88425.74</v>
      </c>
      <c r="I65" s="26" t="s">
        <v>14</v>
      </c>
      <c r="J65" s="25">
        <v>90695.11</v>
      </c>
      <c r="K65" s="18" t="s">
        <v>3520</v>
      </c>
      <c r="L65" s="18">
        <v>7933.64</v>
      </c>
      <c r="M65" s="27" t="s">
        <v>3520</v>
      </c>
      <c r="N65" s="18"/>
      <c r="O65" s="25">
        <v>98628.75</v>
      </c>
      <c r="P65" s="19">
        <f t="shared" si="0"/>
        <v>98628.75</v>
      </c>
      <c r="Q65" s="19">
        <f t="shared" si="1"/>
        <v>0</v>
      </c>
      <c r="R65" s="25">
        <v>33033.26</v>
      </c>
      <c r="S65" s="28">
        <v>131662.01</v>
      </c>
      <c r="T65" s="49">
        <f t="shared" si="2"/>
        <v>131662.01</v>
      </c>
      <c r="U65" s="49">
        <f t="shared" si="3"/>
        <v>0</v>
      </c>
    </row>
    <row r="66" spans="1:21" ht="17" thickBot="1" x14ac:dyDescent="0.25">
      <c r="A66" s="21" t="s">
        <v>519</v>
      </c>
      <c r="B66" s="21" t="s">
        <v>496</v>
      </c>
      <c r="C66" s="21" t="s">
        <v>81</v>
      </c>
      <c r="D66" s="21" t="s">
        <v>522</v>
      </c>
      <c r="E66" s="22" t="s">
        <v>20</v>
      </c>
      <c r="F66" s="23" t="s">
        <v>524</v>
      </c>
      <c r="G66" s="33" t="s">
        <v>14</v>
      </c>
      <c r="H66" s="25">
        <v>75090.17</v>
      </c>
      <c r="I66" s="26" t="s">
        <v>14</v>
      </c>
      <c r="J66" s="25">
        <v>75386.25</v>
      </c>
      <c r="K66" s="18">
        <v>7759.16</v>
      </c>
      <c r="L66" s="18">
        <v>6255.87</v>
      </c>
      <c r="M66" s="27" t="s">
        <v>3520</v>
      </c>
      <c r="N66" s="18"/>
      <c r="O66" s="25">
        <v>89401.279999999999</v>
      </c>
      <c r="P66" s="19">
        <f t="shared" si="0"/>
        <v>89401.279999999999</v>
      </c>
      <c r="Q66" s="19">
        <f t="shared" si="1"/>
        <v>0</v>
      </c>
      <c r="R66" s="25">
        <v>41911.25</v>
      </c>
      <c r="S66" s="28">
        <v>131312.53</v>
      </c>
      <c r="T66" s="49">
        <f t="shared" si="2"/>
        <v>131312.53</v>
      </c>
      <c r="U66" s="49">
        <f t="shared" si="3"/>
        <v>0</v>
      </c>
    </row>
    <row r="67" spans="1:21" ht="17" thickBot="1" x14ac:dyDescent="0.25">
      <c r="A67" s="21" t="s">
        <v>527</v>
      </c>
      <c r="B67" s="21" t="s">
        <v>528</v>
      </c>
      <c r="C67" s="21" t="s">
        <v>81</v>
      </c>
      <c r="D67" s="21" t="s">
        <v>530</v>
      </c>
      <c r="E67" s="22" t="s">
        <v>12</v>
      </c>
      <c r="F67" s="23" t="s">
        <v>532</v>
      </c>
      <c r="G67" s="33" t="s">
        <v>14</v>
      </c>
      <c r="H67" s="25">
        <v>92976</v>
      </c>
      <c r="I67" s="26" t="s">
        <v>14</v>
      </c>
      <c r="J67" s="25">
        <v>92976</v>
      </c>
      <c r="K67" s="18" t="s">
        <v>3520</v>
      </c>
      <c r="L67" s="18">
        <v>4086.76</v>
      </c>
      <c r="M67" s="27" t="s">
        <v>3520</v>
      </c>
      <c r="N67" s="18"/>
      <c r="O67" s="25">
        <v>97062.76</v>
      </c>
      <c r="P67" s="19">
        <f t="shared" ref="P67:P130" si="4">SUM(I67:N67)</f>
        <v>97062.76</v>
      </c>
      <c r="Q67" s="19">
        <f t="shared" ref="Q67:Q130" si="5">SUM(O67-P67)</f>
        <v>0</v>
      </c>
      <c r="R67" s="25">
        <v>32647.85</v>
      </c>
      <c r="S67" s="28">
        <v>129710.61</v>
      </c>
      <c r="T67" s="49">
        <f t="shared" ref="T67:T130" si="6">SUM(O67+R67)</f>
        <v>129710.60999999999</v>
      </c>
      <c r="U67" s="49">
        <f t="shared" ref="U67:U130" si="7">SUM(S67-T67)</f>
        <v>1.4551915228366852E-11</v>
      </c>
    </row>
    <row r="68" spans="1:21" ht="17" thickBot="1" x14ac:dyDescent="0.25">
      <c r="A68" s="21" t="s">
        <v>535</v>
      </c>
      <c r="B68" s="21" t="s">
        <v>536</v>
      </c>
      <c r="C68" s="21" t="s">
        <v>18</v>
      </c>
      <c r="D68" s="21" t="s">
        <v>498</v>
      </c>
      <c r="E68" s="22" t="s">
        <v>20</v>
      </c>
      <c r="F68" s="23" t="s">
        <v>124</v>
      </c>
      <c r="G68" s="33" t="s">
        <v>14</v>
      </c>
      <c r="H68" s="25">
        <v>64876.24</v>
      </c>
      <c r="I68" s="26" t="s">
        <v>14</v>
      </c>
      <c r="J68" s="25">
        <v>73114.86</v>
      </c>
      <c r="K68" s="18">
        <v>4272.5</v>
      </c>
      <c r="L68" s="18">
        <v>8340.16</v>
      </c>
      <c r="M68" s="27">
        <v>4190.12</v>
      </c>
      <c r="N68" s="18"/>
      <c r="O68" s="25">
        <v>89917.64</v>
      </c>
      <c r="P68" s="19">
        <f t="shared" si="4"/>
        <v>89917.64</v>
      </c>
      <c r="Q68" s="19">
        <f t="shared" si="5"/>
        <v>0</v>
      </c>
      <c r="R68" s="25">
        <v>38561.599999999999</v>
      </c>
      <c r="S68" s="28">
        <v>128479.24</v>
      </c>
      <c r="T68" s="49">
        <f t="shared" si="6"/>
        <v>128479.23999999999</v>
      </c>
      <c r="U68" s="49">
        <f t="shared" si="7"/>
        <v>1.4551915228366852E-11</v>
      </c>
    </row>
    <row r="69" spans="1:21" ht="17" thickBot="1" x14ac:dyDescent="0.25">
      <c r="A69" s="21" t="s">
        <v>543</v>
      </c>
      <c r="B69" s="21" t="s">
        <v>544</v>
      </c>
      <c r="C69" s="21" t="s">
        <v>18</v>
      </c>
      <c r="D69" s="21" t="s">
        <v>498</v>
      </c>
      <c r="E69" s="22" t="s">
        <v>20</v>
      </c>
      <c r="F69" s="23" t="s">
        <v>548</v>
      </c>
      <c r="G69" s="33" t="s">
        <v>14</v>
      </c>
      <c r="H69" s="25">
        <v>54238.080000000002</v>
      </c>
      <c r="I69" s="26" t="s">
        <v>14</v>
      </c>
      <c r="J69" s="25">
        <v>56393.16</v>
      </c>
      <c r="K69" s="18">
        <v>15929.97</v>
      </c>
      <c r="L69" s="18">
        <v>5626.32</v>
      </c>
      <c r="M69" s="27">
        <v>17721.400000000001</v>
      </c>
      <c r="N69" s="18"/>
      <c r="O69" s="25">
        <v>95670.85</v>
      </c>
      <c r="P69" s="19">
        <f t="shared" si="4"/>
        <v>95670.85</v>
      </c>
      <c r="Q69" s="19">
        <f t="shared" si="5"/>
        <v>0</v>
      </c>
      <c r="R69" s="25">
        <v>32147.279999999999</v>
      </c>
      <c r="S69" s="28">
        <v>127818.13</v>
      </c>
      <c r="T69" s="49">
        <f t="shared" si="6"/>
        <v>127818.13</v>
      </c>
      <c r="U69" s="49">
        <f t="shared" si="7"/>
        <v>0</v>
      </c>
    </row>
    <row r="70" spans="1:21" ht="17" thickBot="1" x14ac:dyDescent="0.25">
      <c r="A70" s="21" t="s">
        <v>551</v>
      </c>
      <c r="B70" s="21" t="s">
        <v>552</v>
      </c>
      <c r="C70" s="21" t="s">
        <v>129</v>
      </c>
      <c r="D70" s="21" t="s">
        <v>498</v>
      </c>
      <c r="E70" s="22" t="s">
        <v>20</v>
      </c>
      <c r="F70" s="23" t="s">
        <v>556</v>
      </c>
      <c r="G70" s="33" t="s">
        <v>14</v>
      </c>
      <c r="H70" s="25">
        <v>56001.919999999998</v>
      </c>
      <c r="I70" s="26" t="s">
        <v>14</v>
      </c>
      <c r="J70" s="25">
        <v>64663.95</v>
      </c>
      <c r="K70" s="18">
        <v>13812.89</v>
      </c>
      <c r="L70" s="18">
        <v>5425.61</v>
      </c>
      <c r="M70" s="27">
        <v>11681.6</v>
      </c>
      <c r="N70" s="18"/>
      <c r="O70" s="25">
        <v>95584.05</v>
      </c>
      <c r="P70" s="19">
        <f t="shared" si="4"/>
        <v>95584.05</v>
      </c>
      <c r="Q70" s="19">
        <f t="shared" si="5"/>
        <v>0</v>
      </c>
      <c r="R70" s="25">
        <v>32172.81</v>
      </c>
      <c r="S70" s="28">
        <v>127756.86</v>
      </c>
      <c r="T70" s="49">
        <f t="shared" si="6"/>
        <v>127756.86</v>
      </c>
      <c r="U70" s="49">
        <f t="shared" si="7"/>
        <v>0</v>
      </c>
    </row>
    <row r="71" spans="1:21" ht="17" thickBot="1" x14ac:dyDescent="0.25">
      <c r="A71" s="21" t="s">
        <v>559</v>
      </c>
      <c r="B71" s="21" t="s">
        <v>560</v>
      </c>
      <c r="C71" s="21" t="s">
        <v>81</v>
      </c>
      <c r="D71" s="21" t="s">
        <v>378</v>
      </c>
      <c r="E71" s="22" t="s">
        <v>20</v>
      </c>
      <c r="F71" s="23" t="s">
        <v>564</v>
      </c>
      <c r="G71" s="33" t="s">
        <v>14</v>
      </c>
      <c r="H71" s="25">
        <v>52543.17</v>
      </c>
      <c r="I71" s="26" t="s">
        <v>14</v>
      </c>
      <c r="J71" s="25">
        <v>48029.71</v>
      </c>
      <c r="K71" s="18">
        <v>43450.41</v>
      </c>
      <c r="L71" s="18">
        <v>3511.76</v>
      </c>
      <c r="M71" s="27" t="s">
        <v>3520</v>
      </c>
      <c r="N71" s="18"/>
      <c r="O71" s="25">
        <v>94991.88</v>
      </c>
      <c r="P71" s="19">
        <f t="shared" si="4"/>
        <v>94991.87999999999</v>
      </c>
      <c r="Q71" s="19">
        <f t="shared" si="5"/>
        <v>1.4551915228366852E-11</v>
      </c>
      <c r="R71" s="25">
        <v>32238.639999999999</v>
      </c>
      <c r="S71" s="28">
        <v>127230.52</v>
      </c>
      <c r="T71" s="49">
        <f t="shared" si="6"/>
        <v>127230.52</v>
      </c>
      <c r="U71" s="49">
        <f t="shared" si="7"/>
        <v>0</v>
      </c>
    </row>
    <row r="72" spans="1:21" ht="17" thickBot="1" x14ac:dyDescent="0.25">
      <c r="A72" s="21" t="s">
        <v>262</v>
      </c>
      <c r="B72" s="21" t="s">
        <v>223</v>
      </c>
      <c r="C72" s="21" t="s">
        <v>65</v>
      </c>
      <c r="D72" s="21" t="s">
        <v>265</v>
      </c>
      <c r="E72" s="22" t="s">
        <v>20</v>
      </c>
      <c r="F72" s="23" t="s">
        <v>572</v>
      </c>
      <c r="G72" s="33" t="s">
        <v>14</v>
      </c>
      <c r="H72" s="25">
        <v>78436.800000000003</v>
      </c>
      <c r="I72" s="26" t="s">
        <v>14</v>
      </c>
      <c r="J72" s="25">
        <v>79750.33</v>
      </c>
      <c r="K72" s="18">
        <v>9786.9500000000007</v>
      </c>
      <c r="L72" s="18">
        <v>4807.34</v>
      </c>
      <c r="M72" s="27" t="s">
        <v>3520</v>
      </c>
      <c r="N72" s="18"/>
      <c r="O72" s="25">
        <v>94344.62</v>
      </c>
      <c r="P72" s="19">
        <f t="shared" si="4"/>
        <v>94344.62</v>
      </c>
      <c r="Q72" s="19">
        <f t="shared" si="5"/>
        <v>0</v>
      </c>
      <c r="R72" s="25">
        <v>32287.5</v>
      </c>
      <c r="S72" s="28">
        <v>126632.12</v>
      </c>
      <c r="T72" s="49">
        <f t="shared" si="6"/>
        <v>126632.12</v>
      </c>
      <c r="U72" s="49">
        <f t="shared" si="7"/>
        <v>0</v>
      </c>
    </row>
    <row r="73" spans="1:21" ht="17" thickBot="1" x14ac:dyDescent="0.25">
      <c r="A73" s="21" t="s">
        <v>575</v>
      </c>
      <c r="B73" s="21" t="s">
        <v>576</v>
      </c>
      <c r="C73" s="21" t="s">
        <v>577</v>
      </c>
      <c r="D73" s="21" t="s">
        <v>578</v>
      </c>
      <c r="E73" s="22" t="s">
        <v>12</v>
      </c>
      <c r="F73" s="23" t="s">
        <v>452</v>
      </c>
      <c r="G73" s="33" t="s">
        <v>14</v>
      </c>
      <c r="H73" s="25">
        <v>110000.02</v>
      </c>
      <c r="I73" s="26" t="s">
        <v>14</v>
      </c>
      <c r="J73" s="25">
        <v>84413.52</v>
      </c>
      <c r="K73" s="18" t="s">
        <v>3520</v>
      </c>
      <c r="L73" s="18">
        <v>5709.33</v>
      </c>
      <c r="M73" s="27" t="s">
        <v>3520</v>
      </c>
      <c r="N73" s="18"/>
      <c r="O73" s="25">
        <v>90122.85</v>
      </c>
      <c r="P73" s="19">
        <f t="shared" si="4"/>
        <v>90122.85</v>
      </c>
      <c r="Q73" s="19">
        <f t="shared" si="5"/>
        <v>0</v>
      </c>
      <c r="R73" s="25">
        <v>36465.53</v>
      </c>
      <c r="S73" s="28">
        <v>126588.38</v>
      </c>
      <c r="T73" s="49">
        <f t="shared" si="6"/>
        <v>126588.38</v>
      </c>
      <c r="U73" s="49">
        <f t="shared" si="7"/>
        <v>0</v>
      </c>
    </row>
    <row r="74" spans="1:21" ht="17" thickBot="1" x14ac:dyDescent="0.25">
      <c r="A74" s="21" t="s">
        <v>583</v>
      </c>
      <c r="B74" s="21" t="s">
        <v>584</v>
      </c>
      <c r="C74" s="21" t="s">
        <v>65</v>
      </c>
      <c r="D74" s="21" t="s">
        <v>265</v>
      </c>
      <c r="E74" s="22" t="s">
        <v>20</v>
      </c>
      <c r="F74" s="23" t="s">
        <v>588</v>
      </c>
      <c r="G74" s="33" t="s">
        <v>14</v>
      </c>
      <c r="H74" s="25">
        <v>66601.600000000006</v>
      </c>
      <c r="I74" s="26" t="s">
        <v>14</v>
      </c>
      <c r="J74" s="25">
        <v>67176.05</v>
      </c>
      <c r="K74" s="18">
        <v>12258.87</v>
      </c>
      <c r="L74" s="18">
        <v>5827.46</v>
      </c>
      <c r="M74" s="27" t="s">
        <v>3520</v>
      </c>
      <c r="N74" s="18"/>
      <c r="O74" s="25">
        <v>85262.38</v>
      </c>
      <c r="P74" s="19">
        <f t="shared" si="4"/>
        <v>85262.38</v>
      </c>
      <c r="Q74" s="19">
        <f t="shared" si="5"/>
        <v>0</v>
      </c>
      <c r="R74" s="25">
        <v>40998.47</v>
      </c>
      <c r="S74" s="28">
        <v>126260.85</v>
      </c>
      <c r="T74" s="49">
        <f t="shared" si="6"/>
        <v>126260.85</v>
      </c>
      <c r="U74" s="49">
        <f t="shared" si="7"/>
        <v>0</v>
      </c>
    </row>
    <row r="75" spans="1:21" ht="17" thickBot="1" x14ac:dyDescent="0.25">
      <c r="A75" s="21" t="s">
        <v>591</v>
      </c>
      <c r="B75" s="21" t="s">
        <v>592</v>
      </c>
      <c r="C75" s="21" t="s">
        <v>65</v>
      </c>
      <c r="D75" s="21" t="s">
        <v>594</v>
      </c>
      <c r="E75" s="22" t="s">
        <v>20</v>
      </c>
      <c r="F75" s="23" t="s">
        <v>596</v>
      </c>
      <c r="G75" s="33" t="s">
        <v>14</v>
      </c>
      <c r="H75" s="25">
        <v>78145.600000000006</v>
      </c>
      <c r="I75" s="26" t="s">
        <v>14</v>
      </c>
      <c r="J75" s="25">
        <v>79721.42</v>
      </c>
      <c r="K75" s="18">
        <v>5448.22</v>
      </c>
      <c r="L75" s="18">
        <v>3946.36</v>
      </c>
      <c r="M75" s="27" t="s">
        <v>3520</v>
      </c>
      <c r="N75" s="18"/>
      <c r="O75" s="25">
        <v>89116</v>
      </c>
      <c r="P75" s="19">
        <f t="shared" si="4"/>
        <v>89116</v>
      </c>
      <c r="Q75" s="19">
        <f t="shared" si="5"/>
        <v>0</v>
      </c>
      <c r="R75" s="25">
        <v>37032.89</v>
      </c>
      <c r="S75" s="28">
        <v>126148.89</v>
      </c>
      <c r="T75" s="49">
        <f t="shared" si="6"/>
        <v>126148.89</v>
      </c>
      <c r="U75" s="49">
        <f t="shared" si="7"/>
        <v>0</v>
      </c>
    </row>
    <row r="76" spans="1:21" ht="17" thickBot="1" x14ac:dyDescent="0.25">
      <c r="A76" s="21" t="s">
        <v>599</v>
      </c>
      <c r="B76" s="21" t="s">
        <v>600</v>
      </c>
      <c r="C76" s="21" t="s">
        <v>65</v>
      </c>
      <c r="D76" s="21" t="s">
        <v>594</v>
      </c>
      <c r="E76" s="22" t="s">
        <v>20</v>
      </c>
      <c r="F76" s="23" t="s">
        <v>604</v>
      </c>
      <c r="G76" s="33" t="s">
        <v>14</v>
      </c>
      <c r="H76" s="25">
        <v>70553.600000000006</v>
      </c>
      <c r="I76" s="26" t="s">
        <v>14</v>
      </c>
      <c r="J76" s="25">
        <v>71755.05</v>
      </c>
      <c r="K76" s="18">
        <v>8936.14</v>
      </c>
      <c r="L76" s="18">
        <v>5084.04</v>
      </c>
      <c r="M76" s="27" t="s">
        <v>3520</v>
      </c>
      <c r="N76" s="18"/>
      <c r="O76" s="25">
        <v>85775.23</v>
      </c>
      <c r="P76" s="19">
        <f t="shared" si="4"/>
        <v>85775.23</v>
      </c>
      <c r="Q76" s="19">
        <f t="shared" si="5"/>
        <v>0</v>
      </c>
      <c r="R76" s="25">
        <v>40320.89</v>
      </c>
      <c r="S76" s="28">
        <v>126096.12</v>
      </c>
      <c r="T76" s="49">
        <f t="shared" si="6"/>
        <v>126096.12</v>
      </c>
      <c r="U76" s="49">
        <f t="shared" si="7"/>
        <v>0</v>
      </c>
    </row>
    <row r="77" spans="1:21" ht="17" thickBot="1" x14ac:dyDescent="0.25">
      <c r="A77" s="21" t="s">
        <v>607</v>
      </c>
      <c r="B77" s="21" t="s">
        <v>199</v>
      </c>
      <c r="C77" s="21" t="s">
        <v>18</v>
      </c>
      <c r="D77" s="21" t="s">
        <v>450</v>
      </c>
      <c r="E77" s="22" t="s">
        <v>20</v>
      </c>
      <c r="F77" s="23" t="s">
        <v>612</v>
      </c>
      <c r="G77" s="33" t="s">
        <v>14</v>
      </c>
      <c r="H77" s="25">
        <v>59722.52</v>
      </c>
      <c r="I77" s="26" t="s">
        <v>14</v>
      </c>
      <c r="J77" s="25">
        <v>68995.22</v>
      </c>
      <c r="K77" s="18">
        <v>5107.26</v>
      </c>
      <c r="L77" s="25">
        <v>10765.16</v>
      </c>
      <c r="M77" s="27" t="s">
        <v>3520</v>
      </c>
      <c r="N77" s="18"/>
      <c r="O77" s="25">
        <v>84867.64</v>
      </c>
      <c r="P77" s="19">
        <f t="shared" si="4"/>
        <v>84867.64</v>
      </c>
      <c r="Q77" s="19">
        <f t="shared" si="5"/>
        <v>0</v>
      </c>
      <c r="R77" s="25">
        <v>39834.1</v>
      </c>
      <c r="S77" s="28">
        <v>124701.74</v>
      </c>
      <c r="T77" s="49">
        <f t="shared" si="6"/>
        <v>124701.73999999999</v>
      </c>
      <c r="U77" s="49">
        <f t="shared" si="7"/>
        <v>1.4551915228366852E-11</v>
      </c>
    </row>
    <row r="78" spans="1:21" ht="17" thickBot="1" x14ac:dyDescent="0.25">
      <c r="A78" s="21" t="s">
        <v>615</v>
      </c>
      <c r="B78" s="21" t="s">
        <v>616</v>
      </c>
      <c r="C78" s="21" t="s">
        <v>617</v>
      </c>
      <c r="D78" s="21" t="s">
        <v>618</v>
      </c>
      <c r="E78" s="22" t="s">
        <v>12</v>
      </c>
      <c r="F78" s="23" t="s">
        <v>476</v>
      </c>
      <c r="G78" s="33" t="s">
        <v>14</v>
      </c>
      <c r="H78" s="25">
        <v>87385.22</v>
      </c>
      <c r="I78" s="26" t="s">
        <v>14</v>
      </c>
      <c r="J78" s="25">
        <v>87255.02</v>
      </c>
      <c r="K78" s="18" t="s">
        <v>3520</v>
      </c>
      <c r="L78" s="18">
        <v>908</v>
      </c>
      <c r="M78" s="27" t="s">
        <v>3520</v>
      </c>
      <c r="N78" s="18"/>
      <c r="O78" s="18">
        <v>88163.02</v>
      </c>
      <c r="P78" s="19">
        <f t="shared" si="4"/>
        <v>88163.02</v>
      </c>
      <c r="Q78" s="19">
        <f t="shared" si="5"/>
        <v>0</v>
      </c>
      <c r="R78" s="25">
        <v>36072.65</v>
      </c>
      <c r="S78" s="28">
        <v>124235.67</v>
      </c>
      <c r="T78" s="49">
        <f t="shared" si="6"/>
        <v>124235.67000000001</v>
      </c>
      <c r="U78" s="49">
        <f t="shared" si="7"/>
        <v>-1.4551915228366852E-11</v>
      </c>
    </row>
    <row r="79" spans="1:21" ht="17" thickBot="1" x14ac:dyDescent="0.25">
      <c r="A79" s="21" t="s">
        <v>623</v>
      </c>
      <c r="B79" s="21" t="s">
        <v>624</v>
      </c>
      <c r="C79" s="21" t="s">
        <v>129</v>
      </c>
      <c r="D79" s="21" t="s">
        <v>130</v>
      </c>
      <c r="E79" s="22" t="s">
        <v>20</v>
      </c>
      <c r="F79" s="23" t="s">
        <v>628</v>
      </c>
      <c r="G79" s="33" t="s">
        <v>14</v>
      </c>
      <c r="H79" s="25">
        <v>67604.679999999993</v>
      </c>
      <c r="I79" s="26" t="s">
        <v>14</v>
      </c>
      <c r="J79" s="25">
        <v>77834.81</v>
      </c>
      <c r="K79" s="18">
        <v>788.91</v>
      </c>
      <c r="L79" s="18">
        <v>8953.07</v>
      </c>
      <c r="M79" s="27" t="s">
        <v>3520</v>
      </c>
      <c r="N79" s="18"/>
      <c r="O79" s="25">
        <v>87576.79</v>
      </c>
      <c r="P79" s="19">
        <f t="shared" si="4"/>
        <v>87576.790000000008</v>
      </c>
      <c r="Q79" s="19">
        <f t="shared" si="5"/>
        <v>-1.4551915228366852E-11</v>
      </c>
      <c r="R79" s="25">
        <v>36415.42</v>
      </c>
      <c r="S79" s="28">
        <v>123992.21</v>
      </c>
      <c r="T79" s="49">
        <f t="shared" si="6"/>
        <v>123992.20999999999</v>
      </c>
      <c r="U79" s="49">
        <f t="shared" si="7"/>
        <v>1.4551915228366852E-11</v>
      </c>
    </row>
    <row r="80" spans="1:21" ht="17" thickBot="1" x14ac:dyDescent="0.25">
      <c r="A80" s="21" t="s">
        <v>631</v>
      </c>
      <c r="B80" s="21" t="s">
        <v>632</v>
      </c>
      <c r="C80" s="21" t="s">
        <v>18</v>
      </c>
      <c r="D80" s="21" t="s">
        <v>450</v>
      </c>
      <c r="E80" s="22" t="s">
        <v>20</v>
      </c>
      <c r="F80" s="23" t="s">
        <v>636</v>
      </c>
      <c r="G80" s="33" t="s">
        <v>14</v>
      </c>
      <c r="H80" s="25">
        <v>57820.88</v>
      </c>
      <c r="I80" s="26" t="s">
        <v>14</v>
      </c>
      <c r="J80" s="25">
        <v>61031.45</v>
      </c>
      <c r="K80" s="18">
        <v>11985.57</v>
      </c>
      <c r="L80" s="18">
        <v>4346.8100000000004</v>
      </c>
      <c r="M80" s="27">
        <v>14895.8</v>
      </c>
      <c r="N80" s="18"/>
      <c r="O80" s="25">
        <v>92259.63</v>
      </c>
      <c r="P80" s="19">
        <f t="shared" si="4"/>
        <v>92259.62999999999</v>
      </c>
      <c r="Q80" s="19">
        <f t="shared" si="5"/>
        <v>1.4551915228366852E-11</v>
      </c>
      <c r="R80" s="25">
        <v>31425.51</v>
      </c>
      <c r="S80" s="28">
        <v>123685.14</v>
      </c>
      <c r="T80" s="49">
        <f t="shared" si="6"/>
        <v>123685.14</v>
      </c>
      <c r="U80" s="49">
        <f t="shared" si="7"/>
        <v>0</v>
      </c>
    </row>
    <row r="81" spans="1:21" ht="17" thickBot="1" x14ac:dyDescent="0.25">
      <c r="A81" s="21" t="s">
        <v>639</v>
      </c>
      <c r="B81" s="21" t="s">
        <v>640</v>
      </c>
      <c r="C81" s="21" t="s">
        <v>18</v>
      </c>
      <c r="D81" s="21" t="s">
        <v>498</v>
      </c>
      <c r="E81" s="22" t="s">
        <v>20</v>
      </c>
      <c r="F81" s="23" t="s">
        <v>644</v>
      </c>
      <c r="G81" s="33" t="s">
        <v>14</v>
      </c>
      <c r="H81" s="25">
        <v>56001.919999999998</v>
      </c>
      <c r="I81" s="26" t="s">
        <v>14</v>
      </c>
      <c r="J81" s="25">
        <v>64316.160000000003</v>
      </c>
      <c r="K81" s="18">
        <v>11487.16</v>
      </c>
      <c r="L81" s="18">
        <v>5526.93</v>
      </c>
      <c r="M81" s="27">
        <v>10505.44</v>
      </c>
      <c r="N81" s="18"/>
      <c r="O81" s="25">
        <v>91835.69</v>
      </c>
      <c r="P81" s="19">
        <f t="shared" si="4"/>
        <v>91835.69</v>
      </c>
      <c r="Q81" s="19">
        <f t="shared" si="5"/>
        <v>0</v>
      </c>
      <c r="R81" s="25">
        <v>31453.86</v>
      </c>
      <c r="S81" s="28">
        <v>123289.55</v>
      </c>
      <c r="T81" s="49">
        <f t="shared" si="6"/>
        <v>123289.55</v>
      </c>
      <c r="U81" s="49">
        <f t="shared" si="7"/>
        <v>0</v>
      </c>
    </row>
    <row r="82" spans="1:21" ht="17" thickBot="1" x14ac:dyDescent="0.25">
      <c r="A82" s="21" t="s">
        <v>647</v>
      </c>
      <c r="B82" s="21" t="s">
        <v>648</v>
      </c>
      <c r="C82" s="21" t="s">
        <v>81</v>
      </c>
      <c r="D82" s="21" t="s">
        <v>378</v>
      </c>
      <c r="E82" s="22" t="s">
        <v>20</v>
      </c>
      <c r="F82" s="23" t="s">
        <v>652</v>
      </c>
      <c r="G82" s="33" t="s">
        <v>14</v>
      </c>
      <c r="H82" s="25">
        <v>58627.83</v>
      </c>
      <c r="I82" s="26" t="s">
        <v>14</v>
      </c>
      <c r="J82" s="25">
        <v>47721.8</v>
      </c>
      <c r="K82" s="18">
        <v>31387.13</v>
      </c>
      <c r="L82" s="18">
        <v>3654.24</v>
      </c>
      <c r="M82" s="27" t="s">
        <v>3520</v>
      </c>
      <c r="N82" s="18"/>
      <c r="O82" s="25">
        <v>82763.17</v>
      </c>
      <c r="P82" s="19">
        <f t="shared" si="4"/>
        <v>82763.170000000013</v>
      </c>
      <c r="Q82" s="19">
        <f t="shared" si="5"/>
        <v>-1.4551915228366852E-11</v>
      </c>
      <c r="R82" s="25">
        <v>40449.910000000003</v>
      </c>
      <c r="S82" s="28">
        <v>123213.08</v>
      </c>
      <c r="T82" s="49">
        <f t="shared" si="6"/>
        <v>123213.08</v>
      </c>
      <c r="U82" s="49">
        <f t="shared" si="7"/>
        <v>0</v>
      </c>
    </row>
    <row r="83" spans="1:21" ht="17" thickBot="1" x14ac:dyDescent="0.25">
      <c r="A83" s="21" t="s">
        <v>655</v>
      </c>
      <c r="B83" s="21" t="s">
        <v>656</v>
      </c>
      <c r="C83" s="21" t="s">
        <v>81</v>
      </c>
      <c r="D83" s="21" t="s">
        <v>378</v>
      </c>
      <c r="E83" s="22" t="s">
        <v>20</v>
      </c>
      <c r="F83" s="23" t="s">
        <v>660</v>
      </c>
      <c r="G83" s="33" t="s">
        <v>14</v>
      </c>
      <c r="H83" s="25">
        <v>60808.78</v>
      </c>
      <c r="I83" s="26" t="s">
        <v>14</v>
      </c>
      <c r="J83" s="25">
        <v>49529.64</v>
      </c>
      <c r="K83" s="18">
        <v>26661.11</v>
      </c>
      <c r="L83" s="18">
        <v>7480</v>
      </c>
      <c r="M83" s="27" t="s">
        <v>3520</v>
      </c>
      <c r="N83" s="18"/>
      <c r="O83" s="25">
        <v>83670.75</v>
      </c>
      <c r="P83" s="19">
        <f t="shared" si="4"/>
        <v>83670.75</v>
      </c>
      <c r="Q83" s="19">
        <f t="shared" si="5"/>
        <v>0</v>
      </c>
      <c r="R83" s="25">
        <v>39434.79</v>
      </c>
      <c r="S83" s="28">
        <v>123105.54</v>
      </c>
      <c r="T83" s="49">
        <f t="shared" si="6"/>
        <v>123105.54000000001</v>
      </c>
      <c r="U83" s="49">
        <f t="shared" si="7"/>
        <v>-1.4551915228366852E-11</v>
      </c>
    </row>
    <row r="84" spans="1:21" ht="17" thickBot="1" x14ac:dyDescent="0.25">
      <c r="A84" s="21" t="s">
        <v>663</v>
      </c>
      <c r="B84" s="21" t="s">
        <v>664</v>
      </c>
      <c r="C84" s="21" t="s">
        <v>81</v>
      </c>
      <c r="D84" s="21" t="s">
        <v>249</v>
      </c>
      <c r="E84" s="22" t="s">
        <v>20</v>
      </c>
      <c r="F84" s="23" t="s">
        <v>668</v>
      </c>
      <c r="G84" s="33" t="s">
        <v>14</v>
      </c>
      <c r="H84" s="25">
        <v>72550.880000000005</v>
      </c>
      <c r="I84" s="26" t="s">
        <v>14</v>
      </c>
      <c r="J84" s="25">
        <v>69488.31</v>
      </c>
      <c r="K84" s="18">
        <v>16214.61</v>
      </c>
      <c r="L84" s="18">
        <v>5677.87</v>
      </c>
      <c r="M84" s="27" t="s">
        <v>3520</v>
      </c>
      <c r="N84" s="18"/>
      <c r="O84" s="25">
        <v>91380.79</v>
      </c>
      <c r="P84" s="19">
        <f t="shared" si="4"/>
        <v>91380.79</v>
      </c>
      <c r="Q84" s="19">
        <f t="shared" si="5"/>
        <v>0</v>
      </c>
      <c r="R84" s="25">
        <v>31489.93</v>
      </c>
      <c r="S84" s="28">
        <v>122870.72</v>
      </c>
      <c r="T84" s="49">
        <f t="shared" si="6"/>
        <v>122870.72</v>
      </c>
      <c r="U84" s="49">
        <f t="shared" si="7"/>
        <v>0</v>
      </c>
    </row>
    <row r="85" spans="1:21" ht="17" thickBot="1" x14ac:dyDescent="0.25">
      <c r="A85" s="21" t="s">
        <v>671</v>
      </c>
      <c r="B85" s="21" t="s">
        <v>223</v>
      </c>
      <c r="C85" s="21" t="s">
        <v>65</v>
      </c>
      <c r="D85" s="21" t="s">
        <v>594</v>
      </c>
      <c r="E85" s="22" t="s">
        <v>20</v>
      </c>
      <c r="F85" s="23" t="s">
        <v>676</v>
      </c>
      <c r="G85" s="33" t="s">
        <v>14</v>
      </c>
      <c r="H85" s="25">
        <v>68764.800000000003</v>
      </c>
      <c r="I85" s="26" t="s">
        <v>14</v>
      </c>
      <c r="J85" s="25">
        <v>70864.679999999993</v>
      </c>
      <c r="K85" s="18">
        <v>4600.04</v>
      </c>
      <c r="L85" s="18">
        <v>7030.78</v>
      </c>
      <c r="M85" s="27" t="s">
        <v>3520</v>
      </c>
      <c r="N85" s="18"/>
      <c r="O85" s="25">
        <v>82495.5</v>
      </c>
      <c r="P85" s="19">
        <f t="shared" si="4"/>
        <v>82495.499999999985</v>
      </c>
      <c r="Q85" s="19">
        <f t="shared" si="5"/>
        <v>1.4551915228366852E-11</v>
      </c>
      <c r="R85" s="25">
        <v>39526.07</v>
      </c>
      <c r="S85" s="28">
        <v>122021.57</v>
      </c>
      <c r="T85" s="49">
        <f t="shared" si="6"/>
        <v>122021.57</v>
      </c>
      <c r="U85" s="49">
        <f t="shared" si="7"/>
        <v>0</v>
      </c>
    </row>
    <row r="86" spans="1:21" ht="17" thickBot="1" x14ac:dyDescent="0.25">
      <c r="A86" s="21" t="s">
        <v>159</v>
      </c>
      <c r="B86" s="21" t="s">
        <v>680</v>
      </c>
      <c r="C86" s="21" t="s">
        <v>81</v>
      </c>
      <c r="D86" s="21" t="s">
        <v>249</v>
      </c>
      <c r="E86" s="22" t="s">
        <v>20</v>
      </c>
      <c r="F86" s="23" t="s">
        <v>684</v>
      </c>
      <c r="G86" s="33" t="s">
        <v>14</v>
      </c>
      <c r="H86" s="25">
        <v>72550.880000000005</v>
      </c>
      <c r="I86" s="26" t="s">
        <v>14</v>
      </c>
      <c r="J86" s="25">
        <v>68690.09</v>
      </c>
      <c r="K86" s="18">
        <v>19165.13</v>
      </c>
      <c r="L86" s="18">
        <v>2397.0500000000002</v>
      </c>
      <c r="M86" s="27" t="s">
        <v>3520</v>
      </c>
      <c r="N86" s="18"/>
      <c r="O86" s="25">
        <v>90252.27</v>
      </c>
      <c r="P86" s="19">
        <f t="shared" si="4"/>
        <v>90252.27</v>
      </c>
      <c r="Q86" s="19">
        <f t="shared" si="5"/>
        <v>0</v>
      </c>
      <c r="R86" s="25">
        <v>31168.31</v>
      </c>
      <c r="S86" s="28">
        <v>121420.58</v>
      </c>
      <c r="T86" s="49">
        <f t="shared" si="6"/>
        <v>121420.58</v>
      </c>
      <c r="U86" s="49">
        <f t="shared" si="7"/>
        <v>0</v>
      </c>
    </row>
    <row r="87" spans="1:21" ht="17" thickBot="1" x14ac:dyDescent="0.25">
      <c r="A87" s="21" t="s">
        <v>687</v>
      </c>
      <c r="B87" s="21" t="s">
        <v>288</v>
      </c>
      <c r="C87" s="21" t="s">
        <v>65</v>
      </c>
      <c r="D87" s="21" t="s">
        <v>594</v>
      </c>
      <c r="E87" s="22" t="s">
        <v>20</v>
      </c>
      <c r="F87" s="23" t="s">
        <v>692</v>
      </c>
      <c r="G87" s="33" t="s">
        <v>14</v>
      </c>
      <c r="H87" s="25">
        <v>73382.399999999994</v>
      </c>
      <c r="I87" s="26" t="s">
        <v>14</v>
      </c>
      <c r="J87" s="25">
        <v>74346.25</v>
      </c>
      <c r="K87" s="18">
        <v>1452.29</v>
      </c>
      <c r="L87" s="18">
        <v>5225.25</v>
      </c>
      <c r="M87" s="27" t="s">
        <v>3520</v>
      </c>
      <c r="N87" s="18"/>
      <c r="O87" s="25">
        <v>81023.789999999994</v>
      </c>
      <c r="P87" s="19">
        <f t="shared" si="4"/>
        <v>81023.789999999994</v>
      </c>
      <c r="Q87" s="19">
        <f t="shared" si="5"/>
        <v>0</v>
      </c>
      <c r="R87" s="25">
        <v>39008.629999999997</v>
      </c>
      <c r="S87" s="28">
        <v>120032.42</v>
      </c>
      <c r="T87" s="49">
        <f t="shared" si="6"/>
        <v>120032.41999999998</v>
      </c>
      <c r="U87" s="49">
        <f t="shared" si="7"/>
        <v>1.4551915228366852E-11</v>
      </c>
    </row>
    <row r="88" spans="1:21" ht="17" thickBot="1" x14ac:dyDescent="0.25">
      <c r="A88" s="21" t="s">
        <v>695</v>
      </c>
      <c r="B88" s="21" t="s">
        <v>696</v>
      </c>
      <c r="C88" s="21" t="s">
        <v>281</v>
      </c>
      <c r="D88" s="21" t="s">
        <v>698</v>
      </c>
      <c r="E88" s="22" t="s">
        <v>12</v>
      </c>
      <c r="F88" s="23" t="s">
        <v>700</v>
      </c>
      <c r="G88" s="33" t="s">
        <v>14</v>
      </c>
      <c r="H88" s="25">
        <v>86662.94</v>
      </c>
      <c r="I88" s="26" t="s">
        <v>14</v>
      </c>
      <c r="J88" s="25">
        <v>86533.82</v>
      </c>
      <c r="K88" s="18" t="s">
        <v>3520</v>
      </c>
      <c r="L88" s="18">
        <v>2379</v>
      </c>
      <c r="M88" s="27" t="s">
        <v>3520</v>
      </c>
      <c r="N88" s="18"/>
      <c r="O88" s="25">
        <v>88912.82</v>
      </c>
      <c r="P88" s="19">
        <f t="shared" si="4"/>
        <v>88912.82</v>
      </c>
      <c r="Q88" s="19">
        <f t="shared" si="5"/>
        <v>0</v>
      </c>
      <c r="R88" s="25">
        <v>30830.38</v>
      </c>
      <c r="S88" s="28">
        <v>119743.2</v>
      </c>
      <c r="T88" s="49">
        <f t="shared" si="6"/>
        <v>119743.20000000001</v>
      </c>
      <c r="U88" s="49">
        <f t="shared" si="7"/>
        <v>-1.4551915228366852E-11</v>
      </c>
    </row>
    <row r="89" spans="1:21" ht="17" thickBot="1" x14ac:dyDescent="0.25">
      <c r="A89" s="21" t="s">
        <v>230</v>
      </c>
      <c r="B89" s="21" t="s">
        <v>704</v>
      </c>
      <c r="C89" s="21" t="s">
        <v>705</v>
      </c>
      <c r="D89" s="21" t="s">
        <v>706</v>
      </c>
      <c r="E89" s="22" t="s">
        <v>12</v>
      </c>
      <c r="F89" s="23" t="s">
        <v>708</v>
      </c>
      <c r="G89" s="33" t="s">
        <v>14</v>
      </c>
      <c r="H89" s="25">
        <v>79747.98</v>
      </c>
      <c r="I89" s="26" t="s">
        <v>14</v>
      </c>
      <c r="J89" s="25">
        <v>79629.16</v>
      </c>
      <c r="K89" s="18" t="s">
        <v>3520</v>
      </c>
      <c r="L89" s="18">
        <v>4080.08</v>
      </c>
      <c r="M89" s="27" t="s">
        <v>3520</v>
      </c>
      <c r="N89" s="18"/>
      <c r="O89" s="25">
        <v>83709.240000000005</v>
      </c>
      <c r="P89" s="19">
        <f t="shared" si="4"/>
        <v>83709.240000000005</v>
      </c>
      <c r="Q89" s="19">
        <f t="shared" si="5"/>
        <v>0</v>
      </c>
      <c r="R89" s="25">
        <v>35000.199999999997</v>
      </c>
      <c r="S89" s="28">
        <v>118709.44</v>
      </c>
      <c r="T89" s="49">
        <f t="shared" si="6"/>
        <v>118709.44</v>
      </c>
      <c r="U89" s="49">
        <f t="shared" si="7"/>
        <v>0</v>
      </c>
    </row>
    <row r="90" spans="1:21" ht="17" thickBot="1" x14ac:dyDescent="0.25">
      <c r="A90" s="21" t="s">
        <v>263</v>
      </c>
      <c r="B90" s="21" t="s">
        <v>712</v>
      </c>
      <c r="C90" s="21" t="s">
        <v>281</v>
      </c>
      <c r="D90" s="21" t="s">
        <v>714</v>
      </c>
      <c r="E90" s="22" t="s">
        <v>12</v>
      </c>
      <c r="F90" s="23" t="s">
        <v>716</v>
      </c>
      <c r="G90" s="33" t="s">
        <v>14</v>
      </c>
      <c r="H90" s="25">
        <v>65020.800000000003</v>
      </c>
      <c r="I90" s="26" t="s">
        <v>14</v>
      </c>
      <c r="J90" s="25">
        <v>67563.25</v>
      </c>
      <c r="K90" s="18">
        <v>19916.5</v>
      </c>
      <c r="L90" s="18">
        <v>781</v>
      </c>
      <c r="M90" s="27" t="s">
        <v>3520</v>
      </c>
      <c r="N90" s="18"/>
      <c r="O90" s="25">
        <v>88260.75</v>
      </c>
      <c r="P90" s="19">
        <f t="shared" si="4"/>
        <v>88260.75</v>
      </c>
      <c r="Q90" s="19">
        <f t="shared" si="5"/>
        <v>0</v>
      </c>
      <c r="R90" s="25">
        <v>30397.35</v>
      </c>
      <c r="S90" s="28">
        <v>118658.1</v>
      </c>
      <c r="T90" s="49">
        <f t="shared" si="6"/>
        <v>118658.1</v>
      </c>
      <c r="U90" s="49">
        <f t="shared" si="7"/>
        <v>0</v>
      </c>
    </row>
    <row r="91" spans="1:21" ht="17" thickBot="1" x14ac:dyDescent="0.25">
      <c r="A91" s="21" t="s">
        <v>719</v>
      </c>
      <c r="B91" s="21" t="s">
        <v>104</v>
      </c>
      <c r="C91" s="21" t="s">
        <v>65</v>
      </c>
      <c r="D91" s="21" t="s">
        <v>265</v>
      </c>
      <c r="E91" s="22" t="s">
        <v>20</v>
      </c>
      <c r="F91" s="23" t="s">
        <v>316</v>
      </c>
      <c r="G91" s="33" t="s">
        <v>14</v>
      </c>
      <c r="H91" s="25">
        <v>75691.199999999997</v>
      </c>
      <c r="I91" s="26" t="s">
        <v>14</v>
      </c>
      <c r="J91" s="25">
        <v>74460.23</v>
      </c>
      <c r="K91" s="18">
        <v>3723.67</v>
      </c>
      <c r="L91" s="18">
        <v>4699.18</v>
      </c>
      <c r="M91" s="27" t="s">
        <v>3520</v>
      </c>
      <c r="N91" s="18"/>
      <c r="O91" s="25">
        <v>82883.08</v>
      </c>
      <c r="P91" s="19">
        <f t="shared" si="4"/>
        <v>82883.079999999987</v>
      </c>
      <c r="Q91" s="19">
        <f t="shared" si="5"/>
        <v>1.4551915228366852E-11</v>
      </c>
      <c r="R91" s="25">
        <v>35578.14</v>
      </c>
      <c r="S91" s="28">
        <v>118461.22</v>
      </c>
      <c r="T91" s="49">
        <f t="shared" si="6"/>
        <v>118461.22</v>
      </c>
      <c r="U91" s="49">
        <f t="shared" si="7"/>
        <v>0</v>
      </c>
    </row>
    <row r="92" spans="1:21" ht="17" thickBot="1" x14ac:dyDescent="0.25">
      <c r="A92" s="21" t="s">
        <v>727</v>
      </c>
      <c r="B92" s="21" t="s">
        <v>728</v>
      </c>
      <c r="C92" s="21" t="s">
        <v>81</v>
      </c>
      <c r="D92" s="21" t="s">
        <v>378</v>
      </c>
      <c r="E92" s="22" t="s">
        <v>20</v>
      </c>
      <c r="F92" s="23" t="s">
        <v>732</v>
      </c>
      <c r="G92" s="33" t="s">
        <v>14</v>
      </c>
      <c r="H92" s="25">
        <v>52543.17</v>
      </c>
      <c r="I92" s="26" t="s">
        <v>14</v>
      </c>
      <c r="J92" s="25">
        <v>49631.09</v>
      </c>
      <c r="K92" s="18">
        <v>31019.77</v>
      </c>
      <c r="L92" s="18">
        <v>2827.6</v>
      </c>
      <c r="M92" s="27" t="s">
        <v>3520</v>
      </c>
      <c r="N92" s="18"/>
      <c r="O92" s="25">
        <v>83478.460000000006</v>
      </c>
      <c r="P92" s="19">
        <f t="shared" si="4"/>
        <v>83478.460000000006</v>
      </c>
      <c r="Q92" s="19">
        <f t="shared" si="5"/>
        <v>0</v>
      </c>
      <c r="R92" s="25">
        <v>34761.58</v>
      </c>
      <c r="S92" s="28">
        <v>118240.04</v>
      </c>
      <c r="T92" s="49">
        <f t="shared" si="6"/>
        <v>118240.04000000001</v>
      </c>
      <c r="U92" s="49">
        <f t="shared" si="7"/>
        <v>-1.4551915228366852E-11</v>
      </c>
    </row>
    <row r="93" spans="1:21" ht="17" thickBot="1" x14ac:dyDescent="0.25">
      <c r="A93" s="21" t="s">
        <v>735</v>
      </c>
      <c r="B93" s="21" t="s">
        <v>736</v>
      </c>
      <c r="C93" s="21" t="s">
        <v>129</v>
      </c>
      <c r="D93" s="21" t="s">
        <v>450</v>
      </c>
      <c r="E93" s="22" t="s">
        <v>20</v>
      </c>
      <c r="F93" s="23" t="s">
        <v>500</v>
      </c>
      <c r="G93" s="33" t="s">
        <v>14</v>
      </c>
      <c r="H93" s="25">
        <v>57820.88</v>
      </c>
      <c r="I93" s="26" t="s">
        <v>14</v>
      </c>
      <c r="J93" s="25">
        <v>69600.759999999995</v>
      </c>
      <c r="K93" s="18">
        <v>4598.6499999999996</v>
      </c>
      <c r="L93" s="18">
        <v>3696.74</v>
      </c>
      <c r="M93" s="27" t="s">
        <v>3520</v>
      </c>
      <c r="N93" s="18"/>
      <c r="O93" s="25">
        <v>77896.149999999994</v>
      </c>
      <c r="P93" s="19">
        <f t="shared" si="4"/>
        <v>77896.149999999994</v>
      </c>
      <c r="Q93" s="19">
        <f t="shared" si="5"/>
        <v>0</v>
      </c>
      <c r="R93" s="25">
        <v>39053.49</v>
      </c>
      <c r="S93" s="28">
        <v>116949.64</v>
      </c>
      <c r="T93" s="49">
        <f t="shared" si="6"/>
        <v>116949.63999999998</v>
      </c>
      <c r="U93" s="49">
        <f t="shared" si="7"/>
        <v>1.4551915228366852E-11</v>
      </c>
    </row>
    <row r="94" spans="1:21" ht="17" thickBot="1" x14ac:dyDescent="0.25">
      <c r="A94" s="21" t="s">
        <v>743</v>
      </c>
      <c r="B94" s="21" t="s">
        <v>744</v>
      </c>
      <c r="C94" s="21" t="s">
        <v>81</v>
      </c>
      <c r="D94" s="21" t="s">
        <v>746</v>
      </c>
      <c r="E94" s="22" t="s">
        <v>20</v>
      </c>
      <c r="F94" s="23" t="s">
        <v>748</v>
      </c>
      <c r="G94" s="33" t="s">
        <v>14</v>
      </c>
      <c r="H94" s="25">
        <v>54497.78</v>
      </c>
      <c r="I94" s="26" t="s">
        <v>14</v>
      </c>
      <c r="J94" s="25">
        <v>57175.63</v>
      </c>
      <c r="K94" s="18">
        <v>19770.490000000002</v>
      </c>
      <c r="L94" s="18">
        <v>9350.31</v>
      </c>
      <c r="M94" s="27" t="s">
        <v>3520</v>
      </c>
      <c r="N94" s="18"/>
      <c r="O94" s="25">
        <v>86296.43</v>
      </c>
      <c r="P94" s="19">
        <f t="shared" si="4"/>
        <v>86296.43</v>
      </c>
      <c r="Q94" s="19">
        <f t="shared" si="5"/>
        <v>0</v>
      </c>
      <c r="R94" s="25">
        <v>30128.53</v>
      </c>
      <c r="S94" s="28">
        <v>116424.96000000001</v>
      </c>
      <c r="T94" s="49">
        <f t="shared" si="6"/>
        <v>116424.95999999999</v>
      </c>
      <c r="U94" s="49">
        <f t="shared" si="7"/>
        <v>1.4551915228366852E-11</v>
      </c>
    </row>
    <row r="95" spans="1:21" ht="17" thickBot="1" x14ac:dyDescent="0.25">
      <c r="A95" s="21" t="s">
        <v>751</v>
      </c>
      <c r="B95" s="21" t="s">
        <v>752</v>
      </c>
      <c r="C95" s="21" t="s">
        <v>81</v>
      </c>
      <c r="D95" s="21" t="s">
        <v>249</v>
      </c>
      <c r="E95" s="22" t="s">
        <v>20</v>
      </c>
      <c r="F95" s="23" t="s">
        <v>756</v>
      </c>
      <c r="G95" s="33" t="s">
        <v>14</v>
      </c>
      <c r="H95" s="25">
        <v>54497.78</v>
      </c>
      <c r="I95" s="26" t="s">
        <v>14</v>
      </c>
      <c r="J95" s="25">
        <v>54246.74</v>
      </c>
      <c r="K95" s="18">
        <v>17980.05</v>
      </c>
      <c r="L95" s="18">
        <v>4483.3500000000004</v>
      </c>
      <c r="M95" s="27" t="s">
        <v>3520</v>
      </c>
      <c r="N95" s="18"/>
      <c r="O95" s="25">
        <v>76710.14</v>
      </c>
      <c r="P95" s="19">
        <f t="shared" si="4"/>
        <v>76710.14</v>
      </c>
      <c r="Q95" s="19">
        <f t="shared" si="5"/>
        <v>0</v>
      </c>
      <c r="R95" s="25">
        <v>38998.339999999997</v>
      </c>
      <c r="S95" s="28">
        <v>115708.48</v>
      </c>
      <c r="T95" s="49">
        <f t="shared" si="6"/>
        <v>115708.48</v>
      </c>
      <c r="U95" s="49">
        <f t="shared" si="7"/>
        <v>0</v>
      </c>
    </row>
    <row r="96" spans="1:21" ht="17" thickBot="1" x14ac:dyDescent="0.25">
      <c r="A96" s="21" t="s">
        <v>759</v>
      </c>
      <c r="B96" s="21" t="s">
        <v>760</v>
      </c>
      <c r="C96" s="21" t="s">
        <v>81</v>
      </c>
      <c r="D96" s="21" t="s">
        <v>762</v>
      </c>
      <c r="E96" s="22" t="s">
        <v>20</v>
      </c>
      <c r="F96" s="23" t="s">
        <v>764</v>
      </c>
      <c r="G96" s="33" t="s">
        <v>14</v>
      </c>
      <c r="H96" s="25">
        <v>72550.399999999994</v>
      </c>
      <c r="I96" s="26" t="s">
        <v>14</v>
      </c>
      <c r="J96" s="25">
        <v>73347.09</v>
      </c>
      <c r="K96" s="18">
        <v>231.94</v>
      </c>
      <c r="L96" s="18">
        <v>2286.8200000000002</v>
      </c>
      <c r="M96" s="27" t="s">
        <v>3520</v>
      </c>
      <c r="N96" s="18"/>
      <c r="O96" s="25">
        <v>75865.850000000006</v>
      </c>
      <c r="P96" s="19">
        <f t="shared" si="4"/>
        <v>75865.850000000006</v>
      </c>
      <c r="Q96" s="19">
        <f t="shared" si="5"/>
        <v>0</v>
      </c>
      <c r="R96" s="25">
        <v>38861.11</v>
      </c>
      <c r="S96" s="28">
        <v>114726.96</v>
      </c>
      <c r="T96" s="49">
        <f t="shared" si="6"/>
        <v>114726.96</v>
      </c>
      <c r="U96" s="49">
        <f t="shared" si="7"/>
        <v>0</v>
      </c>
    </row>
    <row r="97" spans="1:21" ht="17" thickBot="1" x14ac:dyDescent="0.25">
      <c r="A97" s="21" t="s">
        <v>767</v>
      </c>
      <c r="B97" s="21" t="s">
        <v>768</v>
      </c>
      <c r="C97" s="21" t="s">
        <v>81</v>
      </c>
      <c r="D97" s="21" t="s">
        <v>378</v>
      </c>
      <c r="E97" s="22" t="s">
        <v>20</v>
      </c>
      <c r="F97" s="23" t="s">
        <v>652</v>
      </c>
      <c r="G97" s="33" t="s">
        <v>14</v>
      </c>
      <c r="H97" s="25">
        <v>62963.96</v>
      </c>
      <c r="I97" s="26" t="s">
        <v>14</v>
      </c>
      <c r="J97" s="25">
        <v>65136.84</v>
      </c>
      <c r="K97" s="18">
        <v>15441.71</v>
      </c>
      <c r="L97" s="18">
        <v>5186.76</v>
      </c>
      <c r="M97" s="27" t="s">
        <v>3520</v>
      </c>
      <c r="N97" s="18"/>
      <c r="O97" s="25">
        <v>85765.31</v>
      </c>
      <c r="P97" s="19">
        <f t="shared" si="4"/>
        <v>85765.309999999983</v>
      </c>
      <c r="Q97" s="19">
        <f t="shared" si="5"/>
        <v>1.4551915228366852E-11</v>
      </c>
      <c r="R97" s="25">
        <v>28770.07</v>
      </c>
      <c r="S97" s="28">
        <v>114535.38</v>
      </c>
      <c r="T97" s="49">
        <f t="shared" si="6"/>
        <v>114535.38</v>
      </c>
      <c r="U97" s="49">
        <f t="shared" si="7"/>
        <v>0</v>
      </c>
    </row>
    <row r="98" spans="1:21" ht="17" thickBot="1" x14ac:dyDescent="0.25">
      <c r="A98" s="21" t="s">
        <v>775</v>
      </c>
      <c r="B98" s="21" t="s">
        <v>776</v>
      </c>
      <c r="C98" s="21" t="s">
        <v>65</v>
      </c>
      <c r="D98" s="21" t="s">
        <v>594</v>
      </c>
      <c r="E98" s="22" t="s">
        <v>20</v>
      </c>
      <c r="F98" s="23" t="s">
        <v>780</v>
      </c>
      <c r="G98" s="33" t="s">
        <v>14</v>
      </c>
      <c r="H98" s="25">
        <v>66851.199999999997</v>
      </c>
      <c r="I98" s="26" t="s">
        <v>14</v>
      </c>
      <c r="J98" s="25">
        <v>68167.67</v>
      </c>
      <c r="K98" s="18">
        <v>8606.24</v>
      </c>
      <c r="L98" s="18">
        <v>7502.08</v>
      </c>
      <c r="M98" s="27" t="s">
        <v>3520</v>
      </c>
      <c r="N98" s="18"/>
      <c r="O98" s="25">
        <v>84275.99</v>
      </c>
      <c r="P98" s="19">
        <f t="shared" si="4"/>
        <v>84275.99</v>
      </c>
      <c r="Q98" s="19">
        <f t="shared" si="5"/>
        <v>0</v>
      </c>
      <c r="R98" s="25">
        <v>29637.95</v>
      </c>
      <c r="S98" s="28">
        <v>113913.94</v>
      </c>
      <c r="T98" s="49">
        <f t="shared" si="6"/>
        <v>113913.94</v>
      </c>
      <c r="U98" s="49">
        <f t="shared" si="7"/>
        <v>0</v>
      </c>
    </row>
    <row r="99" spans="1:21" ht="17" thickBot="1" x14ac:dyDescent="0.25">
      <c r="A99" s="21" t="s">
        <v>783</v>
      </c>
      <c r="B99" s="21" t="s">
        <v>128</v>
      </c>
      <c r="C99" s="21" t="s">
        <v>281</v>
      </c>
      <c r="D99" s="21" t="s">
        <v>714</v>
      </c>
      <c r="E99" s="22" t="s">
        <v>12</v>
      </c>
      <c r="F99" s="23" t="s">
        <v>788</v>
      </c>
      <c r="G99" s="33" t="s">
        <v>14</v>
      </c>
      <c r="H99" s="25">
        <v>68369.600000000006</v>
      </c>
      <c r="I99" s="26" t="s">
        <v>14</v>
      </c>
      <c r="J99" s="25">
        <v>70490.210000000006</v>
      </c>
      <c r="K99" s="18">
        <v>6853.65</v>
      </c>
      <c r="L99" s="18">
        <v>1155</v>
      </c>
      <c r="M99" s="27" t="s">
        <v>3520</v>
      </c>
      <c r="N99" s="18"/>
      <c r="O99" s="25">
        <v>78498.86</v>
      </c>
      <c r="P99" s="19">
        <f t="shared" si="4"/>
        <v>78498.86</v>
      </c>
      <c r="Q99" s="19">
        <f t="shared" si="5"/>
        <v>0</v>
      </c>
      <c r="R99" s="25">
        <v>35411.35</v>
      </c>
      <c r="S99" s="28">
        <v>113910.21</v>
      </c>
      <c r="T99" s="49">
        <f t="shared" si="6"/>
        <v>113910.20999999999</v>
      </c>
      <c r="U99" s="49">
        <f t="shared" si="7"/>
        <v>1.4551915228366852E-11</v>
      </c>
    </row>
    <row r="100" spans="1:21" ht="17" thickBot="1" x14ac:dyDescent="0.25">
      <c r="A100" s="21" t="s">
        <v>159</v>
      </c>
      <c r="B100" s="21" t="s">
        <v>496</v>
      </c>
      <c r="C100" s="21" t="s">
        <v>81</v>
      </c>
      <c r="D100" s="21" t="s">
        <v>249</v>
      </c>
      <c r="E100" s="22" t="s">
        <v>20</v>
      </c>
      <c r="F100" s="23" t="s">
        <v>796</v>
      </c>
      <c r="G100" s="33" t="s">
        <v>14</v>
      </c>
      <c r="H100" s="25">
        <v>62963.96</v>
      </c>
      <c r="I100" s="26" t="s">
        <v>14</v>
      </c>
      <c r="J100" s="25">
        <v>58874.49</v>
      </c>
      <c r="K100" s="18">
        <v>15366.09</v>
      </c>
      <c r="L100" s="18">
        <v>1718.12</v>
      </c>
      <c r="M100" s="27" t="s">
        <v>3520</v>
      </c>
      <c r="N100" s="18"/>
      <c r="O100" s="25">
        <v>75958.7</v>
      </c>
      <c r="P100" s="19">
        <f t="shared" si="4"/>
        <v>75958.7</v>
      </c>
      <c r="Q100" s="19">
        <f t="shared" si="5"/>
        <v>0</v>
      </c>
      <c r="R100" s="25">
        <v>37752.82</v>
      </c>
      <c r="S100" s="28">
        <v>113711.52</v>
      </c>
      <c r="T100" s="49">
        <f t="shared" si="6"/>
        <v>113711.51999999999</v>
      </c>
      <c r="U100" s="49">
        <f t="shared" si="7"/>
        <v>1.4551915228366852E-11</v>
      </c>
    </row>
    <row r="101" spans="1:21" ht="17" thickBot="1" x14ac:dyDescent="0.25">
      <c r="A101" s="21" t="s">
        <v>799</v>
      </c>
      <c r="B101" s="21" t="s">
        <v>800</v>
      </c>
      <c r="C101" s="21" t="s">
        <v>281</v>
      </c>
      <c r="D101" s="21" t="s">
        <v>282</v>
      </c>
      <c r="E101" s="22" t="s">
        <v>12</v>
      </c>
      <c r="F101" s="23" t="s">
        <v>804</v>
      </c>
      <c r="G101" s="34" t="s">
        <v>805</v>
      </c>
      <c r="H101" s="25">
        <v>150993.96</v>
      </c>
      <c r="I101" s="25">
        <v>320.12</v>
      </c>
      <c r="J101" s="18">
        <v>81135.289999999994</v>
      </c>
      <c r="K101" s="18" t="s">
        <v>3520</v>
      </c>
      <c r="L101" s="18">
        <v>4153.96</v>
      </c>
      <c r="M101" s="27" t="s">
        <v>3520</v>
      </c>
      <c r="N101" s="18"/>
      <c r="O101" s="25">
        <v>85609.37</v>
      </c>
      <c r="P101" s="19">
        <f t="shared" si="4"/>
        <v>85609.37</v>
      </c>
      <c r="Q101" s="19">
        <f t="shared" si="5"/>
        <v>0</v>
      </c>
      <c r="R101" s="25">
        <v>28021.51</v>
      </c>
      <c r="S101" s="28">
        <v>113630.88</v>
      </c>
      <c r="T101" s="49">
        <f t="shared" si="6"/>
        <v>113630.87999999999</v>
      </c>
      <c r="U101" s="49">
        <f t="shared" si="7"/>
        <v>1.4551915228366852E-11</v>
      </c>
    </row>
    <row r="102" spans="1:21" ht="17" thickBot="1" x14ac:dyDescent="0.25">
      <c r="A102" s="21" t="s">
        <v>727</v>
      </c>
      <c r="B102" s="21" t="s">
        <v>807</v>
      </c>
      <c r="C102" s="21" t="s">
        <v>808</v>
      </c>
      <c r="D102" s="21" t="s">
        <v>809</v>
      </c>
      <c r="E102" s="22" t="s">
        <v>12</v>
      </c>
      <c r="F102" s="23" t="s">
        <v>811</v>
      </c>
      <c r="G102" s="33" t="s">
        <v>14</v>
      </c>
      <c r="H102" s="25">
        <v>65041.599999999999</v>
      </c>
      <c r="I102" s="26" t="s">
        <v>14</v>
      </c>
      <c r="J102" s="25">
        <v>67882.36</v>
      </c>
      <c r="K102" s="18">
        <v>7605.31</v>
      </c>
      <c r="L102" s="18">
        <v>3458.24</v>
      </c>
      <c r="M102" s="27" t="s">
        <v>3520</v>
      </c>
      <c r="N102" s="18"/>
      <c r="O102" s="25">
        <v>78945.91</v>
      </c>
      <c r="P102" s="19">
        <f t="shared" si="4"/>
        <v>78945.91</v>
      </c>
      <c r="Q102" s="19">
        <f t="shared" si="5"/>
        <v>0</v>
      </c>
      <c r="R102" s="25">
        <v>34461.94</v>
      </c>
      <c r="S102" s="28">
        <v>113407.85</v>
      </c>
      <c r="T102" s="49">
        <f t="shared" si="6"/>
        <v>113407.85</v>
      </c>
      <c r="U102" s="49">
        <f t="shared" si="7"/>
        <v>0</v>
      </c>
    </row>
    <row r="103" spans="1:21" ht="17" thickBot="1" x14ac:dyDescent="0.25">
      <c r="A103" s="21" t="s">
        <v>814</v>
      </c>
      <c r="B103" s="21" t="s">
        <v>815</v>
      </c>
      <c r="C103" s="21" t="s">
        <v>65</v>
      </c>
      <c r="D103" s="21" t="s">
        <v>265</v>
      </c>
      <c r="E103" s="22" t="s">
        <v>20</v>
      </c>
      <c r="F103" s="23" t="s">
        <v>819</v>
      </c>
      <c r="G103" s="33" t="s">
        <v>14</v>
      </c>
      <c r="H103" s="25">
        <v>66601.600000000006</v>
      </c>
      <c r="I103" s="26" t="s">
        <v>14</v>
      </c>
      <c r="J103" s="25">
        <v>69119.23</v>
      </c>
      <c r="K103" s="18">
        <v>2937.1</v>
      </c>
      <c r="L103" s="18">
        <v>4411.09</v>
      </c>
      <c r="M103" s="27" t="s">
        <v>3520</v>
      </c>
      <c r="N103" s="18"/>
      <c r="O103" s="25">
        <v>76467.42</v>
      </c>
      <c r="P103" s="19">
        <f t="shared" si="4"/>
        <v>76467.42</v>
      </c>
      <c r="Q103" s="19">
        <f t="shared" si="5"/>
        <v>0</v>
      </c>
      <c r="R103" s="25">
        <v>36931.050000000003</v>
      </c>
      <c r="S103" s="28">
        <v>113398.47</v>
      </c>
      <c r="T103" s="49">
        <f t="shared" si="6"/>
        <v>113398.47</v>
      </c>
      <c r="U103" s="49">
        <f t="shared" si="7"/>
        <v>0</v>
      </c>
    </row>
    <row r="104" spans="1:21" ht="17" thickBot="1" x14ac:dyDescent="0.25">
      <c r="A104" s="21" t="s">
        <v>822</v>
      </c>
      <c r="B104" s="21" t="s">
        <v>823</v>
      </c>
      <c r="C104" s="21" t="s">
        <v>824</v>
      </c>
      <c r="D104" s="21" t="s">
        <v>825</v>
      </c>
      <c r="E104" s="22" t="s">
        <v>12</v>
      </c>
      <c r="F104" s="23" t="s">
        <v>827</v>
      </c>
      <c r="G104" s="34" t="s">
        <v>828</v>
      </c>
      <c r="H104" s="25">
        <v>91407.42</v>
      </c>
      <c r="I104" s="25">
        <v>2689.74</v>
      </c>
      <c r="J104" s="25">
        <v>77208.55</v>
      </c>
      <c r="K104" s="18" t="s">
        <v>3520</v>
      </c>
      <c r="L104" s="18">
        <v>4539.0200000000004</v>
      </c>
      <c r="M104" s="27" t="s">
        <v>3520</v>
      </c>
      <c r="N104" s="18"/>
      <c r="O104" s="25">
        <v>84437.31</v>
      </c>
      <c r="P104" s="19">
        <f t="shared" si="4"/>
        <v>84437.310000000012</v>
      </c>
      <c r="Q104" s="19">
        <f t="shared" si="5"/>
        <v>-1.4551915228366852E-11</v>
      </c>
      <c r="R104" s="25">
        <v>28203.07</v>
      </c>
      <c r="S104" s="28">
        <v>112640.38</v>
      </c>
      <c r="T104" s="49">
        <f t="shared" si="6"/>
        <v>112640.38</v>
      </c>
      <c r="U104" s="49">
        <f t="shared" si="7"/>
        <v>0</v>
      </c>
    </row>
    <row r="105" spans="1:21" ht="17" thickBot="1" x14ac:dyDescent="0.25">
      <c r="A105" s="21" t="s">
        <v>829</v>
      </c>
      <c r="B105" s="21" t="s">
        <v>830</v>
      </c>
      <c r="C105" s="21" t="s">
        <v>18</v>
      </c>
      <c r="D105" s="21" t="s">
        <v>498</v>
      </c>
      <c r="E105" s="22" t="s">
        <v>20</v>
      </c>
      <c r="F105" s="23" t="s">
        <v>227</v>
      </c>
      <c r="G105" s="33" t="s">
        <v>14</v>
      </c>
      <c r="H105" s="25">
        <v>69644.12</v>
      </c>
      <c r="I105" s="26" t="s">
        <v>14</v>
      </c>
      <c r="J105" s="25">
        <v>58685.66</v>
      </c>
      <c r="K105" s="18">
        <v>9350.2800000000007</v>
      </c>
      <c r="L105" s="18">
        <v>3327.42</v>
      </c>
      <c r="M105" s="27">
        <v>3394.46</v>
      </c>
      <c r="N105" s="18"/>
      <c r="O105" s="25">
        <v>74757.820000000007</v>
      </c>
      <c r="P105" s="19">
        <f t="shared" si="4"/>
        <v>74757.820000000007</v>
      </c>
      <c r="Q105" s="19">
        <f t="shared" si="5"/>
        <v>0</v>
      </c>
      <c r="R105" s="25">
        <v>37638.61</v>
      </c>
      <c r="S105" s="28">
        <v>112396.43</v>
      </c>
      <c r="T105" s="49">
        <f t="shared" si="6"/>
        <v>112396.43000000001</v>
      </c>
      <c r="U105" s="49">
        <f t="shared" si="7"/>
        <v>-1.4551915228366852E-11</v>
      </c>
    </row>
    <row r="106" spans="1:21" ht="17" thickBot="1" x14ac:dyDescent="0.25">
      <c r="A106" s="21" t="s">
        <v>837</v>
      </c>
      <c r="B106" s="21" t="s">
        <v>838</v>
      </c>
      <c r="C106" s="21" t="s">
        <v>18</v>
      </c>
      <c r="D106" s="21" t="s">
        <v>498</v>
      </c>
      <c r="E106" s="22" t="s">
        <v>20</v>
      </c>
      <c r="F106" s="23" t="s">
        <v>644</v>
      </c>
      <c r="G106" s="33" t="s">
        <v>14</v>
      </c>
      <c r="H106" s="25">
        <v>56001.919999999998</v>
      </c>
      <c r="I106" s="26" t="s">
        <v>14</v>
      </c>
      <c r="J106" s="25">
        <v>68776.460000000006</v>
      </c>
      <c r="K106" s="18">
        <v>4216.9799999999996</v>
      </c>
      <c r="L106" s="18">
        <v>4459.66</v>
      </c>
      <c r="M106" s="27">
        <v>1246.56</v>
      </c>
      <c r="N106" s="18"/>
      <c r="O106" s="25">
        <v>78699.66</v>
      </c>
      <c r="P106" s="19">
        <f t="shared" si="4"/>
        <v>78699.66</v>
      </c>
      <c r="Q106" s="19">
        <f t="shared" si="5"/>
        <v>0</v>
      </c>
      <c r="R106" s="25">
        <v>33531.440000000002</v>
      </c>
      <c r="S106" s="28">
        <v>112231.1</v>
      </c>
      <c r="T106" s="49">
        <f t="shared" si="6"/>
        <v>112231.1</v>
      </c>
      <c r="U106" s="49">
        <f t="shared" si="7"/>
        <v>0</v>
      </c>
    </row>
    <row r="107" spans="1:21" ht="17" thickBot="1" x14ac:dyDescent="0.25">
      <c r="A107" s="21" t="s">
        <v>263</v>
      </c>
      <c r="B107" s="21" t="s">
        <v>846</v>
      </c>
      <c r="C107" s="21" t="s">
        <v>208</v>
      </c>
      <c r="D107" s="21" t="s">
        <v>848</v>
      </c>
      <c r="E107" s="22" t="s">
        <v>12</v>
      </c>
      <c r="F107" s="23" t="s">
        <v>850</v>
      </c>
      <c r="G107" s="34" t="s">
        <v>851</v>
      </c>
      <c r="H107" s="25">
        <v>81667.820000000007</v>
      </c>
      <c r="I107" s="25">
        <v>2942</v>
      </c>
      <c r="J107" s="25">
        <v>72122.929999999993</v>
      </c>
      <c r="K107" s="18" t="s">
        <v>3520</v>
      </c>
      <c r="L107" s="18">
        <v>877.5</v>
      </c>
      <c r="M107" s="27" t="s">
        <v>3520</v>
      </c>
      <c r="N107" s="18"/>
      <c r="O107" s="25">
        <v>75942.429999999993</v>
      </c>
      <c r="P107" s="19">
        <f t="shared" si="4"/>
        <v>75942.429999999993</v>
      </c>
      <c r="Q107" s="19">
        <f t="shared" si="5"/>
        <v>0</v>
      </c>
      <c r="R107" s="25">
        <v>36180.1</v>
      </c>
      <c r="S107" s="28">
        <v>112122.53</v>
      </c>
      <c r="T107" s="49">
        <f t="shared" si="6"/>
        <v>112122.53</v>
      </c>
      <c r="U107" s="49">
        <f t="shared" si="7"/>
        <v>0</v>
      </c>
    </row>
    <row r="108" spans="1:21" ht="17" thickBot="1" x14ac:dyDescent="0.25">
      <c r="A108" s="21" t="s">
        <v>852</v>
      </c>
      <c r="B108" s="21" t="s">
        <v>853</v>
      </c>
      <c r="C108" s="21" t="s">
        <v>18</v>
      </c>
      <c r="D108" s="21" t="s">
        <v>450</v>
      </c>
      <c r="E108" s="22" t="s">
        <v>20</v>
      </c>
      <c r="F108" s="23" t="s">
        <v>857</v>
      </c>
      <c r="G108" s="33" t="s">
        <v>14</v>
      </c>
      <c r="H108" s="25">
        <v>63415.56</v>
      </c>
      <c r="I108" s="26" t="s">
        <v>14</v>
      </c>
      <c r="J108" s="25">
        <v>69080.100000000006</v>
      </c>
      <c r="K108" s="18">
        <v>4902.55</v>
      </c>
      <c r="L108" s="18">
        <v>5412.08</v>
      </c>
      <c r="M108" s="27">
        <v>3967.62</v>
      </c>
      <c r="N108" s="18"/>
      <c r="O108" s="25">
        <v>83362.350000000006</v>
      </c>
      <c r="P108" s="19">
        <f t="shared" si="4"/>
        <v>83362.350000000006</v>
      </c>
      <c r="Q108" s="19">
        <f t="shared" si="5"/>
        <v>0</v>
      </c>
      <c r="R108" s="25">
        <v>28746.34</v>
      </c>
      <c r="S108" s="28">
        <v>112108.69</v>
      </c>
      <c r="T108" s="49">
        <f t="shared" si="6"/>
        <v>112108.69</v>
      </c>
      <c r="U108" s="49">
        <f t="shared" si="7"/>
        <v>0</v>
      </c>
    </row>
    <row r="109" spans="1:21" ht="17" thickBot="1" x14ac:dyDescent="0.25">
      <c r="A109" s="21" t="s">
        <v>860</v>
      </c>
      <c r="B109" s="21" t="s">
        <v>120</v>
      </c>
      <c r="C109" s="21" t="s">
        <v>81</v>
      </c>
      <c r="D109" s="21" t="s">
        <v>378</v>
      </c>
      <c r="E109" s="22" t="s">
        <v>20</v>
      </c>
      <c r="F109" s="23" t="s">
        <v>865</v>
      </c>
      <c r="G109" s="33" t="s">
        <v>14</v>
      </c>
      <c r="H109" s="25">
        <v>62963.96</v>
      </c>
      <c r="I109" s="26" t="s">
        <v>14</v>
      </c>
      <c r="J109" s="25">
        <v>60433.97</v>
      </c>
      <c r="K109" s="18">
        <v>14106.59</v>
      </c>
      <c r="L109" s="18">
        <v>4181.41</v>
      </c>
      <c r="M109" s="27" t="s">
        <v>3520</v>
      </c>
      <c r="N109" s="18"/>
      <c r="O109" s="25">
        <v>78721.97</v>
      </c>
      <c r="P109" s="19">
        <f t="shared" si="4"/>
        <v>78721.97</v>
      </c>
      <c r="Q109" s="19">
        <f t="shared" si="5"/>
        <v>0</v>
      </c>
      <c r="R109" s="25">
        <v>33264.43</v>
      </c>
      <c r="S109" s="28">
        <v>111986.4</v>
      </c>
      <c r="T109" s="49">
        <f t="shared" si="6"/>
        <v>111986.4</v>
      </c>
      <c r="U109" s="49">
        <f t="shared" si="7"/>
        <v>0</v>
      </c>
    </row>
    <row r="110" spans="1:21" ht="17" thickBot="1" x14ac:dyDescent="0.25">
      <c r="A110" s="21" t="s">
        <v>868</v>
      </c>
      <c r="B110" s="21" t="s">
        <v>869</v>
      </c>
      <c r="C110" s="21" t="s">
        <v>18</v>
      </c>
      <c r="D110" s="21" t="s">
        <v>450</v>
      </c>
      <c r="E110" s="22" t="s">
        <v>20</v>
      </c>
      <c r="F110" s="23" t="s">
        <v>372</v>
      </c>
      <c r="G110" s="33" t="s">
        <v>14</v>
      </c>
      <c r="H110" s="25">
        <v>65482.559999999998</v>
      </c>
      <c r="I110" s="26" t="s">
        <v>14</v>
      </c>
      <c r="J110" s="25">
        <v>74584.25</v>
      </c>
      <c r="K110" s="18">
        <v>1946.18</v>
      </c>
      <c r="L110" s="18">
        <v>6392.81</v>
      </c>
      <c r="M110" s="27" t="s">
        <v>3520</v>
      </c>
      <c r="N110" s="18"/>
      <c r="O110" s="25">
        <v>82923.240000000005</v>
      </c>
      <c r="P110" s="19">
        <f t="shared" si="4"/>
        <v>82923.239999999991</v>
      </c>
      <c r="Q110" s="19">
        <f t="shared" si="5"/>
        <v>1.4551915228366852E-11</v>
      </c>
      <c r="R110" s="25">
        <v>28710.94</v>
      </c>
      <c r="S110" s="28">
        <v>111634.18</v>
      </c>
      <c r="T110" s="49">
        <f t="shared" si="6"/>
        <v>111634.18000000001</v>
      </c>
      <c r="U110" s="49">
        <f t="shared" si="7"/>
        <v>-1.4551915228366852E-11</v>
      </c>
    </row>
    <row r="111" spans="1:21" ht="17" thickBot="1" x14ac:dyDescent="0.25">
      <c r="A111" s="21" t="s">
        <v>375</v>
      </c>
      <c r="B111" s="21" t="s">
        <v>877</v>
      </c>
      <c r="C111" s="21" t="s">
        <v>129</v>
      </c>
      <c r="D111" s="21" t="s">
        <v>130</v>
      </c>
      <c r="E111" s="22" t="s">
        <v>20</v>
      </c>
      <c r="F111" s="23" t="s">
        <v>881</v>
      </c>
      <c r="G111" s="33" t="s">
        <v>14</v>
      </c>
      <c r="H111" s="25">
        <v>56001.919999999998</v>
      </c>
      <c r="I111" s="26" t="s">
        <v>14</v>
      </c>
      <c r="J111" s="25">
        <v>65615.83</v>
      </c>
      <c r="K111" s="18">
        <v>7807.14</v>
      </c>
      <c r="L111" s="18">
        <v>8218.3799999999992</v>
      </c>
      <c r="M111" s="27">
        <v>618.49</v>
      </c>
      <c r="N111" s="18"/>
      <c r="O111" s="25">
        <v>82259.839999999997</v>
      </c>
      <c r="P111" s="19">
        <f t="shared" si="4"/>
        <v>82259.840000000011</v>
      </c>
      <c r="Q111" s="19">
        <f t="shared" si="5"/>
        <v>-1.4551915228366852E-11</v>
      </c>
      <c r="R111" s="25">
        <v>28964.560000000001</v>
      </c>
      <c r="S111" s="28">
        <v>111224.4</v>
      </c>
      <c r="T111" s="49">
        <f t="shared" si="6"/>
        <v>111224.4</v>
      </c>
      <c r="U111" s="49">
        <f t="shared" si="7"/>
        <v>0</v>
      </c>
    </row>
    <row r="112" spans="1:21" ht="17" thickBot="1" x14ac:dyDescent="0.25">
      <c r="A112" s="21" t="s">
        <v>884</v>
      </c>
      <c r="B112" s="21" t="s">
        <v>885</v>
      </c>
      <c r="C112" s="21" t="s">
        <v>886</v>
      </c>
      <c r="D112" s="21" t="s">
        <v>887</v>
      </c>
      <c r="E112" s="22" t="s">
        <v>12</v>
      </c>
      <c r="F112" s="23" t="s">
        <v>889</v>
      </c>
      <c r="G112" s="33" t="s">
        <v>14</v>
      </c>
      <c r="H112" s="25">
        <v>69139.199999999997</v>
      </c>
      <c r="I112" s="26" t="s">
        <v>14</v>
      </c>
      <c r="J112" s="25">
        <v>69489.919999999998</v>
      </c>
      <c r="K112" s="18">
        <v>1186.19</v>
      </c>
      <c r="L112" s="18">
        <v>1930</v>
      </c>
      <c r="M112" s="27" t="s">
        <v>3520</v>
      </c>
      <c r="N112" s="18"/>
      <c r="O112" s="25">
        <v>72606.11</v>
      </c>
      <c r="P112" s="19">
        <f t="shared" si="4"/>
        <v>72606.11</v>
      </c>
      <c r="Q112" s="19">
        <f t="shared" si="5"/>
        <v>0</v>
      </c>
      <c r="R112" s="25">
        <v>37957</v>
      </c>
      <c r="S112" s="28">
        <v>110563.11</v>
      </c>
      <c r="T112" s="49">
        <f t="shared" si="6"/>
        <v>110563.11</v>
      </c>
      <c r="U112" s="49">
        <f t="shared" si="7"/>
        <v>0</v>
      </c>
    </row>
    <row r="113" spans="1:21" ht="17" thickBot="1" x14ac:dyDescent="0.25">
      <c r="A113" s="21" t="s">
        <v>892</v>
      </c>
      <c r="B113" s="21" t="s">
        <v>384</v>
      </c>
      <c r="C113" s="21" t="s">
        <v>65</v>
      </c>
      <c r="D113" s="21" t="s">
        <v>594</v>
      </c>
      <c r="E113" s="22" t="s">
        <v>20</v>
      </c>
      <c r="F113" s="23" t="s">
        <v>897</v>
      </c>
      <c r="G113" s="33" t="s">
        <v>14</v>
      </c>
      <c r="H113" s="25">
        <v>66851.199999999997</v>
      </c>
      <c r="I113" s="26" t="s">
        <v>14</v>
      </c>
      <c r="J113" s="25">
        <v>68276.3</v>
      </c>
      <c r="K113" s="18">
        <v>5658.54</v>
      </c>
      <c r="L113" s="18">
        <v>7619.91</v>
      </c>
      <c r="M113" s="27" t="s">
        <v>3520</v>
      </c>
      <c r="N113" s="18"/>
      <c r="O113" s="25">
        <v>81554.75</v>
      </c>
      <c r="P113" s="19">
        <f t="shared" si="4"/>
        <v>81554.75</v>
      </c>
      <c r="Q113" s="19">
        <f t="shared" si="5"/>
        <v>0</v>
      </c>
      <c r="R113" s="25">
        <v>28944.33</v>
      </c>
      <c r="S113" s="28">
        <v>110499.08</v>
      </c>
      <c r="T113" s="49">
        <f t="shared" si="6"/>
        <v>110499.08</v>
      </c>
      <c r="U113" s="49">
        <f t="shared" si="7"/>
        <v>0</v>
      </c>
    </row>
    <row r="114" spans="1:21" ht="17" thickBot="1" x14ac:dyDescent="0.25">
      <c r="A114" s="10" t="s">
        <v>900</v>
      </c>
      <c r="B114" s="10" t="s">
        <v>901</v>
      </c>
      <c r="C114" s="10" t="s">
        <v>886</v>
      </c>
      <c r="D114" s="10" t="s">
        <v>903</v>
      </c>
      <c r="E114" s="11" t="s">
        <v>12</v>
      </c>
      <c r="F114" s="12" t="s">
        <v>905</v>
      </c>
      <c r="G114" s="32" t="s">
        <v>14</v>
      </c>
      <c r="H114" s="14">
        <v>67270.84</v>
      </c>
      <c r="I114" s="15" t="s">
        <v>14</v>
      </c>
      <c r="J114" s="14">
        <v>68698.679999999993</v>
      </c>
      <c r="K114" s="16" t="s">
        <v>3520</v>
      </c>
      <c r="L114" s="16">
        <v>4178.08</v>
      </c>
      <c r="M114" s="17" t="s">
        <v>3520</v>
      </c>
      <c r="N114" s="18"/>
      <c r="O114" s="14">
        <v>72876.759999999995</v>
      </c>
      <c r="P114" s="19">
        <f t="shared" si="4"/>
        <v>72876.759999999995</v>
      </c>
      <c r="Q114" s="19">
        <f t="shared" si="5"/>
        <v>0</v>
      </c>
      <c r="R114" s="14">
        <v>37128.92</v>
      </c>
      <c r="S114" s="20">
        <v>110005.68</v>
      </c>
      <c r="T114" s="49">
        <f t="shared" si="6"/>
        <v>110005.68</v>
      </c>
      <c r="U114" s="49">
        <f t="shared" si="7"/>
        <v>0</v>
      </c>
    </row>
    <row r="115" spans="1:21" ht="17" thickBot="1" x14ac:dyDescent="0.25">
      <c r="A115" s="21" t="s">
        <v>908</v>
      </c>
      <c r="B115" s="21" t="s">
        <v>909</v>
      </c>
      <c r="C115" s="21" t="s">
        <v>145</v>
      </c>
      <c r="D115" s="21" t="s">
        <v>911</v>
      </c>
      <c r="E115" s="22" t="s">
        <v>12</v>
      </c>
      <c r="F115" s="23" t="s">
        <v>913</v>
      </c>
      <c r="G115" s="33" t="s">
        <v>14</v>
      </c>
      <c r="H115" s="25">
        <v>75957.7</v>
      </c>
      <c r="I115" s="26" t="s">
        <v>14</v>
      </c>
      <c r="J115" s="25">
        <v>75817</v>
      </c>
      <c r="K115" s="18" t="s">
        <v>3520</v>
      </c>
      <c r="L115" s="18">
        <v>5164.12</v>
      </c>
      <c r="M115" s="27" t="s">
        <v>3520</v>
      </c>
      <c r="N115" s="18"/>
      <c r="O115" s="25">
        <v>80981.119999999995</v>
      </c>
      <c r="P115" s="19">
        <f t="shared" si="4"/>
        <v>80981.119999999995</v>
      </c>
      <c r="Q115" s="19">
        <f t="shared" si="5"/>
        <v>0</v>
      </c>
      <c r="R115" s="25">
        <v>28891.39</v>
      </c>
      <c r="S115" s="28">
        <v>109872.51</v>
      </c>
      <c r="T115" s="49">
        <f t="shared" si="6"/>
        <v>109872.51</v>
      </c>
      <c r="U115" s="49">
        <f t="shared" si="7"/>
        <v>0</v>
      </c>
    </row>
    <row r="116" spans="1:21" ht="17" thickBot="1" x14ac:dyDescent="0.25">
      <c r="A116" s="21" t="s">
        <v>916</v>
      </c>
      <c r="B116" s="21" t="s">
        <v>917</v>
      </c>
      <c r="C116" s="21" t="s">
        <v>65</v>
      </c>
      <c r="D116" s="21" t="s">
        <v>594</v>
      </c>
      <c r="E116" s="22" t="s">
        <v>20</v>
      </c>
      <c r="F116" s="23" t="s">
        <v>921</v>
      </c>
      <c r="G116" s="33" t="s">
        <v>14</v>
      </c>
      <c r="H116" s="25">
        <v>66851.199999999997</v>
      </c>
      <c r="I116" s="26" t="s">
        <v>14</v>
      </c>
      <c r="J116" s="25">
        <v>68731.09</v>
      </c>
      <c r="K116" s="18">
        <v>4343.08</v>
      </c>
      <c r="L116" s="18">
        <v>3496.7</v>
      </c>
      <c r="M116" s="27" t="s">
        <v>3520</v>
      </c>
      <c r="N116" s="18"/>
      <c r="O116" s="25">
        <v>76570.87</v>
      </c>
      <c r="P116" s="19">
        <f t="shared" si="4"/>
        <v>76570.87</v>
      </c>
      <c r="Q116" s="19">
        <f t="shared" si="5"/>
        <v>0</v>
      </c>
      <c r="R116" s="25">
        <v>33203.120000000003</v>
      </c>
      <c r="S116" s="28">
        <v>109773.99</v>
      </c>
      <c r="T116" s="49">
        <f t="shared" si="6"/>
        <v>109773.98999999999</v>
      </c>
      <c r="U116" s="49">
        <f t="shared" si="7"/>
        <v>1.4551915228366852E-11</v>
      </c>
    </row>
    <row r="117" spans="1:21" ht="17" thickBot="1" x14ac:dyDescent="0.25">
      <c r="A117" s="21" t="s">
        <v>924</v>
      </c>
      <c r="B117" s="21" t="s">
        <v>925</v>
      </c>
      <c r="C117" s="21" t="s">
        <v>926</v>
      </c>
      <c r="D117" s="21" t="s">
        <v>927</v>
      </c>
      <c r="E117" s="22" t="s">
        <v>12</v>
      </c>
      <c r="F117" s="23" t="s">
        <v>929</v>
      </c>
      <c r="G117" s="33" t="s">
        <v>14</v>
      </c>
      <c r="H117" s="25">
        <v>85588.1</v>
      </c>
      <c r="I117" s="26" t="s">
        <v>14</v>
      </c>
      <c r="J117" s="25">
        <v>79962.149999999994</v>
      </c>
      <c r="K117" s="18" t="s">
        <v>3520</v>
      </c>
      <c r="L117" s="18">
        <v>800.08</v>
      </c>
      <c r="M117" s="27" t="s">
        <v>3520</v>
      </c>
      <c r="N117" s="18"/>
      <c r="O117" s="18">
        <v>80762.23</v>
      </c>
      <c r="P117" s="19">
        <f t="shared" si="4"/>
        <v>80762.23</v>
      </c>
      <c r="Q117" s="19">
        <f t="shared" si="5"/>
        <v>0</v>
      </c>
      <c r="R117" s="25">
        <v>29000.93</v>
      </c>
      <c r="S117" s="28">
        <v>109763.16</v>
      </c>
      <c r="T117" s="49">
        <f t="shared" si="6"/>
        <v>109763.16</v>
      </c>
      <c r="U117" s="49">
        <f t="shared" si="7"/>
        <v>0</v>
      </c>
    </row>
    <row r="118" spans="1:21" ht="17" thickBot="1" x14ac:dyDescent="0.25">
      <c r="A118" s="21" t="s">
        <v>932</v>
      </c>
      <c r="B118" s="21" t="s">
        <v>933</v>
      </c>
      <c r="C118" s="21" t="s">
        <v>65</v>
      </c>
      <c r="D118" s="21" t="s">
        <v>265</v>
      </c>
      <c r="E118" s="22" t="s">
        <v>20</v>
      </c>
      <c r="F118" s="23" t="s">
        <v>937</v>
      </c>
      <c r="G118" s="33" t="s">
        <v>14</v>
      </c>
      <c r="H118" s="25">
        <v>73299.199999999997</v>
      </c>
      <c r="I118" s="26" t="s">
        <v>14</v>
      </c>
      <c r="J118" s="25">
        <v>74747.38</v>
      </c>
      <c r="K118" s="18">
        <v>2103.29</v>
      </c>
      <c r="L118" s="18">
        <v>3862.25</v>
      </c>
      <c r="M118" s="27" t="s">
        <v>3520</v>
      </c>
      <c r="N118" s="18"/>
      <c r="O118" s="25">
        <v>80712.92</v>
      </c>
      <c r="P118" s="19">
        <f t="shared" si="4"/>
        <v>80712.92</v>
      </c>
      <c r="Q118" s="19">
        <f t="shared" si="5"/>
        <v>0</v>
      </c>
      <c r="R118" s="25">
        <v>28802.85</v>
      </c>
      <c r="S118" s="28">
        <v>109515.77</v>
      </c>
      <c r="T118" s="49">
        <f t="shared" si="6"/>
        <v>109515.76999999999</v>
      </c>
      <c r="U118" s="49">
        <f t="shared" si="7"/>
        <v>1.4551915228366852E-11</v>
      </c>
    </row>
    <row r="119" spans="1:21" ht="17" thickBot="1" x14ac:dyDescent="0.25">
      <c r="A119" s="21" t="s">
        <v>647</v>
      </c>
      <c r="B119" s="21" t="s">
        <v>877</v>
      </c>
      <c r="C119" s="21" t="s">
        <v>65</v>
      </c>
      <c r="D119" s="21" t="s">
        <v>594</v>
      </c>
      <c r="E119" s="22" t="s">
        <v>20</v>
      </c>
      <c r="F119" s="23" t="s">
        <v>564</v>
      </c>
      <c r="G119" s="33" t="s">
        <v>14</v>
      </c>
      <c r="H119" s="25">
        <v>56971.199999999997</v>
      </c>
      <c r="I119" s="26" t="s">
        <v>14</v>
      </c>
      <c r="J119" s="25">
        <v>58333.66</v>
      </c>
      <c r="K119" s="18">
        <v>9645.44</v>
      </c>
      <c r="L119" s="18">
        <v>2905.12</v>
      </c>
      <c r="M119" s="27" t="s">
        <v>3520</v>
      </c>
      <c r="N119" s="18"/>
      <c r="O119" s="25">
        <v>70884.22</v>
      </c>
      <c r="P119" s="19">
        <f t="shared" si="4"/>
        <v>70884.22</v>
      </c>
      <c r="Q119" s="19">
        <f t="shared" si="5"/>
        <v>0</v>
      </c>
      <c r="R119" s="25">
        <v>37678.93</v>
      </c>
      <c r="S119" s="28">
        <v>108563.15</v>
      </c>
      <c r="T119" s="49">
        <f t="shared" si="6"/>
        <v>108563.15</v>
      </c>
      <c r="U119" s="49">
        <f t="shared" si="7"/>
        <v>0</v>
      </c>
    </row>
    <row r="120" spans="1:21" ht="17" thickBot="1" x14ac:dyDescent="0.25">
      <c r="A120" s="21" t="s">
        <v>948</v>
      </c>
      <c r="B120" s="21" t="s">
        <v>949</v>
      </c>
      <c r="C120" s="21" t="s">
        <v>81</v>
      </c>
      <c r="D120" s="21" t="s">
        <v>378</v>
      </c>
      <c r="E120" s="22" t="s">
        <v>20</v>
      </c>
      <c r="F120" s="23" t="s">
        <v>953</v>
      </c>
      <c r="G120" s="33" t="s">
        <v>14</v>
      </c>
      <c r="H120" s="25">
        <v>54497.78</v>
      </c>
      <c r="I120" s="26" t="s">
        <v>14</v>
      </c>
      <c r="J120" s="25">
        <v>55299.77</v>
      </c>
      <c r="K120" s="18">
        <v>12202.37</v>
      </c>
      <c r="L120" s="18">
        <v>4173.82</v>
      </c>
      <c r="M120" s="27" t="s">
        <v>3520</v>
      </c>
      <c r="N120" s="18"/>
      <c r="O120" s="25">
        <v>71675.960000000006</v>
      </c>
      <c r="P120" s="19">
        <f t="shared" si="4"/>
        <v>71675.959999999992</v>
      </c>
      <c r="Q120" s="19">
        <f t="shared" si="5"/>
        <v>1.4551915228366852E-11</v>
      </c>
      <c r="R120" s="25">
        <v>35587.22</v>
      </c>
      <c r="S120" s="28">
        <v>107263.18</v>
      </c>
      <c r="T120" s="49">
        <f t="shared" si="6"/>
        <v>107263.18000000001</v>
      </c>
      <c r="U120" s="49">
        <f t="shared" si="7"/>
        <v>-1.4551915228366852E-11</v>
      </c>
    </row>
    <row r="121" spans="1:21" ht="17" thickBot="1" x14ac:dyDescent="0.25">
      <c r="A121" s="21" t="s">
        <v>956</v>
      </c>
      <c r="B121" s="21" t="s">
        <v>957</v>
      </c>
      <c r="C121" s="21" t="s">
        <v>65</v>
      </c>
      <c r="D121" s="21" t="s">
        <v>594</v>
      </c>
      <c r="E121" s="22" t="s">
        <v>20</v>
      </c>
      <c r="F121" s="23" t="s">
        <v>819</v>
      </c>
      <c r="G121" s="33" t="s">
        <v>14</v>
      </c>
      <c r="H121" s="25">
        <v>66601.600000000006</v>
      </c>
      <c r="I121" s="26" t="s">
        <v>14</v>
      </c>
      <c r="J121" s="25">
        <v>67674.17</v>
      </c>
      <c r="K121" s="18">
        <v>4459.4799999999996</v>
      </c>
      <c r="L121" s="18">
        <v>2243.9899999999998</v>
      </c>
      <c r="M121" s="27" t="s">
        <v>3520</v>
      </c>
      <c r="N121" s="18"/>
      <c r="O121" s="25">
        <v>74377.64</v>
      </c>
      <c r="P121" s="19">
        <f t="shared" si="4"/>
        <v>74377.64</v>
      </c>
      <c r="Q121" s="19">
        <f t="shared" si="5"/>
        <v>0</v>
      </c>
      <c r="R121" s="25">
        <v>32833.51</v>
      </c>
      <c r="S121" s="28">
        <v>107211.15</v>
      </c>
      <c r="T121" s="49">
        <f t="shared" si="6"/>
        <v>107211.15</v>
      </c>
      <c r="U121" s="49">
        <f t="shared" si="7"/>
        <v>0</v>
      </c>
    </row>
    <row r="122" spans="1:21" ht="17" thickBot="1" x14ac:dyDescent="0.25">
      <c r="A122" s="21" t="s">
        <v>964</v>
      </c>
      <c r="B122" s="21" t="s">
        <v>965</v>
      </c>
      <c r="C122" s="21" t="s">
        <v>145</v>
      </c>
      <c r="D122" s="21" t="s">
        <v>967</v>
      </c>
      <c r="E122" s="22" t="s">
        <v>12</v>
      </c>
      <c r="F122" s="23" t="s">
        <v>969</v>
      </c>
      <c r="G122" s="33" t="s">
        <v>14</v>
      </c>
      <c r="H122" s="25">
        <v>69056</v>
      </c>
      <c r="I122" s="26" t="s">
        <v>14</v>
      </c>
      <c r="J122" s="25">
        <v>71317.42</v>
      </c>
      <c r="K122" s="18">
        <v>7446.91</v>
      </c>
      <c r="L122" s="25">
        <v>90</v>
      </c>
      <c r="M122" s="27" t="s">
        <v>3520</v>
      </c>
      <c r="N122" s="18"/>
      <c r="O122" s="25">
        <v>78854.33</v>
      </c>
      <c r="P122" s="19">
        <f t="shared" si="4"/>
        <v>78854.33</v>
      </c>
      <c r="Q122" s="19">
        <f t="shared" si="5"/>
        <v>0</v>
      </c>
      <c r="R122" s="25">
        <v>28192.240000000002</v>
      </c>
      <c r="S122" s="28">
        <v>107046.57</v>
      </c>
      <c r="T122" s="49">
        <f t="shared" si="6"/>
        <v>107046.57</v>
      </c>
      <c r="U122" s="49">
        <f t="shared" si="7"/>
        <v>0</v>
      </c>
    </row>
    <row r="123" spans="1:21" ht="17" thickBot="1" x14ac:dyDescent="0.25">
      <c r="A123" s="21" t="s">
        <v>972</v>
      </c>
      <c r="B123" s="21" t="s">
        <v>80</v>
      </c>
      <c r="C123" s="21" t="s">
        <v>81</v>
      </c>
      <c r="D123" s="21" t="s">
        <v>249</v>
      </c>
      <c r="E123" s="22" t="s">
        <v>20</v>
      </c>
      <c r="F123" s="23" t="s">
        <v>380</v>
      </c>
      <c r="G123" s="33" t="s">
        <v>14</v>
      </c>
      <c r="H123" s="25">
        <v>54497.78</v>
      </c>
      <c r="I123" s="26" t="s">
        <v>14</v>
      </c>
      <c r="J123" s="25">
        <v>55810.86</v>
      </c>
      <c r="K123" s="18">
        <v>11350.69</v>
      </c>
      <c r="L123" s="18">
        <v>2475.38</v>
      </c>
      <c r="M123" s="27" t="s">
        <v>3520</v>
      </c>
      <c r="N123" s="18"/>
      <c r="O123" s="25">
        <v>69636.929999999993</v>
      </c>
      <c r="P123" s="19">
        <f t="shared" si="4"/>
        <v>69636.930000000008</v>
      </c>
      <c r="Q123" s="19">
        <f t="shared" si="5"/>
        <v>-1.4551915228366852E-11</v>
      </c>
      <c r="R123" s="25">
        <v>36967.47</v>
      </c>
      <c r="S123" s="28">
        <v>106604.4</v>
      </c>
      <c r="T123" s="49">
        <f t="shared" si="6"/>
        <v>106604.4</v>
      </c>
      <c r="U123" s="49">
        <f t="shared" si="7"/>
        <v>0</v>
      </c>
    </row>
    <row r="124" spans="1:21" ht="17" thickBot="1" x14ac:dyDescent="0.25">
      <c r="A124" s="21" t="s">
        <v>980</v>
      </c>
      <c r="B124" s="21" t="s">
        <v>981</v>
      </c>
      <c r="C124" s="21" t="s">
        <v>18</v>
      </c>
      <c r="D124" s="21" t="s">
        <v>498</v>
      </c>
      <c r="E124" s="22" t="s">
        <v>20</v>
      </c>
      <c r="F124" s="23" t="s">
        <v>500</v>
      </c>
      <c r="G124" s="33" t="s">
        <v>14</v>
      </c>
      <c r="H124" s="25">
        <v>57820.88</v>
      </c>
      <c r="I124" s="26" t="s">
        <v>14</v>
      </c>
      <c r="J124" s="25">
        <v>71046.53</v>
      </c>
      <c r="K124" s="18">
        <v>4456.01</v>
      </c>
      <c r="L124" s="18">
        <v>3029.54</v>
      </c>
      <c r="M124" s="27" t="s">
        <v>3520</v>
      </c>
      <c r="N124" s="18"/>
      <c r="O124" s="25">
        <v>78532.08</v>
      </c>
      <c r="P124" s="19">
        <f t="shared" si="4"/>
        <v>78532.079999999987</v>
      </c>
      <c r="Q124" s="19">
        <f t="shared" si="5"/>
        <v>1.4551915228366852E-11</v>
      </c>
      <c r="R124" s="25">
        <v>27684.52</v>
      </c>
      <c r="S124" s="28">
        <v>106216.6</v>
      </c>
      <c r="T124" s="49">
        <f t="shared" si="6"/>
        <v>106216.6</v>
      </c>
      <c r="U124" s="49">
        <f t="shared" si="7"/>
        <v>0</v>
      </c>
    </row>
    <row r="125" spans="1:21" ht="17" thickBot="1" x14ac:dyDescent="0.25">
      <c r="A125" s="21" t="s">
        <v>988</v>
      </c>
      <c r="B125" s="21" t="s">
        <v>989</v>
      </c>
      <c r="C125" s="21" t="s">
        <v>169</v>
      </c>
      <c r="D125" s="21" t="s">
        <v>991</v>
      </c>
      <c r="E125" s="22" t="s">
        <v>12</v>
      </c>
      <c r="F125" s="23" t="s">
        <v>993</v>
      </c>
      <c r="G125" s="33" t="s">
        <v>14</v>
      </c>
      <c r="H125" s="25">
        <v>78022.62</v>
      </c>
      <c r="I125" s="26" t="s">
        <v>14</v>
      </c>
      <c r="J125" s="25">
        <v>77906.37</v>
      </c>
      <c r="K125" s="18" t="s">
        <v>3520</v>
      </c>
      <c r="L125" s="18">
        <v>170</v>
      </c>
      <c r="M125" s="27" t="s">
        <v>3520</v>
      </c>
      <c r="N125" s="18"/>
      <c r="O125" s="18">
        <v>78076.37</v>
      </c>
      <c r="P125" s="19">
        <f t="shared" si="4"/>
        <v>78076.37</v>
      </c>
      <c r="Q125" s="19">
        <f t="shared" si="5"/>
        <v>0</v>
      </c>
      <c r="R125" s="25">
        <v>28068.31</v>
      </c>
      <c r="S125" s="28">
        <v>106144.68</v>
      </c>
      <c r="T125" s="49">
        <f t="shared" si="6"/>
        <v>106144.68</v>
      </c>
      <c r="U125" s="49">
        <f t="shared" si="7"/>
        <v>0</v>
      </c>
    </row>
    <row r="126" spans="1:21" ht="17" thickBot="1" x14ac:dyDescent="0.25">
      <c r="A126" s="21" t="s">
        <v>996</v>
      </c>
      <c r="B126" s="21" t="s">
        <v>997</v>
      </c>
      <c r="C126" s="21" t="s">
        <v>81</v>
      </c>
      <c r="D126" s="21" t="s">
        <v>378</v>
      </c>
      <c r="E126" s="22" t="s">
        <v>20</v>
      </c>
      <c r="F126" s="23" t="s">
        <v>748</v>
      </c>
      <c r="G126" s="33" t="s">
        <v>14</v>
      </c>
      <c r="H126" s="25">
        <v>54497.78</v>
      </c>
      <c r="I126" s="26" t="s">
        <v>14</v>
      </c>
      <c r="J126" s="25">
        <v>56509.06</v>
      </c>
      <c r="K126" s="18">
        <v>13558.67</v>
      </c>
      <c r="L126" s="18">
        <v>7538.15</v>
      </c>
      <c r="M126" s="27" t="s">
        <v>3520</v>
      </c>
      <c r="N126" s="18"/>
      <c r="O126" s="25">
        <v>77605.88</v>
      </c>
      <c r="P126" s="19">
        <f t="shared" si="4"/>
        <v>77605.87999999999</v>
      </c>
      <c r="Q126" s="19">
        <f t="shared" si="5"/>
        <v>1.4551915228366852E-11</v>
      </c>
      <c r="R126" s="25">
        <v>27861.41</v>
      </c>
      <c r="S126" s="28">
        <v>105467.29</v>
      </c>
      <c r="T126" s="49">
        <f t="shared" si="6"/>
        <v>105467.29000000001</v>
      </c>
      <c r="U126" s="49">
        <f t="shared" si="7"/>
        <v>-1.4551915228366852E-11</v>
      </c>
    </row>
    <row r="127" spans="1:21" ht="17" thickBot="1" x14ac:dyDescent="0.25">
      <c r="A127" s="21" t="s">
        <v>1004</v>
      </c>
      <c r="B127" s="21" t="s">
        <v>1005</v>
      </c>
      <c r="C127" s="21" t="s">
        <v>81</v>
      </c>
      <c r="D127" s="21" t="s">
        <v>378</v>
      </c>
      <c r="E127" s="22" t="s">
        <v>20</v>
      </c>
      <c r="F127" s="23" t="s">
        <v>1009</v>
      </c>
      <c r="G127" s="33" t="s">
        <v>14</v>
      </c>
      <c r="H127" s="25">
        <v>54497.78</v>
      </c>
      <c r="I127" s="26" t="s">
        <v>14</v>
      </c>
      <c r="J127" s="25">
        <v>41513.18</v>
      </c>
      <c r="K127" s="18">
        <v>32734.85</v>
      </c>
      <c r="L127" s="18">
        <v>2363.8200000000002</v>
      </c>
      <c r="M127" s="27" t="s">
        <v>3520</v>
      </c>
      <c r="N127" s="18"/>
      <c r="O127" s="25">
        <v>76611.850000000006</v>
      </c>
      <c r="P127" s="19">
        <f t="shared" si="4"/>
        <v>76611.850000000006</v>
      </c>
      <c r="Q127" s="19">
        <f t="shared" si="5"/>
        <v>0</v>
      </c>
      <c r="R127" s="25">
        <v>27647.119999999999</v>
      </c>
      <c r="S127" s="28">
        <v>104258.97</v>
      </c>
      <c r="T127" s="49">
        <f t="shared" si="6"/>
        <v>104258.97</v>
      </c>
      <c r="U127" s="49">
        <f t="shared" si="7"/>
        <v>0</v>
      </c>
    </row>
    <row r="128" spans="1:21" ht="17" thickBot="1" x14ac:dyDescent="0.25">
      <c r="A128" s="21" t="s">
        <v>1012</v>
      </c>
      <c r="B128" s="21" t="s">
        <v>368</v>
      </c>
      <c r="C128" s="21" t="s">
        <v>65</v>
      </c>
      <c r="D128" s="21" t="s">
        <v>594</v>
      </c>
      <c r="E128" s="22" t="s">
        <v>20</v>
      </c>
      <c r="F128" s="23" t="s">
        <v>1017</v>
      </c>
      <c r="G128" s="33" t="s">
        <v>14</v>
      </c>
      <c r="H128" s="25">
        <v>66851.199999999997</v>
      </c>
      <c r="I128" s="26" t="s">
        <v>14</v>
      </c>
      <c r="J128" s="25">
        <v>66907.66</v>
      </c>
      <c r="K128" s="18">
        <v>5380.6</v>
      </c>
      <c r="L128" s="18">
        <v>4663.6099999999997</v>
      </c>
      <c r="M128" s="27" t="s">
        <v>3520</v>
      </c>
      <c r="N128" s="18"/>
      <c r="O128" s="25">
        <v>76951.87</v>
      </c>
      <c r="P128" s="19">
        <f t="shared" si="4"/>
        <v>76951.87000000001</v>
      </c>
      <c r="Q128" s="19">
        <f t="shared" si="5"/>
        <v>-1.4551915228366852E-11</v>
      </c>
      <c r="R128" s="25">
        <v>26996.16</v>
      </c>
      <c r="S128" s="28">
        <v>103948.03</v>
      </c>
      <c r="T128" s="49">
        <f t="shared" si="6"/>
        <v>103948.03</v>
      </c>
      <c r="U128" s="49">
        <f t="shared" si="7"/>
        <v>0</v>
      </c>
    </row>
    <row r="129" spans="1:21" ht="17" thickBot="1" x14ac:dyDescent="0.25">
      <c r="A129" s="21" t="s">
        <v>1020</v>
      </c>
      <c r="B129" s="21" t="s">
        <v>933</v>
      </c>
      <c r="C129" s="21" t="s">
        <v>65</v>
      </c>
      <c r="D129" s="21" t="s">
        <v>594</v>
      </c>
      <c r="E129" s="22" t="s">
        <v>20</v>
      </c>
      <c r="F129" s="23" t="s">
        <v>1025</v>
      </c>
      <c r="G129" s="33" t="s">
        <v>14</v>
      </c>
      <c r="H129" s="25">
        <v>60736</v>
      </c>
      <c r="I129" s="26" t="s">
        <v>14</v>
      </c>
      <c r="J129" s="25">
        <v>61495.82</v>
      </c>
      <c r="K129" s="18">
        <v>3585.93</v>
      </c>
      <c r="L129" s="18">
        <v>2985.84</v>
      </c>
      <c r="M129" s="27" t="s">
        <v>3520</v>
      </c>
      <c r="N129" s="18"/>
      <c r="O129" s="25">
        <v>68067.59</v>
      </c>
      <c r="P129" s="19">
        <f t="shared" si="4"/>
        <v>68067.59</v>
      </c>
      <c r="Q129" s="19">
        <f t="shared" si="5"/>
        <v>0</v>
      </c>
      <c r="R129" s="25">
        <v>35873.589999999997</v>
      </c>
      <c r="S129" s="28">
        <v>103941.18</v>
      </c>
      <c r="T129" s="49">
        <f t="shared" si="6"/>
        <v>103941.18</v>
      </c>
      <c r="U129" s="49">
        <f t="shared" si="7"/>
        <v>0</v>
      </c>
    </row>
    <row r="130" spans="1:21" ht="17" thickBot="1" x14ac:dyDescent="0.25">
      <c r="A130" s="21" t="s">
        <v>1028</v>
      </c>
      <c r="B130" s="21" t="s">
        <v>17</v>
      </c>
      <c r="C130" s="21" t="s">
        <v>65</v>
      </c>
      <c r="D130" s="21" t="s">
        <v>594</v>
      </c>
      <c r="E130" s="22" t="s">
        <v>20</v>
      </c>
      <c r="F130" s="23" t="s">
        <v>1033</v>
      </c>
      <c r="G130" s="33" t="s">
        <v>14</v>
      </c>
      <c r="H130" s="25">
        <v>66851.199999999997</v>
      </c>
      <c r="I130" s="26" t="s">
        <v>14</v>
      </c>
      <c r="J130" s="25">
        <v>59460.47</v>
      </c>
      <c r="K130" s="18">
        <v>2842.24</v>
      </c>
      <c r="L130" s="18">
        <v>4354.74</v>
      </c>
      <c r="M130" s="27" t="s">
        <v>3520</v>
      </c>
      <c r="N130" s="18"/>
      <c r="O130" s="25">
        <v>66657.45</v>
      </c>
      <c r="P130" s="19">
        <f t="shared" si="4"/>
        <v>66657.45</v>
      </c>
      <c r="Q130" s="19">
        <f t="shared" si="5"/>
        <v>0</v>
      </c>
      <c r="R130" s="25">
        <v>36608.03</v>
      </c>
      <c r="S130" s="28">
        <v>103265.48</v>
      </c>
      <c r="T130" s="49">
        <f t="shared" si="6"/>
        <v>103265.48</v>
      </c>
      <c r="U130" s="49">
        <f t="shared" si="7"/>
        <v>0</v>
      </c>
    </row>
    <row r="131" spans="1:21" ht="17" thickBot="1" x14ac:dyDescent="0.25">
      <c r="A131" s="21" t="s">
        <v>1036</v>
      </c>
      <c r="B131" s="21" t="s">
        <v>1037</v>
      </c>
      <c r="C131" s="21" t="s">
        <v>65</v>
      </c>
      <c r="D131" s="21" t="s">
        <v>1039</v>
      </c>
      <c r="E131" s="22" t="s">
        <v>12</v>
      </c>
      <c r="F131" s="23" t="s">
        <v>1041</v>
      </c>
      <c r="G131" s="33" t="s">
        <v>14</v>
      </c>
      <c r="H131" s="25">
        <v>63144.12</v>
      </c>
      <c r="I131" s="26" t="s">
        <v>14</v>
      </c>
      <c r="J131" s="25">
        <v>63027.15</v>
      </c>
      <c r="K131" s="18" t="s">
        <v>3520</v>
      </c>
      <c r="L131" s="18">
        <v>4418</v>
      </c>
      <c r="M131" s="27" t="s">
        <v>3520</v>
      </c>
      <c r="N131" s="18"/>
      <c r="O131" s="25">
        <v>67445.149999999994</v>
      </c>
      <c r="P131" s="19">
        <f t="shared" ref="P131:P194" si="8">SUM(I131:N131)</f>
        <v>67445.149999999994</v>
      </c>
      <c r="Q131" s="19">
        <f t="shared" ref="Q131:Q194" si="9">SUM(O131-P131)</f>
        <v>0</v>
      </c>
      <c r="R131" s="25">
        <v>35694.75</v>
      </c>
      <c r="S131" s="28">
        <v>103139.9</v>
      </c>
      <c r="T131" s="49">
        <f t="shared" ref="T131:T194" si="10">SUM(O131+R131)</f>
        <v>103139.9</v>
      </c>
      <c r="U131" s="49">
        <f t="shared" ref="U131:U194" si="11">SUM(S131-T131)</f>
        <v>0</v>
      </c>
    </row>
    <row r="132" spans="1:21" ht="17" thickBot="1" x14ac:dyDescent="0.25">
      <c r="A132" s="21" t="s">
        <v>183</v>
      </c>
      <c r="B132" s="21" t="s">
        <v>1045</v>
      </c>
      <c r="C132" s="21" t="s">
        <v>1046</v>
      </c>
      <c r="D132" s="21" t="s">
        <v>1047</v>
      </c>
      <c r="E132" s="22" t="s">
        <v>20</v>
      </c>
      <c r="F132" s="23" t="s">
        <v>1049</v>
      </c>
      <c r="G132" s="34" t="s">
        <v>1050</v>
      </c>
      <c r="H132" s="25">
        <v>67683.199999999997</v>
      </c>
      <c r="I132" s="25">
        <v>6123.05</v>
      </c>
      <c r="J132" s="25">
        <v>58923.11</v>
      </c>
      <c r="K132" s="18">
        <v>4925.87</v>
      </c>
      <c r="L132" s="18">
        <v>6051</v>
      </c>
      <c r="M132" s="27" t="s">
        <v>3520</v>
      </c>
      <c r="N132" s="18"/>
      <c r="O132" s="25">
        <v>76023.03</v>
      </c>
      <c r="P132" s="19">
        <f t="shared" si="8"/>
        <v>76023.03</v>
      </c>
      <c r="Q132" s="19">
        <f t="shared" si="9"/>
        <v>0</v>
      </c>
      <c r="R132" s="25">
        <v>27020.6</v>
      </c>
      <c r="S132" s="28">
        <v>103043.63</v>
      </c>
      <c r="T132" s="49">
        <f t="shared" si="10"/>
        <v>103043.63</v>
      </c>
      <c r="U132" s="49">
        <f t="shared" si="11"/>
        <v>0</v>
      </c>
    </row>
    <row r="133" spans="1:21" ht="17" thickBot="1" x14ac:dyDescent="0.25">
      <c r="A133" s="21" t="s">
        <v>1051</v>
      </c>
      <c r="B133" s="21" t="s">
        <v>1052</v>
      </c>
      <c r="C133" s="21" t="s">
        <v>886</v>
      </c>
      <c r="D133" s="21" t="s">
        <v>1054</v>
      </c>
      <c r="E133" s="22" t="s">
        <v>12</v>
      </c>
      <c r="F133" s="23" t="s">
        <v>1056</v>
      </c>
      <c r="G133" s="33" t="s">
        <v>14</v>
      </c>
      <c r="H133" s="25">
        <v>70414.240000000005</v>
      </c>
      <c r="I133" s="26" t="s">
        <v>14</v>
      </c>
      <c r="J133" s="25">
        <v>65031.73</v>
      </c>
      <c r="K133" s="18">
        <v>702.87</v>
      </c>
      <c r="L133" s="18">
        <v>470</v>
      </c>
      <c r="M133" s="27" t="s">
        <v>3520</v>
      </c>
      <c r="N133" s="18"/>
      <c r="O133" s="25">
        <v>66204.600000000006</v>
      </c>
      <c r="P133" s="19">
        <f t="shared" si="8"/>
        <v>66204.600000000006</v>
      </c>
      <c r="Q133" s="19">
        <f t="shared" si="9"/>
        <v>0</v>
      </c>
      <c r="R133" s="25">
        <v>35550.300000000003</v>
      </c>
      <c r="S133" s="28">
        <v>101754.9</v>
      </c>
      <c r="T133" s="49">
        <f t="shared" si="10"/>
        <v>101754.90000000001</v>
      </c>
      <c r="U133" s="49">
        <f t="shared" si="11"/>
        <v>-1.4551915228366852E-11</v>
      </c>
    </row>
    <row r="134" spans="1:21" ht="17" thickBot="1" x14ac:dyDescent="0.25">
      <c r="A134" s="21" t="s">
        <v>24</v>
      </c>
      <c r="B134" s="21" t="s">
        <v>1060</v>
      </c>
      <c r="C134" s="21" t="s">
        <v>81</v>
      </c>
      <c r="D134" s="21" t="s">
        <v>378</v>
      </c>
      <c r="E134" s="22" t="s">
        <v>20</v>
      </c>
      <c r="F134" s="23" t="s">
        <v>1064</v>
      </c>
      <c r="G134" s="33" t="s">
        <v>14</v>
      </c>
      <c r="H134" s="25">
        <v>54497.78</v>
      </c>
      <c r="I134" s="26" t="s">
        <v>14</v>
      </c>
      <c r="J134" s="25">
        <v>54890.67</v>
      </c>
      <c r="K134" s="18">
        <v>16879.3</v>
      </c>
      <c r="L134" s="18">
        <v>2832.74</v>
      </c>
      <c r="M134" s="27" t="s">
        <v>3520</v>
      </c>
      <c r="N134" s="18"/>
      <c r="O134" s="25">
        <v>74602.710000000006</v>
      </c>
      <c r="P134" s="19">
        <f t="shared" si="8"/>
        <v>74602.710000000006</v>
      </c>
      <c r="Q134" s="19">
        <f t="shared" si="9"/>
        <v>0</v>
      </c>
      <c r="R134" s="25">
        <v>26816.43</v>
      </c>
      <c r="S134" s="28">
        <v>101419.14</v>
      </c>
      <c r="T134" s="49">
        <f t="shared" si="10"/>
        <v>101419.14000000001</v>
      </c>
      <c r="U134" s="49">
        <f t="shared" si="11"/>
        <v>-1.4551915228366852E-11</v>
      </c>
    </row>
    <row r="135" spans="1:21" ht="17" thickBot="1" x14ac:dyDescent="0.25">
      <c r="A135" s="21" t="s">
        <v>1067</v>
      </c>
      <c r="B135" s="21" t="s">
        <v>191</v>
      </c>
      <c r="C135" s="21" t="s">
        <v>18</v>
      </c>
      <c r="D135" s="21" t="s">
        <v>498</v>
      </c>
      <c r="E135" s="22" t="s">
        <v>20</v>
      </c>
      <c r="F135" s="23" t="s">
        <v>1072</v>
      </c>
      <c r="G135" s="33" t="s">
        <v>14</v>
      </c>
      <c r="H135" s="25">
        <v>56001.919999999998</v>
      </c>
      <c r="I135" s="26" t="s">
        <v>14</v>
      </c>
      <c r="J135" s="25">
        <v>67791.13</v>
      </c>
      <c r="K135" s="18">
        <v>3070.61</v>
      </c>
      <c r="L135" s="18">
        <v>2745.17</v>
      </c>
      <c r="M135" s="27">
        <v>609.6</v>
      </c>
      <c r="N135" s="18"/>
      <c r="O135" s="25">
        <v>74216.509999999995</v>
      </c>
      <c r="P135" s="19">
        <f t="shared" si="8"/>
        <v>74216.510000000009</v>
      </c>
      <c r="Q135" s="19">
        <f t="shared" si="9"/>
        <v>-1.4551915228366852E-11</v>
      </c>
      <c r="R135" s="25">
        <v>27037.25</v>
      </c>
      <c r="S135" s="28">
        <v>101253.75999999999</v>
      </c>
      <c r="T135" s="49">
        <f t="shared" si="10"/>
        <v>101253.75999999999</v>
      </c>
      <c r="U135" s="49">
        <f t="shared" si="11"/>
        <v>0</v>
      </c>
    </row>
    <row r="136" spans="1:21" ht="17" thickBot="1" x14ac:dyDescent="0.25">
      <c r="A136" s="21" t="s">
        <v>1075</v>
      </c>
      <c r="B136" s="21" t="s">
        <v>1076</v>
      </c>
      <c r="C136" s="21" t="s">
        <v>81</v>
      </c>
      <c r="D136" s="21" t="s">
        <v>378</v>
      </c>
      <c r="E136" s="22" t="s">
        <v>20</v>
      </c>
      <c r="F136" s="23" t="s">
        <v>1080</v>
      </c>
      <c r="G136" s="33" t="s">
        <v>14</v>
      </c>
      <c r="H136" s="25">
        <v>56525.1</v>
      </c>
      <c r="I136" s="26" t="s">
        <v>14</v>
      </c>
      <c r="J136" s="25">
        <v>44455.199999999997</v>
      </c>
      <c r="K136" s="18">
        <v>19551.259999999998</v>
      </c>
      <c r="L136" s="18">
        <v>2757.48</v>
      </c>
      <c r="M136" s="27" t="s">
        <v>3520</v>
      </c>
      <c r="N136" s="18"/>
      <c r="O136" s="25">
        <v>66763.94</v>
      </c>
      <c r="P136" s="19">
        <f t="shared" si="8"/>
        <v>66763.939999999988</v>
      </c>
      <c r="Q136" s="19">
        <f t="shared" si="9"/>
        <v>1.4551915228366852E-11</v>
      </c>
      <c r="R136" s="25">
        <v>33878.78</v>
      </c>
      <c r="S136" s="28">
        <v>100642.72</v>
      </c>
      <c r="T136" s="49">
        <f t="shared" si="10"/>
        <v>100642.72</v>
      </c>
      <c r="U136" s="49">
        <f t="shared" si="11"/>
        <v>0</v>
      </c>
    </row>
    <row r="137" spans="1:21" ht="17" thickBot="1" x14ac:dyDescent="0.25">
      <c r="A137" s="21" t="s">
        <v>1083</v>
      </c>
      <c r="B137" s="21" t="s">
        <v>120</v>
      </c>
      <c r="C137" s="21" t="s">
        <v>65</v>
      </c>
      <c r="D137" s="21" t="s">
        <v>594</v>
      </c>
      <c r="E137" s="22" t="s">
        <v>20</v>
      </c>
      <c r="F137" s="23" t="s">
        <v>1088</v>
      </c>
      <c r="G137" s="33" t="s">
        <v>14</v>
      </c>
      <c r="H137" s="25">
        <v>56971.199999999997</v>
      </c>
      <c r="I137" s="26" t="s">
        <v>14</v>
      </c>
      <c r="J137" s="25">
        <v>56347.3</v>
      </c>
      <c r="K137" s="18">
        <v>3773.25</v>
      </c>
      <c r="L137" s="18">
        <v>4358.87</v>
      </c>
      <c r="M137" s="27" t="s">
        <v>3520</v>
      </c>
      <c r="N137" s="18"/>
      <c r="O137" s="25">
        <v>64479.42</v>
      </c>
      <c r="P137" s="19">
        <f t="shared" si="8"/>
        <v>64479.420000000006</v>
      </c>
      <c r="Q137" s="19">
        <f t="shared" si="9"/>
        <v>-7.2759576141834259E-12</v>
      </c>
      <c r="R137" s="25">
        <v>36067.03</v>
      </c>
      <c r="S137" s="28">
        <v>100546.45</v>
      </c>
      <c r="T137" s="49">
        <f t="shared" si="10"/>
        <v>100546.45</v>
      </c>
      <c r="U137" s="49">
        <f t="shared" si="11"/>
        <v>0</v>
      </c>
    </row>
    <row r="138" spans="1:21" ht="17" thickBot="1" x14ac:dyDescent="0.25">
      <c r="A138" s="21" t="s">
        <v>719</v>
      </c>
      <c r="B138" s="21" t="s">
        <v>1092</v>
      </c>
      <c r="C138" s="21" t="s">
        <v>65</v>
      </c>
      <c r="D138" s="21" t="s">
        <v>594</v>
      </c>
      <c r="E138" s="22" t="s">
        <v>20</v>
      </c>
      <c r="F138" s="23" t="s">
        <v>1096</v>
      </c>
      <c r="G138" s="33" t="s">
        <v>14</v>
      </c>
      <c r="H138" s="25">
        <v>60736</v>
      </c>
      <c r="I138" s="26" t="s">
        <v>14</v>
      </c>
      <c r="J138" s="25">
        <v>62067.68</v>
      </c>
      <c r="K138" s="18">
        <v>444.67</v>
      </c>
      <c r="L138" s="18">
        <v>2720.15</v>
      </c>
      <c r="M138" s="27" t="s">
        <v>3520</v>
      </c>
      <c r="N138" s="18"/>
      <c r="O138" s="25">
        <v>65232.5</v>
      </c>
      <c r="P138" s="19">
        <f t="shared" si="8"/>
        <v>65232.5</v>
      </c>
      <c r="Q138" s="19">
        <f t="shared" si="9"/>
        <v>0</v>
      </c>
      <c r="R138" s="25">
        <v>35159.9</v>
      </c>
      <c r="S138" s="28">
        <v>100392.4</v>
      </c>
      <c r="T138" s="49">
        <f t="shared" si="10"/>
        <v>100392.4</v>
      </c>
      <c r="U138" s="49">
        <f t="shared" si="11"/>
        <v>0</v>
      </c>
    </row>
    <row r="139" spans="1:21" ht="17" thickBot="1" x14ac:dyDescent="0.25">
      <c r="A139" s="21" t="s">
        <v>1099</v>
      </c>
      <c r="B139" s="21" t="s">
        <v>1100</v>
      </c>
      <c r="C139" s="21" t="s">
        <v>81</v>
      </c>
      <c r="D139" s="21" t="s">
        <v>378</v>
      </c>
      <c r="E139" s="22" t="s">
        <v>20</v>
      </c>
      <c r="F139" s="23" t="s">
        <v>1104</v>
      </c>
      <c r="G139" s="33" t="s">
        <v>14</v>
      </c>
      <c r="H139" s="25">
        <v>52543.17</v>
      </c>
      <c r="I139" s="26" t="s">
        <v>14</v>
      </c>
      <c r="J139" s="25">
        <v>46069.72</v>
      </c>
      <c r="K139" s="18">
        <v>24262.42</v>
      </c>
      <c r="L139" s="18">
        <v>3271.15</v>
      </c>
      <c r="M139" s="27" t="s">
        <v>3520</v>
      </c>
      <c r="N139" s="18"/>
      <c r="O139" s="25">
        <v>73603.289999999994</v>
      </c>
      <c r="P139" s="19">
        <f t="shared" si="8"/>
        <v>73603.289999999994</v>
      </c>
      <c r="Q139" s="19">
        <f t="shared" si="9"/>
        <v>0</v>
      </c>
      <c r="R139" s="25">
        <v>26567.64</v>
      </c>
      <c r="S139" s="28">
        <v>100170.93</v>
      </c>
      <c r="T139" s="49">
        <f t="shared" si="10"/>
        <v>100170.93</v>
      </c>
      <c r="U139" s="49">
        <f t="shared" si="11"/>
        <v>0</v>
      </c>
    </row>
    <row r="140" spans="1:21" ht="17" thickBot="1" x14ac:dyDescent="0.25">
      <c r="A140" s="21" t="s">
        <v>1107</v>
      </c>
      <c r="B140" s="21" t="s">
        <v>552</v>
      </c>
      <c r="C140" s="21" t="s">
        <v>65</v>
      </c>
      <c r="D140" s="21" t="s">
        <v>594</v>
      </c>
      <c r="E140" s="22" t="s">
        <v>20</v>
      </c>
      <c r="F140" s="23" t="s">
        <v>819</v>
      </c>
      <c r="G140" s="33" t="s">
        <v>14</v>
      </c>
      <c r="H140" s="25">
        <v>60736</v>
      </c>
      <c r="I140" s="26" t="s">
        <v>14</v>
      </c>
      <c r="J140" s="25">
        <v>62331.82</v>
      </c>
      <c r="K140" s="18">
        <v>6859.47</v>
      </c>
      <c r="L140" s="18">
        <v>3886.46</v>
      </c>
      <c r="M140" s="27" t="s">
        <v>3520</v>
      </c>
      <c r="N140" s="18"/>
      <c r="O140" s="25">
        <v>73077.75</v>
      </c>
      <c r="P140" s="19">
        <f t="shared" si="8"/>
        <v>73077.75</v>
      </c>
      <c r="Q140" s="19">
        <f t="shared" si="9"/>
        <v>0</v>
      </c>
      <c r="R140" s="25">
        <v>26931.74</v>
      </c>
      <c r="S140" s="28">
        <v>100009.49</v>
      </c>
      <c r="T140" s="49">
        <f t="shared" si="10"/>
        <v>100009.49</v>
      </c>
      <c r="U140" s="49">
        <f t="shared" si="11"/>
        <v>0</v>
      </c>
    </row>
    <row r="141" spans="1:21" ht="17" thickBot="1" x14ac:dyDescent="0.25">
      <c r="A141" s="21" t="s">
        <v>1115</v>
      </c>
      <c r="B141" s="21" t="s">
        <v>384</v>
      </c>
      <c r="C141" s="21" t="s">
        <v>81</v>
      </c>
      <c r="D141" s="21" t="s">
        <v>1118</v>
      </c>
      <c r="E141" s="22" t="s">
        <v>20</v>
      </c>
      <c r="F141" s="23" t="s">
        <v>684</v>
      </c>
      <c r="G141" s="33" t="s">
        <v>14</v>
      </c>
      <c r="H141" s="25">
        <v>64852.88</v>
      </c>
      <c r="I141" s="26" t="s">
        <v>14</v>
      </c>
      <c r="J141" s="25">
        <v>65487.43</v>
      </c>
      <c r="K141" s="18">
        <v>5029</v>
      </c>
      <c r="L141" s="18">
        <v>2430.27</v>
      </c>
      <c r="M141" s="27" t="s">
        <v>3520</v>
      </c>
      <c r="N141" s="18"/>
      <c r="O141" s="25">
        <v>72946.7</v>
      </c>
      <c r="P141" s="19">
        <f t="shared" si="8"/>
        <v>72946.7</v>
      </c>
      <c r="Q141" s="19">
        <f t="shared" si="9"/>
        <v>0</v>
      </c>
      <c r="R141" s="25">
        <v>27037.91</v>
      </c>
      <c r="S141" s="28">
        <v>99984.61</v>
      </c>
      <c r="T141" s="49">
        <f t="shared" si="10"/>
        <v>99984.61</v>
      </c>
      <c r="U141" s="49">
        <f t="shared" si="11"/>
        <v>0</v>
      </c>
    </row>
    <row r="142" spans="1:21" ht="17" thickBot="1" x14ac:dyDescent="0.25">
      <c r="A142" s="21" t="s">
        <v>1123</v>
      </c>
      <c r="B142" s="21" t="s">
        <v>1124</v>
      </c>
      <c r="C142" s="21" t="s">
        <v>256</v>
      </c>
      <c r="D142" s="21" t="s">
        <v>1126</v>
      </c>
      <c r="E142" s="22" t="s">
        <v>12</v>
      </c>
      <c r="F142" s="23" t="s">
        <v>1128</v>
      </c>
      <c r="G142" s="33" t="s">
        <v>14</v>
      </c>
      <c r="H142" s="25">
        <v>69172.479999999996</v>
      </c>
      <c r="I142" s="26" t="s">
        <v>14</v>
      </c>
      <c r="J142" s="25">
        <v>69101.7</v>
      </c>
      <c r="K142" s="18" t="s">
        <v>3520</v>
      </c>
      <c r="L142" s="18">
        <v>3305.45</v>
      </c>
      <c r="M142" s="27" t="s">
        <v>3520</v>
      </c>
      <c r="N142" s="18"/>
      <c r="O142" s="25">
        <v>72407.149999999994</v>
      </c>
      <c r="P142" s="19">
        <f t="shared" si="8"/>
        <v>72407.149999999994</v>
      </c>
      <c r="Q142" s="19">
        <f t="shared" si="9"/>
        <v>0</v>
      </c>
      <c r="R142" s="25">
        <v>26571.21</v>
      </c>
      <c r="S142" s="28">
        <v>98978.36</v>
      </c>
      <c r="T142" s="49">
        <f t="shared" si="10"/>
        <v>98978.359999999986</v>
      </c>
      <c r="U142" s="49">
        <f t="shared" si="11"/>
        <v>1.4551915228366852E-11</v>
      </c>
    </row>
    <row r="143" spans="1:21" ht="17" thickBot="1" x14ac:dyDescent="0.25">
      <c r="A143" s="21" t="s">
        <v>1131</v>
      </c>
      <c r="B143" s="21" t="s">
        <v>1132</v>
      </c>
      <c r="C143" s="21" t="s">
        <v>169</v>
      </c>
      <c r="D143" s="21" t="s">
        <v>1134</v>
      </c>
      <c r="E143" s="22" t="s">
        <v>12</v>
      </c>
      <c r="F143" s="23" t="s">
        <v>1136</v>
      </c>
      <c r="G143" s="33" t="s">
        <v>14</v>
      </c>
      <c r="H143" s="25">
        <v>68369.600000000006</v>
      </c>
      <c r="I143" s="26" t="s">
        <v>14</v>
      </c>
      <c r="J143" s="25">
        <v>68195.58</v>
      </c>
      <c r="K143" s="18">
        <v>195.89</v>
      </c>
      <c r="L143" s="18">
        <v>3690</v>
      </c>
      <c r="M143" s="27" t="s">
        <v>3520</v>
      </c>
      <c r="N143" s="18"/>
      <c r="O143" s="25">
        <v>72081.47</v>
      </c>
      <c r="P143" s="19">
        <f t="shared" si="8"/>
        <v>72081.47</v>
      </c>
      <c r="Q143" s="19">
        <f t="shared" si="9"/>
        <v>0</v>
      </c>
      <c r="R143" s="25">
        <v>26869.03</v>
      </c>
      <c r="S143" s="28">
        <v>98950.5</v>
      </c>
      <c r="T143" s="49">
        <f t="shared" si="10"/>
        <v>98950.5</v>
      </c>
      <c r="U143" s="49">
        <f t="shared" si="11"/>
        <v>0</v>
      </c>
    </row>
    <row r="144" spans="1:21" ht="17" thickBot="1" x14ac:dyDescent="0.25">
      <c r="A144" s="21" t="s">
        <v>1139</v>
      </c>
      <c r="B144" s="21" t="s">
        <v>1140</v>
      </c>
      <c r="C144" s="21" t="s">
        <v>65</v>
      </c>
      <c r="D144" s="21" t="s">
        <v>594</v>
      </c>
      <c r="E144" s="22" t="s">
        <v>20</v>
      </c>
      <c r="F144" s="23" t="s">
        <v>492</v>
      </c>
      <c r="G144" s="33" t="s">
        <v>14</v>
      </c>
      <c r="H144" s="25">
        <v>56971.199999999997</v>
      </c>
      <c r="I144" s="26" t="s">
        <v>14</v>
      </c>
      <c r="J144" s="25">
        <v>58106.67</v>
      </c>
      <c r="K144" s="18">
        <v>2946.99</v>
      </c>
      <c r="L144" s="18">
        <v>2743.49</v>
      </c>
      <c r="M144" s="27" t="s">
        <v>3520</v>
      </c>
      <c r="N144" s="18"/>
      <c r="O144" s="25">
        <v>63797.15</v>
      </c>
      <c r="P144" s="19">
        <f t="shared" si="8"/>
        <v>63797.149999999994</v>
      </c>
      <c r="Q144" s="19">
        <f t="shared" si="9"/>
        <v>7.2759576141834259E-12</v>
      </c>
      <c r="R144" s="25">
        <v>35104.86</v>
      </c>
      <c r="S144" s="28">
        <v>98902.01</v>
      </c>
      <c r="T144" s="49">
        <f t="shared" si="10"/>
        <v>98902.010000000009</v>
      </c>
      <c r="U144" s="49">
        <f t="shared" si="11"/>
        <v>-1.4551915228366852E-11</v>
      </c>
    </row>
    <row r="145" spans="1:21" ht="17" thickBot="1" x14ac:dyDescent="0.25">
      <c r="A145" s="21" t="s">
        <v>1147</v>
      </c>
      <c r="B145" s="21" t="s">
        <v>80</v>
      </c>
      <c r="C145" s="21" t="s">
        <v>65</v>
      </c>
      <c r="D145" s="21" t="s">
        <v>1150</v>
      </c>
      <c r="E145" s="22" t="s">
        <v>20</v>
      </c>
      <c r="F145" s="23" t="s">
        <v>1152</v>
      </c>
      <c r="G145" s="34" t="s">
        <v>1153</v>
      </c>
      <c r="H145" s="25">
        <v>66601.600000000006</v>
      </c>
      <c r="I145" s="25">
        <v>8466.09</v>
      </c>
      <c r="J145" s="25">
        <v>44902.81</v>
      </c>
      <c r="K145" s="18">
        <v>16179.41</v>
      </c>
      <c r="L145" s="18">
        <v>5190.1899999999996</v>
      </c>
      <c r="M145" s="27" t="s">
        <v>3520</v>
      </c>
      <c r="N145" s="18"/>
      <c r="O145" s="25">
        <v>74738.5</v>
      </c>
      <c r="P145" s="19">
        <f t="shared" si="8"/>
        <v>74738.5</v>
      </c>
      <c r="Q145" s="19">
        <f t="shared" si="9"/>
        <v>0</v>
      </c>
      <c r="R145" s="25">
        <v>24147.5</v>
      </c>
      <c r="S145" s="28">
        <v>98886</v>
      </c>
      <c r="T145" s="49">
        <f t="shared" si="10"/>
        <v>98886</v>
      </c>
      <c r="U145" s="49">
        <f t="shared" si="11"/>
        <v>0</v>
      </c>
    </row>
    <row r="146" spans="1:21" ht="17" thickBot="1" x14ac:dyDescent="0.25">
      <c r="A146" s="21" t="s">
        <v>1154</v>
      </c>
      <c r="B146" s="21" t="s">
        <v>1155</v>
      </c>
      <c r="C146" s="21" t="s">
        <v>65</v>
      </c>
      <c r="D146" s="21" t="s">
        <v>1157</v>
      </c>
      <c r="E146" s="22" t="s">
        <v>12</v>
      </c>
      <c r="F146" s="23" t="s">
        <v>1159</v>
      </c>
      <c r="G146" s="33" t="s">
        <v>14</v>
      </c>
      <c r="H146" s="25">
        <v>62670.400000000001</v>
      </c>
      <c r="I146" s="26" t="s">
        <v>14</v>
      </c>
      <c r="J146" s="25">
        <v>63581.55</v>
      </c>
      <c r="K146" s="18">
        <v>2406.7600000000002</v>
      </c>
      <c r="L146" s="18">
        <v>6245.55</v>
      </c>
      <c r="M146" s="27" t="s">
        <v>3520</v>
      </c>
      <c r="N146" s="18"/>
      <c r="O146" s="25">
        <v>72233.86</v>
      </c>
      <c r="P146" s="19">
        <f t="shared" si="8"/>
        <v>72233.86</v>
      </c>
      <c r="Q146" s="19">
        <f t="shared" si="9"/>
        <v>0</v>
      </c>
      <c r="R146" s="25">
        <v>26635.200000000001</v>
      </c>
      <c r="S146" s="28">
        <v>98869.06</v>
      </c>
      <c r="T146" s="49">
        <f t="shared" si="10"/>
        <v>98869.06</v>
      </c>
      <c r="U146" s="49">
        <f t="shared" si="11"/>
        <v>0</v>
      </c>
    </row>
    <row r="147" spans="1:21" ht="17" thickBot="1" x14ac:dyDescent="0.25">
      <c r="A147" s="21" t="s">
        <v>1162</v>
      </c>
      <c r="B147" s="21" t="s">
        <v>1076</v>
      </c>
      <c r="C147" s="21" t="s">
        <v>65</v>
      </c>
      <c r="D147" s="21" t="s">
        <v>594</v>
      </c>
      <c r="E147" s="22" t="s">
        <v>20</v>
      </c>
      <c r="F147" s="23" t="s">
        <v>1025</v>
      </c>
      <c r="G147" s="33" t="s">
        <v>14</v>
      </c>
      <c r="H147" s="25">
        <v>60736</v>
      </c>
      <c r="I147" s="26" t="s">
        <v>14</v>
      </c>
      <c r="J147" s="25">
        <v>61914.26</v>
      </c>
      <c r="K147" s="18">
        <v>2335.6999999999998</v>
      </c>
      <c r="L147" s="18">
        <v>2915.42</v>
      </c>
      <c r="M147" s="27" t="s">
        <v>3520</v>
      </c>
      <c r="N147" s="18"/>
      <c r="O147" s="25">
        <v>67165.38</v>
      </c>
      <c r="P147" s="19">
        <f t="shared" si="8"/>
        <v>67165.38</v>
      </c>
      <c r="Q147" s="19">
        <f t="shared" si="9"/>
        <v>0</v>
      </c>
      <c r="R147" s="25">
        <v>31690.12</v>
      </c>
      <c r="S147" s="28">
        <v>98855.5</v>
      </c>
      <c r="T147" s="49">
        <f t="shared" si="10"/>
        <v>98855.5</v>
      </c>
      <c r="U147" s="49">
        <f t="shared" si="11"/>
        <v>0</v>
      </c>
    </row>
    <row r="148" spans="1:21" ht="17" thickBot="1" x14ac:dyDescent="0.25">
      <c r="A148" s="21" t="s">
        <v>1170</v>
      </c>
      <c r="B148" s="21" t="s">
        <v>1171</v>
      </c>
      <c r="C148" s="21" t="s">
        <v>65</v>
      </c>
      <c r="D148" s="21" t="s">
        <v>594</v>
      </c>
      <c r="E148" s="22" t="s">
        <v>20</v>
      </c>
      <c r="F148" s="23" t="s">
        <v>492</v>
      </c>
      <c r="G148" s="33" t="s">
        <v>14</v>
      </c>
      <c r="H148" s="25">
        <v>56971.199999999997</v>
      </c>
      <c r="I148" s="26" t="s">
        <v>14</v>
      </c>
      <c r="J148" s="25">
        <v>57678.67</v>
      </c>
      <c r="K148" s="18">
        <v>7423.59</v>
      </c>
      <c r="L148" s="18">
        <v>2618.5300000000002</v>
      </c>
      <c r="M148" s="27" t="s">
        <v>3520</v>
      </c>
      <c r="N148" s="18"/>
      <c r="O148" s="25">
        <v>67720.789999999994</v>
      </c>
      <c r="P148" s="19">
        <f t="shared" si="8"/>
        <v>67720.789999999994</v>
      </c>
      <c r="Q148" s="19">
        <f t="shared" si="9"/>
        <v>0</v>
      </c>
      <c r="R148" s="25">
        <v>30959.87</v>
      </c>
      <c r="S148" s="28">
        <v>98680.66</v>
      </c>
      <c r="T148" s="49">
        <f t="shared" si="10"/>
        <v>98680.659999999989</v>
      </c>
      <c r="U148" s="49">
        <f t="shared" si="11"/>
        <v>1.4551915228366852E-11</v>
      </c>
    </row>
    <row r="149" spans="1:21" ht="17" thickBot="1" x14ac:dyDescent="0.25">
      <c r="A149" s="21" t="s">
        <v>1178</v>
      </c>
      <c r="B149" s="21" t="s">
        <v>1179</v>
      </c>
      <c r="C149" s="21" t="s">
        <v>65</v>
      </c>
      <c r="D149" s="21" t="s">
        <v>594</v>
      </c>
      <c r="E149" s="22" t="s">
        <v>20</v>
      </c>
      <c r="F149" s="23" t="s">
        <v>556</v>
      </c>
      <c r="G149" s="33" t="s">
        <v>14</v>
      </c>
      <c r="H149" s="25">
        <v>58822.400000000001</v>
      </c>
      <c r="I149" s="26" t="s">
        <v>14</v>
      </c>
      <c r="J149" s="25">
        <v>58989.07</v>
      </c>
      <c r="K149" s="18">
        <v>4665.9799999999996</v>
      </c>
      <c r="L149" s="18">
        <v>3037.54</v>
      </c>
      <c r="M149" s="27" t="s">
        <v>3520</v>
      </c>
      <c r="N149" s="18"/>
      <c r="O149" s="25">
        <v>66692.59</v>
      </c>
      <c r="P149" s="19">
        <f t="shared" si="8"/>
        <v>66692.59</v>
      </c>
      <c r="Q149" s="19">
        <f t="shared" si="9"/>
        <v>0</v>
      </c>
      <c r="R149" s="25">
        <v>31824.91</v>
      </c>
      <c r="S149" s="28">
        <v>98517.5</v>
      </c>
      <c r="T149" s="49">
        <f t="shared" si="10"/>
        <v>98517.5</v>
      </c>
      <c r="U149" s="49">
        <f t="shared" si="11"/>
        <v>0</v>
      </c>
    </row>
    <row r="150" spans="1:21" ht="17" thickBot="1" x14ac:dyDescent="0.25">
      <c r="A150" s="21" t="s">
        <v>1186</v>
      </c>
      <c r="B150" s="21" t="s">
        <v>1187</v>
      </c>
      <c r="C150" s="21" t="s">
        <v>65</v>
      </c>
      <c r="D150" s="21" t="s">
        <v>594</v>
      </c>
      <c r="E150" s="22" t="s">
        <v>20</v>
      </c>
      <c r="F150" s="23" t="s">
        <v>1191</v>
      </c>
      <c r="G150" s="33" t="s">
        <v>14</v>
      </c>
      <c r="H150" s="25">
        <v>62691.199999999997</v>
      </c>
      <c r="I150" s="26" t="s">
        <v>14</v>
      </c>
      <c r="J150" s="25">
        <v>63545.919999999998</v>
      </c>
      <c r="K150" s="18">
        <v>3441.26</v>
      </c>
      <c r="L150" s="18">
        <v>4324.05</v>
      </c>
      <c r="M150" s="27" t="s">
        <v>3520</v>
      </c>
      <c r="N150" s="18"/>
      <c r="O150" s="25">
        <v>71311.23</v>
      </c>
      <c r="P150" s="19">
        <f t="shared" si="8"/>
        <v>71311.23</v>
      </c>
      <c r="Q150" s="19">
        <f t="shared" si="9"/>
        <v>0</v>
      </c>
      <c r="R150" s="25">
        <v>26512.28</v>
      </c>
      <c r="S150" s="28">
        <v>97823.51</v>
      </c>
      <c r="T150" s="49">
        <f t="shared" si="10"/>
        <v>97823.51</v>
      </c>
      <c r="U150" s="49">
        <f t="shared" si="11"/>
        <v>0</v>
      </c>
    </row>
    <row r="151" spans="1:21" ht="17" thickBot="1" x14ac:dyDescent="0.25">
      <c r="A151" s="21" t="s">
        <v>303</v>
      </c>
      <c r="B151" s="21" t="s">
        <v>1195</v>
      </c>
      <c r="C151" s="21" t="s">
        <v>824</v>
      </c>
      <c r="D151" s="21" t="s">
        <v>1197</v>
      </c>
      <c r="E151" s="22" t="s">
        <v>12</v>
      </c>
      <c r="F151" s="23" t="s">
        <v>1199</v>
      </c>
      <c r="G151" s="33" t="s">
        <v>14</v>
      </c>
      <c r="H151" s="25">
        <v>68588</v>
      </c>
      <c r="I151" s="26" t="s">
        <v>14</v>
      </c>
      <c r="J151" s="25">
        <v>68460.94</v>
      </c>
      <c r="K151" s="18" t="s">
        <v>3520</v>
      </c>
      <c r="L151" s="18">
        <v>2844.16</v>
      </c>
      <c r="M151" s="27" t="s">
        <v>3520</v>
      </c>
      <c r="N151" s="18"/>
      <c r="O151" s="25">
        <v>71305.100000000006</v>
      </c>
      <c r="P151" s="19">
        <f t="shared" si="8"/>
        <v>71305.100000000006</v>
      </c>
      <c r="Q151" s="19">
        <f t="shared" si="9"/>
        <v>0</v>
      </c>
      <c r="R151" s="25">
        <v>26406.98</v>
      </c>
      <c r="S151" s="28">
        <v>97712.08</v>
      </c>
      <c r="T151" s="49">
        <f t="shared" si="10"/>
        <v>97712.08</v>
      </c>
      <c r="U151" s="49">
        <f t="shared" si="11"/>
        <v>0</v>
      </c>
    </row>
    <row r="152" spans="1:21" ht="17" thickBot="1" x14ac:dyDescent="0.25">
      <c r="A152" s="21" t="s">
        <v>868</v>
      </c>
      <c r="B152" s="21" t="s">
        <v>1203</v>
      </c>
      <c r="C152" s="21" t="s">
        <v>81</v>
      </c>
      <c r="D152" s="21" t="s">
        <v>1205</v>
      </c>
      <c r="E152" s="22" t="s">
        <v>20</v>
      </c>
      <c r="F152" s="23" t="s">
        <v>1080</v>
      </c>
      <c r="G152" s="33" t="s">
        <v>14</v>
      </c>
      <c r="H152" s="25">
        <v>64852.88</v>
      </c>
      <c r="I152" s="26" t="s">
        <v>14</v>
      </c>
      <c r="J152" s="25">
        <v>64921.79</v>
      </c>
      <c r="K152" s="18">
        <v>2403.6799999999998</v>
      </c>
      <c r="L152" s="18">
        <v>3810</v>
      </c>
      <c r="M152" s="27" t="s">
        <v>3520</v>
      </c>
      <c r="N152" s="18"/>
      <c r="O152" s="25">
        <v>71135.47</v>
      </c>
      <c r="P152" s="19">
        <f t="shared" si="8"/>
        <v>71135.47</v>
      </c>
      <c r="Q152" s="19">
        <f t="shared" si="9"/>
        <v>0</v>
      </c>
      <c r="R152" s="25">
        <v>26531.95</v>
      </c>
      <c r="S152" s="28">
        <v>97667.42</v>
      </c>
      <c r="T152" s="49">
        <f t="shared" si="10"/>
        <v>97667.42</v>
      </c>
      <c r="U152" s="49">
        <f t="shared" si="11"/>
        <v>0</v>
      </c>
    </row>
    <row r="153" spans="1:21" ht="17" thickBot="1" x14ac:dyDescent="0.25">
      <c r="A153" s="21" t="s">
        <v>1210</v>
      </c>
      <c r="B153" s="21" t="s">
        <v>1211</v>
      </c>
      <c r="C153" s="21" t="s">
        <v>81</v>
      </c>
      <c r="D153" s="21" t="s">
        <v>378</v>
      </c>
      <c r="E153" s="22" t="s">
        <v>20</v>
      </c>
      <c r="F153" s="23" t="s">
        <v>1064</v>
      </c>
      <c r="G153" s="33" t="s">
        <v>14</v>
      </c>
      <c r="H153" s="25">
        <v>41180.93</v>
      </c>
      <c r="I153" s="26" t="s">
        <v>14</v>
      </c>
      <c r="J153" s="25">
        <v>32597.88</v>
      </c>
      <c r="K153" s="18">
        <v>27675.46</v>
      </c>
      <c r="L153" s="18">
        <v>2769.85</v>
      </c>
      <c r="M153" s="27" t="s">
        <v>3520</v>
      </c>
      <c r="N153" s="18"/>
      <c r="O153" s="25">
        <v>63043.19</v>
      </c>
      <c r="P153" s="19">
        <f t="shared" si="8"/>
        <v>63043.189999999995</v>
      </c>
      <c r="Q153" s="19">
        <f t="shared" si="9"/>
        <v>7.2759576141834259E-12</v>
      </c>
      <c r="R153" s="25">
        <v>34436.660000000003</v>
      </c>
      <c r="S153" s="28">
        <v>97479.85</v>
      </c>
      <c r="T153" s="49">
        <f t="shared" si="10"/>
        <v>97479.85</v>
      </c>
      <c r="U153" s="49">
        <f t="shared" si="11"/>
        <v>0</v>
      </c>
    </row>
    <row r="154" spans="1:21" ht="17" thickBot="1" x14ac:dyDescent="0.25">
      <c r="A154" s="21" t="s">
        <v>1218</v>
      </c>
      <c r="B154" s="21" t="s">
        <v>1219</v>
      </c>
      <c r="C154" s="21" t="s">
        <v>65</v>
      </c>
      <c r="D154" s="21" t="s">
        <v>594</v>
      </c>
      <c r="E154" s="22" t="s">
        <v>20</v>
      </c>
      <c r="F154" s="23" t="s">
        <v>1104</v>
      </c>
      <c r="G154" s="33" t="s">
        <v>14</v>
      </c>
      <c r="H154" s="25">
        <v>60590.400000000001</v>
      </c>
      <c r="I154" s="26" t="s">
        <v>14</v>
      </c>
      <c r="J154" s="25">
        <v>61879.4</v>
      </c>
      <c r="K154" s="18">
        <v>1709.08</v>
      </c>
      <c r="L154" s="18">
        <v>3197.37</v>
      </c>
      <c r="M154" s="27" t="s">
        <v>3520</v>
      </c>
      <c r="N154" s="18"/>
      <c r="O154" s="25">
        <v>66785.850000000006</v>
      </c>
      <c r="P154" s="19">
        <f t="shared" si="8"/>
        <v>66785.850000000006</v>
      </c>
      <c r="Q154" s="19">
        <f t="shared" si="9"/>
        <v>0</v>
      </c>
      <c r="R154" s="25">
        <v>30683.17</v>
      </c>
      <c r="S154" s="28">
        <v>97469.02</v>
      </c>
      <c r="T154" s="49">
        <f t="shared" si="10"/>
        <v>97469.02</v>
      </c>
      <c r="U154" s="49">
        <f t="shared" si="11"/>
        <v>0</v>
      </c>
    </row>
    <row r="155" spans="1:21" ht="17" thickBot="1" x14ac:dyDescent="0.25">
      <c r="A155" s="21" t="s">
        <v>1226</v>
      </c>
      <c r="B155" s="21" t="s">
        <v>1227</v>
      </c>
      <c r="C155" s="21" t="s">
        <v>886</v>
      </c>
      <c r="D155" s="21" t="s">
        <v>1229</v>
      </c>
      <c r="E155" s="22" t="s">
        <v>12</v>
      </c>
      <c r="F155" s="23" t="s">
        <v>1231</v>
      </c>
      <c r="G155" s="33" t="s">
        <v>14</v>
      </c>
      <c r="H155" s="25">
        <v>59009.599999999999</v>
      </c>
      <c r="I155" s="26" t="s">
        <v>14</v>
      </c>
      <c r="J155" s="25">
        <v>59690.42</v>
      </c>
      <c r="K155" s="18">
        <v>2013</v>
      </c>
      <c r="L155" s="18">
        <v>1170</v>
      </c>
      <c r="M155" s="27" t="s">
        <v>3520</v>
      </c>
      <c r="N155" s="18"/>
      <c r="O155" s="25">
        <v>62873.42</v>
      </c>
      <c r="P155" s="19">
        <f t="shared" si="8"/>
        <v>62873.42</v>
      </c>
      <c r="Q155" s="19">
        <f t="shared" si="9"/>
        <v>0</v>
      </c>
      <c r="R155" s="25">
        <v>34543.26</v>
      </c>
      <c r="S155" s="28">
        <v>97416.68</v>
      </c>
      <c r="T155" s="49">
        <f t="shared" si="10"/>
        <v>97416.68</v>
      </c>
      <c r="U155" s="49">
        <f t="shared" si="11"/>
        <v>0</v>
      </c>
    </row>
    <row r="156" spans="1:21" ht="17" thickBot="1" x14ac:dyDescent="0.25">
      <c r="A156" s="21" t="s">
        <v>1234</v>
      </c>
      <c r="B156" s="21" t="s">
        <v>680</v>
      </c>
      <c r="C156" s="21" t="s">
        <v>65</v>
      </c>
      <c r="D156" s="21" t="s">
        <v>594</v>
      </c>
      <c r="E156" s="22" t="s">
        <v>20</v>
      </c>
      <c r="F156" s="23" t="s">
        <v>1239</v>
      </c>
      <c r="G156" s="33" t="s">
        <v>14</v>
      </c>
      <c r="H156" s="25">
        <v>56971.199999999997</v>
      </c>
      <c r="I156" s="26" t="s">
        <v>14</v>
      </c>
      <c r="J156" s="25">
        <v>57652.639999999999</v>
      </c>
      <c r="K156" s="18">
        <v>1570.46</v>
      </c>
      <c r="L156" s="18">
        <v>3432.77</v>
      </c>
      <c r="M156" s="27" t="s">
        <v>3520</v>
      </c>
      <c r="N156" s="18"/>
      <c r="O156" s="25">
        <v>62655.87</v>
      </c>
      <c r="P156" s="19">
        <f t="shared" si="8"/>
        <v>62655.869999999995</v>
      </c>
      <c r="Q156" s="19">
        <f t="shared" si="9"/>
        <v>7.2759576141834259E-12</v>
      </c>
      <c r="R156" s="25">
        <v>34555.49</v>
      </c>
      <c r="S156" s="28">
        <v>97211.36</v>
      </c>
      <c r="T156" s="49">
        <f t="shared" si="10"/>
        <v>97211.36</v>
      </c>
      <c r="U156" s="49">
        <f t="shared" si="11"/>
        <v>0</v>
      </c>
    </row>
    <row r="157" spans="1:21" ht="17" thickBot="1" x14ac:dyDescent="0.25">
      <c r="A157" s="21" t="s">
        <v>1242</v>
      </c>
      <c r="B157" s="21" t="s">
        <v>592</v>
      </c>
      <c r="C157" s="21" t="s">
        <v>281</v>
      </c>
      <c r="D157" s="21" t="s">
        <v>1245</v>
      </c>
      <c r="E157" s="22" t="s">
        <v>12</v>
      </c>
      <c r="F157" s="23" t="s">
        <v>1247</v>
      </c>
      <c r="G157" s="33" t="s">
        <v>14</v>
      </c>
      <c r="H157" s="25">
        <v>64064</v>
      </c>
      <c r="I157" s="26" t="s">
        <v>14</v>
      </c>
      <c r="J157" s="25">
        <v>64656.09</v>
      </c>
      <c r="K157" s="18">
        <v>3567.98</v>
      </c>
      <c r="L157" s="18">
        <v>2114</v>
      </c>
      <c r="M157" s="27" t="s">
        <v>3520</v>
      </c>
      <c r="N157" s="18"/>
      <c r="O157" s="25">
        <v>70338.070000000007</v>
      </c>
      <c r="P157" s="19">
        <f t="shared" si="8"/>
        <v>70338.069999999992</v>
      </c>
      <c r="Q157" s="19">
        <f t="shared" si="9"/>
        <v>1.4551915228366852E-11</v>
      </c>
      <c r="R157" s="25">
        <v>26203.66</v>
      </c>
      <c r="S157" s="28">
        <v>96541.73</v>
      </c>
      <c r="T157" s="49">
        <f t="shared" si="10"/>
        <v>96541.73000000001</v>
      </c>
      <c r="U157" s="49">
        <f t="shared" si="11"/>
        <v>-1.4551915228366852E-11</v>
      </c>
    </row>
    <row r="158" spans="1:21" ht="17" thickBot="1" x14ac:dyDescent="0.25">
      <c r="A158" s="21" t="s">
        <v>868</v>
      </c>
      <c r="B158" s="21" t="s">
        <v>632</v>
      </c>
      <c r="C158" s="21" t="s">
        <v>1252</v>
      </c>
      <c r="D158" s="21" t="s">
        <v>1253</v>
      </c>
      <c r="E158" s="22" t="s">
        <v>12</v>
      </c>
      <c r="F158" s="23" t="s">
        <v>1255</v>
      </c>
      <c r="G158" s="33" t="s">
        <v>14</v>
      </c>
      <c r="H158" s="25">
        <v>60257.599999999999</v>
      </c>
      <c r="I158" s="26" t="s">
        <v>14</v>
      </c>
      <c r="J158" s="25">
        <v>61211.43</v>
      </c>
      <c r="K158" s="18">
        <v>991.51</v>
      </c>
      <c r="L158" s="18">
        <v>5646.16</v>
      </c>
      <c r="M158" s="27" t="s">
        <v>3520</v>
      </c>
      <c r="N158" s="18"/>
      <c r="O158" s="25">
        <v>67849.100000000006</v>
      </c>
      <c r="P158" s="19">
        <f t="shared" si="8"/>
        <v>67849.100000000006</v>
      </c>
      <c r="Q158" s="19">
        <f t="shared" si="9"/>
        <v>0</v>
      </c>
      <c r="R158" s="25">
        <v>27943.53</v>
      </c>
      <c r="S158" s="28">
        <v>95792.63</v>
      </c>
      <c r="T158" s="49">
        <f t="shared" si="10"/>
        <v>95792.63</v>
      </c>
      <c r="U158" s="49">
        <f t="shared" si="11"/>
        <v>0</v>
      </c>
    </row>
    <row r="159" spans="1:21" ht="17" thickBot="1" x14ac:dyDescent="0.25">
      <c r="A159" s="21" t="s">
        <v>1258</v>
      </c>
      <c r="B159" s="21" t="s">
        <v>1259</v>
      </c>
      <c r="C159" s="21" t="s">
        <v>1260</v>
      </c>
      <c r="D159" s="21" t="s">
        <v>1261</v>
      </c>
      <c r="E159" s="22" t="s">
        <v>12</v>
      </c>
      <c r="F159" s="23" t="s">
        <v>1263</v>
      </c>
      <c r="G159" s="34" t="s">
        <v>1264</v>
      </c>
      <c r="H159" s="25">
        <v>142345.32</v>
      </c>
      <c r="I159" s="25">
        <v>15876.98</v>
      </c>
      <c r="J159" s="25">
        <v>54536.11</v>
      </c>
      <c r="K159" s="18" t="s">
        <v>3520</v>
      </c>
      <c r="L159" s="18">
        <v>442.5</v>
      </c>
      <c r="M159" s="27" t="s">
        <v>3520</v>
      </c>
      <c r="N159" s="18"/>
      <c r="O159" s="18">
        <v>70855.59</v>
      </c>
      <c r="P159" s="19">
        <f t="shared" si="8"/>
        <v>70855.59</v>
      </c>
      <c r="Q159" s="19">
        <f t="shared" si="9"/>
        <v>0</v>
      </c>
      <c r="R159" s="25">
        <v>24773.95</v>
      </c>
      <c r="S159" s="28">
        <v>95629.54</v>
      </c>
      <c r="T159" s="49">
        <f t="shared" si="10"/>
        <v>95629.54</v>
      </c>
      <c r="U159" s="49">
        <f t="shared" si="11"/>
        <v>0</v>
      </c>
    </row>
    <row r="160" spans="1:21" ht="17" thickBot="1" x14ac:dyDescent="0.25">
      <c r="A160" s="21" t="s">
        <v>1265</v>
      </c>
      <c r="B160" s="21" t="s">
        <v>1124</v>
      </c>
      <c r="C160" s="21" t="s">
        <v>65</v>
      </c>
      <c r="D160" s="21" t="s">
        <v>1268</v>
      </c>
      <c r="E160" s="22" t="s">
        <v>12</v>
      </c>
      <c r="F160" s="23" t="s">
        <v>1191</v>
      </c>
      <c r="G160" s="33" t="s">
        <v>14</v>
      </c>
      <c r="H160" s="25">
        <v>67288</v>
      </c>
      <c r="I160" s="26" t="s">
        <v>14</v>
      </c>
      <c r="J160" s="25">
        <v>67494.31</v>
      </c>
      <c r="K160" s="18">
        <v>621.82000000000005</v>
      </c>
      <c r="L160" s="18">
        <v>1227</v>
      </c>
      <c r="M160" s="27" t="s">
        <v>3520</v>
      </c>
      <c r="N160" s="18"/>
      <c r="O160" s="25">
        <v>69343.13</v>
      </c>
      <c r="P160" s="19">
        <f t="shared" si="8"/>
        <v>69343.13</v>
      </c>
      <c r="Q160" s="19">
        <f t="shared" si="9"/>
        <v>0</v>
      </c>
      <c r="R160" s="25">
        <v>26072.6</v>
      </c>
      <c r="S160" s="28">
        <v>95415.73</v>
      </c>
      <c r="T160" s="49">
        <f t="shared" si="10"/>
        <v>95415.73000000001</v>
      </c>
      <c r="U160" s="49">
        <f t="shared" si="11"/>
        <v>-1.4551915228366852E-11</v>
      </c>
    </row>
    <row r="161" spans="1:21" ht="17" thickBot="1" x14ac:dyDescent="0.25">
      <c r="A161" s="21" t="s">
        <v>1273</v>
      </c>
      <c r="B161" s="21" t="s">
        <v>1274</v>
      </c>
      <c r="C161" s="21" t="s">
        <v>256</v>
      </c>
      <c r="D161" s="21" t="s">
        <v>1126</v>
      </c>
      <c r="E161" s="22" t="s">
        <v>12</v>
      </c>
      <c r="F161" s="23" t="s">
        <v>219</v>
      </c>
      <c r="G161" s="33" t="s">
        <v>14</v>
      </c>
      <c r="H161" s="25">
        <v>67862.080000000002</v>
      </c>
      <c r="I161" s="26" t="s">
        <v>14</v>
      </c>
      <c r="J161" s="25">
        <v>67736.37</v>
      </c>
      <c r="K161" s="18" t="s">
        <v>3520</v>
      </c>
      <c r="L161" s="18">
        <v>1886</v>
      </c>
      <c r="M161" s="27" t="s">
        <v>3520</v>
      </c>
      <c r="N161" s="18"/>
      <c r="O161" s="25">
        <v>69622.37</v>
      </c>
      <c r="P161" s="19">
        <f t="shared" si="8"/>
        <v>69622.37</v>
      </c>
      <c r="Q161" s="19">
        <f t="shared" si="9"/>
        <v>0</v>
      </c>
      <c r="R161" s="25">
        <v>25643.99</v>
      </c>
      <c r="S161" s="28">
        <v>95266.36</v>
      </c>
      <c r="T161" s="49">
        <f t="shared" si="10"/>
        <v>95266.36</v>
      </c>
      <c r="U161" s="49">
        <f t="shared" si="11"/>
        <v>0</v>
      </c>
    </row>
    <row r="162" spans="1:21" ht="17" thickBot="1" x14ac:dyDescent="0.25">
      <c r="A162" s="21" t="s">
        <v>1281</v>
      </c>
      <c r="B162" s="21" t="s">
        <v>1282</v>
      </c>
      <c r="C162" s="21" t="s">
        <v>1283</v>
      </c>
      <c r="D162" s="21" t="s">
        <v>1284</v>
      </c>
      <c r="E162" s="22" t="s">
        <v>12</v>
      </c>
      <c r="F162" s="23" t="s">
        <v>1286</v>
      </c>
      <c r="G162" s="33" t="s">
        <v>14</v>
      </c>
      <c r="H162" s="25">
        <v>66181.179999999993</v>
      </c>
      <c r="I162" s="26" t="s">
        <v>14</v>
      </c>
      <c r="J162" s="25">
        <v>66058.58</v>
      </c>
      <c r="K162" s="18" t="s">
        <v>3520</v>
      </c>
      <c r="L162" s="18">
        <v>3055</v>
      </c>
      <c r="M162" s="27" t="s">
        <v>3520</v>
      </c>
      <c r="N162" s="18"/>
      <c r="O162" s="25">
        <v>69113.58</v>
      </c>
      <c r="P162" s="19">
        <f t="shared" si="8"/>
        <v>69113.58</v>
      </c>
      <c r="Q162" s="19">
        <f t="shared" si="9"/>
        <v>0</v>
      </c>
      <c r="R162" s="25">
        <v>26077.23</v>
      </c>
      <c r="S162" s="28">
        <v>95190.81</v>
      </c>
      <c r="T162" s="49">
        <f t="shared" si="10"/>
        <v>95190.81</v>
      </c>
      <c r="U162" s="49">
        <f t="shared" si="11"/>
        <v>0</v>
      </c>
    </row>
    <row r="163" spans="1:21" ht="17" thickBot="1" x14ac:dyDescent="0.25">
      <c r="A163" s="21" t="s">
        <v>1289</v>
      </c>
      <c r="B163" s="21" t="s">
        <v>1290</v>
      </c>
      <c r="C163" s="21" t="s">
        <v>1291</v>
      </c>
      <c r="D163" s="21" t="s">
        <v>1292</v>
      </c>
      <c r="E163" s="22" t="s">
        <v>12</v>
      </c>
      <c r="F163" s="23" t="s">
        <v>1294</v>
      </c>
      <c r="G163" s="33" t="s">
        <v>14</v>
      </c>
      <c r="H163" s="25">
        <v>63193.78</v>
      </c>
      <c r="I163" s="26" t="s">
        <v>14</v>
      </c>
      <c r="J163" s="25">
        <v>63576.72</v>
      </c>
      <c r="K163" s="18" t="s">
        <v>3520</v>
      </c>
      <c r="L163" s="18">
        <v>1200</v>
      </c>
      <c r="M163" s="27" t="s">
        <v>3520</v>
      </c>
      <c r="N163" s="18"/>
      <c r="O163" s="25">
        <v>64776.72</v>
      </c>
      <c r="P163" s="19">
        <f t="shared" si="8"/>
        <v>64776.72</v>
      </c>
      <c r="Q163" s="19">
        <f t="shared" si="9"/>
        <v>0</v>
      </c>
      <c r="R163" s="25">
        <v>30094.32</v>
      </c>
      <c r="S163" s="28">
        <v>94871.039999999994</v>
      </c>
      <c r="T163" s="49">
        <f t="shared" si="10"/>
        <v>94871.040000000008</v>
      </c>
      <c r="U163" s="49">
        <f t="shared" si="11"/>
        <v>-1.4551915228366852E-11</v>
      </c>
    </row>
    <row r="164" spans="1:21" ht="17" thickBot="1" x14ac:dyDescent="0.25">
      <c r="A164" s="21" t="s">
        <v>1297</v>
      </c>
      <c r="B164" s="21" t="s">
        <v>917</v>
      </c>
      <c r="C164" s="21" t="s">
        <v>65</v>
      </c>
      <c r="D164" s="21" t="s">
        <v>594</v>
      </c>
      <c r="E164" s="22" t="s">
        <v>20</v>
      </c>
      <c r="F164" s="23" t="s">
        <v>492</v>
      </c>
      <c r="G164" s="33" t="s">
        <v>14</v>
      </c>
      <c r="H164" s="25">
        <v>56971.199999999997</v>
      </c>
      <c r="I164" s="26" t="s">
        <v>14</v>
      </c>
      <c r="J164" s="25">
        <v>58108.31</v>
      </c>
      <c r="K164" s="18">
        <v>3984.46</v>
      </c>
      <c r="L164" s="18">
        <v>2129.3000000000002</v>
      </c>
      <c r="M164" s="27" t="s">
        <v>3520</v>
      </c>
      <c r="N164" s="18"/>
      <c r="O164" s="25">
        <v>64222.07</v>
      </c>
      <c r="P164" s="19">
        <f t="shared" si="8"/>
        <v>64222.07</v>
      </c>
      <c r="Q164" s="19">
        <f t="shared" si="9"/>
        <v>0</v>
      </c>
      <c r="R164" s="25">
        <v>30181.97</v>
      </c>
      <c r="S164" s="28">
        <v>94404.04</v>
      </c>
      <c r="T164" s="49">
        <f t="shared" si="10"/>
        <v>94404.040000000008</v>
      </c>
      <c r="U164" s="49">
        <f t="shared" si="11"/>
        <v>-1.4551915228366852E-11</v>
      </c>
    </row>
    <row r="165" spans="1:21" ht="17" thickBot="1" x14ac:dyDescent="0.25">
      <c r="A165" s="21" t="s">
        <v>1305</v>
      </c>
      <c r="B165" s="21" t="s">
        <v>1259</v>
      </c>
      <c r="C165" s="21" t="s">
        <v>65</v>
      </c>
      <c r="D165" s="21" t="s">
        <v>594</v>
      </c>
      <c r="E165" s="22" t="s">
        <v>20</v>
      </c>
      <c r="F165" s="23" t="s">
        <v>850</v>
      </c>
      <c r="G165" s="33" t="s">
        <v>14</v>
      </c>
      <c r="H165" s="25">
        <v>58822.400000000001</v>
      </c>
      <c r="I165" s="26" t="s">
        <v>14</v>
      </c>
      <c r="J165" s="25">
        <v>60004.41</v>
      </c>
      <c r="K165" s="18">
        <v>4830.8999999999996</v>
      </c>
      <c r="L165" s="18">
        <v>3718.98</v>
      </c>
      <c r="M165" s="27" t="s">
        <v>3520</v>
      </c>
      <c r="N165" s="18"/>
      <c r="O165" s="25">
        <v>68554.289999999994</v>
      </c>
      <c r="P165" s="19">
        <f t="shared" si="8"/>
        <v>68554.290000000008</v>
      </c>
      <c r="Q165" s="19">
        <f t="shared" si="9"/>
        <v>-1.4551915228366852E-11</v>
      </c>
      <c r="R165" s="25">
        <v>25629.61</v>
      </c>
      <c r="S165" s="28">
        <v>94183.9</v>
      </c>
      <c r="T165" s="49">
        <f t="shared" si="10"/>
        <v>94183.9</v>
      </c>
      <c r="U165" s="49">
        <f t="shared" si="11"/>
        <v>0</v>
      </c>
    </row>
    <row r="166" spans="1:21" ht="17" thickBot="1" x14ac:dyDescent="0.25">
      <c r="A166" s="21" t="s">
        <v>1313</v>
      </c>
      <c r="B166" s="21" t="s">
        <v>1314</v>
      </c>
      <c r="C166" s="21" t="s">
        <v>1315</v>
      </c>
      <c r="D166" s="21" t="s">
        <v>1316</v>
      </c>
      <c r="E166" s="22" t="s">
        <v>12</v>
      </c>
      <c r="F166" s="23" t="s">
        <v>1318</v>
      </c>
      <c r="G166" s="33" t="s">
        <v>14</v>
      </c>
      <c r="H166" s="25">
        <v>66713.14</v>
      </c>
      <c r="I166" s="26" t="s">
        <v>14</v>
      </c>
      <c r="J166" s="25">
        <v>66589.56</v>
      </c>
      <c r="K166" s="18" t="s">
        <v>3520</v>
      </c>
      <c r="L166" s="18">
        <v>1282.08</v>
      </c>
      <c r="M166" s="27" t="s">
        <v>3520</v>
      </c>
      <c r="N166" s="18"/>
      <c r="O166" s="25">
        <v>67871.64</v>
      </c>
      <c r="P166" s="19">
        <f t="shared" si="8"/>
        <v>67871.64</v>
      </c>
      <c r="Q166" s="19">
        <f t="shared" si="9"/>
        <v>0</v>
      </c>
      <c r="R166" s="25">
        <v>25818.26</v>
      </c>
      <c r="S166" s="28">
        <v>93689.9</v>
      </c>
      <c r="T166" s="49">
        <f t="shared" si="10"/>
        <v>93689.9</v>
      </c>
      <c r="U166" s="49">
        <f t="shared" si="11"/>
        <v>0</v>
      </c>
    </row>
    <row r="167" spans="1:21" ht="17" thickBot="1" x14ac:dyDescent="0.25">
      <c r="A167" s="21" t="s">
        <v>1321</v>
      </c>
      <c r="B167" s="21" t="s">
        <v>1259</v>
      </c>
      <c r="C167" s="21" t="s">
        <v>1323</v>
      </c>
      <c r="D167" s="21" t="s">
        <v>1324</v>
      </c>
      <c r="E167" s="22" t="s">
        <v>12</v>
      </c>
      <c r="F167" s="23" t="s">
        <v>1326</v>
      </c>
      <c r="G167" s="33" t="s">
        <v>14</v>
      </c>
      <c r="H167" s="25">
        <v>57782.400000000001</v>
      </c>
      <c r="I167" s="26" t="s">
        <v>14</v>
      </c>
      <c r="J167" s="25">
        <v>58018.29</v>
      </c>
      <c r="K167" s="18">
        <v>1462.91</v>
      </c>
      <c r="L167" s="18">
        <v>170</v>
      </c>
      <c r="M167" s="27" t="s">
        <v>3520</v>
      </c>
      <c r="N167" s="18"/>
      <c r="O167" s="25">
        <v>59651.199999999997</v>
      </c>
      <c r="P167" s="19">
        <f t="shared" si="8"/>
        <v>59651.200000000004</v>
      </c>
      <c r="Q167" s="19">
        <f t="shared" si="9"/>
        <v>-7.2759576141834259E-12</v>
      </c>
      <c r="R167" s="25">
        <v>33915.79</v>
      </c>
      <c r="S167" s="28">
        <v>93566.99</v>
      </c>
      <c r="T167" s="49">
        <f t="shared" si="10"/>
        <v>93566.989999999991</v>
      </c>
      <c r="U167" s="49">
        <f t="shared" si="11"/>
        <v>1.4551915228366852E-11</v>
      </c>
    </row>
    <row r="168" spans="1:21" ht="17" thickBot="1" x14ac:dyDescent="0.25">
      <c r="A168" s="21" t="s">
        <v>1329</v>
      </c>
      <c r="B168" s="21" t="s">
        <v>1330</v>
      </c>
      <c r="C168" s="21" t="s">
        <v>208</v>
      </c>
      <c r="D168" s="21" t="s">
        <v>1332</v>
      </c>
      <c r="E168" s="22" t="s">
        <v>12</v>
      </c>
      <c r="F168" s="23" t="s">
        <v>1334</v>
      </c>
      <c r="G168" s="33" t="s">
        <v>14</v>
      </c>
      <c r="H168" s="25">
        <v>54204.800000000003</v>
      </c>
      <c r="I168" s="26" t="s">
        <v>14</v>
      </c>
      <c r="J168" s="25">
        <v>55381.79</v>
      </c>
      <c r="K168" s="18">
        <v>1504.3</v>
      </c>
      <c r="L168" s="18">
        <v>5158.1400000000003</v>
      </c>
      <c r="M168" s="27" t="s">
        <v>3520</v>
      </c>
      <c r="N168" s="18"/>
      <c r="O168" s="25">
        <v>62044.23</v>
      </c>
      <c r="P168" s="19">
        <f t="shared" si="8"/>
        <v>62044.23</v>
      </c>
      <c r="Q168" s="19">
        <f t="shared" si="9"/>
        <v>0</v>
      </c>
      <c r="R168" s="25">
        <v>31521.74</v>
      </c>
      <c r="S168" s="28">
        <v>93565.97</v>
      </c>
      <c r="T168" s="49">
        <f t="shared" si="10"/>
        <v>93565.97</v>
      </c>
      <c r="U168" s="49">
        <f t="shared" si="11"/>
        <v>0</v>
      </c>
    </row>
    <row r="169" spans="1:21" ht="17" thickBot="1" x14ac:dyDescent="0.25">
      <c r="A169" s="21" t="s">
        <v>868</v>
      </c>
      <c r="B169" s="21" t="s">
        <v>1338</v>
      </c>
      <c r="C169" s="21" t="s">
        <v>81</v>
      </c>
      <c r="D169" s="21" t="s">
        <v>378</v>
      </c>
      <c r="E169" s="22" t="s">
        <v>20</v>
      </c>
      <c r="F169" s="23" t="s">
        <v>1088</v>
      </c>
      <c r="G169" s="33" t="s">
        <v>14</v>
      </c>
      <c r="H169" s="25">
        <v>54497.78</v>
      </c>
      <c r="I169" s="26" t="s">
        <v>14</v>
      </c>
      <c r="J169" s="25">
        <v>54880.71</v>
      </c>
      <c r="K169" s="18">
        <v>7091.76</v>
      </c>
      <c r="L169" s="18">
        <v>911.57</v>
      </c>
      <c r="M169" s="27" t="s">
        <v>3520</v>
      </c>
      <c r="N169" s="18"/>
      <c r="O169" s="25">
        <v>62884.04</v>
      </c>
      <c r="P169" s="19">
        <f t="shared" si="8"/>
        <v>62884.04</v>
      </c>
      <c r="Q169" s="19">
        <f t="shared" si="9"/>
        <v>0</v>
      </c>
      <c r="R169" s="25">
        <v>30558.66</v>
      </c>
      <c r="S169" s="28">
        <v>93442.7</v>
      </c>
      <c r="T169" s="49">
        <f t="shared" si="10"/>
        <v>93442.7</v>
      </c>
      <c r="U169" s="49">
        <f t="shared" si="11"/>
        <v>0</v>
      </c>
    </row>
    <row r="170" spans="1:21" ht="17" thickBot="1" x14ac:dyDescent="0.25">
      <c r="A170" s="10" t="s">
        <v>1345</v>
      </c>
      <c r="B170" s="10" t="s">
        <v>885</v>
      </c>
      <c r="C170" s="10" t="s">
        <v>65</v>
      </c>
      <c r="D170" s="10" t="s">
        <v>594</v>
      </c>
      <c r="E170" s="11" t="s">
        <v>20</v>
      </c>
      <c r="F170" s="12" t="s">
        <v>1350</v>
      </c>
      <c r="G170" s="32" t="s">
        <v>14</v>
      </c>
      <c r="H170" s="14">
        <v>58822.400000000001</v>
      </c>
      <c r="I170" s="15" t="s">
        <v>14</v>
      </c>
      <c r="J170" s="14">
        <v>60071.25</v>
      </c>
      <c r="K170" s="16">
        <v>4284.6499999999996</v>
      </c>
      <c r="L170" s="16">
        <v>3260.58</v>
      </c>
      <c r="M170" s="17" t="s">
        <v>3520</v>
      </c>
      <c r="N170" s="18"/>
      <c r="O170" s="14">
        <v>67616.479999999996</v>
      </c>
      <c r="P170" s="19">
        <f t="shared" si="8"/>
        <v>67616.479999999996</v>
      </c>
      <c r="Q170" s="19">
        <f t="shared" si="9"/>
        <v>0</v>
      </c>
      <c r="R170" s="14">
        <v>25610.35</v>
      </c>
      <c r="S170" s="20">
        <v>93226.83</v>
      </c>
      <c r="T170" s="49">
        <f t="shared" si="10"/>
        <v>93226.829999999987</v>
      </c>
      <c r="U170" s="49">
        <f t="shared" si="11"/>
        <v>1.4551915228366852E-11</v>
      </c>
    </row>
    <row r="171" spans="1:21" ht="17" thickBot="1" x14ac:dyDescent="0.25">
      <c r="A171" s="21" t="s">
        <v>1353</v>
      </c>
      <c r="B171" s="21" t="s">
        <v>1354</v>
      </c>
      <c r="C171" s="21" t="s">
        <v>137</v>
      </c>
      <c r="D171" s="21" t="s">
        <v>1356</v>
      </c>
      <c r="E171" s="22" t="s">
        <v>12</v>
      </c>
      <c r="F171" s="23" t="s">
        <v>1358</v>
      </c>
      <c r="G171" s="33" t="s">
        <v>14</v>
      </c>
      <c r="H171" s="25">
        <v>57886.400000000001</v>
      </c>
      <c r="I171" s="26" t="s">
        <v>14</v>
      </c>
      <c r="J171" s="25">
        <v>58308.42</v>
      </c>
      <c r="K171" s="18">
        <v>2666.51</v>
      </c>
      <c r="L171" s="18">
        <v>1633</v>
      </c>
      <c r="M171" s="27" t="s">
        <v>3520</v>
      </c>
      <c r="N171" s="18"/>
      <c r="O171" s="25">
        <v>62607.93</v>
      </c>
      <c r="P171" s="19">
        <f t="shared" si="8"/>
        <v>62607.93</v>
      </c>
      <c r="Q171" s="19">
        <f t="shared" si="9"/>
        <v>0</v>
      </c>
      <c r="R171" s="25">
        <v>30516.71</v>
      </c>
      <c r="S171" s="28">
        <v>93124.64</v>
      </c>
      <c r="T171" s="49">
        <f t="shared" si="10"/>
        <v>93124.64</v>
      </c>
      <c r="U171" s="49">
        <f t="shared" si="11"/>
        <v>0</v>
      </c>
    </row>
    <row r="172" spans="1:21" ht="17" thickBot="1" x14ac:dyDescent="0.25">
      <c r="A172" s="21" t="s">
        <v>1361</v>
      </c>
      <c r="B172" s="21" t="s">
        <v>592</v>
      </c>
      <c r="C172" s="21" t="s">
        <v>81</v>
      </c>
      <c r="D172" s="21" t="s">
        <v>378</v>
      </c>
      <c r="E172" s="22" t="s">
        <v>20</v>
      </c>
      <c r="F172" s="23" t="s">
        <v>1366</v>
      </c>
      <c r="G172" s="33" t="s">
        <v>14</v>
      </c>
      <c r="H172" s="25">
        <v>52543.17</v>
      </c>
      <c r="I172" s="26" t="s">
        <v>14</v>
      </c>
      <c r="J172" s="25">
        <v>53240.94</v>
      </c>
      <c r="K172" s="18">
        <v>10698.16</v>
      </c>
      <c r="L172" s="18">
        <v>3075.22</v>
      </c>
      <c r="M172" s="27" t="s">
        <v>3520</v>
      </c>
      <c r="N172" s="18"/>
      <c r="O172" s="25">
        <v>67014.320000000007</v>
      </c>
      <c r="P172" s="19">
        <f t="shared" si="8"/>
        <v>67014.320000000007</v>
      </c>
      <c r="Q172" s="19">
        <f t="shared" si="9"/>
        <v>0</v>
      </c>
      <c r="R172" s="25">
        <v>25571.439999999999</v>
      </c>
      <c r="S172" s="28">
        <v>92585.76</v>
      </c>
      <c r="T172" s="49">
        <f t="shared" si="10"/>
        <v>92585.760000000009</v>
      </c>
      <c r="U172" s="49">
        <f t="shared" si="11"/>
        <v>-1.4551915228366852E-11</v>
      </c>
    </row>
    <row r="173" spans="1:21" ht="17" thickBot="1" x14ac:dyDescent="0.25">
      <c r="A173" s="21" t="s">
        <v>1369</v>
      </c>
      <c r="B173" s="21" t="s">
        <v>1370</v>
      </c>
      <c r="C173" s="21" t="s">
        <v>1371</v>
      </c>
      <c r="D173" s="21" t="s">
        <v>1372</v>
      </c>
      <c r="E173" s="22" t="s">
        <v>12</v>
      </c>
      <c r="F173" s="23" t="s">
        <v>1374</v>
      </c>
      <c r="G173" s="34" t="s">
        <v>1375</v>
      </c>
      <c r="H173" s="25">
        <v>85720.960000000006</v>
      </c>
      <c r="I173" s="25">
        <v>974.66</v>
      </c>
      <c r="J173" s="18">
        <v>65811.48</v>
      </c>
      <c r="K173" s="18" t="s">
        <v>3520</v>
      </c>
      <c r="L173" s="18">
        <v>1852.08</v>
      </c>
      <c r="M173" s="27" t="s">
        <v>3520</v>
      </c>
      <c r="N173" s="18"/>
      <c r="O173" s="25">
        <v>68638.22</v>
      </c>
      <c r="P173" s="19">
        <f t="shared" si="8"/>
        <v>68638.22</v>
      </c>
      <c r="Q173" s="19">
        <f t="shared" si="9"/>
        <v>0</v>
      </c>
      <c r="R173" s="25">
        <v>23455.4</v>
      </c>
      <c r="S173" s="28">
        <v>92093.62</v>
      </c>
      <c r="T173" s="49">
        <f t="shared" si="10"/>
        <v>92093.62</v>
      </c>
      <c r="U173" s="49">
        <f t="shared" si="11"/>
        <v>0</v>
      </c>
    </row>
    <row r="174" spans="1:21" ht="17" thickBot="1" x14ac:dyDescent="0.25">
      <c r="A174" s="21" t="s">
        <v>1376</v>
      </c>
      <c r="B174" s="21" t="s">
        <v>1377</v>
      </c>
      <c r="C174" s="21" t="s">
        <v>1371</v>
      </c>
      <c r="D174" s="21" t="s">
        <v>1379</v>
      </c>
      <c r="E174" s="22" t="s">
        <v>12</v>
      </c>
      <c r="F174" s="23" t="s">
        <v>1381</v>
      </c>
      <c r="G174" s="33" t="s">
        <v>14</v>
      </c>
      <c r="H174" s="25">
        <v>62732.800000000003</v>
      </c>
      <c r="I174" s="26" t="s">
        <v>14</v>
      </c>
      <c r="J174" s="25">
        <v>62634.83</v>
      </c>
      <c r="K174" s="18">
        <v>50.79</v>
      </c>
      <c r="L174" s="25">
        <v>3390.66</v>
      </c>
      <c r="M174" s="27" t="s">
        <v>3520</v>
      </c>
      <c r="N174" s="18"/>
      <c r="O174" s="25">
        <v>66076.28</v>
      </c>
      <c r="P174" s="19">
        <f t="shared" si="8"/>
        <v>66076.28</v>
      </c>
      <c r="Q174" s="19">
        <f t="shared" si="9"/>
        <v>0</v>
      </c>
      <c r="R174" s="25">
        <v>25356.54</v>
      </c>
      <c r="S174" s="28">
        <v>91432.82</v>
      </c>
      <c r="T174" s="49">
        <f t="shared" si="10"/>
        <v>91432.82</v>
      </c>
      <c r="U174" s="49">
        <f t="shared" si="11"/>
        <v>0</v>
      </c>
    </row>
    <row r="175" spans="1:21" ht="17" thickBot="1" x14ac:dyDescent="0.25">
      <c r="A175" s="21" t="s">
        <v>1384</v>
      </c>
      <c r="B175" s="21" t="s">
        <v>1385</v>
      </c>
      <c r="C175" s="21" t="s">
        <v>97</v>
      </c>
      <c r="D175" s="21" t="s">
        <v>1387</v>
      </c>
      <c r="E175" s="22" t="s">
        <v>12</v>
      </c>
      <c r="F175" s="23" t="s">
        <v>1326</v>
      </c>
      <c r="G175" s="33" t="s">
        <v>14</v>
      </c>
      <c r="H175" s="25">
        <v>65137.279999999999</v>
      </c>
      <c r="I175" s="26" t="s">
        <v>14</v>
      </c>
      <c r="J175" s="25">
        <v>65016.62</v>
      </c>
      <c r="K175" s="18" t="s">
        <v>3520</v>
      </c>
      <c r="L175" s="18">
        <v>120</v>
      </c>
      <c r="M175" s="27" t="s">
        <v>3520</v>
      </c>
      <c r="N175" s="18"/>
      <c r="O175" s="18">
        <v>65136.62</v>
      </c>
      <c r="P175" s="19">
        <f t="shared" si="8"/>
        <v>65136.62</v>
      </c>
      <c r="Q175" s="19">
        <f t="shared" si="9"/>
        <v>0</v>
      </c>
      <c r="R175" s="25">
        <v>24684.65</v>
      </c>
      <c r="S175" s="28">
        <v>89821.27</v>
      </c>
      <c r="T175" s="49">
        <f t="shared" si="10"/>
        <v>89821.27</v>
      </c>
      <c r="U175" s="49">
        <f t="shared" si="11"/>
        <v>0</v>
      </c>
    </row>
    <row r="176" spans="1:21" ht="17" thickBot="1" x14ac:dyDescent="0.25">
      <c r="A176" s="21" t="s">
        <v>1392</v>
      </c>
      <c r="B176" s="21" t="s">
        <v>1393</v>
      </c>
      <c r="C176" s="21" t="s">
        <v>65</v>
      </c>
      <c r="D176" s="21" t="s">
        <v>594</v>
      </c>
      <c r="E176" s="22" t="s">
        <v>20</v>
      </c>
      <c r="F176" s="23" t="s">
        <v>1397</v>
      </c>
      <c r="G176" s="33" t="s">
        <v>14</v>
      </c>
      <c r="H176" s="25">
        <v>56971.199999999997</v>
      </c>
      <c r="I176" s="26" t="s">
        <v>14</v>
      </c>
      <c r="J176" s="25">
        <v>58432.69</v>
      </c>
      <c r="K176" s="18">
        <v>3390.63</v>
      </c>
      <c r="L176" s="18">
        <v>2896.27</v>
      </c>
      <c r="M176" s="27" t="s">
        <v>3520</v>
      </c>
      <c r="N176" s="18"/>
      <c r="O176" s="25">
        <v>64719.59</v>
      </c>
      <c r="P176" s="19">
        <f t="shared" si="8"/>
        <v>64719.59</v>
      </c>
      <c r="Q176" s="19">
        <f t="shared" si="9"/>
        <v>0</v>
      </c>
      <c r="R176" s="25">
        <v>24923.4</v>
      </c>
      <c r="S176" s="28">
        <v>89642.99</v>
      </c>
      <c r="T176" s="49">
        <f t="shared" si="10"/>
        <v>89642.989999999991</v>
      </c>
      <c r="U176" s="49">
        <f t="shared" si="11"/>
        <v>1.4551915228366852E-11</v>
      </c>
    </row>
    <row r="177" spans="1:21" ht="17" thickBot="1" x14ac:dyDescent="0.25">
      <c r="A177" s="21" t="s">
        <v>1400</v>
      </c>
      <c r="B177" s="21" t="s">
        <v>1401</v>
      </c>
      <c r="C177" s="21" t="s">
        <v>65</v>
      </c>
      <c r="D177" s="21" t="s">
        <v>594</v>
      </c>
      <c r="E177" s="22" t="s">
        <v>20</v>
      </c>
      <c r="F177" s="23" t="s">
        <v>1405</v>
      </c>
      <c r="G177" s="33" t="s">
        <v>14</v>
      </c>
      <c r="H177" s="25">
        <v>55307.199999999997</v>
      </c>
      <c r="I177" s="26" t="s">
        <v>14</v>
      </c>
      <c r="J177" s="25">
        <v>57226.47</v>
      </c>
      <c r="K177" s="18">
        <v>4304.91</v>
      </c>
      <c r="L177" s="18">
        <v>3033.92</v>
      </c>
      <c r="M177" s="27" t="s">
        <v>3520</v>
      </c>
      <c r="N177" s="18"/>
      <c r="O177" s="25">
        <v>64565.3</v>
      </c>
      <c r="P177" s="19">
        <f t="shared" si="8"/>
        <v>64565.3</v>
      </c>
      <c r="Q177" s="19">
        <f t="shared" si="9"/>
        <v>0</v>
      </c>
      <c r="R177" s="25">
        <v>24918.75</v>
      </c>
      <c r="S177" s="28">
        <v>89484.05</v>
      </c>
      <c r="T177" s="49">
        <f t="shared" si="10"/>
        <v>89484.05</v>
      </c>
      <c r="U177" s="49">
        <f t="shared" si="11"/>
        <v>0</v>
      </c>
    </row>
    <row r="178" spans="1:21" ht="17" thickBot="1" x14ac:dyDescent="0.25">
      <c r="A178" s="21" t="s">
        <v>1154</v>
      </c>
      <c r="B178" s="21" t="s">
        <v>1409</v>
      </c>
      <c r="C178" s="21" t="s">
        <v>886</v>
      </c>
      <c r="D178" s="21" t="s">
        <v>1411</v>
      </c>
      <c r="E178" s="22" t="s">
        <v>12</v>
      </c>
      <c r="F178" s="23" t="s">
        <v>1413</v>
      </c>
      <c r="G178" s="33" t="s">
        <v>14</v>
      </c>
      <c r="H178" s="25">
        <v>53684.800000000003</v>
      </c>
      <c r="I178" s="26" t="s">
        <v>14</v>
      </c>
      <c r="J178" s="25">
        <v>54240.87</v>
      </c>
      <c r="K178" s="18">
        <v>340.74</v>
      </c>
      <c r="L178" s="18">
        <v>4508</v>
      </c>
      <c r="M178" s="27" t="s">
        <v>3520</v>
      </c>
      <c r="N178" s="18"/>
      <c r="O178" s="25">
        <v>59089.61</v>
      </c>
      <c r="P178" s="19">
        <f t="shared" si="8"/>
        <v>59089.61</v>
      </c>
      <c r="Q178" s="19">
        <f t="shared" si="9"/>
        <v>0</v>
      </c>
      <c r="R178" s="25">
        <v>29982.61</v>
      </c>
      <c r="S178" s="28">
        <v>89072.22</v>
      </c>
      <c r="T178" s="49">
        <f t="shared" si="10"/>
        <v>89072.22</v>
      </c>
      <c r="U178" s="49">
        <f t="shared" si="11"/>
        <v>0</v>
      </c>
    </row>
    <row r="179" spans="1:21" ht="17" thickBot="1" x14ac:dyDescent="0.25">
      <c r="A179" s="21" t="s">
        <v>1416</v>
      </c>
      <c r="B179" s="21" t="s">
        <v>1417</v>
      </c>
      <c r="C179" s="21" t="s">
        <v>81</v>
      </c>
      <c r="D179" s="21" t="s">
        <v>1419</v>
      </c>
      <c r="E179" s="22" t="s">
        <v>20</v>
      </c>
      <c r="F179" s="23" t="s">
        <v>516</v>
      </c>
      <c r="G179" s="33" t="s">
        <v>14</v>
      </c>
      <c r="H179" s="25">
        <v>38294.699999999997</v>
      </c>
      <c r="I179" s="26" t="s">
        <v>14</v>
      </c>
      <c r="J179" s="25">
        <v>39810.94</v>
      </c>
      <c r="K179" s="18">
        <v>20955.45</v>
      </c>
      <c r="L179" s="18">
        <v>3100.89</v>
      </c>
      <c r="M179" s="27" t="s">
        <v>3520</v>
      </c>
      <c r="N179" s="18"/>
      <c r="O179" s="25">
        <v>63867.28</v>
      </c>
      <c r="P179" s="19">
        <f t="shared" si="8"/>
        <v>63867.28</v>
      </c>
      <c r="Q179" s="19">
        <f t="shared" si="9"/>
        <v>0</v>
      </c>
      <c r="R179" s="25">
        <v>24764.33</v>
      </c>
      <c r="S179" s="28">
        <v>88631.61</v>
      </c>
      <c r="T179" s="49">
        <f t="shared" si="10"/>
        <v>88631.61</v>
      </c>
      <c r="U179" s="49">
        <f t="shared" si="11"/>
        <v>0</v>
      </c>
    </row>
    <row r="180" spans="1:21" ht="17" thickBot="1" x14ac:dyDescent="0.25">
      <c r="A180" s="21" t="s">
        <v>375</v>
      </c>
      <c r="B180" s="21" t="s">
        <v>1425</v>
      </c>
      <c r="C180" s="21" t="s">
        <v>1046</v>
      </c>
      <c r="D180" s="21" t="s">
        <v>1427</v>
      </c>
      <c r="E180" s="22" t="s">
        <v>12</v>
      </c>
      <c r="F180" s="23" t="s">
        <v>1429</v>
      </c>
      <c r="G180" s="33" t="s">
        <v>14</v>
      </c>
      <c r="H180" s="25">
        <v>57824</v>
      </c>
      <c r="I180" s="26" t="s">
        <v>14</v>
      </c>
      <c r="J180" s="25">
        <v>58030.55</v>
      </c>
      <c r="K180" s="18">
        <v>3012.79</v>
      </c>
      <c r="L180" s="18">
        <v>2612.73</v>
      </c>
      <c r="M180" s="27" t="s">
        <v>3520</v>
      </c>
      <c r="N180" s="18"/>
      <c r="O180" s="25">
        <v>63656.07</v>
      </c>
      <c r="P180" s="19">
        <f t="shared" si="8"/>
        <v>63656.070000000007</v>
      </c>
      <c r="Q180" s="19">
        <f t="shared" si="9"/>
        <v>-7.2759576141834259E-12</v>
      </c>
      <c r="R180" s="25">
        <v>24529.89</v>
      </c>
      <c r="S180" s="28">
        <v>88185.96</v>
      </c>
      <c r="T180" s="49">
        <f t="shared" si="10"/>
        <v>88185.959999999992</v>
      </c>
      <c r="U180" s="49">
        <f t="shared" si="11"/>
        <v>1.4551915228366852E-11</v>
      </c>
    </row>
    <row r="181" spans="1:21" ht="17" thickBot="1" x14ac:dyDescent="0.25">
      <c r="A181" s="21" t="s">
        <v>1432</v>
      </c>
      <c r="B181" s="21" t="s">
        <v>1433</v>
      </c>
      <c r="C181" s="21" t="s">
        <v>1252</v>
      </c>
      <c r="D181" s="21" t="s">
        <v>1435</v>
      </c>
      <c r="E181" s="22" t="s">
        <v>12</v>
      </c>
      <c r="F181" s="23" t="s">
        <v>1437</v>
      </c>
      <c r="G181" s="33" t="s">
        <v>14</v>
      </c>
      <c r="H181" s="25">
        <v>51625.599999999999</v>
      </c>
      <c r="I181" s="26" t="s">
        <v>14</v>
      </c>
      <c r="J181" s="25">
        <v>51853.78</v>
      </c>
      <c r="K181" s="18">
        <v>111.04</v>
      </c>
      <c r="L181" s="18">
        <v>5519.61</v>
      </c>
      <c r="M181" s="27" t="s">
        <v>3520</v>
      </c>
      <c r="N181" s="18"/>
      <c r="O181" s="25">
        <v>57484.43</v>
      </c>
      <c r="P181" s="19">
        <f t="shared" si="8"/>
        <v>57484.43</v>
      </c>
      <c r="Q181" s="19">
        <f t="shared" si="9"/>
        <v>0</v>
      </c>
      <c r="R181" s="25">
        <v>30296.84</v>
      </c>
      <c r="S181" s="28">
        <v>87781.27</v>
      </c>
      <c r="T181" s="49">
        <f t="shared" si="10"/>
        <v>87781.27</v>
      </c>
      <c r="U181" s="49">
        <f t="shared" si="11"/>
        <v>0</v>
      </c>
    </row>
    <row r="182" spans="1:21" ht="17" thickBot="1" x14ac:dyDescent="0.25">
      <c r="A182" s="21" t="s">
        <v>1440</v>
      </c>
      <c r="B182" s="21" t="s">
        <v>1441</v>
      </c>
      <c r="C182" s="21" t="s">
        <v>1442</v>
      </c>
      <c r="D182" s="21" t="s">
        <v>1443</v>
      </c>
      <c r="E182" s="22" t="s">
        <v>12</v>
      </c>
      <c r="F182" s="23" t="s">
        <v>1445</v>
      </c>
      <c r="G182" s="33" t="s">
        <v>14</v>
      </c>
      <c r="H182" s="25">
        <v>64402.52</v>
      </c>
      <c r="I182" s="26" t="s">
        <v>14</v>
      </c>
      <c r="J182" s="25">
        <v>58347.68</v>
      </c>
      <c r="K182" s="18">
        <v>1878.77</v>
      </c>
      <c r="L182" s="18">
        <v>2902</v>
      </c>
      <c r="M182" s="27" t="s">
        <v>3520</v>
      </c>
      <c r="N182" s="18"/>
      <c r="O182" s="25">
        <v>63128.45</v>
      </c>
      <c r="P182" s="19">
        <f t="shared" si="8"/>
        <v>63128.45</v>
      </c>
      <c r="Q182" s="19">
        <f t="shared" si="9"/>
        <v>0</v>
      </c>
      <c r="R182" s="25">
        <v>24600.52</v>
      </c>
      <c r="S182" s="28">
        <v>87728.97</v>
      </c>
      <c r="T182" s="49">
        <f t="shared" si="10"/>
        <v>87728.97</v>
      </c>
      <c r="U182" s="49">
        <f t="shared" si="11"/>
        <v>0</v>
      </c>
    </row>
    <row r="183" spans="1:21" ht="17" thickBot="1" x14ac:dyDescent="0.25">
      <c r="A183" s="21" t="s">
        <v>1448</v>
      </c>
      <c r="B183" s="21" t="s">
        <v>1449</v>
      </c>
      <c r="C183" s="21" t="s">
        <v>240</v>
      </c>
      <c r="D183" s="21" t="s">
        <v>1451</v>
      </c>
      <c r="E183" s="22" t="s">
        <v>12</v>
      </c>
      <c r="F183" s="23" t="s">
        <v>1453</v>
      </c>
      <c r="G183" s="33" t="s">
        <v>14</v>
      </c>
      <c r="H183" s="25">
        <v>63036.22</v>
      </c>
      <c r="I183" s="26" t="s">
        <v>14</v>
      </c>
      <c r="J183" s="25">
        <v>62919.45</v>
      </c>
      <c r="K183" s="18" t="s">
        <v>3520</v>
      </c>
      <c r="L183" s="25">
        <v>30</v>
      </c>
      <c r="M183" s="27" t="s">
        <v>3520</v>
      </c>
      <c r="N183" s="18"/>
      <c r="O183" s="25">
        <v>62949.45</v>
      </c>
      <c r="P183" s="19">
        <f t="shared" si="8"/>
        <v>62949.45</v>
      </c>
      <c r="Q183" s="19">
        <f t="shared" si="9"/>
        <v>0</v>
      </c>
      <c r="R183" s="25">
        <v>24605.99</v>
      </c>
      <c r="S183" s="28">
        <v>87555.44</v>
      </c>
      <c r="T183" s="49">
        <f t="shared" si="10"/>
        <v>87555.44</v>
      </c>
      <c r="U183" s="49">
        <f t="shared" si="11"/>
        <v>0</v>
      </c>
    </row>
    <row r="184" spans="1:21" ht="17" thickBot="1" x14ac:dyDescent="0.25">
      <c r="A184" s="21" t="s">
        <v>1456</v>
      </c>
      <c r="B184" s="21" t="s">
        <v>1219</v>
      </c>
      <c r="C184" s="21" t="s">
        <v>617</v>
      </c>
      <c r="D184" s="21" t="s">
        <v>1459</v>
      </c>
      <c r="E184" s="22" t="s">
        <v>12</v>
      </c>
      <c r="F184" s="23" t="s">
        <v>1461</v>
      </c>
      <c r="G184" s="33" t="s">
        <v>14</v>
      </c>
      <c r="H184" s="25">
        <v>64000.04</v>
      </c>
      <c r="I184" s="26" t="s">
        <v>14</v>
      </c>
      <c r="J184" s="25">
        <v>61812.86</v>
      </c>
      <c r="K184" s="18">
        <v>514.4</v>
      </c>
      <c r="L184" s="18">
        <v>585</v>
      </c>
      <c r="M184" s="27" t="s">
        <v>3520</v>
      </c>
      <c r="N184" s="18"/>
      <c r="O184" s="25">
        <v>62912.26</v>
      </c>
      <c r="P184" s="19">
        <f t="shared" si="8"/>
        <v>62912.26</v>
      </c>
      <c r="Q184" s="19">
        <f t="shared" si="9"/>
        <v>0</v>
      </c>
      <c r="R184" s="25">
        <v>24585.97</v>
      </c>
      <c r="S184" s="28">
        <v>87498.23</v>
      </c>
      <c r="T184" s="49">
        <f t="shared" si="10"/>
        <v>87498.23000000001</v>
      </c>
      <c r="U184" s="49">
        <f t="shared" si="11"/>
        <v>-1.4551915228366852E-11</v>
      </c>
    </row>
    <row r="185" spans="1:21" ht="17" thickBot="1" x14ac:dyDescent="0.25">
      <c r="A185" s="21" t="s">
        <v>1464</v>
      </c>
      <c r="B185" s="21" t="s">
        <v>1465</v>
      </c>
      <c r="C185" s="21" t="s">
        <v>705</v>
      </c>
      <c r="D185" s="21" t="s">
        <v>1467</v>
      </c>
      <c r="E185" s="22" t="s">
        <v>12</v>
      </c>
      <c r="F185" s="23" t="s">
        <v>1469</v>
      </c>
      <c r="G185" s="33" t="s">
        <v>14</v>
      </c>
      <c r="H185" s="25">
        <v>53976</v>
      </c>
      <c r="I185" s="26" t="s">
        <v>14</v>
      </c>
      <c r="J185" s="25">
        <v>53611.37</v>
      </c>
      <c r="K185" s="18">
        <v>347.25</v>
      </c>
      <c r="L185" s="18">
        <v>3601.08</v>
      </c>
      <c r="M185" s="27" t="s">
        <v>3520</v>
      </c>
      <c r="N185" s="18"/>
      <c r="O185" s="25">
        <v>57559.7</v>
      </c>
      <c r="P185" s="19">
        <f t="shared" si="8"/>
        <v>57559.700000000004</v>
      </c>
      <c r="Q185" s="19">
        <f t="shared" si="9"/>
        <v>-7.2759576141834259E-12</v>
      </c>
      <c r="R185" s="25">
        <v>29741</v>
      </c>
      <c r="S185" s="28">
        <v>87300.7</v>
      </c>
      <c r="T185" s="49">
        <f t="shared" si="10"/>
        <v>87300.7</v>
      </c>
      <c r="U185" s="49">
        <f t="shared" si="11"/>
        <v>0</v>
      </c>
    </row>
    <row r="186" spans="1:21" ht="17" thickBot="1" x14ac:dyDescent="0.25">
      <c r="A186" s="21" t="s">
        <v>1472</v>
      </c>
      <c r="B186" s="21" t="s">
        <v>544</v>
      </c>
      <c r="C186" s="21" t="s">
        <v>1474</v>
      </c>
      <c r="D186" s="21" t="s">
        <v>1475</v>
      </c>
      <c r="E186" s="22" t="s">
        <v>12</v>
      </c>
      <c r="F186" s="23" t="s">
        <v>1326</v>
      </c>
      <c r="G186" s="33" t="s">
        <v>14</v>
      </c>
      <c r="H186" s="25">
        <v>55682.12</v>
      </c>
      <c r="I186" s="26" t="s">
        <v>14</v>
      </c>
      <c r="J186" s="25">
        <v>55578.97</v>
      </c>
      <c r="K186" s="18" t="s">
        <v>3520</v>
      </c>
      <c r="L186" s="18">
        <v>120</v>
      </c>
      <c r="M186" s="27" t="s">
        <v>3520</v>
      </c>
      <c r="N186" s="18"/>
      <c r="O186" s="18">
        <v>55698.97</v>
      </c>
      <c r="P186" s="19">
        <f t="shared" si="8"/>
        <v>55698.97</v>
      </c>
      <c r="Q186" s="19">
        <f t="shared" si="9"/>
        <v>0</v>
      </c>
      <c r="R186" s="25">
        <v>31501.24</v>
      </c>
      <c r="S186" s="28">
        <v>87200.21</v>
      </c>
      <c r="T186" s="49">
        <f t="shared" si="10"/>
        <v>87200.21</v>
      </c>
      <c r="U186" s="49">
        <f t="shared" si="11"/>
        <v>0</v>
      </c>
    </row>
    <row r="187" spans="1:21" ht="17" thickBot="1" x14ac:dyDescent="0.25">
      <c r="A187" s="21" t="s">
        <v>1480</v>
      </c>
      <c r="B187" s="21" t="s">
        <v>1481</v>
      </c>
      <c r="C187" s="21" t="s">
        <v>65</v>
      </c>
      <c r="D187" s="21" t="s">
        <v>1483</v>
      </c>
      <c r="E187" s="22" t="s">
        <v>12</v>
      </c>
      <c r="F187" s="23" t="s">
        <v>1485</v>
      </c>
      <c r="G187" s="33" t="s">
        <v>14</v>
      </c>
      <c r="H187" s="25">
        <v>57065.84</v>
      </c>
      <c r="I187" s="26" t="s">
        <v>14</v>
      </c>
      <c r="J187" s="25">
        <v>56960.13</v>
      </c>
      <c r="K187" s="18" t="s">
        <v>3520</v>
      </c>
      <c r="L187" s="18">
        <v>1442</v>
      </c>
      <c r="M187" s="27" t="s">
        <v>3520</v>
      </c>
      <c r="N187" s="18"/>
      <c r="O187" s="25">
        <v>58402.13</v>
      </c>
      <c r="P187" s="19">
        <f t="shared" si="8"/>
        <v>58402.13</v>
      </c>
      <c r="Q187" s="19">
        <f t="shared" si="9"/>
        <v>0</v>
      </c>
      <c r="R187" s="25">
        <v>28726.84</v>
      </c>
      <c r="S187" s="28">
        <v>87128.97</v>
      </c>
      <c r="T187" s="49">
        <f t="shared" si="10"/>
        <v>87128.97</v>
      </c>
      <c r="U187" s="49">
        <f t="shared" si="11"/>
        <v>0</v>
      </c>
    </row>
    <row r="188" spans="1:21" ht="17" thickBot="1" x14ac:dyDescent="0.25">
      <c r="A188" s="21" t="s">
        <v>1488</v>
      </c>
      <c r="B188" s="21" t="s">
        <v>472</v>
      </c>
      <c r="C188" s="21" t="s">
        <v>97</v>
      </c>
      <c r="D188" s="21" t="s">
        <v>1491</v>
      </c>
      <c r="E188" s="22" t="s">
        <v>12</v>
      </c>
      <c r="F188" s="23" t="s">
        <v>1493</v>
      </c>
      <c r="G188" s="33" t="s">
        <v>14</v>
      </c>
      <c r="H188" s="25">
        <v>53788.800000000003</v>
      </c>
      <c r="I188" s="26" t="s">
        <v>14</v>
      </c>
      <c r="J188" s="25">
        <v>53589.13</v>
      </c>
      <c r="K188" s="18">
        <v>878.87</v>
      </c>
      <c r="L188" s="18">
        <v>4074.04</v>
      </c>
      <c r="M188" s="27" t="s">
        <v>3520</v>
      </c>
      <c r="N188" s="18"/>
      <c r="O188" s="25">
        <v>58542.04</v>
      </c>
      <c r="P188" s="19">
        <f t="shared" si="8"/>
        <v>58542.04</v>
      </c>
      <c r="Q188" s="19">
        <f t="shared" si="9"/>
        <v>0</v>
      </c>
      <c r="R188" s="25">
        <v>28362.400000000001</v>
      </c>
      <c r="S188" s="28">
        <v>86904.44</v>
      </c>
      <c r="T188" s="49">
        <f t="shared" si="10"/>
        <v>86904.44</v>
      </c>
      <c r="U188" s="49">
        <f t="shared" si="11"/>
        <v>0</v>
      </c>
    </row>
    <row r="189" spans="1:21" ht="17" thickBot="1" x14ac:dyDescent="0.25">
      <c r="A189" s="21" t="s">
        <v>1496</v>
      </c>
      <c r="B189" s="21" t="s">
        <v>1497</v>
      </c>
      <c r="C189" s="21" t="s">
        <v>81</v>
      </c>
      <c r="D189" s="21" t="s">
        <v>378</v>
      </c>
      <c r="E189" s="22" t="s">
        <v>20</v>
      </c>
      <c r="F189" s="23" t="s">
        <v>796</v>
      </c>
      <c r="G189" s="33" t="s">
        <v>14</v>
      </c>
      <c r="H189" s="25">
        <v>52543.17</v>
      </c>
      <c r="I189" s="26" t="s">
        <v>14</v>
      </c>
      <c r="J189" s="25">
        <v>48007.360000000001</v>
      </c>
      <c r="K189" s="18">
        <v>11751.16</v>
      </c>
      <c r="L189" s="18">
        <v>2422.9499999999998</v>
      </c>
      <c r="M189" s="27" t="s">
        <v>3520</v>
      </c>
      <c r="N189" s="18"/>
      <c r="O189" s="25">
        <v>62181.47</v>
      </c>
      <c r="P189" s="19">
        <f t="shared" si="8"/>
        <v>62181.47</v>
      </c>
      <c r="Q189" s="19">
        <f t="shared" si="9"/>
        <v>0</v>
      </c>
      <c r="R189" s="25">
        <v>24395.19</v>
      </c>
      <c r="S189" s="28">
        <v>86576.66</v>
      </c>
      <c r="T189" s="49">
        <f t="shared" si="10"/>
        <v>86576.66</v>
      </c>
      <c r="U189" s="49">
        <f t="shared" si="11"/>
        <v>0</v>
      </c>
    </row>
    <row r="190" spans="1:21" ht="17" thickBot="1" x14ac:dyDescent="0.25">
      <c r="A190" s="21" t="s">
        <v>1504</v>
      </c>
      <c r="B190" s="21" t="s">
        <v>1505</v>
      </c>
      <c r="C190" s="21" t="s">
        <v>65</v>
      </c>
      <c r="D190" s="21" t="s">
        <v>594</v>
      </c>
      <c r="E190" s="22" t="s">
        <v>20</v>
      </c>
      <c r="F190" s="23" t="s">
        <v>1509</v>
      </c>
      <c r="G190" s="33" t="s">
        <v>14</v>
      </c>
      <c r="H190" s="25">
        <v>55161.599999999999</v>
      </c>
      <c r="I190" s="26" t="s">
        <v>14</v>
      </c>
      <c r="J190" s="25">
        <v>57822.86</v>
      </c>
      <c r="K190" s="18">
        <v>2459.15</v>
      </c>
      <c r="L190" s="18">
        <v>1959.84</v>
      </c>
      <c r="M190" s="27" t="s">
        <v>3520</v>
      </c>
      <c r="N190" s="18"/>
      <c r="O190" s="25">
        <v>62241.85</v>
      </c>
      <c r="P190" s="19">
        <f t="shared" si="8"/>
        <v>62241.85</v>
      </c>
      <c r="Q190" s="19">
        <f t="shared" si="9"/>
        <v>0</v>
      </c>
      <c r="R190" s="25">
        <v>24292.63</v>
      </c>
      <c r="S190" s="28">
        <v>86534.48</v>
      </c>
      <c r="T190" s="49">
        <f t="shared" si="10"/>
        <v>86534.48</v>
      </c>
      <c r="U190" s="49">
        <f t="shared" si="11"/>
        <v>0</v>
      </c>
    </row>
    <row r="191" spans="1:21" ht="17" thickBot="1" x14ac:dyDescent="0.25">
      <c r="A191" s="21" t="s">
        <v>1512</v>
      </c>
      <c r="B191" s="21" t="s">
        <v>1513</v>
      </c>
      <c r="C191" s="21" t="s">
        <v>808</v>
      </c>
      <c r="D191" s="21" t="s">
        <v>1515</v>
      </c>
      <c r="E191" s="22" t="s">
        <v>12</v>
      </c>
      <c r="F191" s="23" t="s">
        <v>756</v>
      </c>
      <c r="G191" s="33" t="s">
        <v>14</v>
      </c>
      <c r="H191" s="25">
        <v>46342.400000000001</v>
      </c>
      <c r="I191" s="26" t="s">
        <v>14</v>
      </c>
      <c r="J191" s="25">
        <v>47393.06</v>
      </c>
      <c r="K191" s="18">
        <v>4493.1499999999996</v>
      </c>
      <c r="L191" s="18">
        <v>1257.04</v>
      </c>
      <c r="M191" s="27" t="s">
        <v>3520</v>
      </c>
      <c r="N191" s="18"/>
      <c r="O191" s="25">
        <v>53143.25</v>
      </c>
      <c r="P191" s="19">
        <f t="shared" si="8"/>
        <v>53143.25</v>
      </c>
      <c r="Q191" s="19">
        <f t="shared" si="9"/>
        <v>0</v>
      </c>
      <c r="R191" s="25">
        <v>33131.57</v>
      </c>
      <c r="S191" s="28">
        <v>86274.82</v>
      </c>
      <c r="T191" s="49">
        <f t="shared" si="10"/>
        <v>86274.82</v>
      </c>
      <c r="U191" s="49">
        <f t="shared" si="11"/>
        <v>0</v>
      </c>
    </row>
    <row r="192" spans="1:21" ht="17" thickBot="1" x14ac:dyDescent="0.25">
      <c r="A192" s="21" t="s">
        <v>1520</v>
      </c>
      <c r="B192" s="21" t="s">
        <v>1521</v>
      </c>
      <c r="C192" s="21" t="s">
        <v>137</v>
      </c>
      <c r="D192" s="21" t="s">
        <v>1523</v>
      </c>
      <c r="E192" s="22" t="s">
        <v>12</v>
      </c>
      <c r="F192" s="23" t="s">
        <v>1525</v>
      </c>
      <c r="G192" s="33" t="s">
        <v>14</v>
      </c>
      <c r="H192" s="25">
        <v>50441.04</v>
      </c>
      <c r="I192" s="26" t="s">
        <v>14</v>
      </c>
      <c r="J192" s="25">
        <v>50704.13</v>
      </c>
      <c r="K192" s="18">
        <v>1901.11</v>
      </c>
      <c r="L192" s="18">
        <v>4342.6400000000003</v>
      </c>
      <c r="M192" s="27" t="s">
        <v>3520</v>
      </c>
      <c r="N192" s="18"/>
      <c r="O192" s="25">
        <v>56947.88</v>
      </c>
      <c r="P192" s="19">
        <f t="shared" si="8"/>
        <v>56947.88</v>
      </c>
      <c r="Q192" s="19">
        <f t="shared" si="9"/>
        <v>0</v>
      </c>
      <c r="R192" s="25">
        <v>29129.599999999999</v>
      </c>
      <c r="S192" s="28">
        <v>86077.48</v>
      </c>
      <c r="T192" s="49">
        <f t="shared" si="10"/>
        <v>86077.48</v>
      </c>
      <c r="U192" s="49">
        <f t="shared" si="11"/>
        <v>0</v>
      </c>
    </row>
    <row r="193" spans="1:21" ht="17" thickBot="1" x14ac:dyDescent="0.25">
      <c r="A193" s="21" t="s">
        <v>1131</v>
      </c>
      <c r="B193" s="21" t="s">
        <v>1529</v>
      </c>
      <c r="C193" s="21" t="s">
        <v>97</v>
      </c>
      <c r="D193" s="21" t="s">
        <v>1491</v>
      </c>
      <c r="E193" s="22" t="s">
        <v>12</v>
      </c>
      <c r="F193" s="23" t="s">
        <v>1405</v>
      </c>
      <c r="G193" s="33" t="s">
        <v>14</v>
      </c>
      <c r="H193" s="25">
        <v>61193.599999999999</v>
      </c>
      <c r="I193" s="26" t="s">
        <v>14</v>
      </c>
      <c r="J193" s="25">
        <v>60843.77</v>
      </c>
      <c r="K193" s="18">
        <v>876.48</v>
      </c>
      <c r="L193" s="18">
        <v>100</v>
      </c>
      <c r="M193" s="27" t="s">
        <v>3520</v>
      </c>
      <c r="N193" s="18"/>
      <c r="O193" s="25">
        <v>61820.25</v>
      </c>
      <c r="P193" s="19">
        <f t="shared" si="8"/>
        <v>61820.25</v>
      </c>
      <c r="Q193" s="19">
        <f t="shared" si="9"/>
        <v>0</v>
      </c>
      <c r="R193" s="25">
        <v>24255.1</v>
      </c>
      <c r="S193" s="28">
        <v>86075.35</v>
      </c>
      <c r="T193" s="49">
        <f t="shared" si="10"/>
        <v>86075.35</v>
      </c>
      <c r="U193" s="49">
        <f t="shared" si="11"/>
        <v>0</v>
      </c>
    </row>
    <row r="194" spans="1:21" ht="17" thickBot="1" x14ac:dyDescent="0.25">
      <c r="A194" s="21" t="s">
        <v>1536</v>
      </c>
      <c r="B194" s="21" t="s">
        <v>1537</v>
      </c>
      <c r="C194" s="21" t="s">
        <v>361</v>
      </c>
      <c r="D194" s="21" t="s">
        <v>1539</v>
      </c>
      <c r="E194" s="22" t="s">
        <v>12</v>
      </c>
      <c r="F194" s="23" t="s">
        <v>1541</v>
      </c>
      <c r="G194" s="33" t="s">
        <v>14</v>
      </c>
      <c r="H194" s="25">
        <v>56766.32</v>
      </c>
      <c r="I194" s="26" t="s">
        <v>14</v>
      </c>
      <c r="J194" s="25">
        <v>56661.16</v>
      </c>
      <c r="K194" s="18" t="s">
        <v>3520</v>
      </c>
      <c r="L194" s="18">
        <v>737</v>
      </c>
      <c r="M194" s="27" t="s">
        <v>3520</v>
      </c>
      <c r="N194" s="18"/>
      <c r="O194" s="25">
        <v>57398.16</v>
      </c>
      <c r="P194" s="19">
        <f t="shared" si="8"/>
        <v>57398.16</v>
      </c>
      <c r="Q194" s="19">
        <f t="shared" si="9"/>
        <v>0</v>
      </c>
      <c r="R194" s="25">
        <v>28478.05</v>
      </c>
      <c r="S194" s="28">
        <v>85876.21</v>
      </c>
      <c r="T194" s="49">
        <f t="shared" si="10"/>
        <v>85876.21</v>
      </c>
      <c r="U194" s="49">
        <f t="shared" si="11"/>
        <v>0</v>
      </c>
    </row>
    <row r="195" spans="1:21" ht="17" thickBot="1" x14ac:dyDescent="0.25">
      <c r="A195" s="21" t="s">
        <v>1544</v>
      </c>
      <c r="B195" s="21" t="s">
        <v>8</v>
      </c>
      <c r="C195" s="21" t="s">
        <v>137</v>
      </c>
      <c r="D195" s="21" t="s">
        <v>1547</v>
      </c>
      <c r="E195" s="22" t="s">
        <v>12</v>
      </c>
      <c r="F195" s="23" t="s">
        <v>1549</v>
      </c>
      <c r="G195" s="33" t="s">
        <v>14</v>
      </c>
      <c r="H195" s="25">
        <v>73935.16</v>
      </c>
      <c r="I195" s="26" t="s">
        <v>14</v>
      </c>
      <c r="J195" s="25">
        <v>55431.63</v>
      </c>
      <c r="K195" s="18">
        <v>1159.56</v>
      </c>
      <c r="L195" s="18">
        <v>600</v>
      </c>
      <c r="M195" s="27" t="s">
        <v>3520</v>
      </c>
      <c r="N195" s="18"/>
      <c r="O195" s="25">
        <v>57191.19</v>
      </c>
      <c r="P195" s="19">
        <f t="shared" ref="P195:P258" si="12">SUM(I195:N195)</f>
        <v>57191.189999999995</v>
      </c>
      <c r="Q195" s="19">
        <f t="shared" ref="Q195:Q258" si="13">SUM(O195-P195)</f>
        <v>7.2759576141834259E-12</v>
      </c>
      <c r="R195" s="25">
        <v>28479.43</v>
      </c>
      <c r="S195" s="28">
        <v>85670.62</v>
      </c>
      <c r="T195" s="49">
        <f t="shared" ref="T195:T258" si="14">SUM(O195+R195)</f>
        <v>85670.62</v>
      </c>
      <c r="U195" s="49">
        <f t="shared" ref="U195:U258" si="15">SUM(S195-T195)</f>
        <v>0</v>
      </c>
    </row>
    <row r="196" spans="1:21" ht="17" thickBot="1" x14ac:dyDescent="0.25">
      <c r="A196" s="21" t="s">
        <v>1552</v>
      </c>
      <c r="B196" s="21" t="s">
        <v>1553</v>
      </c>
      <c r="C196" s="21" t="s">
        <v>65</v>
      </c>
      <c r="D196" s="21" t="s">
        <v>594</v>
      </c>
      <c r="E196" s="22" t="s">
        <v>20</v>
      </c>
      <c r="F196" s="23" t="s">
        <v>1557</v>
      </c>
      <c r="G196" s="33" t="s">
        <v>14</v>
      </c>
      <c r="H196" s="25">
        <v>60736</v>
      </c>
      <c r="I196" s="26" t="s">
        <v>14</v>
      </c>
      <c r="J196" s="25">
        <v>59929.120000000003</v>
      </c>
      <c r="K196" s="18">
        <v>5383.93</v>
      </c>
      <c r="L196" s="18">
        <v>2299.0700000000002</v>
      </c>
      <c r="M196" s="27" t="s">
        <v>3520</v>
      </c>
      <c r="N196" s="18"/>
      <c r="O196" s="25">
        <v>67612.12</v>
      </c>
      <c r="P196" s="19">
        <f t="shared" si="12"/>
        <v>67612.12000000001</v>
      </c>
      <c r="Q196" s="19">
        <f t="shared" si="13"/>
        <v>-1.4551915228366852E-11</v>
      </c>
      <c r="R196" s="25">
        <v>17056.47</v>
      </c>
      <c r="S196" s="28">
        <v>84668.59</v>
      </c>
      <c r="T196" s="49">
        <f t="shared" si="14"/>
        <v>84668.59</v>
      </c>
      <c r="U196" s="49">
        <f t="shared" si="15"/>
        <v>0</v>
      </c>
    </row>
    <row r="197" spans="1:21" ht="17" thickBot="1" x14ac:dyDescent="0.25">
      <c r="A197" s="21" t="s">
        <v>1560</v>
      </c>
      <c r="B197" s="21" t="s">
        <v>1561</v>
      </c>
      <c r="C197" s="21" t="s">
        <v>145</v>
      </c>
      <c r="D197" s="21" t="s">
        <v>1563</v>
      </c>
      <c r="E197" s="22" t="s">
        <v>12</v>
      </c>
      <c r="F197" s="23" t="s">
        <v>1565</v>
      </c>
      <c r="G197" s="33" t="s">
        <v>14</v>
      </c>
      <c r="H197" s="25">
        <v>49587.199999999997</v>
      </c>
      <c r="I197" s="26" t="s">
        <v>14</v>
      </c>
      <c r="J197" s="25">
        <v>51805.95</v>
      </c>
      <c r="K197" s="18">
        <v>6627.13</v>
      </c>
      <c r="L197" s="18">
        <v>2174.16</v>
      </c>
      <c r="M197" s="27" t="s">
        <v>3520</v>
      </c>
      <c r="N197" s="18"/>
      <c r="O197" s="25">
        <v>60607.24</v>
      </c>
      <c r="P197" s="19">
        <f t="shared" si="12"/>
        <v>60607.239999999991</v>
      </c>
      <c r="Q197" s="19">
        <f t="shared" si="13"/>
        <v>7.2759576141834259E-12</v>
      </c>
      <c r="R197" s="25">
        <v>23804.98</v>
      </c>
      <c r="S197" s="28">
        <v>84412.22</v>
      </c>
      <c r="T197" s="49">
        <f t="shared" si="14"/>
        <v>84412.22</v>
      </c>
      <c r="U197" s="49">
        <f t="shared" si="15"/>
        <v>0</v>
      </c>
    </row>
    <row r="198" spans="1:21" ht="17" thickBot="1" x14ac:dyDescent="0.25">
      <c r="A198" s="21" t="s">
        <v>1568</v>
      </c>
      <c r="B198" s="21" t="s">
        <v>1569</v>
      </c>
      <c r="C198" s="21" t="s">
        <v>65</v>
      </c>
      <c r="D198" s="21" t="s">
        <v>594</v>
      </c>
      <c r="E198" s="22" t="s">
        <v>20</v>
      </c>
      <c r="F198" s="23" t="s">
        <v>1573</v>
      </c>
      <c r="G198" s="33" t="s">
        <v>14</v>
      </c>
      <c r="H198" s="25">
        <v>55161.599999999999</v>
      </c>
      <c r="I198" s="26" t="s">
        <v>14</v>
      </c>
      <c r="J198" s="25">
        <v>52535.6</v>
      </c>
      <c r="K198" s="18">
        <v>5652.88</v>
      </c>
      <c r="L198" s="18">
        <v>2044.35</v>
      </c>
      <c r="M198" s="27" t="s">
        <v>3520</v>
      </c>
      <c r="N198" s="18"/>
      <c r="O198" s="25">
        <v>60232.83</v>
      </c>
      <c r="P198" s="19">
        <f t="shared" si="12"/>
        <v>60232.829999999994</v>
      </c>
      <c r="Q198" s="19">
        <f t="shared" si="13"/>
        <v>7.2759576141834259E-12</v>
      </c>
      <c r="R198" s="25">
        <v>23915.13</v>
      </c>
      <c r="S198" s="28">
        <v>84147.96</v>
      </c>
      <c r="T198" s="49">
        <f t="shared" si="14"/>
        <v>84147.96</v>
      </c>
      <c r="U198" s="49">
        <f t="shared" si="15"/>
        <v>0</v>
      </c>
    </row>
    <row r="199" spans="1:21" ht="17" thickBot="1" x14ac:dyDescent="0.25">
      <c r="A199" s="21" t="s">
        <v>719</v>
      </c>
      <c r="B199" s="21" t="s">
        <v>104</v>
      </c>
      <c r="C199" s="21" t="s">
        <v>1323</v>
      </c>
      <c r="D199" s="21" t="s">
        <v>1579</v>
      </c>
      <c r="E199" s="22" t="s">
        <v>12</v>
      </c>
      <c r="F199" s="23" t="s">
        <v>748</v>
      </c>
      <c r="G199" s="33" t="s">
        <v>14</v>
      </c>
      <c r="H199" s="25">
        <v>65609.440000000002</v>
      </c>
      <c r="I199" s="26" t="s">
        <v>14</v>
      </c>
      <c r="J199" s="25">
        <v>65487.91</v>
      </c>
      <c r="K199" s="18" t="s">
        <v>3520</v>
      </c>
      <c r="L199" s="18">
        <v>1500</v>
      </c>
      <c r="M199" s="27" t="s">
        <v>3520</v>
      </c>
      <c r="N199" s="18"/>
      <c r="O199" s="25">
        <v>66987.91</v>
      </c>
      <c r="P199" s="19">
        <f t="shared" si="12"/>
        <v>66987.91</v>
      </c>
      <c r="Q199" s="19">
        <f t="shared" si="13"/>
        <v>0</v>
      </c>
      <c r="R199" s="25">
        <v>16937.36</v>
      </c>
      <c r="S199" s="28">
        <v>83925.27</v>
      </c>
      <c r="T199" s="49">
        <f t="shared" si="14"/>
        <v>83925.27</v>
      </c>
      <c r="U199" s="49">
        <f t="shared" si="15"/>
        <v>0</v>
      </c>
    </row>
    <row r="200" spans="1:21" ht="17" thickBot="1" x14ac:dyDescent="0.25">
      <c r="A200" s="21" t="s">
        <v>1584</v>
      </c>
      <c r="B200" s="21" t="s">
        <v>1028</v>
      </c>
      <c r="C200" s="21" t="s">
        <v>208</v>
      </c>
      <c r="D200" s="21" t="s">
        <v>1587</v>
      </c>
      <c r="E200" s="22" t="s">
        <v>12</v>
      </c>
      <c r="F200" s="23" t="s">
        <v>1557</v>
      </c>
      <c r="G200" s="33" t="s">
        <v>14</v>
      </c>
      <c r="H200" s="25">
        <v>57844.800000000003</v>
      </c>
      <c r="I200" s="26" t="s">
        <v>14</v>
      </c>
      <c r="J200" s="25">
        <v>57768.94</v>
      </c>
      <c r="K200" s="18">
        <v>94.48</v>
      </c>
      <c r="L200" s="25">
        <v>1891</v>
      </c>
      <c r="M200" s="27" t="s">
        <v>3520</v>
      </c>
      <c r="N200" s="18"/>
      <c r="O200" s="25">
        <v>59754.42</v>
      </c>
      <c r="P200" s="19">
        <f t="shared" si="12"/>
        <v>59754.420000000006</v>
      </c>
      <c r="Q200" s="19">
        <f t="shared" si="13"/>
        <v>-7.2759576141834259E-12</v>
      </c>
      <c r="R200" s="25">
        <v>23638.99</v>
      </c>
      <c r="S200" s="28">
        <v>83393.41</v>
      </c>
      <c r="T200" s="49">
        <f t="shared" si="14"/>
        <v>83393.41</v>
      </c>
      <c r="U200" s="49">
        <f t="shared" si="15"/>
        <v>0</v>
      </c>
    </row>
    <row r="201" spans="1:21" ht="17" thickBot="1" x14ac:dyDescent="0.25">
      <c r="A201" s="21" t="s">
        <v>1592</v>
      </c>
      <c r="B201" s="21" t="s">
        <v>25</v>
      </c>
      <c r="C201" s="21" t="s">
        <v>1323</v>
      </c>
      <c r="D201" s="21" t="s">
        <v>1595</v>
      </c>
      <c r="E201" s="22" t="s">
        <v>12</v>
      </c>
      <c r="F201" s="23" t="s">
        <v>1597</v>
      </c>
      <c r="G201" s="33" t="s">
        <v>14</v>
      </c>
      <c r="H201" s="25">
        <v>53476.800000000003</v>
      </c>
      <c r="I201" s="26" t="s">
        <v>14</v>
      </c>
      <c r="J201" s="25">
        <v>54161.74</v>
      </c>
      <c r="K201" s="18">
        <v>3360.61</v>
      </c>
      <c r="L201" s="18">
        <v>2203</v>
      </c>
      <c r="M201" s="27" t="s">
        <v>3520</v>
      </c>
      <c r="N201" s="18"/>
      <c r="O201" s="25">
        <v>59725.35</v>
      </c>
      <c r="P201" s="19">
        <f t="shared" si="12"/>
        <v>59725.35</v>
      </c>
      <c r="Q201" s="19">
        <f t="shared" si="13"/>
        <v>0</v>
      </c>
      <c r="R201" s="25">
        <v>23290.17</v>
      </c>
      <c r="S201" s="28">
        <v>83015.520000000004</v>
      </c>
      <c r="T201" s="49">
        <f t="shared" si="14"/>
        <v>83015.51999999999</v>
      </c>
      <c r="U201" s="49">
        <f t="shared" si="15"/>
        <v>1.4551915228366852E-11</v>
      </c>
    </row>
    <row r="202" spans="1:21" ht="17" thickBot="1" x14ac:dyDescent="0.25">
      <c r="A202" s="21" t="s">
        <v>1600</v>
      </c>
      <c r="B202" s="21" t="s">
        <v>1601</v>
      </c>
      <c r="C202" s="21" t="s">
        <v>145</v>
      </c>
      <c r="D202" s="21" t="s">
        <v>1603</v>
      </c>
      <c r="E202" s="22" t="s">
        <v>12</v>
      </c>
      <c r="F202" s="23" t="s">
        <v>52</v>
      </c>
      <c r="G202" s="33" t="s">
        <v>14</v>
      </c>
      <c r="H202" s="25">
        <v>47507.199999999997</v>
      </c>
      <c r="I202" s="26" t="s">
        <v>14</v>
      </c>
      <c r="J202" s="25">
        <v>48638.35</v>
      </c>
      <c r="K202" s="18">
        <v>3311.69</v>
      </c>
      <c r="L202" s="18">
        <v>2434.16</v>
      </c>
      <c r="M202" s="27" t="s">
        <v>3520</v>
      </c>
      <c r="N202" s="18"/>
      <c r="O202" s="25">
        <v>54384.2</v>
      </c>
      <c r="P202" s="19">
        <f t="shared" si="12"/>
        <v>54384.2</v>
      </c>
      <c r="Q202" s="19">
        <f t="shared" si="13"/>
        <v>0</v>
      </c>
      <c r="R202" s="25">
        <v>28348.81</v>
      </c>
      <c r="S202" s="28">
        <v>82733.009999999995</v>
      </c>
      <c r="T202" s="49">
        <f t="shared" si="14"/>
        <v>82733.009999999995</v>
      </c>
      <c r="U202" s="49">
        <f t="shared" si="15"/>
        <v>0</v>
      </c>
    </row>
    <row r="203" spans="1:21" ht="17" thickBot="1" x14ac:dyDescent="0.25">
      <c r="A203" s="21" t="s">
        <v>655</v>
      </c>
      <c r="B203" s="21" t="s">
        <v>1609</v>
      </c>
      <c r="C203" s="21" t="s">
        <v>824</v>
      </c>
      <c r="D203" s="21" t="s">
        <v>1611</v>
      </c>
      <c r="E203" s="22" t="s">
        <v>12</v>
      </c>
      <c r="F203" s="23" t="s">
        <v>1613</v>
      </c>
      <c r="G203" s="33" t="s">
        <v>14</v>
      </c>
      <c r="H203" s="25">
        <v>46800</v>
      </c>
      <c r="I203" s="26" t="s">
        <v>14</v>
      </c>
      <c r="J203" s="25">
        <v>47337.1</v>
      </c>
      <c r="K203" s="18">
        <v>3419.35</v>
      </c>
      <c r="L203" s="18">
        <v>160</v>
      </c>
      <c r="M203" s="27" t="s">
        <v>3520</v>
      </c>
      <c r="N203" s="18"/>
      <c r="O203" s="25">
        <v>50916.45</v>
      </c>
      <c r="P203" s="19">
        <f t="shared" si="12"/>
        <v>50916.45</v>
      </c>
      <c r="Q203" s="19">
        <f t="shared" si="13"/>
        <v>0</v>
      </c>
      <c r="R203" s="25">
        <v>31776.959999999999</v>
      </c>
      <c r="S203" s="28">
        <v>82693.41</v>
      </c>
      <c r="T203" s="49">
        <f t="shared" si="14"/>
        <v>82693.41</v>
      </c>
      <c r="U203" s="49">
        <f t="shared" si="15"/>
        <v>0</v>
      </c>
    </row>
    <row r="204" spans="1:21" ht="17" thickBot="1" x14ac:dyDescent="0.25">
      <c r="A204" s="21" t="s">
        <v>1616</v>
      </c>
      <c r="B204" s="21" t="s">
        <v>1617</v>
      </c>
      <c r="C204" s="21" t="s">
        <v>65</v>
      </c>
      <c r="D204" s="21" t="s">
        <v>594</v>
      </c>
      <c r="E204" s="22" t="s">
        <v>20</v>
      </c>
      <c r="F204" s="23" t="s">
        <v>1374</v>
      </c>
      <c r="G204" s="33" t="s">
        <v>14</v>
      </c>
      <c r="H204" s="25">
        <v>58822.400000000001</v>
      </c>
      <c r="I204" s="26" t="s">
        <v>14</v>
      </c>
      <c r="J204" s="25">
        <v>60387.35</v>
      </c>
      <c r="K204" s="18">
        <v>2019.99</v>
      </c>
      <c r="L204" s="18">
        <v>3311.5</v>
      </c>
      <c r="M204" s="27" t="s">
        <v>3520</v>
      </c>
      <c r="N204" s="18"/>
      <c r="O204" s="25">
        <v>65718.84</v>
      </c>
      <c r="P204" s="19">
        <f t="shared" si="12"/>
        <v>65718.84</v>
      </c>
      <c r="Q204" s="19">
        <f t="shared" si="13"/>
        <v>0</v>
      </c>
      <c r="R204" s="25">
        <v>16596.240000000002</v>
      </c>
      <c r="S204" s="28">
        <v>82315.08</v>
      </c>
      <c r="T204" s="49">
        <f t="shared" si="14"/>
        <v>82315.08</v>
      </c>
      <c r="U204" s="49">
        <f t="shared" si="15"/>
        <v>0</v>
      </c>
    </row>
    <row r="205" spans="1:21" ht="17" thickBot="1" x14ac:dyDescent="0.25">
      <c r="A205" s="21" t="s">
        <v>1624</v>
      </c>
      <c r="B205" s="21" t="s">
        <v>1625</v>
      </c>
      <c r="C205" s="21" t="s">
        <v>137</v>
      </c>
      <c r="D205" s="21" t="s">
        <v>1627</v>
      </c>
      <c r="E205" s="22" t="s">
        <v>12</v>
      </c>
      <c r="F205" s="23" t="s">
        <v>1350</v>
      </c>
      <c r="G205" s="33" t="s">
        <v>14</v>
      </c>
      <c r="H205" s="25">
        <v>57803.199999999997</v>
      </c>
      <c r="I205" s="26" t="s">
        <v>14</v>
      </c>
      <c r="J205" s="25">
        <v>57812.05</v>
      </c>
      <c r="K205" s="18">
        <v>697.66</v>
      </c>
      <c r="L205" s="18">
        <v>530</v>
      </c>
      <c r="M205" s="27" t="s">
        <v>3520</v>
      </c>
      <c r="N205" s="18"/>
      <c r="O205" s="25">
        <v>59039.71</v>
      </c>
      <c r="P205" s="19">
        <f t="shared" si="12"/>
        <v>59039.710000000006</v>
      </c>
      <c r="Q205" s="19">
        <f t="shared" si="13"/>
        <v>-7.2759576141834259E-12</v>
      </c>
      <c r="R205" s="25">
        <v>23080.13</v>
      </c>
      <c r="S205" s="28">
        <v>82119.839999999997</v>
      </c>
      <c r="T205" s="49">
        <f t="shared" si="14"/>
        <v>82119.839999999997</v>
      </c>
      <c r="U205" s="49">
        <f t="shared" si="15"/>
        <v>0</v>
      </c>
    </row>
    <row r="206" spans="1:21" ht="17" thickBot="1" x14ac:dyDescent="0.25">
      <c r="A206" s="21" t="s">
        <v>1632</v>
      </c>
      <c r="B206" s="21" t="s">
        <v>1633</v>
      </c>
      <c r="C206" s="21" t="s">
        <v>65</v>
      </c>
      <c r="D206" s="21" t="s">
        <v>1635</v>
      </c>
      <c r="E206" s="22" t="s">
        <v>12</v>
      </c>
      <c r="F206" s="23" t="s">
        <v>1637</v>
      </c>
      <c r="G206" s="33" t="s">
        <v>14</v>
      </c>
      <c r="H206" s="25">
        <v>63190.400000000001</v>
      </c>
      <c r="I206" s="26" t="s">
        <v>14</v>
      </c>
      <c r="J206" s="25">
        <v>63358.57</v>
      </c>
      <c r="K206" s="18">
        <v>1633.19</v>
      </c>
      <c r="L206" s="18">
        <v>830</v>
      </c>
      <c r="M206" s="27" t="s">
        <v>3520</v>
      </c>
      <c r="N206" s="18"/>
      <c r="O206" s="25">
        <v>65821.759999999995</v>
      </c>
      <c r="P206" s="19">
        <f t="shared" si="12"/>
        <v>65821.760000000009</v>
      </c>
      <c r="Q206" s="19">
        <f t="shared" si="13"/>
        <v>-1.4551915228366852E-11</v>
      </c>
      <c r="R206" s="25">
        <v>16175.52</v>
      </c>
      <c r="S206" s="28">
        <v>81997.279999999999</v>
      </c>
      <c r="T206" s="49">
        <f t="shared" si="14"/>
        <v>81997.279999999999</v>
      </c>
      <c r="U206" s="49">
        <f t="shared" si="15"/>
        <v>0</v>
      </c>
    </row>
    <row r="207" spans="1:21" ht="17" thickBot="1" x14ac:dyDescent="0.25">
      <c r="A207" s="21" t="s">
        <v>1640</v>
      </c>
      <c r="B207" s="21" t="s">
        <v>1641</v>
      </c>
      <c r="C207" s="21" t="s">
        <v>208</v>
      </c>
      <c r="D207" s="21" t="s">
        <v>1643</v>
      </c>
      <c r="E207" s="22" t="s">
        <v>12</v>
      </c>
      <c r="F207" s="23" t="s">
        <v>1645</v>
      </c>
      <c r="G207" s="34" t="s">
        <v>1646</v>
      </c>
      <c r="H207" s="25">
        <v>80876.12</v>
      </c>
      <c r="I207" s="25">
        <v>1271.47</v>
      </c>
      <c r="J207" s="25">
        <v>55870.66</v>
      </c>
      <c r="K207" s="18" t="s">
        <v>3520</v>
      </c>
      <c r="L207" s="18">
        <v>3724.5</v>
      </c>
      <c r="M207" s="27" t="s">
        <v>3520</v>
      </c>
      <c r="N207" s="18"/>
      <c r="O207" s="25">
        <v>60866.63</v>
      </c>
      <c r="P207" s="19">
        <f t="shared" si="12"/>
        <v>60866.630000000005</v>
      </c>
      <c r="Q207" s="19">
        <f t="shared" si="13"/>
        <v>-7.2759576141834259E-12</v>
      </c>
      <c r="R207" s="25">
        <v>20918.41</v>
      </c>
      <c r="S207" s="28">
        <v>81785.039999999994</v>
      </c>
      <c r="T207" s="49">
        <f t="shared" si="14"/>
        <v>81785.039999999994</v>
      </c>
      <c r="U207" s="49">
        <f t="shared" si="15"/>
        <v>0</v>
      </c>
    </row>
    <row r="208" spans="1:21" ht="17" thickBot="1" x14ac:dyDescent="0.25">
      <c r="A208" s="21" t="s">
        <v>1647</v>
      </c>
      <c r="B208" s="21" t="s">
        <v>1648</v>
      </c>
      <c r="C208" s="21" t="s">
        <v>81</v>
      </c>
      <c r="D208" s="21" t="s">
        <v>378</v>
      </c>
      <c r="E208" s="22" t="s">
        <v>20</v>
      </c>
      <c r="F208" s="23" t="s">
        <v>1104</v>
      </c>
      <c r="G208" s="33" t="s">
        <v>14</v>
      </c>
      <c r="H208" s="25">
        <v>52543.17</v>
      </c>
      <c r="I208" s="26" t="s">
        <v>14</v>
      </c>
      <c r="J208" s="25">
        <v>49435.53</v>
      </c>
      <c r="K208" s="18">
        <v>11590.61</v>
      </c>
      <c r="L208" s="18">
        <v>3766.52</v>
      </c>
      <c r="M208" s="27" t="s">
        <v>3520</v>
      </c>
      <c r="N208" s="18"/>
      <c r="O208" s="25">
        <v>64792.66</v>
      </c>
      <c r="P208" s="19">
        <f t="shared" si="12"/>
        <v>64792.659999999996</v>
      </c>
      <c r="Q208" s="19">
        <f t="shared" si="13"/>
        <v>7.2759576141834259E-12</v>
      </c>
      <c r="R208" s="25">
        <v>16389.62</v>
      </c>
      <c r="S208" s="28">
        <v>81182.28</v>
      </c>
      <c r="T208" s="49">
        <f t="shared" si="14"/>
        <v>81182.28</v>
      </c>
      <c r="U208" s="49">
        <f t="shared" si="15"/>
        <v>0</v>
      </c>
    </row>
    <row r="209" spans="1:21" ht="17" thickBot="1" x14ac:dyDescent="0.25">
      <c r="A209" s="21" t="s">
        <v>1655</v>
      </c>
      <c r="B209" s="21" t="s">
        <v>1656</v>
      </c>
      <c r="C209" s="21" t="s">
        <v>808</v>
      </c>
      <c r="D209" s="21" t="s">
        <v>1523</v>
      </c>
      <c r="E209" s="22" t="s">
        <v>12</v>
      </c>
      <c r="F209" s="23" t="s">
        <v>1660</v>
      </c>
      <c r="G209" s="33" t="s">
        <v>14</v>
      </c>
      <c r="H209" s="25">
        <v>57783.18</v>
      </c>
      <c r="I209" s="26" t="s">
        <v>14</v>
      </c>
      <c r="J209" s="25">
        <v>57676.14</v>
      </c>
      <c r="K209" s="18" t="s">
        <v>3520</v>
      </c>
      <c r="L209" s="25">
        <v>70</v>
      </c>
      <c r="M209" s="27" t="s">
        <v>3520</v>
      </c>
      <c r="N209" s="18"/>
      <c r="O209" s="25">
        <v>57746.14</v>
      </c>
      <c r="P209" s="19">
        <f t="shared" si="12"/>
        <v>57746.14</v>
      </c>
      <c r="Q209" s="19">
        <f t="shared" si="13"/>
        <v>0</v>
      </c>
      <c r="R209" s="25">
        <v>23338.1</v>
      </c>
      <c r="S209" s="28">
        <v>81084.240000000005</v>
      </c>
      <c r="T209" s="49">
        <f t="shared" si="14"/>
        <v>81084.239999999991</v>
      </c>
      <c r="U209" s="49">
        <f t="shared" si="15"/>
        <v>1.4551915228366852E-11</v>
      </c>
    </row>
    <row r="210" spans="1:21" ht="17" thickBot="1" x14ac:dyDescent="0.25">
      <c r="A210" s="21" t="s">
        <v>1663</v>
      </c>
      <c r="B210" s="21" t="s">
        <v>1664</v>
      </c>
      <c r="C210" s="21" t="s">
        <v>208</v>
      </c>
      <c r="D210" s="21" t="s">
        <v>1666</v>
      </c>
      <c r="E210" s="22" t="s">
        <v>12</v>
      </c>
      <c r="F210" s="23" t="s">
        <v>1668</v>
      </c>
      <c r="G210" s="33" t="s">
        <v>14</v>
      </c>
      <c r="H210" s="25">
        <v>57782.400000000001</v>
      </c>
      <c r="I210" s="26" t="s">
        <v>14</v>
      </c>
      <c r="J210" s="25">
        <v>57726.73</v>
      </c>
      <c r="K210" s="18">
        <v>193.22</v>
      </c>
      <c r="L210" s="25">
        <v>90</v>
      </c>
      <c r="M210" s="27" t="s">
        <v>3520</v>
      </c>
      <c r="N210" s="18"/>
      <c r="O210" s="25">
        <v>58009.95</v>
      </c>
      <c r="P210" s="19">
        <f t="shared" si="12"/>
        <v>58009.950000000004</v>
      </c>
      <c r="Q210" s="19">
        <f t="shared" si="13"/>
        <v>-7.2759576141834259E-12</v>
      </c>
      <c r="R210" s="25">
        <v>22392.639999999999</v>
      </c>
      <c r="S210" s="28">
        <v>80402.59</v>
      </c>
      <c r="T210" s="49">
        <f t="shared" si="14"/>
        <v>80402.59</v>
      </c>
      <c r="U210" s="49">
        <f t="shared" si="15"/>
        <v>0</v>
      </c>
    </row>
    <row r="211" spans="1:21" ht="17" thickBot="1" x14ac:dyDescent="0.25">
      <c r="A211" s="21" t="s">
        <v>1004</v>
      </c>
      <c r="B211" s="21" t="s">
        <v>1672</v>
      </c>
      <c r="C211" s="21" t="s">
        <v>169</v>
      </c>
      <c r="D211" s="21" t="s">
        <v>1674</v>
      </c>
      <c r="E211" s="22" t="s">
        <v>12</v>
      </c>
      <c r="F211" s="23" t="s">
        <v>1676</v>
      </c>
      <c r="G211" s="33" t="s">
        <v>14</v>
      </c>
      <c r="H211" s="25">
        <v>50585.599999999999</v>
      </c>
      <c r="I211" s="26" t="s">
        <v>14</v>
      </c>
      <c r="J211" s="25">
        <v>50428.59</v>
      </c>
      <c r="K211" s="18">
        <v>204.02</v>
      </c>
      <c r="L211" s="18">
        <v>1610</v>
      </c>
      <c r="M211" s="27" t="s">
        <v>3520</v>
      </c>
      <c r="N211" s="18"/>
      <c r="O211" s="25">
        <v>52242.61</v>
      </c>
      <c r="P211" s="19">
        <f t="shared" si="12"/>
        <v>52242.609999999993</v>
      </c>
      <c r="Q211" s="19">
        <f t="shared" si="13"/>
        <v>7.2759576141834259E-12</v>
      </c>
      <c r="R211" s="25">
        <v>28032.62</v>
      </c>
      <c r="S211" s="28">
        <v>80275.23</v>
      </c>
      <c r="T211" s="49">
        <f t="shared" si="14"/>
        <v>80275.23</v>
      </c>
      <c r="U211" s="49">
        <f t="shared" si="15"/>
        <v>0</v>
      </c>
    </row>
    <row r="212" spans="1:21" ht="17" thickBot="1" x14ac:dyDescent="0.25">
      <c r="A212" s="21" t="s">
        <v>1679</v>
      </c>
      <c r="B212" s="21" t="s">
        <v>736</v>
      </c>
      <c r="C212" s="21" t="s">
        <v>145</v>
      </c>
      <c r="D212" s="21" t="s">
        <v>1682</v>
      </c>
      <c r="E212" s="22" t="s">
        <v>12</v>
      </c>
      <c r="F212" s="23" t="s">
        <v>1549</v>
      </c>
      <c r="G212" s="33" t="s">
        <v>14</v>
      </c>
      <c r="H212" s="25">
        <v>47507.199999999997</v>
      </c>
      <c r="I212" s="26" t="s">
        <v>14</v>
      </c>
      <c r="J212" s="25">
        <v>48468.01</v>
      </c>
      <c r="K212" s="18">
        <v>6418.78</v>
      </c>
      <c r="L212" s="18">
        <v>2250.1999999999998</v>
      </c>
      <c r="M212" s="27" t="s">
        <v>3520</v>
      </c>
      <c r="N212" s="18"/>
      <c r="O212" s="25">
        <v>57136.99</v>
      </c>
      <c r="P212" s="19">
        <f t="shared" si="12"/>
        <v>57136.99</v>
      </c>
      <c r="Q212" s="19">
        <f t="shared" si="13"/>
        <v>0</v>
      </c>
      <c r="R212" s="25">
        <v>23061.02</v>
      </c>
      <c r="S212" s="28">
        <v>80198.009999999995</v>
      </c>
      <c r="T212" s="49">
        <f t="shared" si="14"/>
        <v>80198.009999999995</v>
      </c>
      <c r="U212" s="49">
        <f t="shared" si="15"/>
        <v>0</v>
      </c>
    </row>
    <row r="213" spans="1:21" ht="17" thickBot="1" x14ac:dyDescent="0.25">
      <c r="A213" s="21" t="s">
        <v>1687</v>
      </c>
      <c r="B213" s="21" t="s">
        <v>1688</v>
      </c>
      <c r="C213" s="21" t="s">
        <v>65</v>
      </c>
      <c r="D213" s="21" t="s">
        <v>1157</v>
      </c>
      <c r="E213" s="22" t="s">
        <v>12</v>
      </c>
      <c r="F213" s="23" t="s">
        <v>1692</v>
      </c>
      <c r="G213" s="33" t="s">
        <v>14</v>
      </c>
      <c r="H213" s="25">
        <v>49192</v>
      </c>
      <c r="I213" s="26" t="s">
        <v>14</v>
      </c>
      <c r="J213" s="25">
        <v>49927.14</v>
      </c>
      <c r="K213" s="18">
        <v>2331.6799999999998</v>
      </c>
      <c r="L213" s="18">
        <v>4804.3999999999996</v>
      </c>
      <c r="M213" s="27" t="s">
        <v>3520</v>
      </c>
      <c r="N213" s="18"/>
      <c r="O213" s="25">
        <v>57063.22</v>
      </c>
      <c r="P213" s="19">
        <f t="shared" si="12"/>
        <v>57063.22</v>
      </c>
      <c r="Q213" s="19">
        <f t="shared" si="13"/>
        <v>0</v>
      </c>
      <c r="R213" s="25">
        <v>22991.41</v>
      </c>
      <c r="S213" s="28">
        <v>80054.63</v>
      </c>
      <c r="T213" s="49">
        <f t="shared" si="14"/>
        <v>80054.63</v>
      </c>
      <c r="U213" s="49">
        <f t="shared" si="15"/>
        <v>0</v>
      </c>
    </row>
    <row r="214" spans="1:21" ht="17" thickBot="1" x14ac:dyDescent="0.25">
      <c r="A214" s="21" t="s">
        <v>1695</v>
      </c>
      <c r="B214" s="21" t="s">
        <v>1696</v>
      </c>
      <c r="C214" s="21" t="s">
        <v>81</v>
      </c>
      <c r="D214" s="21" t="s">
        <v>378</v>
      </c>
      <c r="E214" s="22" t="s">
        <v>20</v>
      </c>
      <c r="F214" s="23" t="s">
        <v>1231</v>
      </c>
      <c r="G214" s="34" t="s">
        <v>1701</v>
      </c>
      <c r="H214" s="25">
        <v>52543.17</v>
      </c>
      <c r="I214" s="25">
        <v>178.59</v>
      </c>
      <c r="J214" s="25">
        <v>45235.73</v>
      </c>
      <c r="K214" s="18">
        <v>9128.3799999999992</v>
      </c>
      <c r="L214" s="18">
        <v>3386.01</v>
      </c>
      <c r="M214" s="27" t="s">
        <v>3520</v>
      </c>
      <c r="N214" s="18"/>
      <c r="O214" s="18">
        <v>57928.71</v>
      </c>
      <c r="P214" s="19">
        <f t="shared" si="12"/>
        <v>57928.71</v>
      </c>
      <c r="Q214" s="19">
        <f t="shared" si="13"/>
        <v>0</v>
      </c>
      <c r="R214" s="25">
        <v>21663.119999999999</v>
      </c>
      <c r="S214" s="28">
        <v>79591.83</v>
      </c>
      <c r="T214" s="49">
        <f t="shared" si="14"/>
        <v>79591.83</v>
      </c>
      <c r="U214" s="49">
        <f t="shared" si="15"/>
        <v>0</v>
      </c>
    </row>
    <row r="215" spans="1:21" ht="17" thickBot="1" x14ac:dyDescent="0.25">
      <c r="A215" s="21" t="s">
        <v>1702</v>
      </c>
      <c r="B215" s="21" t="s">
        <v>1703</v>
      </c>
      <c r="C215" s="21" t="s">
        <v>65</v>
      </c>
      <c r="D215" s="21" t="s">
        <v>594</v>
      </c>
      <c r="E215" s="22" t="s">
        <v>20</v>
      </c>
      <c r="F215" s="23" t="s">
        <v>1707</v>
      </c>
      <c r="G215" s="34" t="s">
        <v>1153</v>
      </c>
      <c r="H215" s="25">
        <v>64105.599999999999</v>
      </c>
      <c r="I215" s="25">
        <v>5426.79</v>
      </c>
      <c r="J215" s="25">
        <v>43237.07</v>
      </c>
      <c r="K215" s="18">
        <v>4379.7299999999996</v>
      </c>
      <c r="L215" s="18">
        <v>2639.7</v>
      </c>
      <c r="M215" s="27" t="s">
        <v>3520</v>
      </c>
      <c r="N215" s="18"/>
      <c r="O215" s="25">
        <v>55683.29</v>
      </c>
      <c r="P215" s="19">
        <f t="shared" si="12"/>
        <v>55683.289999999994</v>
      </c>
      <c r="Q215" s="19">
        <f t="shared" si="13"/>
        <v>7.2759576141834259E-12</v>
      </c>
      <c r="R215" s="25">
        <v>23685.83</v>
      </c>
      <c r="S215" s="28">
        <v>79369.119999999995</v>
      </c>
      <c r="T215" s="49">
        <f t="shared" si="14"/>
        <v>79369.119999999995</v>
      </c>
      <c r="U215" s="49">
        <f t="shared" si="15"/>
        <v>0</v>
      </c>
    </row>
    <row r="216" spans="1:21" ht="17" thickBot="1" x14ac:dyDescent="0.25">
      <c r="A216" s="21" t="s">
        <v>1709</v>
      </c>
      <c r="B216" s="21" t="s">
        <v>1710</v>
      </c>
      <c r="C216" s="21" t="s">
        <v>1046</v>
      </c>
      <c r="D216" s="21" t="s">
        <v>1427</v>
      </c>
      <c r="E216" s="22" t="s">
        <v>12</v>
      </c>
      <c r="F216" s="23" t="s">
        <v>857</v>
      </c>
      <c r="G216" s="33" t="s">
        <v>14</v>
      </c>
      <c r="H216" s="25">
        <v>55203.199999999997</v>
      </c>
      <c r="I216" s="26" t="s">
        <v>14</v>
      </c>
      <c r="J216" s="25">
        <v>51791.69</v>
      </c>
      <c r="K216" s="18">
        <v>2202.4499999999998</v>
      </c>
      <c r="L216" s="18">
        <v>2388.39</v>
      </c>
      <c r="M216" s="27" t="s">
        <v>3520</v>
      </c>
      <c r="N216" s="18"/>
      <c r="O216" s="25">
        <v>56382.53</v>
      </c>
      <c r="P216" s="19">
        <f t="shared" si="12"/>
        <v>56382.53</v>
      </c>
      <c r="Q216" s="19">
        <f t="shared" si="13"/>
        <v>0</v>
      </c>
      <c r="R216" s="25">
        <v>22862.81</v>
      </c>
      <c r="S216" s="28">
        <v>79245.34</v>
      </c>
      <c r="T216" s="49">
        <f t="shared" si="14"/>
        <v>79245.34</v>
      </c>
      <c r="U216" s="49">
        <f t="shared" si="15"/>
        <v>0</v>
      </c>
    </row>
    <row r="217" spans="1:21" ht="17" thickBot="1" x14ac:dyDescent="0.25">
      <c r="A217" s="21" t="s">
        <v>1717</v>
      </c>
      <c r="B217" s="21" t="s">
        <v>1718</v>
      </c>
      <c r="C217" s="21" t="s">
        <v>808</v>
      </c>
      <c r="D217" s="21" t="s">
        <v>1515</v>
      </c>
      <c r="E217" s="22" t="s">
        <v>12</v>
      </c>
      <c r="F217" s="23" t="s">
        <v>1549</v>
      </c>
      <c r="G217" s="33" t="s">
        <v>14</v>
      </c>
      <c r="H217" s="25">
        <v>46342.400000000001</v>
      </c>
      <c r="I217" s="26" t="s">
        <v>14</v>
      </c>
      <c r="J217" s="25">
        <v>48202.27</v>
      </c>
      <c r="K217" s="18">
        <v>1216.81</v>
      </c>
      <c r="L217" s="18">
        <v>2000.16</v>
      </c>
      <c r="M217" s="27" t="s">
        <v>3520</v>
      </c>
      <c r="N217" s="18"/>
      <c r="O217" s="25">
        <v>51419.24</v>
      </c>
      <c r="P217" s="19">
        <f t="shared" si="12"/>
        <v>51419.24</v>
      </c>
      <c r="Q217" s="19">
        <f t="shared" si="13"/>
        <v>0</v>
      </c>
      <c r="R217" s="25">
        <v>27682.67</v>
      </c>
      <c r="S217" s="28">
        <v>79101.91</v>
      </c>
      <c r="T217" s="49">
        <f t="shared" si="14"/>
        <v>79101.91</v>
      </c>
      <c r="U217" s="49">
        <f t="shared" si="15"/>
        <v>0</v>
      </c>
    </row>
    <row r="218" spans="1:21" ht="17" thickBot="1" x14ac:dyDescent="0.25">
      <c r="A218" s="21" t="s">
        <v>1725</v>
      </c>
      <c r="B218" s="21" t="s">
        <v>1726</v>
      </c>
      <c r="C218" s="21" t="s">
        <v>65</v>
      </c>
      <c r="D218" s="21" t="s">
        <v>1728</v>
      </c>
      <c r="E218" s="22" t="s">
        <v>12</v>
      </c>
      <c r="F218" s="23" t="s">
        <v>1730</v>
      </c>
      <c r="G218" s="33" t="s">
        <v>14</v>
      </c>
      <c r="H218" s="25">
        <v>47902.400000000001</v>
      </c>
      <c r="I218" s="26" t="s">
        <v>14</v>
      </c>
      <c r="J218" s="25">
        <v>48408.76</v>
      </c>
      <c r="K218" s="18">
        <v>242.25</v>
      </c>
      <c r="L218" s="18">
        <v>2813.86</v>
      </c>
      <c r="M218" s="27" t="s">
        <v>3520</v>
      </c>
      <c r="N218" s="18"/>
      <c r="O218" s="25">
        <v>51464.87</v>
      </c>
      <c r="P218" s="19">
        <f t="shared" si="12"/>
        <v>51464.87</v>
      </c>
      <c r="Q218" s="19">
        <f t="shared" si="13"/>
        <v>0</v>
      </c>
      <c r="R218" s="25">
        <v>27633.63</v>
      </c>
      <c r="S218" s="28">
        <v>79098.5</v>
      </c>
      <c r="T218" s="49">
        <f t="shared" si="14"/>
        <v>79098.5</v>
      </c>
      <c r="U218" s="49">
        <f t="shared" si="15"/>
        <v>0</v>
      </c>
    </row>
    <row r="219" spans="1:21" ht="17" thickBot="1" x14ac:dyDescent="0.25">
      <c r="A219" s="21" t="s">
        <v>1733</v>
      </c>
      <c r="B219" s="21" t="s">
        <v>1734</v>
      </c>
      <c r="C219" s="21" t="s">
        <v>208</v>
      </c>
      <c r="D219" s="21" t="s">
        <v>1736</v>
      </c>
      <c r="E219" s="22" t="s">
        <v>12</v>
      </c>
      <c r="F219" s="23" t="s">
        <v>1738</v>
      </c>
      <c r="G219" s="33" t="s">
        <v>14</v>
      </c>
      <c r="H219" s="25">
        <v>43409.599999999999</v>
      </c>
      <c r="I219" s="26" t="s">
        <v>14</v>
      </c>
      <c r="J219" s="25">
        <v>43070.76</v>
      </c>
      <c r="K219" s="18">
        <v>344.36</v>
      </c>
      <c r="L219" s="18">
        <v>3696</v>
      </c>
      <c r="M219" s="27" t="s">
        <v>3520</v>
      </c>
      <c r="N219" s="18"/>
      <c r="O219" s="25">
        <v>47111.12</v>
      </c>
      <c r="P219" s="19">
        <f t="shared" si="12"/>
        <v>47111.12</v>
      </c>
      <c r="Q219" s="19">
        <f t="shared" si="13"/>
        <v>0</v>
      </c>
      <c r="R219" s="25">
        <v>31929.88</v>
      </c>
      <c r="S219" s="28">
        <v>79041</v>
      </c>
      <c r="T219" s="49">
        <f t="shared" si="14"/>
        <v>79041</v>
      </c>
      <c r="U219" s="49">
        <f t="shared" si="15"/>
        <v>0</v>
      </c>
    </row>
    <row r="220" spans="1:21" ht="17" thickBot="1" x14ac:dyDescent="0.25">
      <c r="A220" s="21" t="s">
        <v>1741</v>
      </c>
      <c r="B220" s="21" t="s">
        <v>1140</v>
      </c>
      <c r="C220" s="21" t="s">
        <v>1323</v>
      </c>
      <c r="D220" s="21" t="s">
        <v>1744</v>
      </c>
      <c r="E220" s="22" t="s">
        <v>12</v>
      </c>
      <c r="F220" s="23" t="s">
        <v>1746</v>
      </c>
      <c r="G220" s="33" t="s">
        <v>14</v>
      </c>
      <c r="H220" s="25">
        <v>51812.800000000003</v>
      </c>
      <c r="I220" s="26" t="s">
        <v>14</v>
      </c>
      <c r="J220" s="25">
        <v>52821.9</v>
      </c>
      <c r="K220" s="18">
        <v>2034.24</v>
      </c>
      <c r="L220" s="18">
        <v>1470</v>
      </c>
      <c r="M220" s="27" t="s">
        <v>3520</v>
      </c>
      <c r="N220" s="18"/>
      <c r="O220" s="25">
        <v>56326.14</v>
      </c>
      <c r="P220" s="19">
        <f t="shared" si="12"/>
        <v>56326.14</v>
      </c>
      <c r="Q220" s="19">
        <f t="shared" si="13"/>
        <v>0</v>
      </c>
      <c r="R220" s="25">
        <v>22685.61</v>
      </c>
      <c r="S220" s="28">
        <v>79011.75</v>
      </c>
      <c r="T220" s="49">
        <f t="shared" si="14"/>
        <v>79011.75</v>
      </c>
      <c r="U220" s="49">
        <f t="shared" si="15"/>
        <v>0</v>
      </c>
    </row>
    <row r="221" spans="1:21" ht="17" thickBot="1" x14ac:dyDescent="0.25">
      <c r="A221" s="21" t="s">
        <v>1749</v>
      </c>
      <c r="B221" s="21" t="s">
        <v>1750</v>
      </c>
      <c r="C221" s="21" t="s">
        <v>65</v>
      </c>
      <c r="D221" s="21" t="s">
        <v>594</v>
      </c>
      <c r="E221" s="22" t="s">
        <v>20</v>
      </c>
      <c r="F221" s="23" t="s">
        <v>492</v>
      </c>
      <c r="G221" s="34" t="s">
        <v>1755</v>
      </c>
      <c r="H221" s="25">
        <v>56971.199999999997</v>
      </c>
      <c r="I221" s="25">
        <v>4947.46</v>
      </c>
      <c r="J221" s="25">
        <v>42797.22</v>
      </c>
      <c r="K221" s="18">
        <v>3784.86</v>
      </c>
      <c r="L221" s="18">
        <v>3223.84</v>
      </c>
      <c r="M221" s="27" t="s">
        <v>3520</v>
      </c>
      <c r="N221" s="18"/>
      <c r="O221" s="25">
        <v>54753.38</v>
      </c>
      <c r="P221" s="19">
        <f t="shared" si="12"/>
        <v>54753.380000000005</v>
      </c>
      <c r="Q221" s="19">
        <f t="shared" si="13"/>
        <v>-7.2759576141834259E-12</v>
      </c>
      <c r="R221" s="25">
        <v>23701.43</v>
      </c>
      <c r="S221" s="28">
        <v>78454.81</v>
      </c>
      <c r="T221" s="49">
        <f t="shared" si="14"/>
        <v>78454.81</v>
      </c>
      <c r="U221" s="49">
        <f t="shared" si="15"/>
        <v>0</v>
      </c>
    </row>
    <row r="222" spans="1:21" ht="17" thickBot="1" x14ac:dyDescent="0.25">
      <c r="A222" s="21" t="s">
        <v>1756</v>
      </c>
      <c r="B222" s="21" t="s">
        <v>815</v>
      </c>
      <c r="C222" s="21" t="s">
        <v>81</v>
      </c>
      <c r="D222" s="21" t="s">
        <v>1419</v>
      </c>
      <c r="E222" s="22" t="s">
        <v>20</v>
      </c>
      <c r="F222" s="23" t="s">
        <v>756</v>
      </c>
      <c r="G222" s="33" t="s">
        <v>14</v>
      </c>
      <c r="H222" s="25">
        <v>39711.61</v>
      </c>
      <c r="I222" s="26" t="s">
        <v>14</v>
      </c>
      <c r="J222" s="25">
        <v>39587.64</v>
      </c>
      <c r="K222" s="18">
        <v>13629.65</v>
      </c>
      <c r="L222" s="18">
        <v>2319.23</v>
      </c>
      <c r="M222" s="27" t="s">
        <v>3520</v>
      </c>
      <c r="N222" s="18"/>
      <c r="O222" s="25">
        <v>55536.52</v>
      </c>
      <c r="P222" s="19">
        <f t="shared" si="12"/>
        <v>55536.520000000004</v>
      </c>
      <c r="Q222" s="19">
        <f t="shared" si="13"/>
        <v>-7.2759576141834259E-12</v>
      </c>
      <c r="R222" s="25">
        <v>22763.96</v>
      </c>
      <c r="S222" s="28">
        <v>78300.479999999996</v>
      </c>
      <c r="T222" s="49">
        <f t="shared" si="14"/>
        <v>78300.479999999996</v>
      </c>
      <c r="U222" s="49">
        <f t="shared" si="15"/>
        <v>0</v>
      </c>
    </row>
    <row r="223" spans="1:21" ht="17" thickBot="1" x14ac:dyDescent="0.25">
      <c r="A223" s="21" t="s">
        <v>1764</v>
      </c>
      <c r="B223" s="21" t="s">
        <v>1765</v>
      </c>
      <c r="C223" s="21" t="s">
        <v>65</v>
      </c>
      <c r="D223" s="21" t="s">
        <v>1157</v>
      </c>
      <c r="E223" s="22" t="s">
        <v>12</v>
      </c>
      <c r="F223" s="23" t="s">
        <v>1549</v>
      </c>
      <c r="G223" s="33" t="s">
        <v>14</v>
      </c>
      <c r="H223" s="25">
        <v>49150.400000000001</v>
      </c>
      <c r="I223" s="26" t="s">
        <v>14</v>
      </c>
      <c r="J223" s="25">
        <v>49365.71</v>
      </c>
      <c r="K223" s="18">
        <v>1789.01</v>
      </c>
      <c r="L223" s="18">
        <v>4330.62</v>
      </c>
      <c r="M223" s="27" t="s">
        <v>3520</v>
      </c>
      <c r="N223" s="18"/>
      <c r="O223" s="25">
        <v>55485.34</v>
      </c>
      <c r="P223" s="19">
        <f t="shared" si="12"/>
        <v>55485.340000000004</v>
      </c>
      <c r="Q223" s="19">
        <f t="shared" si="13"/>
        <v>-7.2759576141834259E-12</v>
      </c>
      <c r="R223" s="25">
        <v>22794.05</v>
      </c>
      <c r="S223" s="28">
        <v>78279.39</v>
      </c>
      <c r="T223" s="49">
        <f t="shared" si="14"/>
        <v>78279.39</v>
      </c>
      <c r="U223" s="49">
        <f t="shared" si="15"/>
        <v>0</v>
      </c>
    </row>
    <row r="224" spans="1:21" ht="17" thickBot="1" x14ac:dyDescent="0.25">
      <c r="A224" s="21" t="s">
        <v>1772</v>
      </c>
      <c r="B224" s="21" t="s">
        <v>1773</v>
      </c>
      <c r="C224" s="21" t="s">
        <v>65</v>
      </c>
      <c r="D224" s="21" t="s">
        <v>1775</v>
      </c>
      <c r="E224" s="22" t="s">
        <v>12</v>
      </c>
      <c r="F224" s="23" t="s">
        <v>195</v>
      </c>
      <c r="G224" s="33" t="s">
        <v>14</v>
      </c>
      <c r="H224" s="25">
        <v>49628.800000000003</v>
      </c>
      <c r="I224" s="26" t="s">
        <v>14</v>
      </c>
      <c r="J224" s="25">
        <v>50566.65</v>
      </c>
      <c r="K224" s="18">
        <v>1617.73</v>
      </c>
      <c r="L224" s="18">
        <v>3275.96</v>
      </c>
      <c r="M224" s="27" t="s">
        <v>3520</v>
      </c>
      <c r="N224" s="18"/>
      <c r="O224" s="25">
        <v>55460.34</v>
      </c>
      <c r="P224" s="19">
        <f t="shared" si="12"/>
        <v>55460.340000000004</v>
      </c>
      <c r="Q224" s="19">
        <f t="shared" si="13"/>
        <v>-7.2759576141834259E-12</v>
      </c>
      <c r="R224" s="25">
        <v>22734.05</v>
      </c>
      <c r="S224" s="28">
        <v>78194.39</v>
      </c>
      <c r="T224" s="49">
        <f t="shared" si="14"/>
        <v>78194.39</v>
      </c>
      <c r="U224" s="49">
        <f t="shared" si="15"/>
        <v>0</v>
      </c>
    </row>
    <row r="225" spans="1:21" ht="17" thickBot="1" x14ac:dyDescent="0.25">
      <c r="A225" s="21" t="s">
        <v>1780</v>
      </c>
      <c r="B225" s="21" t="s">
        <v>544</v>
      </c>
      <c r="C225" s="21" t="s">
        <v>81</v>
      </c>
      <c r="D225" s="21" t="s">
        <v>249</v>
      </c>
      <c r="E225" s="22" t="s">
        <v>20</v>
      </c>
      <c r="F225" s="23" t="s">
        <v>1785</v>
      </c>
      <c r="G225" s="34" t="s">
        <v>1786</v>
      </c>
      <c r="H225" s="25">
        <v>72550.880000000005</v>
      </c>
      <c r="I225" s="25">
        <v>952.92</v>
      </c>
      <c r="J225" s="25">
        <v>46925.35</v>
      </c>
      <c r="K225" s="18">
        <v>6887.62</v>
      </c>
      <c r="L225" s="18">
        <v>2962.75</v>
      </c>
      <c r="M225" s="27" t="s">
        <v>3520</v>
      </c>
      <c r="N225" s="18"/>
      <c r="O225" s="18">
        <v>57728.639999999999</v>
      </c>
      <c r="P225" s="19">
        <f t="shared" si="12"/>
        <v>57728.639999999999</v>
      </c>
      <c r="Q225" s="19">
        <f t="shared" si="13"/>
        <v>0</v>
      </c>
      <c r="R225" s="25">
        <v>20012.98</v>
      </c>
      <c r="S225" s="28">
        <v>77741.62</v>
      </c>
      <c r="T225" s="49">
        <f t="shared" si="14"/>
        <v>77741.62</v>
      </c>
      <c r="U225" s="49">
        <f t="shared" si="15"/>
        <v>0</v>
      </c>
    </row>
    <row r="226" spans="1:21" ht="17" thickBot="1" x14ac:dyDescent="0.25">
      <c r="A226" s="10" t="s">
        <v>1787</v>
      </c>
      <c r="B226" s="10" t="s">
        <v>56</v>
      </c>
      <c r="C226" s="10" t="s">
        <v>137</v>
      </c>
      <c r="D226" s="10" t="s">
        <v>1627</v>
      </c>
      <c r="E226" s="11" t="s">
        <v>12</v>
      </c>
      <c r="F226" s="12" t="s">
        <v>1792</v>
      </c>
      <c r="G226" s="32" t="s">
        <v>14</v>
      </c>
      <c r="H226" s="14">
        <v>51064</v>
      </c>
      <c r="I226" s="15" t="s">
        <v>14</v>
      </c>
      <c r="J226" s="14">
        <v>51036.85</v>
      </c>
      <c r="K226" s="16">
        <v>884.8</v>
      </c>
      <c r="L226" s="16">
        <v>3131</v>
      </c>
      <c r="M226" s="17" t="s">
        <v>3520</v>
      </c>
      <c r="N226" s="18"/>
      <c r="O226" s="14">
        <v>55052.65</v>
      </c>
      <c r="P226" s="19">
        <f t="shared" si="12"/>
        <v>55052.65</v>
      </c>
      <c r="Q226" s="19">
        <f t="shared" si="13"/>
        <v>0</v>
      </c>
      <c r="R226" s="14">
        <v>22542.27</v>
      </c>
      <c r="S226" s="20">
        <v>77594.92</v>
      </c>
      <c r="T226" s="49">
        <f t="shared" si="14"/>
        <v>77594.92</v>
      </c>
      <c r="U226" s="49">
        <f t="shared" si="15"/>
        <v>0</v>
      </c>
    </row>
    <row r="227" spans="1:21" ht="17" thickBot="1" x14ac:dyDescent="0.25">
      <c r="A227" s="21" t="s">
        <v>1795</v>
      </c>
      <c r="B227" s="21" t="s">
        <v>1796</v>
      </c>
      <c r="C227" s="21" t="s">
        <v>81</v>
      </c>
      <c r="D227" s="21" t="s">
        <v>1798</v>
      </c>
      <c r="E227" s="22" t="s">
        <v>12</v>
      </c>
      <c r="F227" s="23" t="s">
        <v>1800</v>
      </c>
      <c r="G227" s="33" t="s">
        <v>14</v>
      </c>
      <c r="H227" s="25">
        <v>44220.800000000003</v>
      </c>
      <c r="I227" s="26" t="s">
        <v>14</v>
      </c>
      <c r="J227" s="25">
        <v>44583.07</v>
      </c>
      <c r="K227" s="18">
        <v>2994.56</v>
      </c>
      <c r="L227" s="18">
        <v>1646</v>
      </c>
      <c r="M227" s="27" t="s">
        <v>3520</v>
      </c>
      <c r="N227" s="18"/>
      <c r="O227" s="25">
        <v>49223.63</v>
      </c>
      <c r="P227" s="19">
        <f t="shared" si="12"/>
        <v>49223.63</v>
      </c>
      <c r="Q227" s="19">
        <f t="shared" si="13"/>
        <v>0</v>
      </c>
      <c r="R227" s="25">
        <v>28313.59</v>
      </c>
      <c r="S227" s="28">
        <v>77537.22</v>
      </c>
      <c r="T227" s="49">
        <f t="shared" si="14"/>
        <v>77537.22</v>
      </c>
      <c r="U227" s="49">
        <f t="shared" si="15"/>
        <v>0</v>
      </c>
    </row>
    <row r="228" spans="1:21" ht="17" thickBot="1" x14ac:dyDescent="0.25">
      <c r="A228" s="21" t="s">
        <v>1803</v>
      </c>
      <c r="B228" s="21" t="s">
        <v>1804</v>
      </c>
      <c r="C228" s="21" t="s">
        <v>81</v>
      </c>
      <c r="D228" s="21" t="s">
        <v>1419</v>
      </c>
      <c r="E228" s="22" t="s">
        <v>20</v>
      </c>
      <c r="F228" s="23" t="s">
        <v>516</v>
      </c>
      <c r="G228" s="33" t="s">
        <v>14</v>
      </c>
      <c r="H228" s="25">
        <v>38294.699999999997</v>
      </c>
      <c r="I228" s="26" t="s">
        <v>14</v>
      </c>
      <c r="J228" s="25">
        <v>40843.74</v>
      </c>
      <c r="K228" s="18">
        <v>8319.18</v>
      </c>
      <c r="L228" s="18">
        <v>1535.31</v>
      </c>
      <c r="M228" s="27" t="s">
        <v>3520</v>
      </c>
      <c r="N228" s="18"/>
      <c r="O228" s="25">
        <v>50698.23</v>
      </c>
      <c r="P228" s="19">
        <f t="shared" si="12"/>
        <v>50698.229999999996</v>
      </c>
      <c r="Q228" s="19">
        <f t="shared" si="13"/>
        <v>7.2759576141834259E-12</v>
      </c>
      <c r="R228" s="25">
        <v>26832.12</v>
      </c>
      <c r="S228" s="28">
        <v>77530.350000000006</v>
      </c>
      <c r="T228" s="49">
        <f t="shared" si="14"/>
        <v>77530.350000000006</v>
      </c>
      <c r="U228" s="49">
        <f t="shared" si="15"/>
        <v>0</v>
      </c>
    </row>
    <row r="229" spans="1:21" ht="17" thickBot="1" x14ac:dyDescent="0.25">
      <c r="A229" s="21" t="s">
        <v>1811</v>
      </c>
      <c r="B229" s="21" t="s">
        <v>1812</v>
      </c>
      <c r="C229" s="21" t="s">
        <v>81</v>
      </c>
      <c r="D229" s="21" t="s">
        <v>378</v>
      </c>
      <c r="E229" s="22" t="s">
        <v>20</v>
      </c>
      <c r="F229" s="23" t="s">
        <v>756</v>
      </c>
      <c r="G229" s="33" t="s">
        <v>14</v>
      </c>
      <c r="H229" s="25">
        <v>39711.61</v>
      </c>
      <c r="I229" s="26" t="s">
        <v>14</v>
      </c>
      <c r="J229" s="25">
        <v>39317.699999999997</v>
      </c>
      <c r="K229" s="18">
        <v>7957.71</v>
      </c>
      <c r="L229" s="18">
        <v>1501.92</v>
      </c>
      <c r="M229" s="27" t="s">
        <v>3520</v>
      </c>
      <c r="N229" s="18"/>
      <c r="O229" s="25">
        <v>48777.33</v>
      </c>
      <c r="P229" s="19">
        <f t="shared" si="12"/>
        <v>48777.329999999994</v>
      </c>
      <c r="Q229" s="19">
        <f t="shared" si="13"/>
        <v>7.2759576141834259E-12</v>
      </c>
      <c r="R229" s="25">
        <v>28184</v>
      </c>
      <c r="S229" s="28">
        <v>76961.33</v>
      </c>
      <c r="T229" s="49">
        <f t="shared" si="14"/>
        <v>76961.33</v>
      </c>
      <c r="U229" s="49">
        <f t="shared" si="15"/>
        <v>0</v>
      </c>
    </row>
    <row r="230" spans="1:21" ht="17" thickBot="1" x14ac:dyDescent="0.25">
      <c r="A230" s="21" t="s">
        <v>1819</v>
      </c>
      <c r="B230" s="21" t="s">
        <v>1820</v>
      </c>
      <c r="C230" s="21" t="s">
        <v>1323</v>
      </c>
      <c r="D230" s="21" t="s">
        <v>1744</v>
      </c>
      <c r="E230" s="22" t="s">
        <v>12</v>
      </c>
      <c r="F230" s="23" t="s">
        <v>1239</v>
      </c>
      <c r="G230" s="33" t="s">
        <v>14</v>
      </c>
      <c r="H230" s="25">
        <v>51812.800000000003</v>
      </c>
      <c r="I230" s="26" t="s">
        <v>14</v>
      </c>
      <c r="J230" s="25">
        <v>52110.26</v>
      </c>
      <c r="K230" s="18">
        <v>948.07</v>
      </c>
      <c r="L230" s="18">
        <v>990</v>
      </c>
      <c r="M230" s="27" t="s">
        <v>3520</v>
      </c>
      <c r="N230" s="18"/>
      <c r="O230" s="25">
        <v>54048.33</v>
      </c>
      <c r="P230" s="19">
        <f t="shared" si="12"/>
        <v>54048.33</v>
      </c>
      <c r="Q230" s="19">
        <f t="shared" si="13"/>
        <v>0</v>
      </c>
      <c r="R230" s="25">
        <v>21853.51</v>
      </c>
      <c r="S230" s="28">
        <v>75901.84</v>
      </c>
      <c r="T230" s="49">
        <f t="shared" si="14"/>
        <v>75901.84</v>
      </c>
      <c r="U230" s="49">
        <f t="shared" si="15"/>
        <v>0</v>
      </c>
    </row>
    <row r="231" spans="1:21" ht="17" thickBot="1" x14ac:dyDescent="0.25">
      <c r="A231" s="21" t="s">
        <v>303</v>
      </c>
      <c r="B231" s="21" t="s">
        <v>1828</v>
      </c>
      <c r="C231" s="21" t="s">
        <v>81</v>
      </c>
      <c r="D231" s="21" t="s">
        <v>1419</v>
      </c>
      <c r="E231" s="22" t="s">
        <v>20</v>
      </c>
      <c r="F231" s="23" t="s">
        <v>516</v>
      </c>
      <c r="G231" s="33" t="s">
        <v>14</v>
      </c>
      <c r="H231" s="25">
        <v>38294.699999999997</v>
      </c>
      <c r="I231" s="26" t="s">
        <v>14</v>
      </c>
      <c r="J231" s="25">
        <v>30104.75</v>
      </c>
      <c r="K231" s="18">
        <v>22703.18</v>
      </c>
      <c r="L231" s="18">
        <v>973.42</v>
      </c>
      <c r="M231" s="27" t="s">
        <v>3520</v>
      </c>
      <c r="N231" s="18"/>
      <c r="O231" s="25">
        <v>53781.35</v>
      </c>
      <c r="P231" s="19">
        <f t="shared" si="12"/>
        <v>53781.35</v>
      </c>
      <c r="Q231" s="19">
        <f t="shared" si="13"/>
        <v>0</v>
      </c>
      <c r="R231" s="25">
        <v>22024.639999999999</v>
      </c>
      <c r="S231" s="28">
        <v>75805.990000000005</v>
      </c>
      <c r="T231" s="49">
        <f t="shared" si="14"/>
        <v>75805.989999999991</v>
      </c>
      <c r="U231" s="49">
        <f t="shared" si="15"/>
        <v>1.4551915228366852E-11</v>
      </c>
    </row>
    <row r="232" spans="1:21" ht="17" thickBot="1" x14ac:dyDescent="0.25">
      <c r="A232" s="21" t="s">
        <v>303</v>
      </c>
      <c r="B232" s="21" t="s">
        <v>1836</v>
      </c>
      <c r="C232" s="21" t="s">
        <v>824</v>
      </c>
      <c r="D232" s="21" t="s">
        <v>1838</v>
      </c>
      <c r="E232" s="22" t="s">
        <v>12</v>
      </c>
      <c r="F232" s="23" t="s">
        <v>827</v>
      </c>
      <c r="G232" s="33" t="s">
        <v>14</v>
      </c>
      <c r="H232" s="25">
        <v>48796.800000000003</v>
      </c>
      <c r="I232" s="26" t="s">
        <v>14</v>
      </c>
      <c r="J232" s="25">
        <v>49193.85</v>
      </c>
      <c r="K232" s="18">
        <v>1716.58</v>
      </c>
      <c r="L232" s="18">
        <v>2346.87</v>
      </c>
      <c r="M232" s="27" t="s">
        <v>3520</v>
      </c>
      <c r="N232" s="18"/>
      <c r="O232" s="25">
        <v>53257.3</v>
      </c>
      <c r="P232" s="19">
        <f t="shared" si="12"/>
        <v>53257.3</v>
      </c>
      <c r="Q232" s="19">
        <f t="shared" si="13"/>
        <v>0</v>
      </c>
      <c r="R232" s="25">
        <v>22043.19</v>
      </c>
      <c r="S232" s="28">
        <v>75300.490000000005</v>
      </c>
      <c r="T232" s="49">
        <f t="shared" si="14"/>
        <v>75300.490000000005</v>
      </c>
      <c r="U232" s="49">
        <f t="shared" si="15"/>
        <v>0</v>
      </c>
    </row>
    <row r="233" spans="1:21" ht="17" thickBot="1" x14ac:dyDescent="0.25">
      <c r="A233" s="21" t="s">
        <v>1843</v>
      </c>
      <c r="B233" s="21" t="s">
        <v>1844</v>
      </c>
      <c r="C233" s="21" t="s">
        <v>65</v>
      </c>
      <c r="D233" s="21" t="s">
        <v>1728</v>
      </c>
      <c r="E233" s="22" t="s">
        <v>12</v>
      </c>
      <c r="F233" s="23" t="s">
        <v>1730</v>
      </c>
      <c r="G233" s="34" t="s">
        <v>1849</v>
      </c>
      <c r="H233" s="25">
        <v>45115.199999999997</v>
      </c>
      <c r="I233" s="25">
        <v>160.51</v>
      </c>
      <c r="J233" s="25">
        <v>44271.01</v>
      </c>
      <c r="K233" s="18">
        <v>1177.76</v>
      </c>
      <c r="L233" s="18">
        <v>2445.09</v>
      </c>
      <c r="M233" s="27" t="s">
        <v>3520</v>
      </c>
      <c r="N233" s="18"/>
      <c r="O233" s="18">
        <v>48054.37</v>
      </c>
      <c r="P233" s="19">
        <f t="shared" si="12"/>
        <v>48054.37000000001</v>
      </c>
      <c r="Q233" s="19">
        <f t="shared" si="13"/>
        <v>-7.2759576141834259E-12</v>
      </c>
      <c r="R233" s="25">
        <v>26960.27</v>
      </c>
      <c r="S233" s="28">
        <v>75014.64</v>
      </c>
      <c r="T233" s="49">
        <f t="shared" si="14"/>
        <v>75014.64</v>
      </c>
      <c r="U233" s="49">
        <f t="shared" si="15"/>
        <v>0</v>
      </c>
    </row>
    <row r="234" spans="1:21" ht="17" thickBot="1" x14ac:dyDescent="0.25">
      <c r="A234" s="21" t="s">
        <v>1850</v>
      </c>
      <c r="B234" s="21" t="s">
        <v>496</v>
      </c>
      <c r="C234" s="21" t="s">
        <v>81</v>
      </c>
      <c r="D234" s="21" t="s">
        <v>378</v>
      </c>
      <c r="E234" s="22" t="s">
        <v>20</v>
      </c>
      <c r="F234" s="23" t="s">
        <v>1855</v>
      </c>
      <c r="G234" s="33" t="s">
        <v>14</v>
      </c>
      <c r="H234" s="25">
        <v>38294.699999999997</v>
      </c>
      <c r="I234" s="26" t="s">
        <v>14</v>
      </c>
      <c r="J234" s="25">
        <v>39761.24</v>
      </c>
      <c r="K234" s="18">
        <v>10253.43</v>
      </c>
      <c r="L234" s="18">
        <v>2918.56</v>
      </c>
      <c r="M234" s="27" t="s">
        <v>3520</v>
      </c>
      <c r="N234" s="18"/>
      <c r="O234" s="25">
        <v>52933.23</v>
      </c>
      <c r="P234" s="19">
        <f t="shared" si="12"/>
        <v>52933.229999999996</v>
      </c>
      <c r="Q234" s="19">
        <f t="shared" si="13"/>
        <v>7.2759576141834259E-12</v>
      </c>
      <c r="R234" s="25">
        <v>22020.22</v>
      </c>
      <c r="S234" s="28">
        <v>74953.45</v>
      </c>
      <c r="T234" s="49">
        <f t="shared" si="14"/>
        <v>74953.450000000012</v>
      </c>
      <c r="U234" s="49">
        <f t="shared" si="15"/>
        <v>-1.4551915228366852E-11</v>
      </c>
    </row>
    <row r="235" spans="1:21" ht="17" thickBot="1" x14ac:dyDescent="0.25">
      <c r="A235" s="21" t="s">
        <v>1858</v>
      </c>
      <c r="B235" s="21" t="s">
        <v>1859</v>
      </c>
      <c r="C235" s="21" t="s">
        <v>256</v>
      </c>
      <c r="D235" s="21" t="s">
        <v>1126</v>
      </c>
      <c r="E235" s="22" t="s">
        <v>12</v>
      </c>
      <c r="F235" s="23" t="s">
        <v>1863</v>
      </c>
      <c r="G235" s="33" t="s">
        <v>14</v>
      </c>
      <c r="H235" s="25">
        <v>53560</v>
      </c>
      <c r="I235" s="26" t="s">
        <v>14</v>
      </c>
      <c r="J235" s="25">
        <v>53423.08</v>
      </c>
      <c r="K235" s="18" t="s">
        <v>3520</v>
      </c>
      <c r="L235" s="25">
        <v>30</v>
      </c>
      <c r="M235" s="27" t="s">
        <v>3520</v>
      </c>
      <c r="N235" s="18"/>
      <c r="O235" s="25">
        <v>53453.08</v>
      </c>
      <c r="P235" s="19">
        <f t="shared" si="12"/>
        <v>53453.08</v>
      </c>
      <c r="Q235" s="19">
        <f t="shared" si="13"/>
        <v>0</v>
      </c>
      <c r="R235" s="25">
        <v>21189.03</v>
      </c>
      <c r="S235" s="28">
        <v>74642.11</v>
      </c>
      <c r="T235" s="49">
        <f t="shared" si="14"/>
        <v>74642.11</v>
      </c>
      <c r="U235" s="49">
        <f t="shared" si="15"/>
        <v>0</v>
      </c>
    </row>
    <row r="236" spans="1:21" ht="17" thickBot="1" x14ac:dyDescent="0.25">
      <c r="A236" s="21" t="s">
        <v>1866</v>
      </c>
      <c r="B236" s="21" t="s">
        <v>760</v>
      </c>
      <c r="C236" s="21" t="s">
        <v>1260</v>
      </c>
      <c r="D236" s="21" t="s">
        <v>1261</v>
      </c>
      <c r="E236" s="22" t="s">
        <v>12</v>
      </c>
      <c r="F236" s="23" t="s">
        <v>1871</v>
      </c>
      <c r="G236" s="33" t="s">
        <v>14</v>
      </c>
      <c r="H236" s="25">
        <v>140000.12</v>
      </c>
      <c r="I236" s="26" t="s">
        <v>14</v>
      </c>
      <c r="J236" s="25">
        <v>53846.2</v>
      </c>
      <c r="K236" s="18" t="s">
        <v>3520</v>
      </c>
      <c r="L236" s="25">
        <v>50</v>
      </c>
      <c r="M236" s="27" t="s">
        <v>3520</v>
      </c>
      <c r="N236" s="18"/>
      <c r="O236" s="18">
        <v>53896.2</v>
      </c>
      <c r="P236" s="19">
        <f t="shared" si="12"/>
        <v>53896.2</v>
      </c>
      <c r="Q236" s="19">
        <f t="shared" si="13"/>
        <v>0</v>
      </c>
      <c r="R236" s="25">
        <v>20182.240000000002</v>
      </c>
      <c r="S236" s="28">
        <v>74078.44</v>
      </c>
      <c r="T236" s="49">
        <f t="shared" si="14"/>
        <v>74078.44</v>
      </c>
      <c r="U236" s="49">
        <f t="shared" si="15"/>
        <v>0</v>
      </c>
    </row>
    <row r="237" spans="1:21" ht="17" thickBot="1" x14ac:dyDescent="0.25">
      <c r="A237" s="21" t="s">
        <v>1874</v>
      </c>
      <c r="B237" s="21" t="s">
        <v>1875</v>
      </c>
      <c r="C237" s="21" t="s">
        <v>81</v>
      </c>
      <c r="D237" s="21" t="s">
        <v>378</v>
      </c>
      <c r="E237" s="22" t="s">
        <v>20</v>
      </c>
      <c r="F237" s="23" t="s">
        <v>756</v>
      </c>
      <c r="G237" s="33" t="s">
        <v>14</v>
      </c>
      <c r="H237" s="25">
        <v>39711.61</v>
      </c>
      <c r="I237" s="26" t="s">
        <v>14</v>
      </c>
      <c r="J237" s="25">
        <v>39018.42</v>
      </c>
      <c r="K237" s="18">
        <v>9961.15</v>
      </c>
      <c r="L237" s="18">
        <v>2724.53</v>
      </c>
      <c r="M237" s="27" t="s">
        <v>3520</v>
      </c>
      <c r="N237" s="18"/>
      <c r="O237" s="25">
        <v>51704.1</v>
      </c>
      <c r="P237" s="19">
        <f t="shared" si="12"/>
        <v>51704.1</v>
      </c>
      <c r="Q237" s="19">
        <f t="shared" si="13"/>
        <v>0</v>
      </c>
      <c r="R237" s="25">
        <v>22357.99</v>
      </c>
      <c r="S237" s="28">
        <v>74062.09</v>
      </c>
      <c r="T237" s="49">
        <f t="shared" si="14"/>
        <v>74062.09</v>
      </c>
      <c r="U237" s="49">
        <f t="shared" si="15"/>
        <v>0</v>
      </c>
    </row>
    <row r="238" spans="1:21" ht="17" thickBot="1" x14ac:dyDescent="0.25">
      <c r="A238" s="21" t="s">
        <v>1882</v>
      </c>
      <c r="B238" s="21" t="s">
        <v>1883</v>
      </c>
      <c r="C238" s="21" t="s">
        <v>65</v>
      </c>
      <c r="D238" s="21" t="s">
        <v>1736</v>
      </c>
      <c r="E238" s="22" t="s">
        <v>12</v>
      </c>
      <c r="F238" s="23" t="s">
        <v>1445</v>
      </c>
      <c r="G238" s="33" t="s">
        <v>14</v>
      </c>
      <c r="H238" s="25">
        <v>46529.599999999999</v>
      </c>
      <c r="I238" s="26" t="s">
        <v>14</v>
      </c>
      <c r="J238" s="25">
        <v>47179.64</v>
      </c>
      <c r="K238" s="18">
        <v>2174.7199999999998</v>
      </c>
      <c r="L238" s="18">
        <v>2651.49</v>
      </c>
      <c r="M238" s="27" t="s">
        <v>3520</v>
      </c>
      <c r="N238" s="18"/>
      <c r="O238" s="25">
        <v>52005.85</v>
      </c>
      <c r="P238" s="19">
        <f t="shared" si="12"/>
        <v>52005.85</v>
      </c>
      <c r="Q238" s="19">
        <f t="shared" si="13"/>
        <v>0</v>
      </c>
      <c r="R238" s="25">
        <v>21840.86</v>
      </c>
      <c r="S238" s="28">
        <v>73846.710000000006</v>
      </c>
      <c r="T238" s="49">
        <f t="shared" si="14"/>
        <v>73846.709999999992</v>
      </c>
      <c r="U238" s="49">
        <f t="shared" si="15"/>
        <v>1.4551915228366852E-11</v>
      </c>
    </row>
    <row r="239" spans="1:21" ht="17" thickBot="1" x14ac:dyDescent="0.25">
      <c r="A239" s="21" t="s">
        <v>1890</v>
      </c>
      <c r="B239" s="21" t="s">
        <v>223</v>
      </c>
      <c r="C239" s="21" t="s">
        <v>145</v>
      </c>
      <c r="D239" s="21" t="s">
        <v>1682</v>
      </c>
      <c r="E239" s="22" t="s">
        <v>12</v>
      </c>
      <c r="F239" s="23" t="s">
        <v>1668</v>
      </c>
      <c r="G239" s="33" t="s">
        <v>14</v>
      </c>
      <c r="H239" s="25">
        <v>42328</v>
      </c>
      <c r="I239" s="26" t="s">
        <v>14</v>
      </c>
      <c r="J239" s="25">
        <v>43189.17</v>
      </c>
      <c r="K239" s="18">
        <v>4185.1499999999996</v>
      </c>
      <c r="L239" s="18">
        <v>340</v>
      </c>
      <c r="M239" s="27" t="s">
        <v>3520</v>
      </c>
      <c r="N239" s="18"/>
      <c r="O239" s="25">
        <v>47714.32</v>
      </c>
      <c r="P239" s="19">
        <f t="shared" si="12"/>
        <v>47714.32</v>
      </c>
      <c r="Q239" s="19">
        <f t="shared" si="13"/>
        <v>0</v>
      </c>
      <c r="R239" s="25">
        <v>26099.360000000001</v>
      </c>
      <c r="S239" s="28">
        <v>73813.679999999993</v>
      </c>
      <c r="T239" s="49">
        <f t="shared" si="14"/>
        <v>73813.679999999993</v>
      </c>
      <c r="U239" s="49">
        <f t="shared" si="15"/>
        <v>0</v>
      </c>
    </row>
    <row r="240" spans="1:21" ht="17" thickBot="1" x14ac:dyDescent="0.25">
      <c r="A240" s="21" t="s">
        <v>1898</v>
      </c>
      <c r="B240" s="21" t="s">
        <v>1195</v>
      </c>
      <c r="C240" s="21" t="s">
        <v>240</v>
      </c>
      <c r="D240" s="21" t="s">
        <v>1901</v>
      </c>
      <c r="E240" s="22" t="s">
        <v>12</v>
      </c>
      <c r="F240" s="23" t="s">
        <v>1903</v>
      </c>
      <c r="G240" s="33" t="s">
        <v>14</v>
      </c>
      <c r="H240" s="25">
        <v>45032</v>
      </c>
      <c r="I240" s="26" t="s">
        <v>14</v>
      </c>
      <c r="J240" s="25">
        <v>46808.05</v>
      </c>
      <c r="K240" s="18">
        <v>3476.31</v>
      </c>
      <c r="L240" s="18">
        <v>1457.04</v>
      </c>
      <c r="M240" s="27" t="s">
        <v>3520</v>
      </c>
      <c r="N240" s="18"/>
      <c r="O240" s="25">
        <v>51741.4</v>
      </c>
      <c r="P240" s="19">
        <f t="shared" si="12"/>
        <v>51741.4</v>
      </c>
      <c r="Q240" s="19">
        <f t="shared" si="13"/>
        <v>0</v>
      </c>
      <c r="R240" s="25">
        <v>21755.14</v>
      </c>
      <c r="S240" s="28">
        <v>73496.539999999994</v>
      </c>
      <c r="T240" s="49">
        <f t="shared" si="14"/>
        <v>73496.540000000008</v>
      </c>
      <c r="U240" s="49">
        <f t="shared" si="15"/>
        <v>-1.4551915228366852E-11</v>
      </c>
    </row>
    <row r="241" spans="1:21" ht="17" thickBot="1" x14ac:dyDescent="0.25">
      <c r="A241" s="21" t="s">
        <v>1906</v>
      </c>
      <c r="B241" s="21" t="s">
        <v>1907</v>
      </c>
      <c r="C241" s="21" t="s">
        <v>256</v>
      </c>
      <c r="D241" s="21" t="s">
        <v>1909</v>
      </c>
      <c r="E241" s="22" t="s">
        <v>12</v>
      </c>
      <c r="F241" s="23" t="s">
        <v>1911</v>
      </c>
      <c r="G241" s="33" t="s">
        <v>14</v>
      </c>
      <c r="H241" s="25">
        <v>40664</v>
      </c>
      <c r="I241" s="26" t="s">
        <v>14</v>
      </c>
      <c r="J241" s="25">
        <v>40560.74</v>
      </c>
      <c r="K241" s="18">
        <v>62.4</v>
      </c>
      <c r="L241" s="25">
        <v>1880</v>
      </c>
      <c r="M241" s="27" t="s">
        <v>3520</v>
      </c>
      <c r="N241" s="18"/>
      <c r="O241" s="25">
        <v>42503.14</v>
      </c>
      <c r="P241" s="19">
        <f t="shared" si="12"/>
        <v>42503.14</v>
      </c>
      <c r="Q241" s="19">
        <f t="shared" si="13"/>
        <v>0</v>
      </c>
      <c r="R241" s="25">
        <v>30641.01</v>
      </c>
      <c r="S241" s="28">
        <v>73144.149999999994</v>
      </c>
      <c r="T241" s="49">
        <f t="shared" si="14"/>
        <v>73144.149999999994</v>
      </c>
      <c r="U241" s="49">
        <f t="shared" si="15"/>
        <v>0</v>
      </c>
    </row>
    <row r="242" spans="1:21" ht="17" thickBot="1" x14ac:dyDescent="0.25">
      <c r="A242" s="21" t="s">
        <v>1914</v>
      </c>
      <c r="B242" s="21" t="s">
        <v>1915</v>
      </c>
      <c r="C242" s="21" t="s">
        <v>1916</v>
      </c>
      <c r="D242" s="21" t="s">
        <v>1917</v>
      </c>
      <c r="E242" s="22" t="s">
        <v>12</v>
      </c>
      <c r="F242" s="23" t="s">
        <v>564</v>
      </c>
      <c r="G242" s="33" t="s">
        <v>14</v>
      </c>
      <c r="H242" s="25">
        <v>44969.599999999999</v>
      </c>
      <c r="I242" s="26" t="s">
        <v>14</v>
      </c>
      <c r="J242" s="25">
        <v>45373.279999999999</v>
      </c>
      <c r="K242" s="18">
        <v>6012.64</v>
      </c>
      <c r="L242" s="25">
        <v>30</v>
      </c>
      <c r="M242" s="27" t="s">
        <v>3520</v>
      </c>
      <c r="N242" s="18"/>
      <c r="O242" s="25">
        <v>51415.92</v>
      </c>
      <c r="P242" s="19">
        <f t="shared" si="12"/>
        <v>51415.92</v>
      </c>
      <c r="Q242" s="19">
        <f t="shared" si="13"/>
        <v>0</v>
      </c>
      <c r="R242" s="25">
        <v>21541.69</v>
      </c>
      <c r="S242" s="28">
        <v>72957.61</v>
      </c>
      <c r="T242" s="49">
        <f t="shared" si="14"/>
        <v>72957.61</v>
      </c>
      <c r="U242" s="49">
        <f t="shared" si="15"/>
        <v>0</v>
      </c>
    </row>
    <row r="243" spans="1:21" ht="17" thickBot="1" x14ac:dyDescent="0.25">
      <c r="A243" s="21" t="s">
        <v>1922</v>
      </c>
      <c r="B243" s="21" t="s">
        <v>17</v>
      </c>
      <c r="C243" s="21" t="s">
        <v>81</v>
      </c>
      <c r="D243" s="21" t="s">
        <v>1419</v>
      </c>
      <c r="E243" s="22" t="s">
        <v>20</v>
      </c>
      <c r="F243" s="23" t="s">
        <v>756</v>
      </c>
      <c r="G243" s="33" t="s">
        <v>14</v>
      </c>
      <c r="H243" s="25">
        <v>39711.61</v>
      </c>
      <c r="I243" s="26" t="s">
        <v>14</v>
      </c>
      <c r="J243" s="25">
        <v>29998.67</v>
      </c>
      <c r="K243" s="18">
        <v>19289.68</v>
      </c>
      <c r="L243" s="18">
        <v>1955.35</v>
      </c>
      <c r="M243" s="27" t="s">
        <v>3520</v>
      </c>
      <c r="N243" s="18"/>
      <c r="O243" s="25">
        <v>51243.7</v>
      </c>
      <c r="P243" s="19">
        <f t="shared" si="12"/>
        <v>51243.7</v>
      </c>
      <c r="Q243" s="19">
        <f t="shared" si="13"/>
        <v>0</v>
      </c>
      <c r="R243" s="25">
        <v>21693.46</v>
      </c>
      <c r="S243" s="28">
        <v>72937.16</v>
      </c>
      <c r="T243" s="49">
        <f t="shared" si="14"/>
        <v>72937.16</v>
      </c>
      <c r="U243" s="49">
        <f t="shared" si="15"/>
        <v>0</v>
      </c>
    </row>
    <row r="244" spans="1:21" ht="17" thickBot="1" x14ac:dyDescent="0.25">
      <c r="A244" s="21" t="s">
        <v>1930</v>
      </c>
      <c r="B244" s="21" t="s">
        <v>1931</v>
      </c>
      <c r="C244" s="21" t="s">
        <v>705</v>
      </c>
      <c r="D244" s="21" t="s">
        <v>1933</v>
      </c>
      <c r="E244" s="22" t="s">
        <v>12</v>
      </c>
      <c r="F244" s="23" t="s">
        <v>1935</v>
      </c>
      <c r="G244" s="33" t="s">
        <v>14</v>
      </c>
      <c r="H244" s="25">
        <v>48380.800000000003</v>
      </c>
      <c r="I244" s="26" t="s">
        <v>14</v>
      </c>
      <c r="J244" s="25">
        <v>48116.43</v>
      </c>
      <c r="K244" s="18">
        <v>418.55</v>
      </c>
      <c r="L244" s="18">
        <v>2761.02</v>
      </c>
      <c r="M244" s="27" t="s">
        <v>3520</v>
      </c>
      <c r="N244" s="18"/>
      <c r="O244" s="25">
        <v>51296</v>
      </c>
      <c r="P244" s="19">
        <f t="shared" si="12"/>
        <v>51296</v>
      </c>
      <c r="Q244" s="19">
        <f t="shared" si="13"/>
        <v>0</v>
      </c>
      <c r="R244" s="25">
        <v>21590.73</v>
      </c>
      <c r="S244" s="28">
        <v>72886.73</v>
      </c>
      <c r="T244" s="49">
        <f t="shared" si="14"/>
        <v>72886.73</v>
      </c>
      <c r="U244" s="49">
        <f t="shared" si="15"/>
        <v>0</v>
      </c>
    </row>
    <row r="245" spans="1:21" ht="17" thickBot="1" x14ac:dyDescent="0.25">
      <c r="A245" s="21" t="s">
        <v>1938</v>
      </c>
      <c r="B245" s="21" t="s">
        <v>223</v>
      </c>
      <c r="C245" s="21" t="s">
        <v>1252</v>
      </c>
      <c r="D245" s="21" t="s">
        <v>1435</v>
      </c>
      <c r="E245" s="22" t="s">
        <v>12</v>
      </c>
      <c r="F245" s="23" t="s">
        <v>1943</v>
      </c>
      <c r="G245" s="33" t="s">
        <v>14</v>
      </c>
      <c r="H245" s="25">
        <v>45448</v>
      </c>
      <c r="I245" s="26" t="s">
        <v>14</v>
      </c>
      <c r="J245" s="25">
        <v>45670.66</v>
      </c>
      <c r="K245" s="18">
        <v>370.03</v>
      </c>
      <c r="L245" s="18">
        <v>4752.08</v>
      </c>
      <c r="M245" s="27" t="s">
        <v>3520</v>
      </c>
      <c r="N245" s="18"/>
      <c r="O245" s="25">
        <v>50792.77</v>
      </c>
      <c r="P245" s="19">
        <f t="shared" si="12"/>
        <v>50792.770000000004</v>
      </c>
      <c r="Q245" s="19">
        <f t="shared" si="13"/>
        <v>-7.2759576141834259E-12</v>
      </c>
      <c r="R245" s="25">
        <v>21792.53</v>
      </c>
      <c r="S245" s="28">
        <v>72585.3</v>
      </c>
      <c r="T245" s="49">
        <f t="shared" si="14"/>
        <v>72585.299999999988</v>
      </c>
      <c r="U245" s="49">
        <f t="shared" si="15"/>
        <v>1.4551915228366852E-11</v>
      </c>
    </row>
    <row r="246" spans="1:21" ht="17" thickBot="1" x14ac:dyDescent="0.25">
      <c r="A246" s="21" t="s">
        <v>1946</v>
      </c>
      <c r="B246" s="21" t="s">
        <v>1947</v>
      </c>
      <c r="C246" s="21" t="s">
        <v>65</v>
      </c>
      <c r="D246" s="21" t="s">
        <v>1949</v>
      </c>
      <c r="E246" s="22" t="s">
        <v>12</v>
      </c>
      <c r="F246" s="23" t="s">
        <v>1730</v>
      </c>
      <c r="G246" s="33" t="s">
        <v>14</v>
      </c>
      <c r="H246" s="25">
        <v>41787.199999999997</v>
      </c>
      <c r="I246" s="26" t="s">
        <v>14</v>
      </c>
      <c r="J246" s="25">
        <v>42293.56</v>
      </c>
      <c r="K246" s="18">
        <v>839.93</v>
      </c>
      <c r="L246" s="18">
        <v>2654.52</v>
      </c>
      <c r="M246" s="27" t="s">
        <v>3520</v>
      </c>
      <c r="N246" s="18"/>
      <c r="O246" s="25">
        <v>45788.01</v>
      </c>
      <c r="P246" s="19">
        <f t="shared" si="12"/>
        <v>45788.009999999995</v>
      </c>
      <c r="Q246" s="19">
        <f t="shared" si="13"/>
        <v>7.2759576141834259E-12</v>
      </c>
      <c r="R246" s="25">
        <v>26463.29</v>
      </c>
      <c r="S246" s="28">
        <v>72251.3</v>
      </c>
      <c r="T246" s="49">
        <f t="shared" si="14"/>
        <v>72251.3</v>
      </c>
      <c r="U246" s="49">
        <f t="shared" si="15"/>
        <v>0</v>
      </c>
    </row>
    <row r="247" spans="1:21" ht="17" thickBot="1" x14ac:dyDescent="0.25">
      <c r="A247" s="21" t="s">
        <v>246</v>
      </c>
      <c r="B247" s="21" t="s">
        <v>1076</v>
      </c>
      <c r="C247" s="21" t="s">
        <v>808</v>
      </c>
      <c r="D247" s="21" t="s">
        <v>1957</v>
      </c>
      <c r="E247" s="22" t="s">
        <v>12</v>
      </c>
      <c r="F247" s="23" t="s">
        <v>1959</v>
      </c>
      <c r="G247" s="33" t="s">
        <v>14</v>
      </c>
      <c r="H247" s="25">
        <v>40664</v>
      </c>
      <c r="I247" s="26" t="s">
        <v>14</v>
      </c>
      <c r="J247" s="25">
        <v>42009.07</v>
      </c>
      <c r="K247" s="18">
        <v>1101</v>
      </c>
      <c r="L247" s="18">
        <v>170</v>
      </c>
      <c r="M247" s="27" t="s">
        <v>3520</v>
      </c>
      <c r="N247" s="18"/>
      <c r="O247" s="25">
        <v>43280.07</v>
      </c>
      <c r="P247" s="19">
        <f t="shared" si="12"/>
        <v>43280.07</v>
      </c>
      <c r="Q247" s="19">
        <f t="shared" si="13"/>
        <v>0</v>
      </c>
      <c r="R247" s="25">
        <v>28930.25</v>
      </c>
      <c r="S247" s="28">
        <v>72210.320000000007</v>
      </c>
      <c r="T247" s="49">
        <f t="shared" si="14"/>
        <v>72210.320000000007</v>
      </c>
      <c r="U247" s="49">
        <f t="shared" si="15"/>
        <v>0</v>
      </c>
    </row>
    <row r="248" spans="1:21" ht="17" thickBot="1" x14ac:dyDescent="0.25">
      <c r="A248" s="21" t="s">
        <v>1962</v>
      </c>
      <c r="B248" s="21" t="s">
        <v>1963</v>
      </c>
      <c r="C248" s="21" t="s">
        <v>65</v>
      </c>
      <c r="D248" s="21" t="s">
        <v>1728</v>
      </c>
      <c r="E248" s="22" t="s">
        <v>12</v>
      </c>
      <c r="F248" s="23" t="s">
        <v>1967</v>
      </c>
      <c r="G248" s="33" t="s">
        <v>14</v>
      </c>
      <c r="H248" s="25">
        <v>44782.400000000001</v>
      </c>
      <c r="I248" s="26" t="s">
        <v>14</v>
      </c>
      <c r="J248" s="25">
        <v>45421.919999999998</v>
      </c>
      <c r="K248" s="18">
        <v>778.14</v>
      </c>
      <c r="L248" s="18">
        <v>4196.5200000000004</v>
      </c>
      <c r="M248" s="27" t="s">
        <v>3520</v>
      </c>
      <c r="N248" s="18"/>
      <c r="O248" s="25">
        <v>50396.58</v>
      </c>
      <c r="P248" s="19">
        <f t="shared" si="12"/>
        <v>50396.58</v>
      </c>
      <c r="Q248" s="19">
        <f t="shared" si="13"/>
        <v>0</v>
      </c>
      <c r="R248" s="25">
        <v>21327.84</v>
      </c>
      <c r="S248" s="28">
        <v>71724.42</v>
      </c>
      <c r="T248" s="49">
        <f t="shared" si="14"/>
        <v>71724.42</v>
      </c>
      <c r="U248" s="49">
        <f t="shared" si="15"/>
        <v>0</v>
      </c>
    </row>
    <row r="249" spans="1:21" ht="17" thickBot="1" x14ac:dyDescent="0.25">
      <c r="A249" s="21" t="s">
        <v>1258</v>
      </c>
      <c r="B249" s="21" t="s">
        <v>1971</v>
      </c>
      <c r="C249" s="21" t="s">
        <v>137</v>
      </c>
      <c r="D249" s="21" t="s">
        <v>1627</v>
      </c>
      <c r="E249" s="22" t="s">
        <v>12</v>
      </c>
      <c r="F249" s="23" t="s">
        <v>865</v>
      </c>
      <c r="G249" s="33" t="s">
        <v>14</v>
      </c>
      <c r="H249" s="25">
        <v>48880</v>
      </c>
      <c r="I249" s="26" t="s">
        <v>14</v>
      </c>
      <c r="J249" s="25">
        <v>48058.79</v>
      </c>
      <c r="K249" s="18">
        <v>1187.0899999999999</v>
      </c>
      <c r="L249" s="18">
        <v>560</v>
      </c>
      <c r="M249" s="27" t="s">
        <v>3520</v>
      </c>
      <c r="N249" s="18"/>
      <c r="O249" s="25">
        <v>49805.88</v>
      </c>
      <c r="P249" s="19">
        <f t="shared" si="12"/>
        <v>49805.88</v>
      </c>
      <c r="Q249" s="19">
        <f t="shared" si="13"/>
        <v>0</v>
      </c>
      <c r="R249" s="25">
        <v>21818.66</v>
      </c>
      <c r="S249" s="28">
        <v>71624.539999999994</v>
      </c>
      <c r="T249" s="49">
        <f t="shared" si="14"/>
        <v>71624.539999999994</v>
      </c>
      <c r="U249" s="49">
        <f t="shared" si="15"/>
        <v>0</v>
      </c>
    </row>
    <row r="250" spans="1:21" ht="17" thickBot="1" x14ac:dyDescent="0.25">
      <c r="A250" s="21" t="s">
        <v>1978</v>
      </c>
      <c r="B250" s="21" t="s">
        <v>1979</v>
      </c>
      <c r="C250" s="21" t="s">
        <v>256</v>
      </c>
      <c r="D250" s="21" t="s">
        <v>1909</v>
      </c>
      <c r="E250" s="22" t="s">
        <v>12</v>
      </c>
      <c r="F250" s="23" t="s">
        <v>1983</v>
      </c>
      <c r="G250" s="33" t="s">
        <v>14</v>
      </c>
      <c r="H250" s="25">
        <v>45448</v>
      </c>
      <c r="I250" s="26" t="s">
        <v>14</v>
      </c>
      <c r="J250" s="25">
        <v>45333.1</v>
      </c>
      <c r="K250" s="18">
        <v>62.5</v>
      </c>
      <c r="L250" s="25">
        <v>4542.08</v>
      </c>
      <c r="M250" s="27" t="s">
        <v>3520</v>
      </c>
      <c r="N250" s="18"/>
      <c r="O250" s="25">
        <v>49937.68</v>
      </c>
      <c r="P250" s="19">
        <f t="shared" si="12"/>
        <v>49937.68</v>
      </c>
      <c r="Q250" s="19">
        <f t="shared" si="13"/>
        <v>0</v>
      </c>
      <c r="R250" s="25">
        <v>21415.4</v>
      </c>
      <c r="S250" s="28">
        <v>71353.08</v>
      </c>
      <c r="T250" s="49">
        <f t="shared" si="14"/>
        <v>71353.08</v>
      </c>
      <c r="U250" s="49">
        <f t="shared" si="15"/>
        <v>0</v>
      </c>
    </row>
    <row r="251" spans="1:21" ht="17" thickBot="1" x14ac:dyDescent="0.25">
      <c r="A251" s="21" t="s">
        <v>1986</v>
      </c>
      <c r="B251" s="21" t="s">
        <v>1987</v>
      </c>
      <c r="C251" s="21" t="s">
        <v>886</v>
      </c>
      <c r="D251" s="21" t="s">
        <v>1989</v>
      </c>
      <c r="E251" s="22" t="s">
        <v>12</v>
      </c>
      <c r="F251" s="23" t="s">
        <v>1991</v>
      </c>
      <c r="G251" s="33" t="s">
        <v>14</v>
      </c>
      <c r="H251" s="25">
        <v>37398.400000000001</v>
      </c>
      <c r="I251" s="26" t="s">
        <v>14</v>
      </c>
      <c r="J251" s="25">
        <v>38040.89</v>
      </c>
      <c r="K251" s="18">
        <v>1132.99</v>
      </c>
      <c r="L251" s="18">
        <v>1760</v>
      </c>
      <c r="M251" s="27" t="s">
        <v>3520</v>
      </c>
      <c r="N251" s="18"/>
      <c r="O251" s="25">
        <v>40933.879999999997</v>
      </c>
      <c r="P251" s="19">
        <f t="shared" si="12"/>
        <v>40933.879999999997</v>
      </c>
      <c r="Q251" s="19">
        <f t="shared" si="13"/>
        <v>0</v>
      </c>
      <c r="R251" s="25">
        <v>30314.94</v>
      </c>
      <c r="S251" s="28">
        <v>71248.820000000007</v>
      </c>
      <c r="T251" s="49">
        <f t="shared" si="14"/>
        <v>71248.819999999992</v>
      </c>
      <c r="U251" s="49">
        <f t="shared" si="15"/>
        <v>1.4551915228366852E-11</v>
      </c>
    </row>
    <row r="252" spans="1:21" ht="17" thickBot="1" x14ac:dyDescent="0.25">
      <c r="A252" s="21" t="s">
        <v>1994</v>
      </c>
      <c r="B252" s="21" t="s">
        <v>1995</v>
      </c>
      <c r="C252" s="21" t="s">
        <v>808</v>
      </c>
      <c r="D252" s="21" t="s">
        <v>1997</v>
      </c>
      <c r="E252" s="22" t="s">
        <v>12</v>
      </c>
      <c r="F252" s="23" t="s">
        <v>243</v>
      </c>
      <c r="G252" s="33" t="s">
        <v>14</v>
      </c>
      <c r="H252" s="25">
        <v>36670.400000000001</v>
      </c>
      <c r="I252" s="26" t="s">
        <v>14</v>
      </c>
      <c r="J252" s="25">
        <v>37637.440000000002</v>
      </c>
      <c r="K252" s="18">
        <v>2527.9699999999998</v>
      </c>
      <c r="L252" s="18">
        <v>836</v>
      </c>
      <c r="M252" s="27" t="s">
        <v>3520</v>
      </c>
      <c r="N252" s="18"/>
      <c r="O252" s="25">
        <v>41001.410000000003</v>
      </c>
      <c r="P252" s="19">
        <f t="shared" si="12"/>
        <v>41001.410000000003</v>
      </c>
      <c r="Q252" s="19">
        <f t="shared" si="13"/>
        <v>0</v>
      </c>
      <c r="R252" s="25">
        <v>30211.89</v>
      </c>
      <c r="S252" s="28">
        <v>71213.3</v>
      </c>
      <c r="T252" s="49">
        <f t="shared" si="14"/>
        <v>71213.3</v>
      </c>
      <c r="U252" s="49">
        <f t="shared" si="15"/>
        <v>0</v>
      </c>
    </row>
    <row r="253" spans="1:21" ht="17" thickBot="1" x14ac:dyDescent="0.25">
      <c r="A253" s="21" t="s">
        <v>2002</v>
      </c>
      <c r="B253" s="21" t="s">
        <v>1710</v>
      </c>
      <c r="C253" s="21" t="s">
        <v>256</v>
      </c>
      <c r="D253" s="21" t="s">
        <v>2005</v>
      </c>
      <c r="E253" s="22" t="s">
        <v>12</v>
      </c>
      <c r="F253" s="23" t="s">
        <v>2007</v>
      </c>
      <c r="G253" s="33" t="s">
        <v>14</v>
      </c>
      <c r="H253" s="25">
        <v>41225.599999999999</v>
      </c>
      <c r="I253" s="26" t="s">
        <v>14</v>
      </c>
      <c r="J253" s="25">
        <v>41162.910000000003</v>
      </c>
      <c r="K253" s="18">
        <v>223.52</v>
      </c>
      <c r="L253" s="18">
        <v>3157</v>
      </c>
      <c r="M253" s="27" t="s">
        <v>3520</v>
      </c>
      <c r="N253" s="18"/>
      <c r="O253" s="25">
        <v>44543.43</v>
      </c>
      <c r="P253" s="19">
        <f t="shared" si="12"/>
        <v>44543.43</v>
      </c>
      <c r="Q253" s="19">
        <f t="shared" si="13"/>
        <v>0</v>
      </c>
      <c r="R253" s="25">
        <v>26197.54</v>
      </c>
      <c r="S253" s="28">
        <v>70740.97</v>
      </c>
      <c r="T253" s="49">
        <f t="shared" si="14"/>
        <v>70740.97</v>
      </c>
      <c r="U253" s="49">
        <f t="shared" si="15"/>
        <v>0</v>
      </c>
    </row>
    <row r="254" spans="1:21" ht="17" thickBot="1" x14ac:dyDescent="0.25">
      <c r="A254" s="21" t="s">
        <v>2010</v>
      </c>
      <c r="B254" s="21" t="s">
        <v>2011</v>
      </c>
      <c r="C254" s="21" t="s">
        <v>65</v>
      </c>
      <c r="D254" s="21" t="s">
        <v>1728</v>
      </c>
      <c r="E254" s="22" t="s">
        <v>12</v>
      </c>
      <c r="F254" s="23" t="s">
        <v>969</v>
      </c>
      <c r="G254" s="33" t="s">
        <v>14</v>
      </c>
      <c r="H254" s="25">
        <v>44553.599999999999</v>
      </c>
      <c r="I254" s="26" t="s">
        <v>14</v>
      </c>
      <c r="J254" s="25">
        <v>45242.63</v>
      </c>
      <c r="K254" s="18">
        <v>2998.89</v>
      </c>
      <c r="L254" s="18">
        <v>1672.94</v>
      </c>
      <c r="M254" s="27" t="s">
        <v>3520</v>
      </c>
      <c r="N254" s="18"/>
      <c r="O254" s="25">
        <v>49914.46</v>
      </c>
      <c r="P254" s="19">
        <f t="shared" si="12"/>
        <v>49914.46</v>
      </c>
      <c r="Q254" s="19">
        <f t="shared" si="13"/>
        <v>0</v>
      </c>
      <c r="R254" s="25">
        <v>20776.97</v>
      </c>
      <c r="S254" s="28">
        <v>70691.429999999993</v>
      </c>
      <c r="T254" s="49">
        <f t="shared" si="14"/>
        <v>70691.429999999993</v>
      </c>
      <c r="U254" s="49">
        <f t="shared" si="15"/>
        <v>0</v>
      </c>
    </row>
    <row r="255" spans="1:21" ht="17" thickBot="1" x14ac:dyDescent="0.25">
      <c r="A255" s="21" t="s">
        <v>2018</v>
      </c>
      <c r="B255" s="21" t="s">
        <v>8</v>
      </c>
      <c r="C255" s="21" t="s">
        <v>10</v>
      </c>
      <c r="D255" s="21" t="s">
        <v>27</v>
      </c>
      <c r="E255" s="22" t="s">
        <v>12</v>
      </c>
      <c r="F255" s="23" t="s">
        <v>2023</v>
      </c>
      <c r="G255" s="34" t="s">
        <v>2024</v>
      </c>
      <c r="H255" s="25">
        <v>190841.04</v>
      </c>
      <c r="I255" s="25">
        <v>6026.1</v>
      </c>
      <c r="J255" s="25">
        <v>52114.32</v>
      </c>
      <c r="K255" s="18" t="s">
        <v>3520</v>
      </c>
      <c r="L255" s="18">
        <v>545</v>
      </c>
      <c r="M255" s="27" t="s">
        <v>3520</v>
      </c>
      <c r="N255" s="18"/>
      <c r="O255" s="25">
        <v>58685.42</v>
      </c>
      <c r="P255" s="19">
        <f t="shared" si="12"/>
        <v>58685.42</v>
      </c>
      <c r="Q255" s="19">
        <f t="shared" si="13"/>
        <v>0</v>
      </c>
      <c r="R255" s="25">
        <v>11684.67</v>
      </c>
      <c r="S255" s="28">
        <v>70370.09</v>
      </c>
      <c r="T255" s="49">
        <f t="shared" si="14"/>
        <v>70370.09</v>
      </c>
      <c r="U255" s="49">
        <f t="shared" si="15"/>
        <v>0</v>
      </c>
    </row>
    <row r="256" spans="1:21" ht="17" thickBot="1" x14ac:dyDescent="0.25">
      <c r="A256" s="21" t="s">
        <v>2025</v>
      </c>
      <c r="B256" s="21" t="s">
        <v>472</v>
      </c>
      <c r="C256" s="21" t="s">
        <v>281</v>
      </c>
      <c r="D256" s="21" t="s">
        <v>1917</v>
      </c>
      <c r="E256" s="22" t="s">
        <v>12</v>
      </c>
      <c r="F256" s="23" t="s">
        <v>1374</v>
      </c>
      <c r="G256" s="33" t="s">
        <v>14</v>
      </c>
      <c r="H256" s="25">
        <v>48984</v>
      </c>
      <c r="I256" s="26" t="s">
        <v>14</v>
      </c>
      <c r="J256" s="25">
        <v>49313.24</v>
      </c>
      <c r="K256" s="18">
        <v>6139.82</v>
      </c>
      <c r="L256" s="18">
        <v>530</v>
      </c>
      <c r="M256" s="27" t="s">
        <v>3520</v>
      </c>
      <c r="N256" s="18"/>
      <c r="O256" s="25">
        <v>55983.06</v>
      </c>
      <c r="P256" s="19">
        <f t="shared" si="12"/>
        <v>55983.06</v>
      </c>
      <c r="Q256" s="19">
        <f t="shared" si="13"/>
        <v>0</v>
      </c>
      <c r="R256" s="25">
        <v>14144.02</v>
      </c>
      <c r="S256" s="28">
        <v>70127.08</v>
      </c>
      <c r="T256" s="49">
        <f t="shared" si="14"/>
        <v>70127.08</v>
      </c>
      <c r="U256" s="49">
        <f t="shared" si="15"/>
        <v>0</v>
      </c>
    </row>
    <row r="257" spans="1:21" ht="17" thickBot="1" x14ac:dyDescent="0.25">
      <c r="A257" s="21" t="s">
        <v>2033</v>
      </c>
      <c r="B257" s="21" t="s">
        <v>1195</v>
      </c>
      <c r="C257" s="21" t="s">
        <v>145</v>
      </c>
      <c r="D257" s="21" t="s">
        <v>2036</v>
      </c>
      <c r="E257" s="22" t="s">
        <v>12</v>
      </c>
      <c r="F257" s="23" t="s">
        <v>2038</v>
      </c>
      <c r="G257" s="33" t="s">
        <v>14</v>
      </c>
      <c r="H257" s="25">
        <v>39956.800000000003</v>
      </c>
      <c r="I257" s="26" t="s">
        <v>14</v>
      </c>
      <c r="J257" s="25">
        <v>40602.410000000003</v>
      </c>
      <c r="K257" s="18">
        <v>3513.95</v>
      </c>
      <c r="L257" s="18">
        <v>300</v>
      </c>
      <c r="M257" s="27" t="s">
        <v>3520</v>
      </c>
      <c r="N257" s="18"/>
      <c r="O257" s="25">
        <v>44416.36</v>
      </c>
      <c r="P257" s="19">
        <f t="shared" si="12"/>
        <v>44416.36</v>
      </c>
      <c r="Q257" s="19">
        <f t="shared" si="13"/>
        <v>0</v>
      </c>
      <c r="R257" s="25">
        <v>25646.47</v>
      </c>
      <c r="S257" s="28">
        <v>70062.83</v>
      </c>
      <c r="T257" s="49">
        <f t="shared" si="14"/>
        <v>70062.83</v>
      </c>
      <c r="U257" s="49">
        <f t="shared" si="15"/>
        <v>0</v>
      </c>
    </row>
    <row r="258" spans="1:21" ht="17" thickBot="1" x14ac:dyDescent="0.25">
      <c r="A258" s="21" t="s">
        <v>2041</v>
      </c>
      <c r="B258" s="21" t="s">
        <v>1282</v>
      </c>
      <c r="C258" s="21" t="s">
        <v>137</v>
      </c>
      <c r="D258" s="21" t="s">
        <v>2044</v>
      </c>
      <c r="E258" s="22" t="s">
        <v>12</v>
      </c>
      <c r="F258" s="23" t="s">
        <v>1088</v>
      </c>
      <c r="G258" s="33" t="s">
        <v>14</v>
      </c>
      <c r="H258" s="25">
        <v>46904</v>
      </c>
      <c r="I258" s="26" t="s">
        <v>14</v>
      </c>
      <c r="J258" s="25">
        <v>47058.12</v>
      </c>
      <c r="K258" s="18">
        <v>534.08000000000004</v>
      </c>
      <c r="L258" s="18">
        <v>1330</v>
      </c>
      <c r="M258" s="27" t="s">
        <v>3520</v>
      </c>
      <c r="N258" s="18"/>
      <c r="O258" s="25">
        <v>48922.2</v>
      </c>
      <c r="P258" s="19">
        <f t="shared" si="12"/>
        <v>48922.200000000004</v>
      </c>
      <c r="Q258" s="19">
        <f t="shared" si="13"/>
        <v>-7.2759576141834259E-12</v>
      </c>
      <c r="R258" s="25">
        <v>21131.23</v>
      </c>
      <c r="S258" s="28">
        <v>70053.429999999993</v>
      </c>
      <c r="T258" s="49">
        <f t="shared" si="14"/>
        <v>70053.429999999993</v>
      </c>
      <c r="U258" s="49">
        <f t="shared" si="15"/>
        <v>0</v>
      </c>
    </row>
    <row r="259" spans="1:21" ht="17" thickBot="1" x14ac:dyDescent="0.25">
      <c r="A259" s="21" t="s">
        <v>2049</v>
      </c>
      <c r="B259" s="21" t="s">
        <v>1354</v>
      </c>
      <c r="C259" s="21" t="s">
        <v>824</v>
      </c>
      <c r="D259" s="21" t="s">
        <v>1611</v>
      </c>
      <c r="E259" s="22" t="s">
        <v>12</v>
      </c>
      <c r="F259" s="23" t="s">
        <v>251</v>
      </c>
      <c r="G259" s="33" t="s">
        <v>14</v>
      </c>
      <c r="H259" s="25">
        <v>43243.199999999997</v>
      </c>
      <c r="I259" s="26" t="s">
        <v>14</v>
      </c>
      <c r="J259" s="25">
        <v>43679.4</v>
      </c>
      <c r="K259" s="18">
        <v>1489.77</v>
      </c>
      <c r="L259" s="18">
        <v>3407.08</v>
      </c>
      <c r="M259" s="27" t="s">
        <v>3520</v>
      </c>
      <c r="N259" s="18"/>
      <c r="O259" s="25">
        <v>48576.25</v>
      </c>
      <c r="P259" s="19">
        <f t="shared" ref="P259:P322" si="16">SUM(I259:N259)</f>
        <v>48576.25</v>
      </c>
      <c r="Q259" s="19">
        <f t="shared" ref="Q259:Q322" si="17">SUM(O259-P259)</f>
        <v>0</v>
      </c>
      <c r="R259" s="25">
        <v>20852.98</v>
      </c>
      <c r="S259" s="28">
        <v>69429.23</v>
      </c>
      <c r="T259" s="49">
        <f t="shared" ref="T259:T322" si="18">SUM(O259+R259)</f>
        <v>69429.23</v>
      </c>
      <c r="U259" s="49">
        <f t="shared" ref="U259:U322" si="19">SUM(S259-T259)</f>
        <v>0</v>
      </c>
    </row>
    <row r="260" spans="1:21" ht="17" thickBot="1" x14ac:dyDescent="0.25">
      <c r="A260" s="21" t="s">
        <v>535</v>
      </c>
      <c r="B260" s="21" t="s">
        <v>2057</v>
      </c>
      <c r="C260" s="21" t="s">
        <v>65</v>
      </c>
      <c r="D260" s="21" t="s">
        <v>594</v>
      </c>
      <c r="E260" s="22" t="s">
        <v>20</v>
      </c>
      <c r="F260" s="23" t="s">
        <v>2061</v>
      </c>
      <c r="G260" s="33" t="s">
        <v>14</v>
      </c>
      <c r="H260" s="25">
        <v>60736</v>
      </c>
      <c r="I260" s="26" t="s">
        <v>14</v>
      </c>
      <c r="J260" s="25">
        <v>40099.699999999997</v>
      </c>
      <c r="K260" s="18">
        <v>2682.21</v>
      </c>
      <c r="L260" s="18">
        <v>213.82</v>
      </c>
      <c r="M260" s="27" t="s">
        <v>3520</v>
      </c>
      <c r="N260" s="18"/>
      <c r="O260" s="25">
        <v>42995.73</v>
      </c>
      <c r="P260" s="19">
        <f t="shared" si="16"/>
        <v>42995.729999999996</v>
      </c>
      <c r="Q260" s="19">
        <f t="shared" si="17"/>
        <v>7.2759576141834259E-12</v>
      </c>
      <c r="R260" s="25">
        <v>26332.23</v>
      </c>
      <c r="S260" s="28">
        <v>69327.960000000006</v>
      </c>
      <c r="T260" s="49">
        <f t="shared" si="18"/>
        <v>69327.960000000006</v>
      </c>
      <c r="U260" s="49">
        <f t="shared" si="19"/>
        <v>0</v>
      </c>
    </row>
    <row r="261" spans="1:21" ht="17" thickBot="1" x14ac:dyDescent="0.25">
      <c r="A261" s="21" t="s">
        <v>2064</v>
      </c>
      <c r="B261" s="21" t="s">
        <v>2065</v>
      </c>
      <c r="C261" s="21" t="s">
        <v>2066</v>
      </c>
      <c r="D261" s="21" t="s">
        <v>2067</v>
      </c>
      <c r="E261" s="22" t="s">
        <v>12</v>
      </c>
      <c r="F261" s="23" t="s">
        <v>1294</v>
      </c>
      <c r="G261" s="33" t="s">
        <v>14</v>
      </c>
      <c r="H261" s="25">
        <v>47132.800000000003</v>
      </c>
      <c r="I261" s="26" t="s">
        <v>14</v>
      </c>
      <c r="J261" s="25">
        <v>46997.279999999999</v>
      </c>
      <c r="K261" s="18">
        <v>139.94999999999999</v>
      </c>
      <c r="L261" s="18">
        <v>1070</v>
      </c>
      <c r="M261" s="27" t="s">
        <v>3520</v>
      </c>
      <c r="N261" s="18"/>
      <c r="O261" s="25">
        <v>48207.23</v>
      </c>
      <c r="P261" s="19">
        <f t="shared" si="16"/>
        <v>48207.229999999996</v>
      </c>
      <c r="Q261" s="19">
        <f t="shared" si="17"/>
        <v>7.2759576141834259E-12</v>
      </c>
      <c r="R261" s="25">
        <v>20825.04</v>
      </c>
      <c r="S261" s="28">
        <v>69032.27</v>
      </c>
      <c r="T261" s="49">
        <f t="shared" si="18"/>
        <v>69032.27</v>
      </c>
      <c r="U261" s="49">
        <f t="shared" si="19"/>
        <v>0</v>
      </c>
    </row>
    <row r="262" spans="1:21" ht="17" thickBot="1" x14ac:dyDescent="0.25">
      <c r="A262" s="21" t="s">
        <v>2072</v>
      </c>
      <c r="B262" s="21" t="s">
        <v>1561</v>
      </c>
      <c r="C262" s="21" t="s">
        <v>1442</v>
      </c>
      <c r="D262" s="21" t="s">
        <v>2075</v>
      </c>
      <c r="E262" s="22" t="s">
        <v>12</v>
      </c>
      <c r="F262" s="23" t="s">
        <v>2077</v>
      </c>
      <c r="G262" s="33" t="s">
        <v>14</v>
      </c>
      <c r="H262" s="25">
        <v>40664</v>
      </c>
      <c r="I262" s="26" t="s">
        <v>14</v>
      </c>
      <c r="J262" s="25">
        <v>41486.5</v>
      </c>
      <c r="K262" s="18">
        <v>4576.55</v>
      </c>
      <c r="L262" s="18">
        <v>1960.08</v>
      </c>
      <c r="M262" s="27" t="s">
        <v>3520</v>
      </c>
      <c r="N262" s="18"/>
      <c r="O262" s="25">
        <v>48023.13</v>
      </c>
      <c r="P262" s="19">
        <f t="shared" si="16"/>
        <v>48023.130000000005</v>
      </c>
      <c r="Q262" s="19">
        <f t="shared" si="17"/>
        <v>-7.2759576141834259E-12</v>
      </c>
      <c r="R262" s="25">
        <v>20721.68</v>
      </c>
      <c r="S262" s="28">
        <v>68744.81</v>
      </c>
      <c r="T262" s="49">
        <f t="shared" si="18"/>
        <v>68744.81</v>
      </c>
      <c r="U262" s="49">
        <f t="shared" si="19"/>
        <v>0</v>
      </c>
    </row>
    <row r="263" spans="1:21" ht="17" thickBot="1" x14ac:dyDescent="0.25">
      <c r="A263" s="21" t="s">
        <v>2080</v>
      </c>
      <c r="B263" s="21" t="s">
        <v>1625</v>
      </c>
      <c r="C263" s="21" t="s">
        <v>1252</v>
      </c>
      <c r="D263" s="21" t="s">
        <v>2083</v>
      </c>
      <c r="E263" s="22" t="s">
        <v>12</v>
      </c>
      <c r="F263" s="23" t="s">
        <v>2085</v>
      </c>
      <c r="G263" s="33" t="s">
        <v>14</v>
      </c>
      <c r="H263" s="25">
        <v>41184</v>
      </c>
      <c r="I263" s="26" t="s">
        <v>14</v>
      </c>
      <c r="J263" s="25">
        <v>41273.449999999997</v>
      </c>
      <c r="K263" s="18">
        <v>932.45</v>
      </c>
      <c r="L263" s="18">
        <v>350</v>
      </c>
      <c r="M263" s="27" t="s">
        <v>3520</v>
      </c>
      <c r="N263" s="18"/>
      <c r="O263" s="25">
        <v>42555.9</v>
      </c>
      <c r="P263" s="19">
        <f t="shared" si="16"/>
        <v>42555.899999999994</v>
      </c>
      <c r="Q263" s="19">
        <f t="shared" si="17"/>
        <v>7.2759576141834259E-12</v>
      </c>
      <c r="R263" s="25">
        <v>26031.3</v>
      </c>
      <c r="S263" s="28">
        <v>68587.199999999997</v>
      </c>
      <c r="T263" s="49">
        <f t="shared" si="18"/>
        <v>68587.199999999997</v>
      </c>
      <c r="U263" s="49">
        <f t="shared" si="19"/>
        <v>0</v>
      </c>
    </row>
    <row r="264" spans="1:21" ht="17" thickBot="1" x14ac:dyDescent="0.25">
      <c r="A264" s="21" t="s">
        <v>2088</v>
      </c>
      <c r="B264" s="21" t="s">
        <v>2089</v>
      </c>
      <c r="C264" s="21" t="s">
        <v>10</v>
      </c>
      <c r="D264" s="21" t="s">
        <v>1523</v>
      </c>
      <c r="E264" s="22" t="s">
        <v>12</v>
      </c>
      <c r="F264" s="23" t="s">
        <v>2093</v>
      </c>
      <c r="G264" s="33" t="s">
        <v>14</v>
      </c>
      <c r="H264" s="25">
        <v>40913.599999999999</v>
      </c>
      <c r="I264" s="26" t="s">
        <v>14</v>
      </c>
      <c r="J264" s="25">
        <v>41169.14</v>
      </c>
      <c r="K264" s="18">
        <v>1106.46</v>
      </c>
      <c r="L264" s="18">
        <v>999.34</v>
      </c>
      <c r="M264" s="27" t="s">
        <v>3520</v>
      </c>
      <c r="N264" s="18"/>
      <c r="O264" s="25">
        <v>43274.94</v>
      </c>
      <c r="P264" s="19">
        <f t="shared" si="16"/>
        <v>43274.939999999995</v>
      </c>
      <c r="Q264" s="19">
        <f t="shared" si="17"/>
        <v>7.2759576141834259E-12</v>
      </c>
      <c r="R264" s="25">
        <v>25027.119999999999</v>
      </c>
      <c r="S264" s="28">
        <v>68302.06</v>
      </c>
      <c r="T264" s="49">
        <f t="shared" si="18"/>
        <v>68302.06</v>
      </c>
      <c r="U264" s="49">
        <f t="shared" si="19"/>
        <v>0</v>
      </c>
    </row>
    <row r="265" spans="1:21" ht="17" thickBot="1" x14ac:dyDescent="0.25">
      <c r="A265" s="21" t="s">
        <v>2096</v>
      </c>
      <c r="B265" s="21" t="s">
        <v>2097</v>
      </c>
      <c r="C265" s="21" t="s">
        <v>1442</v>
      </c>
      <c r="D265" s="21" t="s">
        <v>2075</v>
      </c>
      <c r="E265" s="22" t="s">
        <v>12</v>
      </c>
      <c r="F265" s="23" t="s">
        <v>2101</v>
      </c>
      <c r="G265" s="33" t="s">
        <v>14</v>
      </c>
      <c r="H265" s="25">
        <v>43201.599999999999</v>
      </c>
      <c r="I265" s="26" t="s">
        <v>14</v>
      </c>
      <c r="J265" s="25">
        <v>43721.36</v>
      </c>
      <c r="K265" s="18">
        <v>1230.55</v>
      </c>
      <c r="L265" s="18">
        <v>2548</v>
      </c>
      <c r="M265" s="27" t="s">
        <v>3520</v>
      </c>
      <c r="N265" s="18"/>
      <c r="O265" s="25">
        <v>47499.91</v>
      </c>
      <c r="P265" s="19">
        <f t="shared" si="16"/>
        <v>47499.91</v>
      </c>
      <c r="Q265" s="19">
        <f t="shared" si="17"/>
        <v>0</v>
      </c>
      <c r="R265" s="25">
        <v>20594.04</v>
      </c>
      <c r="S265" s="28">
        <v>68093.95</v>
      </c>
      <c r="T265" s="49">
        <f t="shared" si="18"/>
        <v>68093.950000000012</v>
      </c>
      <c r="U265" s="49">
        <f t="shared" si="19"/>
        <v>-1.4551915228366852E-11</v>
      </c>
    </row>
    <row r="266" spans="1:21" ht="17" thickBot="1" x14ac:dyDescent="0.25">
      <c r="A266" s="21" t="s">
        <v>2104</v>
      </c>
      <c r="B266" s="21" t="s">
        <v>328</v>
      </c>
      <c r="C266" s="21" t="s">
        <v>2106</v>
      </c>
      <c r="D266" s="21" t="s">
        <v>2107</v>
      </c>
      <c r="E266" s="22" t="s">
        <v>12</v>
      </c>
      <c r="F266" s="23" t="s">
        <v>2109</v>
      </c>
      <c r="G266" s="33" t="s">
        <v>14</v>
      </c>
      <c r="H266" s="25">
        <v>42390.400000000001</v>
      </c>
      <c r="I266" s="26" t="s">
        <v>14</v>
      </c>
      <c r="J266" s="25">
        <v>43076.22</v>
      </c>
      <c r="K266" s="18">
        <v>2105.11</v>
      </c>
      <c r="L266" s="18">
        <v>2004</v>
      </c>
      <c r="M266" s="27" t="s">
        <v>3520</v>
      </c>
      <c r="N266" s="18"/>
      <c r="O266" s="25">
        <v>47185.33</v>
      </c>
      <c r="P266" s="19">
        <f t="shared" si="16"/>
        <v>47185.33</v>
      </c>
      <c r="Q266" s="19">
        <f t="shared" si="17"/>
        <v>0</v>
      </c>
      <c r="R266" s="25">
        <v>20832.59</v>
      </c>
      <c r="S266" s="28">
        <v>68017.919999999998</v>
      </c>
      <c r="T266" s="49">
        <f t="shared" si="18"/>
        <v>68017.919999999998</v>
      </c>
      <c r="U266" s="49">
        <f t="shared" si="19"/>
        <v>0</v>
      </c>
    </row>
    <row r="267" spans="1:21" ht="17" thickBot="1" x14ac:dyDescent="0.25">
      <c r="A267" s="21" t="s">
        <v>2112</v>
      </c>
      <c r="B267" s="21" t="s">
        <v>8</v>
      </c>
      <c r="C267" s="21" t="s">
        <v>18</v>
      </c>
      <c r="D267" s="21" t="s">
        <v>2115</v>
      </c>
      <c r="E267" s="22" t="s">
        <v>20</v>
      </c>
      <c r="F267" s="23" t="s">
        <v>2117</v>
      </c>
      <c r="G267" s="33" t="s">
        <v>14</v>
      </c>
      <c r="H267" s="25">
        <v>107153.28</v>
      </c>
      <c r="I267" s="26" t="s">
        <v>14</v>
      </c>
      <c r="J267" s="25">
        <v>40444.49</v>
      </c>
      <c r="K267" s="18">
        <v>4106.2700000000004</v>
      </c>
      <c r="L267" s="25">
        <v>29.44</v>
      </c>
      <c r="M267" s="27" t="s">
        <v>3520</v>
      </c>
      <c r="N267" s="18"/>
      <c r="O267" s="25">
        <v>44580.2</v>
      </c>
      <c r="P267" s="19">
        <f t="shared" si="16"/>
        <v>44580.2</v>
      </c>
      <c r="Q267" s="19">
        <f t="shared" si="17"/>
        <v>0</v>
      </c>
      <c r="R267" s="25">
        <v>23075.34</v>
      </c>
      <c r="S267" s="28">
        <v>67655.539999999994</v>
      </c>
      <c r="T267" s="49">
        <f t="shared" si="18"/>
        <v>67655.539999999994</v>
      </c>
      <c r="U267" s="49">
        <f t="shared" si="19"/>
        <v>0</v>
      </c>
    </row>
    <row r="268" spans="1:21" ht="17" thickBot="1" x14ac:dyDescent="0.25">
      <c r="A268" s="21" t="s">
        <v>1717</v>
      </c>
      <c r="B268" s="21" t="s">
        <v>2121</v>
      </c>
      <c r="C268" s="21" t="s">
        <v>65</v>
      </c>
      <c r="D268" s="21" t="s">
        <v>2123</v>
      </c>
      <c r="E268" s="22" t="s">
        <v>12</v>
      </c>
      <c r="F268" s="23" t="s">
        <v>1056</v>
      </c>
      <c r="G268" s="33" t="s">
        <v>14</v>
      </c>
      <c r="H268" s="25">
        <v>42889.599999999999</v>
      </c>
      <c r="I268" s="26" t="s">
        <v>14</v>
      </c>
      <c r="J268" s="25">
        <v>43930.63</v>
      </c>
      <c r="K268" s="18">
        <v>1262.99</v>
      </c>
      <c r="L268" s="18">
        <v>1897.49</v>
      </c>
      <c r="M268" s="27" t="s">
        <v>3520</v>
      </c>
      <c r="N268" s="18"/>
      <c r="O268" s="25">
        <v>47091.11</v>
      </c>
      <c r="P268" s="19">
        <f t="shared" si="16"/>
        <v>47091.109999999993</v>
      </c>
      <c r="Q268" s="19">
        <f t="shared" si="17"/>
        <v>7.2759576141834259E-12</v>
      </c>
      <c r="R268" s="25">
        <v>20534.82</v>
      </c>
      <c r="S268" s="28">
        <v>67625.929999999993</v>
      </c>
      <c r="T268" s="49">
        <f t="shared" si="18"/>
        <v>67625.929999999993</v>
      </c>
      <c r="U268" s="49">
        <f t="shared" si="19"/>
        <v>0</v>
      </c>
    </row>
    <row r="269" spans="1:21" ht="17" thickBot="1" x14ac:dyDescent="0.25">
      <c r="A269" s="21" t="s">
        <v>423</v>
      </c>
      <c r="B269" s="21" t="s">
        <v>2129</v>
      </c>
      <c r="C269" s="21" t="s">
        <v>281</v>
      </c>
      <c r="D269" s="21" t="s">
        <v>2131</v>
      </c>
      <c r="E269" s="22" t="s">
        <v>12</v>
      </c>
      <c r="F269" s="23" t="s">
        <v>564</v>
      </c>
      <c r="G269" s="33" t="s">
        <v>14</v>
      </c>
      <c r="H269" s="25">
        <v>44969.599999999999</v>
      </c>
      <c r="I269" s="26" t="s">
        <v>14</v>
      </c>
      <c r="J269" s="25">
        <v>45759.11</v>
      </c>
      <c r="K269" s="18">
        <v>1020.56</v>
      </c>
      <c r="L269" s="25">
        <v>30</v>
      </c>
      <c r="M269" s="27" t="s">
        <v>3520</v>
      </c>
      <c r="N269" s="18"/>
      <c r="O269" s="25">
        <v>46809.67</v>
      </c>
      <c r="P269" s="19">
        <f t="shared" si="16"/>
        <v>46809.67</v>
      </c>
      <c r="Q269" s="19">
        <f t="shared" si="17"/>
        <v>0</v>
      </c>
      <c r="R269" s="25">
        <v>20811.25</v>
      </c>
      <c r="S269" s="28">
        <v>67620.92</v>
      </c>
      <c r="T269" s="49">
        <f t="shared" si="18"/>
        <v>67620.92</v>
      </c>
      <c r="U269" s="49">
        <f t="shared" si="19"/>
        <v>0</v>
      </c>
    </row>
    <row r="270" spans="1:21" ht="17" thickBot="1" x14ac:dyDescent="0.25">
      <c r="A270" s="21" t="s">
        <v>2136</v>
      </c>
      <c r="B270" s="21" t="s">
        <v>2137</v>
      </c>
      <c r="C270" s="21" t="s">
        <v>808</v>
      </c>
      <c r="D270" s="21" t="s">
        <v>1515</v>
      </c>
      <c r="E270" s="22" t="s">
        <v>12</v>
      </c>
      <c r="F270" s="23" t="s">
        <v>2141</v>
      </c>
      <c r="G270" s="33" t="s">
        <v>14</v>
      </c>
      <c r="H270" s="25">
        <v>39956.800000000003</v>
      </c>
      <c r="I270" s="26" t="s">
        <v>14</v>
      </c>
      <c r="J270" s="25">
        <v>40831.11</v>
      </c>
      <c r="K270" s="18">
        <v>3522.38</v>
      </c>
      <c r="L270" s="18">
        <v>440</v>
      </c>
      <c r="M270" s="27" t="s">
        <v>3520</v>
      </c>
      <c r="N270" s="18"/>
      <c r="O270" s="25">
        <v>44793.49</v>
      </c>
      <c r="P270" s="19">
        <f t="shared" si="16"/>
        <v>44793.49</v>
      </c>
      <c r="Q270" s="19">
        <f t="shared" si="17"/>
        <v>0</v>
      </c>
      <c r="R270" s="25">
        <v>22219.01</v>
      </c>
      <c r="S270" s="28">
        <v>67012.5</v>
      </c>
      <c r="T270" s="49">
        <f t="shared" si="18"/>
        <v>67012.5</v>
      </c>
      <c r="U270" s="49">
        <f t="shared" si="19"/>
        <v>0</v>
      </c>
    </row>
    <row r="271" spans="1:21" ht="17" thickBot="1" x14ac:dyDescent="0.25">
      <c r="A271" s="21" t="s">
        <v>2144</v>
      </c>
      <c r="B271" s="21" t="s">
        <v>2145</v>
      </c>
      <c r="C271" s="21" t="s">
        <v>145</v>
      </c>
      <c r="D271" s="21" t="s">
        <v>2147</v>
      </c>
      <c r="E271" s="22" t="s">
        <v>12</v>
      </c>
      <c r="F271" s="23" t="s">
        <v>2149</v>
      </c>
      <c r="G271" s="33" t="s">
        <v>14</v>
      </c>
      <c r="H271" s="25">
        <v>39956.800000000003</v>
      </c>
      <c r="I271" s="26" t="s">
        <v>14</v>
      </c>
      <c r="J271" s="25">
        <v>40770.75</v>
      </c>
      <c r="K271" s="18">
        <v>5380.19</v>
      </c>
      <c r="L271" s="18">
        <v>320</v>
      </c>
      <c r="M271" s="27" t="s">
        <v>3520</v>
      </c>
      <c r="N271" s="18"/>
      <c r="O271" s="25">
        <v>46470.94</v>
      </c>
      <c r="P271" s="19">
        <f t="shared" si="16"/>
        <v>46470.94</v>
      </c>
      <c r="Q271" s="19">
        <f t="shared" si="17"/>
        <v>0</v>
      </c>
      <c r="R271" s="25">
        <v>20520.97</v>
      </c>
      <c r="S271" s="28">
        <v>66991.91</v>
      </c>
      <c r="T271" s="49">
        <f t="shared" si="18"/>
        <v>66991.91</v>
      </c>
      <c r="U271" s="49">
        <f t="shared" si="19"/>
        <v>0</v>
      </c>
    </row>
    <row r="272" spans="1:21" ht="17" thickBot="1" x14ac:dyDescent="0.25">
      <c r="A272" s="21" t="s">
        <v>2152</v>
      </c>
      <c r="B272" s="21" t="s">
        <v>2153</v>
      </c>
      <c r="C272" s="21" t="s">
        <v>824</v>
      </c>
      <c r="D272" s="21" t="s">
        <v>1611</v>
      </c>
      <c r="E272" s="22" t="s">
        <v>12</v>
      </c>
      <c r="F272" s="23" t="s">
        <v>2157</v>
      </c>
      <c r="G272" s="33" t="s">
        <v>14</v>
      </c>
      <c r="H272" s="25">
        <v>41828.800000000003</v>
      </c>
      <c r="I272" s="26" t="s">
        <v>14</v>
      </c>
      <c r="J272" s="25">
        <v>41874.1</v>
      </c>
      <c r="K272" s="18">
        <v>1850.04</v>
      </c>
      <c r="L272" s="18">
        <v>2772</v>
      </c>
      <c r="M272" s="27" t="s">
        <v>3520</v>
      </c>
      <c r="N272" s="18"/>
      <c r="O272" s="25">
        <v>46496.14</v>
      </c>
      <c r="P272" s="19">
        <f t="shared" si="16"/>
        <v>46496.14</v>
      </c>
      <c r="Q272" s="19">
        <f t="shared" si="17"/>
        <v>0</v>
      </c>
      <c r="R272" s="25">
        <v>20393.150000000001</v>
      </c>
      <c r="S272" s="28">
        <v>66889.289999999994</v>
      </c>
      <c r="T272" s="49">
        <f t="shared" si="18"/>
        <v>66889.290000000008</v>
      </c>
      <c r="U272" s="49">
        <f t="shared" si="19"/>
        <v>-1.4551915228366852E-11</v>
      </c>
    </row>
    <row r="273" spans="1:21" ht="17" thickBot="1" x14ac:dyDescent="0.25">
      <c r="A273" s="21" t="s">
        <v>2160</v>
      </c>
      <c r="B273" s="21" t="s">
        <v>2161</v>
      </c>
      <c r="C273" s="21" t="s">
        <v>886</v>
      </c>
      <c r="D273" s="21" t="s">
        <v>2163</v>
      </c>
      <c r="E273" s="22" t="s">
        <v>12</v>
      </c>
      <c r="F273" s="23" t="s">
        <v>1660</v>
      </c>
      <c r="G273" s="33" t="s">
        <v>14</v>
      </c>
      <c r="H273" s="25">
        <v>42889.599999999999</v>
      </c>
      <c r="I273" s="26" t="s">
        <v>14</v>
      </c>
      <c r="J273" s="25">
        <v>43299.63</v>
      </c>
      <c r="K273" s="18">
        <v>2358.59</v>
      </c>
      <c r="L273" s="18">
        <v>620</v>
      </c>
      <c r="M273" s="27" t="s">
        <v>3520</v>
      </c>
      <c r="N273" s="18"/>
      <c r="O273" s="25">
        <v>46278.22</v>
      </c>
      <c r="P273" s="19">
        <f t="shared" si="16"/>
        <v>46278.22</v>
      </c>
      <c r="Q273" s="19">
        <f t="shared" si="17"/>
        <v>0</v>
      </c>
      <c r="R273" s="25">
        <v>20336.490000000002</v>
      </c>
      <c r="S273" s="28">
        <v>66614.710000000006</v>
      </c>
      <c r="T273" s="49">
        <f t="shared" si="18"/>
        <v>66614.710000000006</v>
      </c>
      <c r="U273" s="49">
        <f t="shared" si="19"/>
        <v>0</v>
      </c>
    </row>
    <row r="274" spans="1:21" ht="17" thickBot="1" x14ac:dyDescent="0.25">
      <c r="A274" s="21" t="s">
        <v>2168</v>
      </c>
      <c r="B274" s="21" t="s">
        <v>2169</v>
      </c>
      <c r="C274" s="21" t="s">
        <v>81</v>
      </c>
      <c r="D274" s="21" t="s">
        <v>2171</v>
      </c>
      <c r="E274" s="22" t="s">
        <v>12</v>
      </c>
      <c r="F274" s="23" t="s">
        <v>380</v>
      </c>
      <c r="G274" s="33" t="s">
        <v>14</v>
      </c>
      <c r="H274" s="25">
        <v>37814.400000000001</v>
      </c>
      <c r="I274" s="26" t="s">
        <v>14</v>
      </c>
      <c r="J274" s="25">
        <v>36452.58</v>
      </c>
      <c r="K274" s="18">
        <v>486.05</v>
      </c>
      <c r="L274" s="18">
        <v>230</v>
      </c>
      <c r="M274" s="27" t="s">
        <v>3520</v>
      </c>
      <c r="N274" s="18"/>
      <c r="O274" s="25">
        <v>37168.629999999997</v>
      </c>
      <c r="P274" s="19">
        <f t="shared" si="16"/>
        <v>37168.630000000005</v>
      </c>
      <c r="Q274" s="19">
        <f t="shared" si="17"/>
        <v>-7.2759576141834259E-12</v>
      </c>
      <c r="R274" s="25">
        <v>29436.32</v>
      </c>
      <c r="S274" s="28">
        <v>66604.95</v>
      </c>
      <c r="T274" s="49">
        <f t="shared" si="18"/>
        <v>66604.95</v>
      </c>
      <c r="U274" s="49">
        <f t="shared" si="19"/>
        <v>0</v>
      </c>
    </row>
    <row r="275" spans="1:21" ht="17" thickBot="1" x14ac:dyDescent="0.25">
      <c r="A275" s="21" t="s">
        <v>2176</v>
      </c>
      <c r="B275" s="21" t="s">
        <v>997</v>
      </c>
      <c r="C275" s="21" t="s">
        <v>81</v>
      </c>
      <c r="D275" s="21" t="s">
        <v>1798</v>
      </c>
      <c r="E275" s="22" t="s">
        <v>12</v>
      </c>
      <c r="F275" s="23" t="s">
        <v>1088</v>
      </c>
      <c r="G275" s="33" t="s">
        <v>14</v>
      </c>
      <c r="H275" s="25">
        <v>44678.400000000001</v>
      </c>
      <c r="I275" s="26" t="s">
        <v>14</v>
      </c>
      <c r="J275" s="25">
        <v>44463.23</v>
      </c>
      <c r="K275" s="18">
        <v>1103.71</v>
      </c>
      <c r="L275" s="18">
        <v>150</v>
      </c>
      <c r="M275" s="27" t="s">
        <v>3520</v>
      </c>
      <c r="N275" s="18"/>
      <c r="O275" s="25">
        <v>45716.94</v>
      </c>
      <c r="P275" s="19">
        <f t="shared" si="16"/>
        <v>45716.94</v>
      </c>
      <c r="Q275" s="19">
        <f t="shared" si="17"/>
        <v>0</v>
      </c>
      <c r="R275" s="25">
        <v>20383.52</v>
      </c>
      <c r="S275" s="28">
        <v>66100.460000000006</v>
      </c>
      <c r="T275" s="49">
        <f t="shared" si="18"/>
        <v>66100.460000000006</v>
      </c>
      <c r="U275" s="49">
        <f t="shared" si="19"/>
        <v>0</v>
      </c>
    </row>
    <row r="276" spans="1:21" ht="17" thickBot="1" x14ac:dyDescent="0.25">
      <c r="A276" s="21" t="s">
        <v>2184</v>
      </c>
      <c r="B276" s="21" t="s">
        <v>2185</v>
      </c>
      <c r="C276" s="21" t="s">
        <v>65</v>
      </c>
      <c r="D276" s="21" t="s">
        <v>1728</v>
      </c>
      <c r="E276" s="22" t="s">
        <v>12</v>
      </c>
      <c r="F276" s="23" t="s">
        <v>1613</v>
      </c>
      <c r="G276" s="33" t="s">
        <v>14</v>
      </c>
      <c r="H276" s="25">
        <v>40768</v>
      </c>
      <c r="I276" s="26" t="s">
        <v>14</v>
      </c>
      <c r="J276" s="25">
        <v>41186.730000000003</v>
      </c>
      <c r="K276" s="18">
        <v>2347.09</v>
      </c>
      <c r="L276" s="18">
        <v>1799.52</v>
      </c>
      <c r="M276" s="27" t="s">
        <v>3520</v>
      </c>
      <c r="N276" s="18"/>
      <c r="O276" s="25">
        <v>45333.34</v>
      </c>
      <c r="P276" s="19">
        <f t="shared" si="16"/>
        <v>45333.340000000004</v>
      </c>
      <c r="Q276" s="19">
        <f t="shared" si="17"/>
        <v>-7.2759576141834259E-12</v>
      </c>
      <c r="R276" s="25">
        <v>20349.47</v>
      </c>
      <c r="S276" s="28">
        <v>65682.81</v>
      </c>
      <c r="T276" s="49">
        <f t="shared" si="18"/>
        <v>65682.81</v>
      </c>
      <c r="U276" s="49">
        <f t="shared" si="19"/>
        <v>0</v>
      </c>
    </row>
    <row r="277" spans="1:21" ht="17" thickBot="1" x14ac:dyDescent="0.25">
      <c r="A277" s="21" t="s">
        <v>2192</v>
      </c>
      <c r="B277" s="21" t="s">
        <v>2193</v>
      </c>
      <c r="C277" s="21" t="s">
        <v>65</v>
      </c>
      <c r="D277" s="21" t="s">
        <v>2195</v>
      </c>
      <c r="E277" s="22" t="s">
        <v>12</v>
      </c>
      <c r="F277" s="23" t="s">
        <v>1080</v>
      </c>
      <c r="G277" s="33" t="s">
        <v>14</v>
      </c>
      <c r="H277" s="25">
        <v>38334.400000000001</v>
      </c>
      <c r="I277" s="26" t="s">
        <v>14</v>
      </c>
      <c r="J277" s="25">
        <v>38954.9</v>
      </c>
      <c r="K277" s="18">
        <v>4052.89</v>
      </c>
      <c r="L277" s="18">
        <v>2404.3200000000002</v>
      </c>
      <c r="M277" s="27" t="s">
        <v>3520</v>
      </c>
      <c r="N277" s="18"/>
      <c r="O277" s="25">
        <v>45412.11</v>
      </c>
      <c r="P277" s="19">
        <f t="shared" si="16"/>
        <v>45412.11</v>
      </c>
      <c r="Q277" s="19">
        <f t="shared" si="17"/>
        <v>0</v>
      </c>
      <c r="R277" s="25">
        <v>20074.86</v>
      </c>
      <c r="S277" s="28">
        <v>65486.97</v>
      </c>
      <c r="T277" s="49">
        <f t="shared" si="18"/>
        <v>65486.97</v>
      </c>
      <c r="U277" s="49">
        <f t="shared" si="19"/>
        <v>0</v>
      </c>
    </row>
    <row r="278" spans="1:21" ht="17" thickBot="1" x14ac:dyDescent="0.25">
      <c r="A278" s="21" t="s">
        <v>2200</v>
      </c>
      <c r="B278" s="21" t="s">
        <v>2201</v>
      </c>
      <c r="C278" s="21" t="s">
        <v>281</v>
      </c>
      <c r="D278" s="21" t="s">
        <v>1736</v>
      </c>
      <c r="E278" s="22" t="s">
        <v>12</v>
      </c>
      <c r="F278" s="23" t="s">
        <v>2205</v>
      </c>
      <c r="G278" s="33" t="s">
        <v>14</v>
      </c>
      <c r="H278" s="25">
        <v>36212.800000000003</v>
      </c>
      <c r="I278" s="26" t="s">
        <v>14</v>
      </c>
      <c r="J278" s="25">
        <v>37010.54</v>
      </c>
      <c r="K278" s="18">
        <v>2990.1</v>
      </c>
      <c r="L278" s="18">
        <v>490</v>
      </c>
      <c r="M278" s="27" t="s">
        <v>3520</v>
      </c>
      <c r="N278" s="18"/>
      <c r="O278" s="25">
        <v>40490.639999999999</v>
      </c>
      <c r="P278" s="19">
        <f t="shared" si="16"/>
        <v>40490.639999999999</v>
      </c>
      <c r="Q278" s="19">
        <f t="shared" si="17"/>
        <v>0</v>
      </c>
      <c r="R278" s="25">
        <v>24934.59</v>
      </c>
      <c r="S278" s="28">
        <v>65425.23</v>
      </c>
      <c r="T278" s="49">
        <f t="shared" si="18"/>
        <v>65425.229999999996</v>
      </c>
      <c r="U278" s="49">
        <f t="shared" si="19"/>
        <v>7.2759576141834259E-12</v>
      </c>
    </row>
    <row r="279" spans="1:21" ht="17" thickBot="1" x14ac:dyDescent="0.25">
      <c r="A279" s="21" t="s">
        <v>2208</v>
      </c>
      <c r="B279" s="21" t="s">
        <v>2209</v>
      </c>
      <c r="C279" s="21" t="s">
        <v>137</v>
      </c>
      <c r="D279" s="21" t="s">
        <v>1627</v>
      </c>
      <c r="E279" s="22" t="s">
        <v>12</v>
      </c>
      <c r="F279" s="23" t="s">
        <v>1800</v>
      </c>
      <c r="G279" s="33" t="s">
        <v>14</v>
      </c>
      <c r="H279" s="25">
        <v>45635.199999999997</v>
      </c>
      <c r="I279" s="26" t="s">
        <v>14</v>
      </c>
      <c r="J279" s="25">
        <v>43416.38</v>
      </c>
      <c r="K279" s="18">
        <v>182.01</v>
      </c>
      <c r="L279" s="18">
        <v>1596</v>
      </c>
      <c r="M279" s="27" t="s">
        <v>3520</v>
      </c>
      <c r="N279" s="18"/>
      <c r="O279" s="25">
        <v>45194.39</v>
      </c>
      <c r="P279" s="19">
        <f t="shared" si="16"/>
        <v>45194.39</v>
      </c>
      <c r="Q279" s="19">
        <f t="shared" si="17"/>
        <v>0</v>
      </c>
      <c r="R279" s="25">
        <v>20093.689999999999</v>
      </c>
      <c r="S279" s="28">
        <v>65288.08</v>
      </c>
      <c r="T279" s="49">
        <f t="shared" si="18"/>
        <v>65288.08</v>
      </c>
      <c r="U279" s="49">
        <f t="shared" si="19"/>
        <v>0</v>
      </c>
    </row>
    <row r="280" spans="1:21" ht="17" thickBot="1" x14ac:dyDescent="0.25">
      <c r="A280" s="21" t="s">
        <v>2216</v>
      </c>
      <c r="B280" s="21" t="s">
        <v>2217</v>
      </c>
      <c r="C280" s="21" t="s">
        <v>1474</v>
      </c>
      <c r="D280" s="21" t="s">
        <v>1475</v>
      </c>
      <c r="E280" s="22" t="s">
        <v>12</v>
      </c>
      <c r="F280" s="23" t="s">
        <v>2221</v>
      </c>
      <c r="G280" s="33" t="s">
        <v>14</v>
      </c>
      <c r="H280" s="25">
        <v>48880</v>
      </c>
      <c r="I280" s="26" t="s">
        <v>14</v>
      </c>
      <c r="J280" s="25">
        <v>48203.64</v>
      </c>
      <c r="K280" s="18">
        <v>1787.68</v>
      </c>
      <c r="L280" s="18">
        <v>1935</v>
      </c>
      <c r="M280" s="27" t="s">
        <v>3520</v>
      </c>
      <c r="N280" s="18"/>
      <c r="O280" s="25">
        <v>51926.32</v>
      </c>
      <c r="P280" s="19">
        <f t="shared" si="16"/>
        <v>51926.32</v>
      </c>
      <c r="Q280" s="19">
        <f t="shared" si="17"/>
        <v>0</v>
      </c>
      <c r="R280" s="25">
        <v>13228.73</v>
      </c>
      <c r="S280" s="28">
        <v>65155.05</v>
      </c>
      <c r="T280" s="49">
        <f t="shared" si="18"/>
        <v>65155.05</v>
      </c>
      <c r="U280" s="49">
        <f t="shared" si="19"/>
        <v>0</v>
      </c>
    </row>
    <row r="281" spans="1:21" ht="17" thickBot="1" x14ac:dyDescent="0.25">
      <c r="A281" s="21" t="s">
        <v>2224</v>
      </c>
      <c r="B281" s="21" t="s">
        <v>2225</v>
      </c>
      <c r="C281" s="21" t="s">
        <v>1283</v>
      </c>
      <c r="D281" s="21" t="s">
        <v>2227</v>
      </c>
      <c r="E281" s="22" t="s">
        <v>12</v>
      </c>
      <c r="F281" s="23" t="s">
        <v>2229</v>
      </c>
      <c r="G281" s="33" t="s">
        <v>14</v>
      </c>
      <c r="H281" s="25">
        <v>43680</v>
      </c>
      <c r="I281" s="26" t="s">
        <v>14</v>
      </c>
      <c r="J281" s="25">
        <v>44041.83</v>
      </c>
      <c r="K281" s="18">
        <v>618.77</v>
      </c>
      <c r="L281" s="18">
        <v>210</v>
      </c>
      <c r="M281" s="27" t="s">
        <v>3520</v>
      </c>
      <c r="N281" s="18"/>
      <c r="O281" s="25">
        <v>44870.6</v>
      </c>
      <c r="P281" s="19">
        <f t="shared" si="16"/>
        <v>44870.6</v>
      </c>
      <c r="Q281" s="19">
        <f t="shared" si="17"/>
        <v>0</v>
      </c>
      <c r="R281" s="25">
        <v>19945.990000000002</v>
      </c>
      <c r="S281" s="28">
        <v>64816.59</v>
      </c>
      <c r="T281" s="49">
        <f t="shared" si="18"/>
        <v>64816.59</v>
      </c>
      <c r="U281" s="49">
        <f t="shared" si="19"/>
        <v>0</v>
      </c>
    </row>
    <row r="282" spans="1:21" ht="17" thickBot="1" x14ac:dyDescent="0.25">
      <c r="A282" s="10" t="s">
        <v>2232</v>
      </c>
      <c r="B282" s="10" t="s">
        <v>2233</v>
      </c>
      <c r="C282" s="10" t="s">
        <v>97</v>
      </c>
      <c r="D282" s="10" t="s">
        <v>1491</v>
      </c>
      <c r="E282" s="11" t="s">
        <v>12</v>
      </c>
      <c r="F282" s="12" t="s">
        <v>2237</v>
      </c>
      <c r="G282" s="35" t="s">
        <v>2238</v>
      </c>
      <c r="H282" s="14">
        <v>59529.599999999999</v>
      </c>
      <c r="I282" s="14">
        <v>832.84</v>
      </c>
      <c r="J282" s="14">
        <v>39861.699999999997</v>
      </c>
      <c r="K282" s="16">
        <v>268.7</v>
      </c>
      <c r="L282" s="16">
        <v>5524.17</v>
      </c>
      <c r="M282" s="17" t="s">
        <v>3520</v>
      </c>
      <c r="N282" s="18"/>
      <c r="O282" s="17">
        <v>46487.41</v>
      </c>
      <c r="P282" s="19">
        <f t="shared" si="16"/>
        <v>46487.409999999989</v>
      </c>
      <c r="Q282" s="19">
        <f t="shared" si="17"/>
        <v>1.4551915228366852E-11</v>
      </c>
      <c r="R282" s="14">
        <v>18185.810000000001</v>
      </c>
      <c r="S282" s="20">
        <v>64673.22</v>
      </c>
      <c r="T282" s="49">
        <f t="shared" si="18"/>
        <v>64673.22</v>
      </c>
      <c r="U282" s="49">
        <f t="shared" si="19"/>
        <v>0</v>
      </c>
    </row>
    <row r="283" spans="1:21" ht="17" thickBot="1" x14ac:dyDescent="0.25">
      <c r="A283" s="21" t="s">
        <v>407</v>
      </c>
      <c r="B283" s="21" t="s">
        <v>1393</v>
      </c>
      <c r="C283" s="21" t="s">
        <v>240</v>
      </c>
      <c r="D283" s="21" t="s">
        <v>2242</v>
      </c>
      <c r="E283" s="22" t="s">
        <v>12</v>
      </c>
      <c r="F283" s="23" t="s">
        <v>2244</v>
      </c>
      <c r="G283" s="33" t="s">
        <v>14</v>
      </c>
      <c r="H283" s="25">
        <v>40102.400000000001</v>
      </c>
      <c r="I283" s="26" t="s">
        <v>14</v>
      </c>
      <c r="J283" s="25">
        <v>41773.660000000003</v>
      </c>
      <c r="K283" s="18">
        <v>1890.45</v>
      </c>
      <c r="L283" s="18">
        <v>1483.96</v>
      </c>
      <c r="M283" s="27" t="s">
        <v>3520</v>
      </c>
      <c r="N283" s="18"/>
      <c r="O283" s="27">
        <v>45148.07</v>
      </c>
      <c r="P283" s="19">
        <f t="shared" si="16"/>
        <v>45148.07</v>
      </c>
      <c r="Q283" s="19">
        <f t="shared" si="17"/>
        <v>0</v>
      </c>
      <c r="R283" s="25">
        <v>19524.330000000002</v>
      </c>
      <c r="S283" s="28">
        <v>64672.4</v>
      </c>
      <c r="T283" s="49">
        <f t="shared" si="18"/>
        <v>64672.4</v>
      </c>
      <c r="U283" s="49">
        <f t="shared" si="19"/>
        <v>0</v>
      </c>
    </row>
    <row r="284" spans="1:21" ht="17" thickBot="1" x14ac:dyDescent="0.25">
      <c r="A284" s="21" t="s">
        <v>2247</v>
      </c>
      <c r="B284" s="21" t="s">
        <v>2248</v>
      </c>
      <c r="C284" s="21" t="s">
        <v>1315</v>
      </c>
      <c r="D284" s="21" t="s">
        <v>2250</v>
      </c>
      <c r="E284" s="22" t="s">
        <v>12</v>
      </c>
      <c r="F284" s="23" t="s">
        <v>2252</v>
      </c>
      <c r="G284" s="33" t="s">
        <v>14</v>
      </c>
      <c r="H284" s="25">
        <v>33425.599999999999</v>
      </c>
      <c r="I284" s="26" t="s">
        <v>14</v>
      </c>
      <c r="J284" s="25">
        <v>33987.599999999999</v>
      </c>
      <c r="K284" s="18">
        <v>1668.97</v>
      </c>
      <c r="L284" s="18">
        <v>700.04</v>
      </c>
      <c r="M284" s="27" t="s">
        <v>3520</v>
      </c>
      <c r="N284" s="18"/>
      <c r="O284" s="27">
        <v>36356.61</v>
      </c>
      <c r="P284" s="19">
        <f t="shared" si="16"/>
        <v>36356.61</v>
      </c>
      <c r="Q284" s="19">
        <f t="shared" si="17"/>
        <v>0</v>
      </c>
      <c r="R284" s="25">
        <v>28295.24</v>
      </c>
      <c r="S284" s="28">
        <v>64651.85</v>
      </c>
      <c r="T284" s="49">
        <f t="shared" si="18"/>
        <v>64651.850000000006</v>
      </c>
      <c r="U284" s="49">
        <f t="shared" si="19"/>
        <v>-7.2759576141834259E-12</v>
      </c>
    </row>
    <row r="285" spans="1:21" ht="17" thickBot="1" x14ac:dyDescent="0.25">
      <c r="A285" s="21" t="s">
        <v>2255</v>
      </c>
      <c r="B285" s="21" t="s">
        <v>2256</v>
      </c>
      <c r="C285" s="21" t="s">
        <v>1046</v>
      </c>
      <c r="D285" s="21" t="s">
        <v>2258</v>
      </c>
      <c r="E285" s="22" t="s">
        <v>12</v>
      </c>
      <c r="F285" s="23" t="s">
        <v>2260</v>
      </c>
      <c r="G285" s="33" t="s">
        <v>14</v>
      </c>
      <c r="H285" s="25">
        <v>40768</v>
      </c>
      <c r="I285" s="26" t="s">
        <v>14</v>
      </c>
      <c r="J285" s="25">
        <v>40427.43</v>
      </c>
      <c r="K285" s="18">
        <v>404.86</v>
      </c>
      <c r="L285" s="18">
        <v>2811.78</v>
      </c>
      <c r="M285" s="27" t="s">
        <v>3520</v>
      </c>
      <c r="N285" s="18"/>
      <c r="O285" s="27">
        <v>43644.07</v>
      </c>
      <c r="P285" s="19">
        <f t="shared" si="16"/>
        <v>43644.07</v>
      </c>
      <c r="Q285" s="19">
        <f t="shared" si="17"/>
        <v>0</v>
      </c>
      <c r="R285" s="25">
        <v>19919.45</v>
      </c>
      <c r="S285" s="28">
        <v>63563.519999999997</v>
      </c>
      <c r="T285" s="49">
        <f t="shared" si="18"/>
        <v>63563.520000000004</v>
      </c>
      <c r="U285" s="49">
        <f t="shared" si="19"/>
        <v>-7.2759576141834259E-12</v>
      </c>
    </row>
    <row r="286" spans="1:21" ht="17" thickBot="1" x14ac:dyDescent="0.25">
      <c r="A286" s="21" t="s">
        <v>591</v>
      </c>
      <c r="B286" s="21" t="s">
        <v>2264</v>
      </c>
      <c r="C286" s="21" t="s">
        <v>705</v>
      </c>
      <c r="D286" s="21" t="s">
        <v>1933</v>
      </c>
      <c r="E286" s="22" t="s">
        <v>12</v>
      </c>
      <c r="F286" s="23" t="s">
        <v>2268</v>
      </c>
      <c r="G286" s="33" t="s">
        <v>14</v>
      </c>
      <c r="H286" s="25">
        <v>41475.199999999997</v>
      </c>
      <c r="I286" s="26" t="s">
        <v>14</v>
      </c>
      <c r="J286" s="25">
        <v>41144.620000000003</v>
      </c>
      <c r="K286" s="18">
        <v>444.87</v>
      </c>
      <c r="L286" s="18">
        <v>2123.08</v>
      </c>
      <c r="M286" s="27" t="s">
        <v>3520</v>
      </c>
      <c r="N286" s="18"/>
      <c r="O286" s="27">
        <v>43712.57</v>
      </c>
      <c r="P286" s="19">
        <f t="shared" si="16"/>
        <v>43712.570000000007</v>
      </c>
      <c r="Q286" s="19">
        <f t="shared" si="17"/>
        <v>-7.2759576141834259E-12</v>
      </c>
      <c r="R286" s="25">
        <v>19677.419999999998</v>
      </c>
      <c r="S286" s="28">
        <v>63389.99</v>
      </c>
      <c r="T286" s="49">
        <f t="shared" si="18"/>
        <v>63389.99</v>
      </c>
      <c r="U286" s="49">
        <f t="shared" si="19"/>
        <v>0</v>
      </c>
    </row>
    <row r="287" spans="1:21" ht="17" thickBot="1" x14ac:dyDescent="0.25">
      <c r="A287" s="21" t="s">
        <v>2271</v>
      </c>
      <c r="B287" s="21" t="s">
        <v>1219</v>
      </c>
      <c r="C287" s="21" t="s">
        <v>886</v>
      </c>
      <c r="D287" s="21" t="s">
        <v>2274</v>
      </c>
      <c r="E287" s="22" t="s">
        <v>12</v>
      </c>
      <c r="F287" s="23" t="s">
        <v>348</v>
      </c>
      <c r="G287" s="33" t="s">
        <v>14</v>
      </c>
      <c r="H287" s="18">
        <v>40705.599999999999</v>
      </c>
      <c r="I287" s="26" t="s">
        <v>14</v>
      </c>
      <c r="J287" s="25">
        <v>39421.78</v>
      </c>
      <c r="K287" s="18">
        <v>2116.29</v>
      </c>
      <c r="L287" s="18">
        <v>1663</v>
      </c>
      <c r="M287" s="27" t="s">
        <v>3520</v>
      </c>
      <c r="N287" s="18"/>
      <c r="O287" s="27">
        <v>43201.07</v>
      </c>
      <c r="P287" s="19">
        <f t="shared" si="16"/>
        <v>43201.07</v>
      </c>
      <c r="Q287" s="19">
        <f t="shared" si="17"/>
        <v>0</v>
      </c>
      <c r="R287" s="25">
        <v>19677.66</v>
      </c>
      <c r="S287" s="28">
        <v>62878.73</v>
      </c>
      <c r="T287" s="49">
        <f t="shared" si="18"/>
        <v>62878.729999999996</v>
      </c>
      <c r="U287" s="49">
        <f t="shared" si="19"/>
        <v>7.2759576141834259E-12</v>
      </c>
    </row>
    <row r="288" spans="1:21" ht="17" thickBot="1" x14ac:dyDescent="0.25">
      <c r="A288" s="21" t="s">
        <v>2279</v>
      </c>
      <c r="B288" s="21" t="s">
        <v>1773</v>
      </c>
      <c r="C288" s="21" t="s">
        <v>97</v>
      </c>
      <c r="D288" s="21" t="s">
        <v>2282</v>
      </c>
      <c r="E288" s="22" t="s">
        <v>12</v>
      </c>
      <c r="F288" s="23" t="s">
        <v>2284</v>
      </c>
      <c r="G288" s="34" t="s">
        <v>805</v>
      </c>
      <c r="H288" s="25">
        <v>86102.12</v>
      </c>
      <c r="I288" s="25">
        <v>184.23</v>
      </c>
      <c r="J288" s="18">
        <v>46234.39</v>
      </c>
      <c r="K288" s="18" t="s">
        <v>3520</v>
      </c>
      <c r="L288" s="18">
        <v>346.67</v>
      </c>
      <c r="M288" s="27" t="s">
        <v>3520</v>
      </c>
      <c r="N288" s="18"/>
      <c r="O288" s="27">
        <v>46765.29</v>
      </c>
      <c r="P288" s="19">
        <f t="shared" si="16"/>
        <v>46765.29</v>
      </c>
      <c r="Q288" s="19">
        <f t="shared" si="17"/>
        <v>0</v>
      </c>
      <c r="R288" s="25">
        <v>16032.06</v>
      </c>
      <c r="S288" s="28">
        <v>62797.35</v>
      </c>
      <c r="T288" s="49">
        <f t="shared" si="18"/>
        <v>62797.35</v>
      </c>
      <c r="U288" s="49">
        <f t="shared" si="19"/>
        <v>0</v>
      </c>
    </row>
    <row r="289" spans="1:21" ht="17" thickBot="1" x14ac:dyDescent="0.25">
      <c r="A289" s="21" t="s">
        <v>2286</v>
      </c>
      <c r="B289" s="21" t="s">
        <v>2287</v>
      </c>
      <c r="C289" s="21" t="s">
        <v>81</v>
      </c>
      <c r="D289" s="21" t="s">
        <v>1736</v>
      </c>
      <c r="E289" s="22" t="s">
        <v>12</v>
      </c>
      <c r="F289" s="23" t="s">
        <v>284</v>
      </c>
      <c r="G289" s="33" t="s">
        <v>14</v>
      </c>
      <c r="H289" s="25">
        <v>38459.199999999997</v>
      </c>
      <c r="I289" s="26" t="s">
        <v>14</v>
      </c>
      <c r="J289" s="25">
        <v>38391.58</v>
      </c>
      <c r="K289" s="18">
        <v>81.430000000000007</v>
      </c>
      <c r="L289" s="18">
        <v>250</v>
      </c>
      <c r="M289" s="27" t="s">
        <v>3520</v>
      </c>
      <c r="N289" s="18"/>
      <c r="O289" s="27">
        <v>38723.01</v>
      </c>
      <c r="P289" s="19">
        <f t="shared" si="16"/>
        <v>38723.01</v>
      </c>
      <c r="Q289" s="19">
        <f t="shared" si="17"/>
        <v>0</v>
      </c>
      <c r="R289" s="25">
        <v>23973.71</v>
      </c>
      <c r="S289" s="28">
        <v>62696.72</v>
      </c>
      <c r="T289" s="49">
        <f t="shared" si="18"/>
        <v>62696.72</v>
      </c>
      <c r="U289" s="49">
        <f t="shared" si="19"/>
        <v>0</v>
      </c>
    </row>
    <row r="290" spans="1:21" ht="17" thickBot="1" x14ac:dyDescent="0.25">
      <c r="A290" s="21" t="s">
        <v>2294</v>
      </c>
      <c r="B290" s="21" t="s">
        <v>2295</v>
      </c>
      <c r="C290" s="21" t="s">
        <v>926</v>
      </c>
      <c r="D290" s="21" t="s">
        <v>2297</v>
      </c>
      <c r="E290" s="22" t="s">
        <v>12</v>
      </c>
      <c r="F290" s="23" t="s">
        <v>2299</v>
      </c>
      <c r="G290" s="33" t="s">
        <v>14</v>
      </c>
      <c r="H290" s="25">
        <v>53000.480000000003</v>
      </c>
      <c r="I290" s="26" t="s">
        <v>14</v>
      </c>
      <c r="J290" s="25">
        <v>49788.480000000003</v>
      </c>
      <c r="K290" s="18">
        <v>277.62</v>
      </c>
      <c r="L290" s="18">
        <v>160</v>
      </c>
      <c r="M290" s="27" t="s">
        <v>3520</v>
      </c>
      <c r="N290" s="18"/>
      <c r="O290" s="27">
        <v>50226.1</v>
      </c>
      <c r="P290" s="19">
        <f t="shared" si="16"/>
        <v>50226.100000000006</v>
      </c>
      <c r="Q290" s="19">
        <f t="shared" si="17"/>
        <v>-7.2759576141834259E-12</v>
      </c>
      <c r="R290" s="25">
        <v>12382.34</v>
      </c>
      <c r="S290" s="28">
        <v>62608.44</v>
      </c>
      <c r="T290" s="49">
        <f t="shared" si="18"/>
        <v>62608.44</v>
      </c>
      <c r="U290" s="49">
        <f t="shared" si="19"/>
        <v>0</v>
      </c>
    </row>
    <row r="291" spans="1:21" ht="17" thickBot="1" x14ac:dyDescent="0.25">
      <c r="A291" s="21" t="s">
        <v>246</v>
      </c>
      <c r="B291" s="21" t="s">
        <v>112</v>
      </c>
      <c r="C291" s="21" t="s">
        <v>137</v>
      </c>
      <c r="D291" s="21" t="s">
        <v>2305</v>
      </c>
      <c r="E291" s="22" t="s">
        <v>12</v>
      </c>
      <c r="F291" s="23" t="s">
        <v>227</v>
      </c>
      <c r="G291" s="33" t="s">
        <v>14</v>
      </c>
      <c r="H291" s="25">
        <v>42640</v>
      </c>
      <c r="I291" s="26" t="s">
        <v>14</v>
      </c>
      <c r="J291" s="25">
        <v>37466.699999999997</v>
      </c>
      <c r="K291" s="18">
        <v>467.5</v>
      </c>
      <c r="L291" s="18">
        <v>50</v>
      </c>
      <c r="M291" s="27" t="s">
        <v>3520</v>
      </c>
      <c r="N291" s="18"/>
      <c r="O291" s="27">
        <v>37984.199999999997</v>
      </c>
      <c r="P291" s="19">
        <f t="shared" si="16"/>
        <v>37984.199999999997</v>
      </c>
      <c r="Q291" s="19">
        <f t="shared" si="17"/>
        <v>0</v>
      </c>
      <c r="R291" s="25">
        <v>23751.48</v>
      </c>
      <c r="S291" s="28">
        <v>61735.68</v>
      </c>
      <c r="T291" s="49">
        <f t="shared" si="18"/>
        <v>61735.679999999993</v>
      </c>
      <c r="U291" s="49">
        <f t="shared" si="19"/>
        <v>7.2759576141834259E-12</v>
      </c>
    </row>
    <row r="292" spans="1:21" ht="17" thickBot="1" x14ac:dyDescent="0.25">
      <c r="A292" s="21" t="s">
        <v>2310</v>
      </c>
      <c r="B292" s="21" t="s">
        <v>25</v>
      </c>
      <c r="C292" s="21" t="s">
        <v>808</v>
      </c>
      <c r="D292" s="21" t="s">
        <v>2313</v>
      </c>
      <c r="E292" s="22" t="s">
        <v>12</v>
      </c>
      <c r="F292" s="23" t="s">
        <v>1509</v>
      </c>
      <c r="G292" s="34" t="s">
        <v>2316</v>
      </c>
      <c r="H292" s="25">
        <v>84879.34</v>
      </c>
      <c r="I292" s="18" t="s">
        <v>3520</v>
      </c>
      <c r="J292" s="25">
        <v>45577.8</v>
      </c>
      <c r="K292" s="18" t="s">
        <v>3520</v>
      </c>
      <c r="L292" s="18">
        <v>346.67</v>
      </c>
      <c r="M292" s="27" t="s">
        <v>3520</v>
      </c>
      <c r="N292" s="18"/>
      <c r="O292" s="30">
        <v>45924.47</v>
      </c>
      <c r="P292" s="19">
        <f t="shared" si="16"/>
        <v>45924.47</v>
      </c>
      <c r="Q292" s="19">
        <f t="shared" si="17"/>
        <v>0</v>
      </c>
      <c r="R292" s="25">
        <v>15603</v>
      </c>
      <c r="S292" s="28">
        <v>61527.47</v>
      </c>
      <c r="T292" s="49">
        <f t="shared" si="18"/>
        <v>61527.47</v>
      </c>
      <c r="U292" s="49">
        <f t="shared" si="19"/>
        <v>0</v>
      </c>
    </row>
    <row r="293" spans="1:21" ht="17" thickBot="1" x14ac:dyDescent="0.25">
      <c r="A293" s="21" t="s">
        <v>2317</v>
      </c>
      <c r="B293" s="21" t="s">
        <v>2318</v>
      </c>
      <c r="C293" s="21" t="s">
        <v>1283</v>
      </c>
      <c r="D293" s="21" t="s">
        <v>1523</v>
      </c>
      <c r="E293" s="22" t="s">
        <v>12</v>
      </c>
      <c r="F293" s="23" t="s">
        <v>2322</v>
      </c>
      <c r="G293" s="33" t="s">
        <v>14</v>
      </c>
      <c r="H293" s="25">
        <v>43680</v>
      </c>
      <c r="I293" s="26" t="s">
        <v>14</v>
      </c>
      <c r="J293" s="25">
        <v>38824.559999999998</v>
      </c>
      <c r="K293" s="18">
        <v>225.38</v>
      </c>
      <c r="L293" s="18">
        <v>2884</v>
      </c>
      <c r="M293" s="27" t="s">
        <v>3520</v>
      </c>
      <c r="N293" s="18"/>
      <c r="O293" s="31">
        <v>41933.94</v>
      </c>
      <c r="P293" s="19">
        <f t="shared" si="16"/>
        <v>41933.939999999995</v>
      </c>
      <c r="Q293" s="19">
        <f t="shared" si="17"/>
        <v>7.2759576141834259E-12</v>
      </c>
      <c r="R293" s="25">
        <v>19439.82</v>
      </c>
      <c r="S293" s="28">
        <v>61373.760000000002</v>
      </c>
      <c r="T293" s="49">
        <f t="shared" si="18"/>
        <v>61373.760000000002</v>
      </c>
      <c r="U293" s="49">
        <f t="shared" si="19"/>
        <v>0</v>
      </c>
    </row>
    <row r="294" spans="1:21" ht="17" thickBot="1" x14ac:dyDescent="0.25">
      <c r="A294" s="21" t="s">
        <v>2325</v>
      </c>
      <c r="B294" s="21" t="s">
        <v>17</v>
      </c>
      <c r="C294" s="21" t="s">
        <v>65</v>
      </c>
      <c r="D294" s="21" t="s">
        <v>594</v>
      </c>
      <c r="E294" s="22" t="s">
        <v>20</v>
      </c>
      <c r="F294" s="23" t="s">
        <v>492</v>
      </c>
      <c r="G294" s="34" t="s">
        <v>2331</v>
      </c>
      <c r="H294" s="25">
        <v>56971.199999999997</v>
      </c>
      <c r="I294" s="25">
        <v>3152.04</v>
      </c>
      <c r="J294" s="25">
        <v>33979.61</v>
      </c>
      <c r="K294" s="18">
        <v>5108.26</v>
      </c>
      <c r="L294" s="18">
        <v>2698.67</v>
      </c>
      <c r="M294" s="27" t="s">
        <v>3520</v>
      </c>
      <c r="N294" s="18"/>
      <c r="O294" s="31">
        <v>44938.58</v>
      </c>
      <c r="P294" s="19">
        <f t="shared" si="16"/>
        <v>44938.58</v>
      </c>
      <c r="Q294" s="19">
        <f t="shared" si="17"/>
        <v>0</v>
      </c>
      <c r="R294" s="25">
        <v>16273.05</v>
      </c>
      <c r="S294" s="28">
        <v>61211.63</v>
      </c>
      <c r="T294" s="49">
        <f t="shared" si="18"/>
        <v>61211.630000000005</v>
      </c>
      <c r="U294" s="49">
        <f t="shared" si="19"/>
        <v>-7.2759576141834259E-12</v>
      </c>
    </row>
    <row r="295" spans="1:21" ht="17" thickBot="1" x14ac:dyDescent="0.25">
      <c r="A295" s="21" t="s">
        <v>2332</v>
      </c>
      <c r="B295" s="21" t="s">
        <v>144</v>
      </c>
      <c r="C295" s="21" t="s">
        <v>65</v>
      </c>
      <c r="D295" s="21" t="s">
        <v>594</v>
      </c>
      <c r="E295" s="22" t="s">
        <v>20</v>
      </c>
      <c r="F295" s="23" t="s">
        <v>2061</v>
      </c>
      <c r="G295" s="33" t="s">
        <v>14</v>
      </c>
      <c r="H295" s="25">
        <v>55161.599999999999</v>
      </c>
      <c r="I295" s="26" t="s">
        <v>14</v>
      </c>
      <c r="J295" s="25">
        <v>38985.449999999997</v>
      </c>
      <c r="K295" s="18">
        <v>3665.78</v>
      </c>
      <c r="L295" s="18">
        <v>752.75</v>
      </c>
      <c r="M295" s="27" t="s">
        <v>3520</v>
      </c>
      <c r="N295" s="18"/>
      <c r="O295" s="31">
        <v>43403.98</v>
      </c>
      <c r="P295" s="19">
        <f t="shared" si="16"/>
        <v>43403.979999999996</v>
      </c>
      <c r="Q295" s="19">
        <f t="shared" si="17"/>
        <v>7.2759576141834259E-12</v>
      </c>
      <c r="R295" s="25">
        <v>17674.11</v>
      </c>
      <c r="S295" s="28">
        <v>61078.09</v>
      </c>
      <c r="T295" s="49">
        <f t="shared" si="18"/>
        <v>61078.090000000004</v>
      </c>
      <c r="U295" s="49">
        <f t="shared" si="19"/>
        <v>-7.2759576141834259E-12</v>
      </c>
    </row>
    <row r="296" spans="1:21" ht="17" thickBot="1" x14ac:dyDescent="0.25">
      <c r="A296" s="21" t="s">
        <v>2340</v>
      </c>
      <c r="B296" s="21" t="s">
        <v>2341</v>
      </c>
      <c r="C296" s="21" t="s">
        <v>129</v>
      </c>
      <c r="D296" s="21" t="s">
        <v>2343</v>
      </c>
      <c r="E296" s="22" t="s">
        <v>12</v>
      </c>
      <c r="F296" s="23" t="s">
        <v>2345</v>
      </c>
      <c r="G296" s="33" t="s">
        <v>14</v>
      </c>
      <c r="H296" s="25">
        <v>45385.599999999999</v>
      </c>
      <c r="I296" s="26" t="s">
        <v>14</v>
      </c>
      <c r="J296" s="25">
        <v>39999.56</v>
      </c>
      <c r="K296" s="18">
        <v>1688.6</v>
      </c>
      <c r="L296" s="18">
        <v>220</v>
      </c>
      <c r="M296" s="27" t="s">
        <v>3520</v>
      </c>
      <c r="N296" s="18"/>
      <c r="O296" s="31">
        <v>41908.160000000003</v>
      </c>
      <c r="P296" s="19">
        <f t="shared" si="16"/>
        <v>41908.159999999996</v>
      </c>
      <c r="Q296" s="19">
        <f t="shared" si="17"/>
        <v>7.2759576141834259E-12</v>
      </c>
      <c r="R296" s="25">
        <v>19095.41</v>
      </c>
      <c r="S296" s="28">
        <v>61003.57</v>
      </c>
      <c r="T296" s="49">
        <f t="shared" si="18"/>
        <v>61003.570000000007</v>
      </c>
      <c r="U296" s="49">
        <f t="shared" si="19"/>
        <v>-7.2759576141834259E-12</v>
      </c>
    </row>
    <row r="297" spans="1:21" ht="17" thickBot="1" x14ac:dyDescent="0.25">
      <c r="A297" s="21" t="s">
        <v>2348</v>
      </c>
      <c r="B297" s="21" t="s">
        <v>2349</v>
      </c>
      <c r="C297" s="21" t="s">
        <v>1252</v>
      </c>
      <c r="D297" s="21" t="s">
        <v>2351</v>
      </c>
      <c r="E297" s="22" t="s">
        <v>12</v>
      </c>
      <c r="F297" s="23" t="s">
        <v>2353</v>
      </c>
      <c r="G297" s="33" t="s">
        <v>14</v>
      </c>
      <c r="H297" s="25">
        <v>39956.800000000003</v>
      </c>
      <c r="I297" s="26" t="s">
        <v>14</v>
      </c>
      <c r="J297" s="25">
        <v>40248.03</v>
      </c>
      <c r="K297" s="18">
        <v>650.23</v>
      </c>
      <c r="L297" s="18">
        <v>610</v>
      </c>
      <c r="M297" s="27" t="s">
        <v>3520</v>
      </c>
      <c r="N297" s="18"/>
      <c r="O297" s="31">
        <v>41508.26</v>
      </c>
      <c r="P297" s="19">
        <f t="shared" si="16"/>
        <v>41508.26</v>
      </c>
      <c r="Q297" s="19">
        <f t="shared" si="17"/>
        <v>0</v>
      </c>
      <c r="R297" s="25">
        <v>19187.39</v>
      </c>
      <c r="S297" s="28">
        <v>60695.65</v>
      </c>
      <c r="T297" s="49">
        <f t="shared" si="18"/>
        <v>60695.65</v>
      </c>
      <c r="U297" s="49">
        <f t="shared" si="19"/>
        <v>0</v>
      </c>
    </row>
    <row r="298" spans="1:21" ht="17" thickBot="1" x14ac:dyDescent="0.25">
      <c r="A298" s="21" t="s">
        <v>2356</v>
      </c>
      <c r="B298" s="21" t="s">
        <v>696</v>
      </c>
      <c r="C298" s="21" t="s">
        <v>824</v>
      </c>
      <c r="D298" s="21" t="s">
        <v>2359</v>
      </c>
      <c r="E298" s="22" t="s">
        <v>12</v>
      </c>
      <c r="F298" s="23" t="s">
        <v>2361</v>
      </c>
      <c r="G298" s="33" t="s">
        <v>14</v>
      </c>
      <c r="H298" s="25">
        <v>39041.599999999999</v>
      </c>
      <c r="I298" s="26" t="s">
        <v>14</v>
      </c>
      <c r="J298" s="25">
        <v>39288.54</v>
      </c>
      <c r="K298" s="18">
        <v>926.31</v>
      </c>
      <c r="L298" s="18">
        <v>1321</v>
      </c>
      <c r="M298" s="27" t="s">
        <v>3520</v>
      </c>
      <c r="N298" s="18"/>
      <c r="O298" s="31">
        <v>41535.85</v>
      </c>
      <c r="P298" s="19">
        <f t="shared" si="16"/>
        <v>41535.85</v>
      </c>
      <c r="Q298" s="19">
        <f t="shared" si="17"/>
        <v>0</v>
      </c>
      <c r="R298" s="25">
        <v>19145.47</v>
      </c>
      <c r="S298" s="28">
        <v>60681.32</v>
      </c>
      <c r="T298" s="49">
        <f t="shared" si="18"/>
        <v>60681.32</v>
      </c>
      <c r="U298" s="49">
        <f t="shared" si="19"/>
        <v>0</v>
      </c>
    </row>
    <row r="299" spans="1:21" ht="17" thickBot="1" x14ac:dyDescent="0.25">
      <c r="A299" s="21" t="s">
        <v>246</v>
      </c>
      <c r="B299" s="21" t="s">
        <v>1227</v>
      </c>
      <c r="C299" s="21" t="s">
        <v>81</v>
      </c>
      <c r="D299" s="21" t="s">
        <v>378</v>
      </c>
      <c r="E299" s="22" t="s">
        <v>20</v>
      </c>
      <c r="F299" s="23" t="s">
        <v>2369</v>
      </c>
      <c r="G299" s="33" t="s">
        <v>14</v>
      </c>
      <c r="H299" s="25">
        <v>52543.17</v>
      </c>
      <c r="I299" s="26" t="s">
        <v>14</v>
      </c>
      <c r="J299" s="25">
        <v>24642.76</v>
      </c>
      <c r="K299" s="18">
        <v>17707.099999999999</v>
      </c>
      <c r="L299" s="18">
        <v>758.61</v>
      </c>
      <c r="M299" s="27" t="s">
        <v>3520</v>
      </c>
      <c r="N299" s="18"/>
      <c r="O299" s="27">
        <v>43108.47</v>
      </c>
      <c r="P299" s="19">
        <f t="shared" si="16"/>
        <v>43108.47</v>
      </c>
      <c r="Q299" s="19">
        <f t="shared" si="17"/>
        <v>0</v>
      </c>
      <c r="R299" s="25">
        <v>17567.900000000001</v>
      </c>
      <c r="S299" s="28">
        <v>60676.37</v>
      </c>
      <c r="T299" s="49">
        <f t="shared" si="18"/>
        <v>60676.37</v>
      </c>
      <c r="U299" s="49">
        <f t="shared" si="19"/>
        <v>0</v>
      </c>
    </row>
    <row r="300" spans="1:21" ht="17" thickBot="1" x14ac:dyDescent="0.25">
      <c r="A300" s="21" t="s">
        <v>2372</v>
      </c>
      <c r="B300" s="21" t="s">
        <v>2373</v>
      </c>
      <c r="C300" s="21" t="s">
        <v>18</v>
      </c>
      <c r="D300" s="21" t="s">
        <v>498</v>
      </c>
      <c r="E300" s="22" t="s">
        <v>20</v>
      </c>
      <c r="F300" s="23" t="s">
        <v>2377</v>
      </c>
      <c r="G300" s="33" t="s">
        <v>14</v>
      </c>
      <c r="H300" s="25">
        <v>54238.080000000002</v>
      </c>
      <c r="I300" s="26" t="s">
        <v>14</v>
      </c>
      <c r="J300" s="25">
        <v>44183.37</v>
      </c>
      <c r="K300" s="18">
        <v>3719.91</v>
      </c>
      <c r="L300" s="18">
        <v>377.67</v>
      </c>
      <c r="M300" s="27">
        <v>157.44</v>
      </c>
      <c r="N300" s="18"/>
      <c r="O300" s="27">
        <v>48438.39</v>
      </c>
      <c r="P300" s="19">
        <f t="shared" si="16"/>
        <v>48438.39</v>
      </c>
      <c r="Q300" s="19">
        <f t="shared" si="17"/>
        <v>0</v>
      </c>
      <c r="R300" s="25">
        <v>11821.09</v>
      </c>
      <c r="S300" s="28">
        <v>60259.48</v>
      </c>
      <c r="T300" s="49">
        <f t="shared" si="18"/>
        <v>60259.479999999996</v>
      </c>
      <c r="U300" s="49">
        <f t="shared" si="19"/>
        <v>7.2759576141834259E-12</v>
      </c>
    </row>
    <row r="301" spans="1:21" ht="17" thickBot="1" x14ac:dyDescent="0.25">
      <c r="A301" s="21" t="s">
        <v>2380</v>
      </c>
      <c r="B301" s="21" t="s">
        <v>2381</v>
      </c>
      <c r="C301" s="21" t="s">
        <v>1323</v>
      </c>
      <c r="D301" s="21" t="s">
        <v>1523</v>
      </c>
      <c r="E301" s="22" t="s">
        <v>12</v>
      </c>
      <c r="F301" s="23" t="s">
        <v>881</v>
      </c>
      <c r="G301" s="33" t="s">
        <v>14</v>
      </c>
      <c r="H301" s="25">
        <v>39561.599999999999</v>
      </c>
      <c r="I301" s="26" t="s">
        <v>14</v>
      </c>
      <c r="J301" s="25">
        <v>39612.32</v>
      </c>
      <c r="K301" s="18">
        <v>118.13</v>
      </c>
      <c r="L301" s="18">
        <v>1150</v>
      </c>
      <c r="M301" s="27" t="s">
        <v>3520</v>
      </c>
      <c r="N301" s="18"/>
      <c r="O301" s="27">
        <v>40880.449999999997</v>
      </c>
      <c r="P301" s="19">
        <f t="shared" si="16"/>
        <v>40880.449999999997</v>
      </c>
      <c r="Q301" s="19">
        <f t="shared" si="17"/>
        <v>0</v>
      </c>
      <c r="R301" s="25">
        <v>19035.05</v>
      </c>
      <c r="S301" s="28">
        <v>59915.5</v>
      </c>
      <c r="T301" s="49">
        <f t="shared" si="18"/>
        <v>59915.5</v>
      </c>
      <c r="U301" s="49">
        <f t="shared" si="19"/>
        <v>0</v>
      </c>
    </row>
    <row r="302" spans="1:21" ht="17" thickBot="1" x14ac:dyDescent="0.25">
      <c r="A302" s="21" t="s">
        <v>2388</v>
      </c>
      <c r="B302" s="21" t="s">
        <v>2389</v>
      </c>
      <c r="C302" s="21" t="s">
        <v>18</v>
      </c>
      <c r="D302" s="21" t="s">
        <v>2391</v>
      </c>
      <c r="E302" s="22" t="s">
        <v>12</v>
      </c>
      <c r="F302" s="23" t="s">
        <v>492</v>
      </c>
      <c r="G302" s="34" t="s">
        <v>805</v>
      </c>
      <c r="H302" s="25">
        <v>81448.899999999994</v>
      </c>
      <c r="I302" s="18" t="s">
        <v>3520</v>
      </c>
      <c r="J302" s="25">
        <v>43735.75</v>
      </c>
      <c r="K302" s="18" t="s">
        <v>3520</v>
      </c>
      <c r="L302" s="18">
        <v>850</v>
      </c>
      <c r="M302" s="27" t="s">
        <v>3520</v>
      </c>
      <c r="N302" s="18"/>
      <c r="O302" s="30">
        <v>44585.75</v>
      </c>
      <c r="P302" s="19">
        <f t="shared" si="16"/>
        <v>44585.75</v>
      </c>
      <c r="Q302" s="19">
        <f t="shared" si="17"/>
        <v>0</v>
      </c>
      <c r="R302" s="25">
        <v>15275.06</v>
      </c>
      <c r="S302" s="28">
        <v>59860.81</v>
      </c>
      <c r="T302" s="49">
        <f t="shared" si="18"/>
        <v>59860.81</v>
      </c>
      <c r="U302" s="49">
        <f t="shared" si="19"/>
        <v>0</v>
      </c>
    </row>
    <row r="303" spans="1:21" ht="17" thickBot="1" x14ac:dyDescent="0.25">
      <c r="A303" s="21" t="s">
        <v>2395</v>
      </c>
      <c r="B303" s="21" t="s">
        <v>2396</v>
      </c>
      <c r="C303" s="21" t="s">
        <v>1323</v>
      </c>
      <c r="D303" s="21" t="s">
        <v>1744</v>
      </c>
      <c r="E303" s="22" t="s">
        <v>12</v>
      </c>
      <c r="F303" s="23" t="s">
        <v>2400</v>
      </c>
      <c r="G303" s="33" t="s">
        <v>14</v>
      </c>
      <c r="H303" s="25">
        <v>50960</v>
      </c>
      <c r="I303" s="26" t="s">
        <v>14</v>
      </c>
      <c r="J303" s="25">
        <v>39718.699999999997</v>
      </c>
      <c r="K303" s="18">
        <v>2326.39</v>
      </c>
      <c r="L303" s="18">
        <v>400</v>
      </c>
      <c r="M303" s="27" t="s">
        <v>3520</v>
      </c>
      <c r="N303" s="18"/>
      <c r="O303" s="31">
        <v>42445.09</v>
      </c>
      <c r="P303" s="19">
        <f t="shared" si="16"/>
        <v>42445.09</v>
      </c>
      <c r="Q303" s="19">
        <f t="shared" si="17"/>
        <v>0</v>
      </c>
      <c r="R303" s="25">
        <v>17259.72</v>
      </c>
      <c r="S303" s="28">
        <v>59704.81</v>
      </c>
      <c r="T303" s="49">
        <f t="shared" si="18"/>
        <v>59704.81</v>
      </c>
      <c r="U303" s="49">
        <f t="shared" si="19"/>
        <v>0</v>
      </c>
    </row>
    <row r="304" spans="1:21" ht="17" thickBot="1" x14ac:dyDescent="0.25">
      <c r="A304" s="21" t="s">
        <v>2403</v>
      </c>
      <c r="B304" s="21" t="s">
        <v>2404</v>
      </c>
      <c r="C304" s="21" t="s">
        <v>65</v>
      </c>
      <c r="D304" s="21" t="s">
        <v>2195</v>
      </c>
      <c r="E304" s="22" t="s">
        <v>12</v>
      </c>
      <c r="F304" s="23" t="s">
        <v>2408</v>
      </c>
      <c r="G304" s="33" t="s">
        <v>14</v>
      </c>
      <c r="H304" s="25">
        <v>35651.199999999997</v>
      </c>
      <c r="I304" s="26" t="s">
        <v>14</v>
      </c>
      <c r="J304" s="25">
        <v>36339.01</v>
      </c>
      <c r="K304" s="18">
        <v>2998.86</v>
      </c>
      <c r="L304" s="18">
        <v>1201.0899999999999</v>
      </c>
      <c r="M304" s="27" t="s">
        <v>3520</v>
      </c>
      <c r="N304" s="18"/>
      <c r="O304" s="31">
        <v>40538.959999999999</v>
      </c>
      <c r="P304" s="19">
        <f t="shared" si="16"/>
        <v>40538.959999999999</v>
      </c>
      <c r="Q304" s="19">
        <f t="shared" si="17"/>
        <v>0</v>
      </c>
      <c r="R304" s="25">
        <v>18893.82</v>
      </c>
      <c r="S304" s="28">
        <v>59432.78</v>
      </c>
      <c r="T304" s="49">
        <f t="shared" si="18"/>
        <v>59432.78</v>
      </c>
      <c r="U304" s="49">
        <f t="shared" si="19"/>
        <v>0</v>
      </c>
    </row>
    <row r="305" spans="1:21" ht="17" thickBot="1" x14ac:dyDescent="0.25">
      <c r="A305" s="21" t="s">
        <v>647</v>
      </c>
      <c r="B305" s="21" t="s">
        <v>2412</v>
      </c>
      <c r="C305" s="21" t="s">
        <v>81</v>
      </c>
      <c r="D305" s="21" t="s">
        <v>1419</v>
      </c>
      <c r="E305" s="22" t="s">
        <v>20</v>
      </c>
      <c r="F305" s="23" t="s">
        <v>2377</v>
      </c>
      <c r="G305" s="33" t="s">
        <v>14</v>
      </c>
      <c r="H305" s="25">
        <v>38294.699999999997</v>
      </c>
      <c r="I305" s="26" t="s">
        <v>14</v>
      </c>
      <c r="J305" s="25">
        <v>22541.279999999999</v>
      </c>
      <c r="K305" s="18">
        <v>19180.97</v>
      </c>
      <c r="L305" s="18">
        <v>413.84</v>
      </c>
      <c r="M305" s="27" t="s">
        <v>3520</v>
      </c>
      <c r="N305" s="18"/>
      <c r="O305" s="31">
        <v>42136.09</v>
      </c>
      <c r="P305" s="19">
        <f t="shared" si="16"/>
        <v>42136.09</v>
      </c>
      <c r="Q305" s="19">
        <f t="shared" si="17"/>
        <v>0</v>
      </c>
      <c r="R305" s="25">
        <v>17284.43</v>
      </c>
      <c r="S305" s="28">
        <v>59420.52</v>
      </c>
      <c r="T305" s="49">
        <f t="shared" si="18"/>
        <v>59420.52</v>
      </c>
      <c r="U305" s="49">
        <f t="shared" si="19"/>
        <v>0</v>
      </c>
    </row>
    <row r="306" spans="1:21" ht="17" thickBot="1" x14ac:dyDescent="0.25">
      <c r="A306" s="21" t="s">
        <v>2419</v>
      </c>
      <c r="B306" s="21" t="s">
        <v>2420</v>
      </c>
      <c r="C306" s="21" t="s">
        <v>65</v>
      </c>
      <c r="D306" s="21" t="s">
        <v>2422</v>
      </c>
      <c r="E306" s="22" t="s">
        <v>12</v>
      </c>
      <c r="F306" s="23" t="s">
        <v>564</v>
      </c>
      <c r="G306" s="34" t="s">
        <v>2425</v>
      </c>
      <c r="H306" s="25">
        <v>40768</v>
      </c>
      <c r="I306" s="25">
        <v>516.85</v>
      </c>
      <c r="J306" s="25">
        <v>32671.71</v>
      </c>
      <c r="K306" s="18">
        <v>2279.87</v>
      </c>
      <c r="L306" s="18">
        <v>1895.96</v>
      </c>
      <c r="M306" s="27" t="s">
        <v>3520</v>
      </c>
      <c r="N306" s="18"/>
      <c r="O306" s="31">
        <v>37364.39</v>
      </c>
      <c r="P306" s="19">
        <f t="shared" si="16"/>
        <v>37364.39</v>
      </c>
      <c r="Q306" s="19">
        <f t="shared" si="17"/>
        <v>0</v>
      </c>
      <c r="R306" s="25">
        <v>22021.77</v>
      </c>
      <c r="S306" s="28">
        <v>59386.16</v>
      </c>
      <c r="T306" s="49">
        <f t="shared" si="18"/>
        <v>59386.16</v>
      </c>
      <c r="U306" s="49">
        <f t="shared" si="19"/>
        <v>0</v>
      </c>
    </row>
    <row r="307" spans="1:21" ht="17" thickBot="1" x14ac:dyDescent="0.25">
      <c r="A307" s="21" t="s">
        <v>2426</v>
      </c>
      <c r="B307" s="21" t="s">
        <v>80</v>
      </c>
      <c r="C307" s="21" t="s">
        <v>81</v>
      </c>
      <c r="D307" s="21" t="s">
        <v>154</v>
      </c>
      <c r="E307" s="22" t="s">
        <v>20</v>
      </c>
      <c r="F307" s="23" t="s">
        <v>428</v>
      </c>
      <c r="G307" s="34" t="s">
        <v>2432</v>
      </c>
      <c r="H307" s="25">
        <v>89074.31</v>
      </c>
      <c r="I307" s="25">
        <v>10048.200000000001</v>
      </c>
      <c r="J307" s="25">
        <v>19257.689999999999</v>
      </c>
      <c r="K307" s="18">
        <v>11756.42</v>
      </c>
      <c r="L307" s="18">
        <v>2865.12</v>
      </c>
      <c r="M307" s="27" t="s">
        <v>3520</v>
      </c>
      <c r="N307" s="18"/>
      <c r="O307" s="31">
        <v>43927.43</v>
      </c>
      <c r="P307" s="19">
        <f t="shared" si="16"/>
        <v>43927.43</v>
      </c>
      <c r="Q307" s="19">
        <f t="shared" si="17"/>
        <v>0</v>
      </c>
      <c r="R307" s="25">
        <v>15425.74</v>
      </c>
      <c r="S307" s="28">
        <v>59353.17</v>
      </c>
      <c r="T307" s="49">
        <f t="shared" si="18"/>
        <v>59353.17</v>
      </c>
      <c r="U307" s="49">
        <f t="shared" si="19"/>
        <v>0</v>
      </c>
    </row>
    <row r="308" spans="1:21" ht="17" thickBot="1" x14ac:dyDescent="0.25">
      <c r="A308" s="21" t="s">
        <v>2433</v>
      </c>
      <c r="B308" s="21" t="s">
        <v>949</v>
      </c>
      <c r="C308" s="21" t="s">
        <v>240</v>
      </c>
      <c r="D308" s="21" t="s">
        <v>2436</v>
      </c>
      <c r="E308" s="22" t="s">
        <v>12</v>
      </c>
      <c r="F308" s="23" t="s">
        <v>2438</v>
      </c>
      <c r="G308" s="33" t="s">
        <v>14</v>
      </c>
      <c r="H308" s="25">
        <v>47008</v>
      </c>
      <c r="I308" s="26" t="s">
        <v>14</v>
      </c>
      <c r="J308" s="25">
        <v>38922.17</v>
      </c>
      <c r="K308" s="18">
        <v>3208.3</v>
      </c>
      <c r="L308" s="18" t="s">
        <v>3520</v>
      </c>
      <c r="M308" s="27" t="s">
        <v>3520</v>
      </c>
      <c r="N308" s="18"/>
      <c r="O308" s="31">
        <v>42130.47</v>
      </c>
      <c r="P308" s="19">
        <f t="shared" si="16"/>
        <v>42130.47</v>
      </c>
      <c r="Q308" s="19">
        <f t="shared" si="17"/>
        <v>0</v>
      </c>
      <c r="R308" s="25">
        <v>17173.52</v>
      </c>
      <c r="S308" s="28">
        <v>59303.99</v>
      </c>
      <c r="T308" s="49">
        <f t="shared" si="18"/>
        <v>59303.990000000005</v>
      </c>
      <c r="U308" s="49">
        <f t="shared" si="19"/>
        <v>-7.2759576141834259E-12</v>
      </c>
    </row>
    <row r="309" spans="1:21" ht="17" thickBot="1" x14ac:dyDescent="0.25">
      <c r="A309" s="21" t="s">
        <v>2441</v>
      </c>
      <c r="B309" s="21" t="s">
        <v>2442</v>
      </c>
      <c r="C309" s="21" t="s">
        <v>1252</v>
      </c>
      <c r="D309" s="21" t="s">
        <v>2083</v>
      </c>
      <c r="E309" s="22" t="s">
        <v>12</v>
      </c>
      <c r="F309" s="23" t="s">
        <v>1668</v>
      </c>
      <c r="G309" s="33" t="s">
        <v>14</v>
      </c>
      <c r="H309" s="25">
        <v>40102.400000000001</v>
      </c>
      <c r="I309" s="26" t="s">
        <v>14</v>
      </c>
      <c r="J309" s="25">
        <v>38685.82</v>
      </c>
      <c r="K309" s="18">
        <v>1708.71</v>
      </c>
      <c r="L309" s="18">
        <v>240</v>
      </c>
      <c r="M309" s="27" t="s">
        <v>3520</v>
      </c>
      <c r="N309" s="18"/>
      <c r="O309" s="31">
        <v>40634.53</v>
      </c>
      <c r="P309" s="19">
        <f t="shared" si="16"/>
        <v>40634.53</v>
      </c>
      <c r="Q309" s="19">
        <f t="shared" si="17"/>
        <v>0</v>
      </c>
      <c r="R309" s="25">
        <v>18195.48</v>
      </c>
      <c r="S309" s="28">
        <v>58830.01</v>
      </c>
      <c r="T309" s="49">
        <f t="shared" si="18"/>
        <v>58830.009999999995</v>
      </c>
      <c r="U309" s="49">
        <f t="shared" si="19"/>
        <v>7.2759576141834259E-12</v>
      </c>
    </row>
    <row r="310" spans="1:21" ht="17" thickBot="1" x14ac:dyDescent="0.25">
      <c r="A310" s="21" t="s">
        <v>2449</v>
      </c>
      <c r="B310" s="21" t="s">
        <v>744</v>
      </c>
      <c r="C310" s="21" t="s">
        <v>65</v>
      </c>
      <c r="D310" s="21" t="s">
        <v>2195</v>
      </c>
      <c r="E310" s="22" t="s">
        <v>12</v>
      </c>
      <c r="F310" s="23" t="s">
        <v>756</v>
      </c>
      <c r="G310" s="33" t="s">
        <v>14</v>
      </c>
      <c r="H310" s="25">
        <v>36212.800000000003</v>
      </c>
      <c r="I310" s="26" t="s">
        <v>14</v>
      </c>
      <c r="J310" s="25">
        <v>36540.44</v>
      </c>
      <c r="K310" s="18">
        <v>1381.87</v>
      </c>
      <c r="L310" s="18">
        <v>2019.3</v>
      </c>
      <c r="M310" s="27" t="s">
        <v>3520</v>
      </c>
      <c r="N310" s="18"/>
      <c r="O310" s="31">
        <v>39941.61</v>
      </c>
      <c r="P310" s="19">
        <f t="shared" si="16"/>
        <v>39941.610000000008</v>
      </c>
      <c r="Q310" s="19">
        <f t="shared" si="17"/>
        <v>-7.2759576141834259E-12</v>
      </c>
      <c r="R310" s="25">
        <v>18786.54</v>
      </c>
      <c r="S310" s="28">
        <v>58728.15</v>
      </c>
      <c r="T310" s="49">
        <f t="shared" si="18"/>
        <v>58728.15</v>
      </c>
      <c r="U310" s="49">
        <f t="shared" si="19"/>
        <v>0</v>
      </c>
    </row>
    <row r="311" spans="1:21" ht="17" thickBot="1" x14ac:dyDescent="0.25">
      <c r="A311" s="21" t="s">
        <v>2457</v>
      </c>
      <c r="B311" s="21" t="s">
        <v>2458</v>
      </c>
      <c r="C311" s="21" t="s">
        <v>81</v>
      </c>
      <c r="D311" s="21" t="s">
        <v>378</v>
      </c>
      <c r="E311" s="22" t="s">
        <v>20</v>
      </c>
      <c r="F311" s="23" t="s">
        <v>1088</v>
      </c>
      <c r="G311" s="33" t="s">
        <v>14</v>
      </c>
      <c r="H311" s="25">
        <v>52543.17</v>
      </c>
      <c r="I311" s="26" t="s">
        <v>14</v>
      </c>
      <c r="J311" s="25">
        <v>20327.05</v>
      </c>
      <c r="K311" s="18">
        <v>16577.63</v>
      </c>
      <c r="L311" s="18">
        <v>388.4</v>
      </c>
      <c r="M311" s="27" t="s">
        <v>3520</v>
      </c>
      <c r="N311" s="18"/>
      <c r="O311" s="31">
        <v>37293.08</v>
      </c>
      <c r="P311" s="19">
        <f t="shared" si="16"/>
        <v>37293.08</v>
      </c>
      <c r="Q311" s="19">
        <f t="shared" si="17"/>
        <v>0</v>
      </c>
      <c r="R311" s="25">
        <v>21133.17</v>
      </c>
      <c r="S311" s="28">
        <v>58426.25</v>
      </c>
      <c r="T311" s="49">
        <f t="shared" si="18"/>
        <v>58426.25</v>
      </c>
      <c r="U311" s="49">
        <f t="shared" si="19"/>
        <v>0</v>
      </c>
    </row>
    <row r="312" spans="1:21" ht="17" thickBot="1" x14ac:dyDescent="0.25">
      <c r="A312" s="21" t="s">
        <v>2465</v>
      </c>
      <c r="B312" s="21" t="s">
        <v>2193</v>
      </c>
      <c r="C312" s="21" t="s">
        <v>1442</v>
      </c>
      <c r="D312" s="21" t="s">
        <v>2468</v>
      </c>
      <c r="E312" s="22" t="s">
        <v>12</v>
      </c>
      <c r="F312" s="23" t="s">
        <v>1730</v>
      </c>
      <c r="G312" s="33" t="s">
        <v>14</v>
      </c>
      <c r="H312" s="25">
        <v>35651.199999999997</v>
      </c>
      <c r="I312" s="26" t="s">
        <v>14</v>
      </c>
      <c r="J312" s="25">
        <v>35587.93</v>
      </c>
      <c r="K312" s="18">
        <v>239.55</v>
      </c>
      <c r="L312" s="18">
        <v>80</v>
      </c>
      <c r="M312" s="27" t="s">
        <v>3520</v>
      </c>
      <c r="N312" s="18"/>
      <c r="O312" s="31">
        <v>35907.480000000003</v>
      </c>
      <c r="P312" s="19">
        <f t="shared" si="16"/>
        <v>35907.480000000003</v>
      </c>
      <c r="Q312" s="19">
        <f t="shared" si="17"/>
        <v>0</v>
      </c>
      <c r="R312" s="25">
        <v>22335.96</v>
      </c>
      <c r="S312" s="28">
        <v>58243.44</v>
      </c>
      <c r="T312" s="49">
        <f t="shared" si="18"/>
        <v>58243.44</v>
      </c>
      <c r="U312" s="49">
        <f t="shared" si="19"/>
        <v>0</v>
      </c>
    </row>
    <row r="313" spans="1:21" ht="17" thickBot="1" x14ac:dyDescent="0.25">
      <c r="A313" s="21" t="s">
        <v>2473</v>
      </c>
      <c r="B313" s="21" t="s">
        <v>496</v>
      </c>
      <c r="C313" s="21" t="s">
        <v>81</v>
      </c>
      <c r="D313" s="21" t="s">
        <v>1419</v>
      </c>
      <c r="E313" s="22" t="s">
        <v>20</v>
      </c>
      <c r="F313" s="23" t="s">
        <v>2377</v>
      </c>
      <c r="G313" s="33" t="s">
        <v>14</v>
      </c>
      <c r="H313" s="25">
        <v>38294.699999999997</v>
      </c>
      <c r="I313" s="26" t="s">
        <v>14</v>
      </c>
      <c r="J313" s="25">
        <v>26464.75</v>
      </c>
      <c r="K313" s="18">
        <v>7543.33</v>
      </c>
      <c r="L313" s="18">
        <v>743.76</v>
      </c>
      <c r="M313" s="27" t="s">
        <v>3520</v>
      </c>
      <c r="N313" s="18"/>
      <c r="O313" s="31">
        <v>34751.839999999997</v>
      </c>
      <c r="P313" s="19">
        <f t="shared" si="16"/>
        <v>34751.840000000004</v>
      </c>
      <c r="Q313" s="19">
        <f t="shared" si="17"/>
        <v>-7.2759576141834259E-12</v>
      </c>
      <c r="R313" s="25">
        <v>23457.55</v>
      </c>
      <c r="S313" s="28">
        <v>58209.39</v>
      </c>
      <c r="T313" s="49">
        <f t="shared" si="18"/>
        <v>58209.39</v>
      </c>
      <c r="U313" s="49">
        <f t="shared" si="19"/>
        <v>0</v>
      </c>
    </row>
    <row r="314" spans="1:21" ht="17" thickBot="1" x14ac:dyDescent="0.25">
      <c r="A314" s="21" t="s">
        <v>1655</v>
      </c>
      <c r="B314" s="21" t="s">
        <v>2482</v>
      </c>
      <c r="C314" s="21" t="s">
        <v>256</v>
      </c>
      <c r="D314" s="21" t="s">
        <v>2005</v>
      </c>
      <c r="E314" s="22" t="s">
        <v>12</v>
      </c>
      <c r="F314" s="23" t="s">
        <v>2486</v>
      </c>
      <c r="G314" s="33" t="s">
        <v>14</v>
      </c>
      <c r="H314" s="25">
        <v>37502.400000000001</v>
      </c>
      <c r="I314" s="26" t="s">
        <v>14</v>
      </c>
      <c r="J314" s="25">
        <v>37420.15</v>
      </c>
      <c r="K314" s="18">
        <v>165.48</v>
      </c>
      <c r="L314" s="18">
        <v>1865.08</v>
      </c>
      <c r="M314" s="27" t="s">
        <v>3520</v>
      </c>
      <c r="N314" s="18"/>
      <c r="O314" s="31">
        <v>39450.71</v>
      </c>
      <c r="P314" s="19">
        <f t="shared" si="16"/>
        <v>39450.710000000006</v>
      </c>
      <c r="Q314" s="19">
        <f t="shared" si="17"/>
        <v>-7.2759576141834259E-12</v>
      </c>
      <c r="R314" s="25">
        <v>18669.599999999999</v>
      </c>
      <c r="S314" s="28">
        <v>58120.31</v>
      </c>
      <c r="T314" s="49">
        <f t="shared" si="18"/>
        <v>58120.31</v>
      </c>
      <c r="U314" s="49">
        <f t="shared" si="19"/>
        <v>0</v>
      </c>
    </row>
    <row r="315" spans="1:21" ht="17" thickBot="1" x14ac:dyDescent="0.25">
      <c r="A315" s="21" t="s">
        <v>2489</v>
      </c>
      <c r="B315" s="21" t="s">
        <v>2490</v>
      </c>
      <c r="C315" s="21" t="s">
        <v>240</v>
      </c>
      <c r="D315" s="21" t="s">
        <v>2242</v>
      </c>
      <c r="E315" s="22" t="s">
        <v>12</v>
      </c>
      <c r="F315" s="23" t="s">
        <v>2229</v>
      </c>
      <c r="G315" s="33" t="s">
        <v>14</v>
      </c>
      <c r="H315" s="25">
        <v>34257.599999999999</v>
      </c>
      <c r="I315" s="26" t="s">
        <v>14</v>
      </c>
      <c r="J315" s="25">
        <v>34890.080000000002</v>
      </c>
      <c r="K315" s="18">
        <v>2474.4899999999998</v>
      </c>
      <c r="L315" s="18">
        <v>1563.96</v>
      </c>
      <c r="M315" s="27" t="s">
        <v>3520</v>
      </c>
      <c r="N315" s="18"/>
      <c r="O315" s="31">
        <v>38928.53</v>
      </c>
      <c r="P315" s="19">
        <f t="shared" si="16"/>
        <v>38928.53</v>
      </c>
      <c r="Q315" s="19">
        <f t="shared" si="17"/>
        <v>0</v>
      </c>
      <c r="R315" s="25">
        <v>18681.16</v>
      </c>
      <c r="S315" s="28">
        <v>57609.69</v>
      </c>
      <c r="T315" s="49">
        <f t="shared" si="18"/>
        <v>57609.69</v>
      </c>
      <c r="U315" s="49">
        <f t="shared" si="19"/>
        <v>0</v>
      </c>
    </row>
    <row r="316" spans="1:21" ht="17" thickBot="1" x14ac:dyDescent="0.25">
      <c r="A316" s="21" t="s">
        <v>2497</v>
      </c>
      <c r="B316" s="21" t="s">
        <v>1219</v>
      </c>
      <c r="C316" s="21" t="s">
        <v>824</v>
      </c>
      <c r="D316" s="21" t="s">
        <v>2500</v>
      </c>
      <c r="E316" s="22" t="s">
        <v>12</v>
      </c>
      <c r="F316" s="23" t="s">
        <v>1128</v>
      </c>
      <c r="G316" s="33" t="s">
        <v>14</v>
      </c>
      <c r="H316" s="25">
        <v>36628.800000000003</v>
      </c>
      <c r="I316" s="26" t="s">
        <v>14</v>
      </c>
      <c r="J316" s="25">
        <v>36635.93</v>
      </c>
      <c r="K316" s="18">
        <v>288.79000000000002</v>
      </c>
      <c r="L316" s="18">
        <v>1922</v>
      </c>
      <c r="M316" s="27" t="s">
        <v>3520</v>
      </c>
      <c r="N316" s="18"/>
      <c r="O316" s="31">
        <v>38846.720000000001</v>
      </c>
      <c r="P316" s="19">
        <f t="shared" si="16"/>
        <v>38846.720000000001</v>
      </c>
      <c r="Q316" s="19">
        <f t="shared" si="17"/>
        <v>0</v>
      </c>
      <c r="R316" s="25">
        <v>18672.580000000002</v>
      </c>
      <c r="S316" s="28">
        <v>57519.3</v>
      </c>
      <c r="T316" s="49">
        <f t="shared" si="18"/>
        <v>57519.3</v>
      </c>
      <c r="U316" s="49">
        <f t="shared" si="19"/>
        <v>0</v>
      </c>
    </row>
    <row r="317" spans="1:21" ht="17" thickBot="1" x14ac:dyDescent="0.25">
      <c r="A317" s="21" t="s">
        <v>384</v>
      </c>
      <c r="B317" s="21" t="s">
        <v>2506</v>
      </c>
      <c r="C317" s="21" t="s">
        <v>2507</v>
      </c>
      <c r="D317" s="21" t="s">
        <v>1523</v>
      </c>
      <c r="E317" s="22" t="s">
        <v>12</v>
      </c>
      <c r="F317" s="23" t="s">
        <v>2510</v>
      </c>
      <c r="G317" s="33" t="s">
        <v>14</v>
      </c>
      <c r="H317" s="25">
        <v>36753.599999999999</v>
      </c>
      <c r="I317" s="26" t="s">
        <v>14</v>
      </c>
      <c r="J317" s="25">
        <v>36878.410000000003</v>
      </c>
      <c r="K317" s="18">
        <v>2065.89</v>
      </c>
      <c r="L317" s="18">
        <v>20</v>
      </c>
      <c r="M317" s="27" t="s">
        <v>3520</v>
      </c>
      <c r="N317" s="18"/>
      <c r="O317" s="31">
        <v>38964.300000000003</v>
      </c>
      <c r="P317" s="19">
        <f t="shared" si="16"/>
        <v>38964.300000000003</v>
      </c>
      <c r="Q317" s="19">
        <f t="shared" si="17"/>
        <v>0</v>
      </c>
      <c r="R317" s="25">
        <v>18546.96</v>
      </c>
      <c r="S317" s="28">
        <v>57511.26</v>
      </c>
      <c r="T317" s="49">
        <f t="shared" si="18"/>
        <v>57511.26</v>
      </c>
      <c r="U317" s="49">
        <f t="shared" si="19"/>
        <v>0</v>
      </c>
    </row>
    <row r="318" spans="1:21" ht="17" thickBot="1" x14ac:dyDescent="0.25">
      <c r="A318" s="21" t="s">
        <v>2513</v>
      </c>
      <c r="B318" s="21" t="s">
        <v>2514</v>
      </c>
      <c r="C318" s="21" t="s">
        <v>65</v>
      </c>
      <c r="D318" s="21" t="s">
        <v>2516</v>
      </c>
      <c r="E318" s="22" t="s">
        <v>12</v>
      </c>
      <c r="F318" s="23" t="s">
        <v>2518</v>
      </c>
      <c r="G318" s="33" t="s">
        <v>14</v>
      </c>
      <c r="H318" s="25">
        <v>37065.599999999999</v>
      </c>
      <c r="I318" s="26" t="s">
        <v>14</v>
      </c>
      <c r="J318" s="25">
        <v>37087.050000000003</v>
      </c>
      <c r="K318" s="18">
        <v>791.83</v>
      </c>
      <c r="L318" s="18">
        <v>930</v>
      </c>
      <c r="M318" s="27" t="s">
        <v>3520</v>
      </c>
      <c r="N318" s="18"/>
      <c r="O318" s="31">
        <v>38808.879999999997</v>
      </c>
      <c r="P318" s="19">
        <f t="shared" si="16"/>
        <v>38808.880000000005</v>
      </c>
      <c r="Q318" s="19">
        <f t="shared" si="17"/>
        <v>-7.2759576141834259E-12</v>
      </c>
      <c r="R318" s="25">
        <v>18662.32</v>
      </c>
      <c r="S318" s="28">
        <v>57471.199999999997</v>
      </c>
      <c r="T318" s="49">
        <f t="shared" si="18"/>
        <v>57471.199999999997</v>
      </c>
      <c r="U318" s="49">
        <f t="shared" si="19"/>
        <v>0</v>
      </c>
    </row>
    <row r="319" spans="1:21" ht="17" thickBot="1" x14ac:dyDescent="0.25">
      <c r="A319" s="21" t="s">
        <v>303</v>
      </c>
      <c r="B319" s="21" t="s">
        <v>2522</v>
      </c>
      <c r="C319" s="21" t="s">
        <v>2507</v>
      </c>
      <c r="D319" s="21" t="s">
        <v>2524</v>
      </c>
      <c r="E319" s="22" t="s">
        <v>12</v>
      </c>
      <c r="F319" s="23" t="s">
        <v>2526</v>
      </c>
      <c r="G319" s="33" t="s">
        <v>14</v>
      </c>
      <c r="H319" s="25">
        <v>33425.599999999999</v>
      </c>
      <c r="I319" s="26" t="s">
        <v>14</v>
      </c>
      <c r="J319" s="25">
        <v>33945.440000000002</v>
      </c>
      <c r="K319" s="18">
        <v>3928.53</v>
      </c>
      <c r="L319" s="18">
        <v>1140.8399999999999</v>
      </c>
      <c r="M319" s="27" t="s">
        <v>3520</v>
      </c>
      <c r="N319" s="18"/>
      <c r="O319" s="31">
        <v>39014.81</v>
      </c>
      <c r="P319" s="19">
        <f t="shared" si="16"/>
        <v>39014.81</v>
      </c>
      <c r="Q319" s="19">
        <f t="shared" si="17"/>
        <v>0</v>
      </c>
      <c r="R319" s="25">
        <v>18399.36</v>
      </c>
      <c r="S319" s="28">
        <v>57414.17</v>
      </c>
      <c r="T319" s="49">
        <f t="shared" si="18"/>
        <v>57414.17</v>
      </c>
      <c r="U319" s="49">
        <f t="shared" si="19"/>
        <v>0</v>
      </c>
    </row>
    <row r="320" spans="1:21" ht="17" thickBot="1" x14ac:dyDescent="0.25">
      <c r="A320" s="21" t="s">
        <v>2529</v>
      </c>
      <c r="B320" s="21" t="s">
        <v>2530</v>
      </c>
      <c r="C320" s="21" t="s">
        <v>137</v>
      </c>
      <c r="D320" s="21" t="s">
        <v>2532</v>
      </c>
      <c r="E320" s="22" t="s">
        <v>12</v>
      </c>
      <c r="F320" s="23" t="s">
        <v>2534</v>
      </c>
      <c r="G320" s="34" t="s">
        <v>2535</v>
      </c>
      <c r="H320" s="25">
        <v>107309.02</v>
      </c>
      <c r="I320" s="25">
        <v>205.33</v>
      </c>
      <c r="J320" s="18">
        <v>41269.99</v>
      </c>
      <c r="K320" s="18" t="s">
        <v>3520</v>
      </c>
      <c r="L320" s="18">
        <v>2326.39</v>
      </c>
      <c r="M320" s="27" t="s">
        <v>3520</v>
      </c>
      <c r="N320" s="18"/>
      <c r="O320" s="31">
        <v>43801.71</v>
      </c>
      <c r="P320" s="19">
        <f t="shared" si="16"/>
        <v>43801.71</v>
      </c>
      <c r="Q320" s="19">
        <f t="shared" si="17"/>
        <v>0</v>
      </c>
      <c r="R320" s="25">
        <v>13584.41</v>
      </c>
      <c r="S320" s="28">
        <v>57386.12</v>
      </c>
      <c r="T320" s="49">
        <f t="shared" si="18"/>
        <v>57386.119999999995</v>
      </c>
      <c r="U320" s="49">
        <f t="shared" si="19"/>
        <v>7.2759576141834259E-12</v>
      </c>
    </row>
    <row r="321" spans="1:21" ht="17" thickBot="1" x14ac:dyDescent="0.25">
      <c r="A321" s="21" t="s">
        <v>2536</v>
      </c>
      <c r="B321" s="21" t="s">
        <v>2537</v>
      </c>
      <c r="C321" s="21" t="s">
        <v>65</v>
      </c>
      <c r="D321" s="21" t="s">
        <v>2539</v>
      </c>
      <c r="E321" s="22" t="s">
        <v>12</v>
      </c>
      <c r="F321" s="23" t="s">
        <v>2541</v>
      </c>
      <c r="G321" s="33" t="s">
        <v>14</v>
      </c>
      <c r="H321" s="25">
        <v>34216</v>
      </c>
      <c r="I321" s="26" t="s">
        <v>14</v>
      </c>
      <c r="J321" s="25">
        <v>34665.9</v>
      </c>
      <c r="K321" s="18">
        <v>1933.09</v>
      </c>
      <c r="L321" s="18">
        <v>1855.93</v>
      </c>
      <c r="M321" s="27" t="s">
        <v>3520</v>
      </c>
      <c r="N321" s="18"/>
      <c r="O321" s="31">
        <v>38454.92</v>
      </c>
      <c r="P321" s="19">
        <f t="shared" si="16"/>
        <v>38454.92</v>
      </c>
      <c r="Q321" s="19">
        <f t="shared" si="17"/>
        <v>0</v>
      </c>
      <c r="R321" s="25">
        <v>18432.97</v>
      </c>
      <c r="S321" s="28">
        <v>56887.89</v>
      </c>
      <c r="T321" s="49">
        <f t="shared" si="18"/>
        <v>56887.89</v>
      </c>
      <c r="U321" s="49">
        <f t="shared" si="19"/>
        <v>0</v>
      </c>
    </row>
    <row r="322" spans="1:21" ht="17" thickBot="1" x14ac:dyDescent="0.25">
      <c r="A322" s="21" t="s">
        <v>2544</v>
      </c>
      <c r="B322" s="21" t="s">
        <v>2545</v>
      </c>
      <c r="C322" s="21" t="s">
        <v>1474</v>
      </c>
      <c r="D322" s="21" t="s">
        <v>2547</v>
      </c>
      <c r="E322" s="22" t="s">
        <v>12</v>
      </c>
      <c r="F322" s="23" t="s">
        <v>1080</v>
      </c>
      <c r="G322" s="33" t="s">
        <v>14</v>
      </c>
      <c r="H322" s="25">
        <v>44054.400000000001</v>
      </c>
      <c r="I322" s="26" t="s">
        <v>14</v>
      </c>
      <c r="J322" s="25">
        <v>44035.3</v>
      </c>
      <c r="K322" s="18">
        <v>1044.3699999999999</v>
      </c>
      <c r="L322" s="18">
        <v>430</v>
      </c>
      <c r="M322" s="27" t="s">
        <v>3520</v>
      </c>
      <c r="N322" s="18"/>
      <c r="O322" s="31">
        <v>45509.67</v>
      </c>
      <c r="P322" s="19">
        <f t="shared" si="16"/>
        <v>45509.670000000006</v>
      </c>
      <c r="Q322" s="19">
        <f t="shared" si="17"/>
        <v>-7.2759576141834259E-12</v>
      </c>
      <c r="R322" s="25">
        <v>11224.5</v>
      </c>
      <c r="S322" s="28">
        <v>56734.17</v>
      </c>
      <c r="T322" s="49">
        <f t="shared" si="18"/>
        <v>56734.17</v>
      </c>
      <c r="U322" s="49">
        <f t="shared" si="19"/>
        <v>0</v>
      </c>
    </row>
    <row r="323" spans="1:21" ht="17" thickBot="1" x14ac:dyDescent="0.25">
      <c r="A323" s="21" t="s">
        <v>2552</v>
      </c>
      <c r="B323" s="21" t="s">
        <v>2553</v>
      </c>
      <c r="C323" s="21" t="s">
        <v>137</v>
      </c>
      <c r="D323" s="21" t="s">
        <v>2555</v>
      </c>
      <c r="E323" s="22" t="s">
        <v>12</v>
      </c>
      <c r="F323" s="23" t="s">
        <v>1453</v>
      </c>
      <c r="G323" s="33" t="s">
        <v>14</v>
      </c>
      <c r="H323" s="25">
        <v>45760</v>
      </c>
      <c r="I323" s="26" t="s">
        <v>14</v>
      </c>
      <c r="J323" s="25">
        <v>44358.21</v>
      </c>
      <c r="K323" s="18">
        <v>587.19000000000005</v>
      </c>
      <c r="L323" s="18">
        <v>80</v>
      </c>
      <c r="M323" s="27" t="s">
        <v>3520</v>
      </c>
      <c r="N323" s="18"/>
      <c r="O323" s="31">
        <v>45025.4</v>
      </c>
      <c r="P323" s="19">
        <f t="shared" ref="P323:P386" si="20">SUM(I323:N323)</f>
        <v>45025.4</v>
      </c>
      <c r="Q323" s="19">
        <f t="shared" ref="Q323:Q386" si="21">SUM(O323-P323)</f>
        <v>0</v>
      </c>
      <c r="R323" s="25">
        <v>11366.51</v>
      </c>
      <c r="S323" s="28">
        <v>56391.91</v>
      </c>
      <c r="T323" s="49">
        <f t="shared" ref="T323:T386" si="22">SUM(O323+R323)</f>
        <v>56391.91</v>
      </c>
      <c r="U323" s="49">
        <f t="shared" ref="U323:U386" si="23">SUM(S323-T323)</f>
        <v>0</v>
      </c>
    </row>
    <row r="324" spans="1:21" ht="17" thickBot="1" x14ac:dyDescent="0.25">
      <c r="A324" s="21" t="s">
        <v>2560</v>
      </c>
      <c r="B324" s="21" t="s">
        <v>1481</v>
      </c>
      <c r="C324" s="21" t="s">
        <v>65</v>
      </c>
      <c r="D324" s="21" t="s">
        <v>1150</v>
      </c>
      <c r="E324" s="22" t="s">
        <v>20</v>
      </c>
      <c r="F324" s="23" t="s">
        <v>2565</v>
      </c>
      <c r="G324" s="34" t="s">
        <v>2566</v>
      </c>
      <c r="H324" s="25">
        <v>64500.800000000003</v>
      </c>
      <c r="I324" s="25">
        <v>855.26</v>
      </c>
      <c r="J324" s="25">
        <v>38785.71</v>
      </c>
      <c r="K324" s="18">
        <v>2177.9699999999998</v>
      </c>
      <c r="L324" s="18">
        <v>2806.62</v>
      </c>
      <c r="M324" s="27" t="s">
        <v>3520</v>
      </c>
      <c r="N324" s="18"/>
      <c r="O324" s="31">
        <v>44625.56</v>
      </c>
      <c r="P324" s="19">
        <f t="shared" si="20"/>
        <v>44625.560000000005</v>
      </c>
      <c r="Q324" s="19">
        <f t="shared" si="21"/>
        <v>-7.2759576141834259E-12</v>
      </c>
      <c r="R324" s="25">
        <v>11259.27</v>
      </c>
      <c r="S324" s="28">
        <v>55884.83</v>
      </c>
      <c r="T324" s="49">
        <f t="shared" si="22"/>
        <v>55884.83</v>
      </c>
      <c r="U324" s="49">
        <f t="shared" si="23"/>
        <v>0</v>
      </c>
    </row>
    <row r="325" spans="1:21" ht="17" thickBot="1" x14ac:dyDescent="0.25">
      <c r="A325" s="21" t="s">
        <v>2567</v>
      </c>
      <c r="B325" s="21" t="s">
        <v>456</v>
      </c>
      <c r="C325" s="21" t="s">
        <v>1315</v>
      </c>
      <c r="D325" s="21" t="s">
        <v>2250</v>
      </c>
      <c r="E325" s="22" t="s">
        <v>12</v>
      </c>
      <c r="F325" s="23" t="s">
        <v>2284</v>
      </c>
      <c r="G325" s="33" t="s">
        <v>14</v>
      </c>
      <c r="H325" s="25">
        <v>34091.199999999997</v>
      </c>
      <c r="I325" s="26" t="s">
        <v>14</v>
      </c>
      <c r="J325" s="25">
        <v>34364.769999999997</v>
      </c>
      <c r="K325" s="18">
        <v>1866.9</v>
      </c>
      <c r="L325" s="18">
        <v>1322.4</v>
      </c>
      <c r="M325" s="27" t="s">
        <v>3520</v>
      </c>
      <c r="N325" s="18"/>
      <c r="O325" s="31">
        <v>37554.07</v>
      </c>
      <c r="P325" s="19">
        <f t="shared" si="20"/>
        <v>37554.07</v>
      </c>
      <c r="Q325" s="19">
        <f t="shared" si="21"/>
        <v>0</v>
      </c>
      <c r="R325" s="25">
        <v>18204.32</v>
      </c>
      <c r="S325" s="28">
        <v>55758.39</v>
      </c>
      <c r="T325" s="49">
        <f t="shared" si="22"/>
        <v>55758.39</v>
      </c>
      <c r="U325" s="49">
        <f t="shared" si="23"/>
        <v>0</v>
      </c>
    </row>
    <row r="326" spans="1:21" ht="17" thickBot="1" x14ac:dyDescent="0.25">
      <c r="A326" s="21" t="s">
        <v>2575</v>
      </c>
      <c r="B326" s="21" t="s">
        <v>2576</v>
      </c>
      <c r="C326" s="21" t="s">
        <v>1442</v>
      </c>
      <c r="D326" s="21" t="s">
        <v>2578</v>
      </c>
      <c r="E326" s="22" t="s">
        <v>12</v>
      </c>
      <c r="F326" s="23" t="s">
        <v>2580</v>
      </c>
      <c r="G326" s="33" t="s">
        <v>14</v>
      </c>
      <c r="H326" s="25">
        <v>36212.800000000003</v>
      </c>
      <c r="I326" s="26" t="s">
        <v>14</v>
      </c>
      <c r="J326" s="25">
        <v>36140.39</v>
      </c>
      <c r="K326" s="18">
        <v>502.22</v>
      </c>
      <c r="L326" s="18">
        <v>842</v>
      </c>
      <c r="M326" s="27" t="s">
        <v>3520</v>
      </c>
      <c r="N326" s="18"/>
      <c r="O326" s="31">
        <v>37484.61</v>
      </c>
      <c r="P326" s="19">
        <f t="shared" si="20"/>
        <v>37484.61</v>
      </c>
      <c r="Q326" s="19">
        <f t="shared" si="21"/>
        <v>0</v>
      </c>
      <c r="R326" s="25">
        <v>18161.59</v>
      </c>
      <c r="S326" s="28">
        <v>55646.2</v>
      </c>
      <c r="T326" s="49">
        <f t="shared" si="22"/>
        <v>55646.2</v>
      </c>
      <c r="U326" s="49">
        <f t="shared" si="23"/>
        <v>0</v>
      </c>
    </row>
    <row r="327" spans="1:21" ht="17" thickBot="1" x14ac:dyDescent="0.25">
      <c r="A327" s="21" t="s">
        <v>2583</v>
      </c>
      <c r="B327" s="21" t="s">
        <v>2584</v>
      </c>
      <c r="C327" s="21" t="s">
        <v>2585</v>
      </c>
      <c r="D327" s="21" t="s">
        <v>2586</v>
      </c>
      <c r="E327" s="22" t="s">
        <v>12</v>
      </c>
      <c r="F327" s="23" t="s">
        <v>2588</v>
      </c>
      <c r="G327" s="33" t="s">
        <v>14</v>
      </c>
      <c r="H327" s="25">
        <v>42182.400000000001</v>
      </c>
      <c r="I327" s="26" t="s">
        <v>14</v>
      </c>
      <c r="J327" s="25">
        <v>42095.040000000001</v>
      </c>
      <c r="K327" s="18">
        <v>204.2</v>
      </c>
      <c r="L327" s="18">
        <v>2006</v>
      </c>
      <c r="M327" s="27" t="s">
        <v>3520</v>
      </c>
      <c r="N327" s="18"/>
      <c r="O327" s="31">
        <v>44305.24</v>
      </c>
      <c r="P327" s="19">
        <f t="shared" si="20"/>
        <v>44305.24</v>
      </c>
      <c r="Q327" s="19">
        <f t="shared" si="21"/>
        <v>0</v>
      </c>
      <c r="R327" s="25">
        <v>11005.24</v>
      </c>
      <c r="S327" s="28">
        <v>55310.48</v>
      </c>
      <c r="T327" s="49">
        <f t="shared" si="22"/>
        <v>55310.479999999996</v>
      </c>
      <c r="U327" s="49">
        <f t="shared" si="23"/>
        <v>7.2759576141834259E-12</v>
      </c>
    </row>
    <row r="328" spans="1:21" ht="17" thickBot="1" x14ac:dyDescent="0.25">
      <c r="A328" s="21" t="s">
        <v>2591</v>
      </c>
      <c r="B328" s="21" t="s">
        <v>2592</v>
      </c>
      <c r="C328" s="21" t="s">
        <v>18</v>
      </c>
      <c r="D328" s="21" t="s">
        <v>498</v>
      </c>
      <c r="E328" s="22" t="s">
        <v>20</v>
      </c>
      <c r="F328" s="23" t="s">
        <v>2377</v>
      </c>
      <c r="G328" s="33" t="s">
        <v>14</v>
      </c>
      <c r="H328" s="25">
        <v>52556.92</v>
      </c>
      <c r="I328" s="26" t="s">
        <v>14</v>
      </c>
      <c r="J328" s="25">
        <v>41356.53</v>
      </c>
      <c r="K328" s="18">
        <v>2026.39</v>
      </c>
      <c r="L328" s="18">
        <v>949.4</v>
      </c>
      <c r="M328" s="27" t="s">
        <v>3520</v>
      </c>
      <c r="N328" s="18"/>
      <c r="O328" s="31">
        <v>44332.32</v>
      </c>
      <c r="P328" s="19">
        <f t="shared" si="20"/>
        <v>44332.32</v>
      </c>
      <c r="Q328" s="19">
        <f t="shared" si="21"/>
        <v>0</v>
      </c>
      <c r="R328" s="25">
        <v>10830.61</v>
      </c>
      <c r="S328" s="28">
        <v>55162.93</v>
      </c>
      <c r="T328" s="49">
        <f t="shared" si="22"/>
        <v>55162.93</v>
      </c>
      <c r="U328" s="49">
        <f t="shared" si="23"/>
        <v>0</v>
      </c>
    </row>
    <row r="329" spans="1:21" ht="17" thickBot="1" x14ac:dyDescent="0.25">
      <c r="A329" s="21" t="s">
        <v>2599</v>
      </c>
      <c r="B329" s="21" t="s">
        <v>680</v>
      </c>
      <c r="C329" s="21" t="s">
        <v>81</v>
      </c>
      <c r="D329" s="21" t="s">
        <v>1419</v>
      </c>
      <c r="E329" s="22" t="s">
        <v>20</v>
      </c>
      <c r="F329" s="23" t="s">
        <v>2377</v>
      </c>
      <c r="G329" s="33" t="s">
        <v>14</v>
      </c>
      <c r="H329" s="25">
        <v>38294.699999999997</v>
      </c>
      <c r="I329" s="26" t="s">
        <v>14</v>
      </c>
      <c r="J329" s="25">
        <v>22071.25</v>
      </c>
      <c r="K329" s="18">
        <v>15914.23</v>
      </c>
      <c r="L329" s="18">
        <v>541.78</v>
      </c>
      <c r="M329" s="27" t="s">
        <v>3520</v>
      </c>
      <c r="N329" s="18"/>
      <c r="O329" s="31">
        <v>38527.26</v>
      </c>
      <c r="P329" s="19">
        <f t="shared" si="20"/>
        <v>38527.259999999995</v>
      </c>
      <c r="Q329" s="19">
        <f t="shared" si="21"/>
        <v>7.2759576141834259E-12</v>
      </c>
      <c r="R329" s="25">
        <v>16456.599999999999</v>
      </c>
      <c r="S329" s="28">
        <v>54983.86</v>
      </c>
      <c r="T329" s="49">
        <f t="shared" si="22"/>
        <v>54983.86</v>
      </c>
      <c r="U329" s="49">
        <f t="shared" si="23"/>
        <v>0</v>
      </c>
    </row>
    <row r="330" spans="1:21" ht="17" thickBot="1" x14ac:dyDescent="0.25">
      <c r="A330" s="21" t="s">
        <v>2607</v>
      </c>
      <c r="B330" s="21" t="s">
        <v>2608</v>
      </c>
      <c r="C330" s="21" t="s">
        <v>81</v>
      </c>
      <c r="D330" s="21" t="s">
        <v>378</v>
      </c>
      <c r="E330" s="22" t="s">
        <v>20</v>
      </c>
      <c r="F330" s="23" t="s">
        <v>2369</v>
      </c>
      <c r="G330" s="33" t="s">
        <v>14</v>
      </c>
      <c r="H330" s="25">
        <v>54497.78</v>
      </c>
      <c r="I330" s="26" t="s">
        <v>14</v>
      </c>
      <c r="J330" s="25">
        <v>30135.75</v>
      </c>
      <c r="K330" s="18">
        <v>7288</v>
      </c>
      <c r="L330" s="18">
        <v>858.08</v>
      </c>
      <c r="M330" s="27" t="s">
        <v>3520</v>
      </c>
      <c r="N330" s="18"/>
      <c r="O330" s="31">
        <v>38281.83</v>
      </c>
      <c r="P330" s="19">
        <f t="shared" si="20"/>
        <v>38281.83</v>
      </c>
      <c r="Q330" s="19">
        <f t="shared" si="21"/>
        <v>0</v>
      </c>
      <c r="R330" s="25">
        <v>16230.5</v>
      </c>
      <c r="S330" s="28">
        <v>54512.33</v>
      </c>
      <c r="T330" s="49">
        <f t="shared" si="22"/>
        <v>54512.33</v>
      </c>
      <c r="U330" s="49">
        <f t="shared" si="23"/>
        <v>0</v>
      </c>
    </row>
    <row r="331" spans="1:21" ht="17" thickBot="1" x14ac:dyDescent="0.25">
      <c r="A331" s="21" t="s">
        <v>727</v>
      </c>
      <c r="B331" s="21" t="s">
        <v>727</v>
      </c>
      <c r="C331" s="21" t="s">
        <v>65</v>
      </c>
      <c r="D331" s="21" t="s">
        <v>594</v>
      </c>
      <c r="E331" s="22" t="s">
        <v>20</v>
      </c>
      <c r="F331" s="23" t="s">
        <v>2369</v>
      </c>
      <c r="G331" s="33" t="s">
        <v>14</v>
      </c>
      <c r="H331" s="25">
        <v>55161.599999999999</v>
      </c>
      <c r="I331" s="26" t="s">
        <v>14</v>
      </c>
      <c r="J331" s="25">
        <v>32002.78</v>
      </c>
      <c r="K331" s="18">
        <v>4799.51</v>
      </c>
      <c r="L331" s="18">
        <v>1230.3800000000001</v>
      </c>
      <c r="M331" s="27" t="s">
        <v>3520</v>
      </c>
      <c r="N331" s="18"/>
      <c r="O331" s="31">
        <v>38032.67</v>
      </c>
      <c r="P331" s="19">
        <f t="shared" si="20"/>
        <v>38032.67</v>
      </c>
      <c r="Q331" s="19">
        <f t="shared" si="21"/>
        <v>0</v>
      </c>
      <c r="R331" s="25">
        <v>16201.51</v>
      </c>
      <c r="S331" s="28">
        <v>54234.18</v>
      </c>
      <c r="T331" s="49">
        <f t="shared" si="22"/>
        <v>54234.18</v>
      </c>
      <c r="U331" s="49">
        <f t="shared" si="23"/>
        <v>0</v>
      </c>
    </row>
    <row r="332" spans="1:21" ht="17" thickBot="1" x14ac:dyDescent="0.25">
      <c r="A332" s="21" t="s">
        <v>2623</v>
      </c>
      <c r="B332" s="21" t="s">
        <v>2624</v>
      </c>
      <c r="C332" s="21" t="s">
        <v>824</v>
      </c>
      <c r="D332" s="21" t="s">
        <v>2500</v>
      </c>
      <c r="E332" s="22" t="s">
        <v>12</v>
      </c>
      <c r="F332" s="23" t="s">
        <v>2628</v>
      </c>
      <c r="G332" s="33" t="s">
        <v>14</v>
      </c>
      <c r="H332" s="25">
        <v>35651.199999999997</v>
      </c>
      <c r="I332" s="26" t="s">
        <v>14</v>
      </c>
      <c r="J332" s="25">
        <v>36026.839999999997</v>
      </c>
      <c r="K332" s="18">
        <v>962.75</v>
      </c>
      <c r="L332" s="18">
        <v>210</v>
      </c>
      <c r="M332" s="27" t="s">
        <v>3520</v>
      </c>
      <c r="N332" s="18"/>
      <c r="O332" s="31">
        <v>37199.589999999997</v>
      </c>
      <c r="P332" s="19">
        <f t="shared" si="20"/>
        <v>37199.589999999997</v>
      </c>
      <c r="Q332" s="19">
        <f t="shared" si="21"/>
        <v>0</v>
      </c>
      <c r="R332" s="25">
        <v>16976.330000000002</v>
      </c>
      <c r="S332" s="28">
        <v>54175.92</v>
      </c>
      <c r="T332" s="49">
        <f t="shared" si="22"/>
        <v>54175.92</v>
      </c>
      <c r="U332" s="49">
        <f t="shared" si="23"/>
        <v>0</v>
      </c>
    </row>
    <row r="333" spans="1:21" ht="17" thickBot="1" x14ac:dyDescent="0.25">
      <c r="A333" s="21" t="s">
        <v>2631</v>
      </c>
      <c r="B333" s="21" t="s">
        <v>2632</v>
      </c>
      <c r="C333" s="21" t="s">
        <v>617</v>
      </c>
      <c r="D333" s="21" t="s">
        <v>2634</v>
      </c>
      <c r="E333" s="22" t="s">
        <v>12</v>
      </c>
      <c r="F333" s="23" t="s">
        <v>2117</v>
      </c>
      <c r="G333" s="33" t="s">
        <v>14</v>
      </c>
      <c r="H333" s="25">
        <v>57200</v>
      </c>
      <c r="I333" s="26" t="s">
        <v>14</v>
      </c>
      <c r="J333" s="25">
        <v>35309.74</v>
      </c>
      <c r="K333" s="18">
        <v>2109.86</v>
      </c>
      <c r="L333" s="18">
        <v>365</v>
      </c>
      <c r="M333" s="27" t="s">
        <v>3520</v>
      </c>
      <c r="N333" s="18"/>
      <c r="O333" s="31">
        <v>37784.6</v>
      </c>
      <c r="P333" s="19">
        <f t="shared" si="20"/>
        <v>37784.6</v>
      </c>
      <c r="Q333" s="19">
        <f t="shared" si="21"/>
        <v>0</v>
      </c>
      <c r="R333" s="25">
        <v>16150.11</v>
      </c>
      <c r="S333" s="28">
        <v>53934.71</v>
      </c>
      <c r="T333" s="49">
        <f t="shared" si="22"/>
        <v>53934.71</v>
      </c>
      <c r="U333" s="49">
        <f t="shared" si="23"/>
        <v>0</v>
      </c>
    </row>
    <row r="334" spans="1:21" ht="17" thickBot="1" x14ac:dyDescent="0.25">
      <c r="A334" s="21" t="s">
        <v>2639</v>
      </c>
      <c r="B334" s="21" t="s">
        <v>2640</v>
      </c>
      <c r="C334" s="21" t="s">
        <v>808</v>
      </c>
      <c r="D334" s="21" t="s">
        <v>1957</v>
      </c>
      <c r="E334" s="22" t="s">
        <v>12</v>
      </c>
      <c r="F334" s="23" t="s">
        <v>148</v>
      </c>
      <c r="G334" s="33" t="s">
        <v>14</v>
      </c>
      <c r="H334" s="25">
        <v>38417.599999999999</v>
      </c>
      <c r="I334" s="26" t="s">
        <v>14</v>
      </c>
      <c r="J334" s="25">
        <v>32959.14</v>
      </c>
      <c r="K334" s="18">
        <v>2936.85</v>
      </c>
      <c r="L334" s="18">
        <v>150</v>
      </c>
      <c r="M334" s="27" t="s">
        <v>3520</v>
      </c>
      <c r="N334" s="18"/>
      <c r="O334" s="31">
        <v>36045.99</v>
      </c>
      <c r="P334" s="19">
        <f t="shared" si="20"/>
        <v>36045.99</v>
      </c>
      <c r="Q334" s="19">
        <f t="shared" si="21"/>
        <v>0</v>
      </c>
      <c r="R334" s="25">
        <v>17823.52</v>
      </c>
      <c r="S334" s="28">
        <v>53869.51</v>
      </c>
      <c r="T334" s="49">
        <f t="shared" si="22"/>
        <v>53869.509999999995</v>
      </c>
      <c r="U334" s="49">
        <f t="shared" si="23"/>
        <v>7.2759576141834259E-12</v>
      </c>
    </row>
    <row r="335" spans="1:21" ht="17" thickBot="1" x14ac:dyDescent="0.25">
      <c r="A335" s="21" t="s">
        <v>2647</v>
      </c>
      <c r="B335" s="21" t="s">
        <v>1465</v>
      </c>
      <c r="C335" s="21" t="s">
        <v>1371</v>
      </c>
      <c r="D335" s="21" t="s">
        <v>2650</v>
      </c>
      <c r="E335" s="22" t="s">
        <v>12</v>
      </c>
      <c r="F335" s="23" t="s">
        <v>2400</v>
      </c>
      <c r="G335" s="33" t="s">
        <v>14</v>
      </c>
      <c r="H335" s="25">
        <v>42016</v>
      </c>
      <c r="I335" s="26" t="s">
        <v>14</v>
      </c>
      <c r="J335" s="25">
        <v>32321.62</v>
      </c>
      <c r="K335" s="18">
        <v>3.03</v>
      </c>
      <c r="L335" s="18">
        <v>50</v>
      </c>
      <c r="M335" s="27" t="s">
        <v>3520</v>
      </c>
      <c r="N335" s="18"/>
      <c r="O335" s="31">
        <v>32374.65</v>
      </c>
      <c r="P335" s="19">
        <f t="shared" si="20"/>
        <v>32374.649999999998</v>
      </c>
      <c r="Q335" s="19">
        <f t="shared" si="21"/>
        <v>3.637978807091713E-12</v>
      </c>
      <c r="R335" s="25">
        <v>21245.06</v>
      </c>
      <c r="S335" s="28">
        <v>53619.71</v>
      </c>
      <c r="T335" s="49">
        <f t="shared" si="22"/>
        <v>53619.710000000006</v>
      </c>
      <c r="U335" s="49">
        <f t="shared" si="23"/>
        <v>-7.2759576141834259E-12</v>
      </c>
    </row>
    <row r="336" spans="1:21" ht="17" thickBot="1" x14ac:dyDescent="0.25">
      <c r="A336" s="21" t="s">
        <v>2426</v>
      </c>
      <c r="B336" s="21" t="s">
        <v>2656</v>
      </c>
      <c r="C336" s="21" t="s">
        <v>824</v>
      </c>
      <c r="D336" s="21" t="s">
        <v>2359</v>
      </c>
      <c r="E336" s="22" t="s">
        <v>12</v>
      </c>
      <c r="F336" s="23" t="s">
        <v>2229</v>
      </c>
      <c r="G336" s="33" t="s">
        <v>14</v>
      </c>
      <c r="H336" s="25">
        <v>36420.800000000003</v>
      </c>
      <c r="I336" s="26" t="s">
        <v>14</v>
      </c>
      <c r="J336" s="25">
        <v>34363.32</v>
      </c>
      <c r="K336" s="18">
        <v>1021.73</v>
      </c>
      <c r="L336" s="18">
        <v>410</v>
      </c>
      <c r="M336" s="27" t="s">
        <v>3520</v>
      </c>
      <c r="N336" s="18"/>
      <c r="O336" s="31">
        <v>35795.050000000003</v>
      </c>
      <c r="P336" s="19">
        <f t="shared" si="20"/>
        <v>35795.050000000003</v>
      </c>
      <c r="Q336" s="19">
        <f t="shared" si="21"/>
        <v>0</v>
      </c>
      <c r="R336" s="25">
        <v>17756.080000000002</v>
      </c>
      <c r="S336" s="28">
        <v>53551.13</v>
      </c>
      <c r="T336" s="49">
        <f t="shared" si="22"/>
        <v>53551.130000000005</v>
      </c>
      <c r="U336" s="49">
        <f t="shared" si="23"/>
        <v>-7.2759576141834259E-12</v>
      </c>
    </row>
    <row r="337" spans="1:21" ht="17" thickBot="1" x14ac:dyDescent="0.25">
      <c r="A337" s="21" t="s">
        <v>2663</v>
      </c>
      <c r="B337" s="21" t="s">
        <v>2664</v>
      </c>
      <c r="C337" s="21" t="s">
        <v>808</v>
      </c>
      <c r="D337" s="21" t="s">
        <v>1957</v>
      </c>
      <c r="E337" s="22" t="s">
        <v>12</v>
      </c>
      <c r="F337" s="23" t="s">
        <v>148</v>
      </c>
      <c r="G337" s="33" t="s">
        <v>14</v>
      </c>
      <c r="H337" s="25">
        <v>38417.599999999999</v>
      </c>
      <c r="I337" s="26" t="s">
        <v>14</v>
      </c>
      <c r="J337" s="25">
        <v>32777.25</v>
      </c>
      <c r="K337" s="18">
        <v>3565.26</v>
      </c>
      <c r="L337" s="18">
        <v>100</v>
      </c>
      <c r="M337" s="27" t="s">
        <v>3520</v>
      </c>
      <c r="N337" s="18"/>
      <c r="O337" s="31">
        <v>36442.51</v>
      </c>
      <c r="P337" s="19">
        <f t="shared" si="20"/>
        <v>36442.51</v>
      </c>
      <c r="Q337" s="19">
        <f t="shared" si="21"/>
        <v>0</v>
      </c>
      <c r="R337" s="25">
        <v>16863.29</v>
      </c>
      <c r="S337" s="28">
        <v>53305.8</v>
      </c>
      <c r="T337" s="49">
        <f t="shared" si="22"/>
        <v>53305.8</v>
      </c>
      <c r="U337" s="49">
        <f t="shared" si="23"/>
        <v>0</v>
      </c>
    </row>
    <row r="338" spans="1:21" ht="17" thickBot="1" x14ac:dyDescent="0.25">
      <c r="A338" s="10" t="s">
        <v>2671</v>
      </c>
      <c r="B338" s="10" t="s">
        <v>2672</v>
      </c>
      <c r="C338" s="10" t="s">
        <v>65</v>
      </c>
      <c r="D338" s="10" t="s">
        <v>2539</v>
      </c>
      <c r="E338" s="11" t="s">
        <v>12</v>
      </c>
      <c r="F338" s="12" t="s">
        <v>2676</v>
      </c>
      <c r="G338" s="32" t="s">
        <v>14</v>
      </c>
      <c r="H338" s="16">
        <v>34528</v>
      </c>
      <c r="I338" s="15" t="s">
        <v>14</v>
      </c>
      <c r="J338" s="14">
        <v>35046.49</v>
      </c>
      <c r="K338" s="16">
        <v>5156.0200000000004</v>
      </c>
      <c r="L338" s="17">
        <v>2284.02</v>
      </c>
      <c r="M338" s="17" t="s">
        <v>3520</v>
      </c>
      <c r="N338" s="18"/>
      <c r="O338" s="14">
        <v>42486.53</v>
      </c>
      <c r="P338" s="19">
        <f t="shared" si="20"/>
        <v>42486.529999999992</v>
      </c>
      <c r="Q338" s="19">
        <f t="shared" si="21"/>
        <v>7.2759576141834259E-12</v>
      </c>
      <c r="R338" s="14">
        <v>10687.36</v>
      </c>
      <c r="S338" s="20">
        <v>53173.89</v>
      </c>
      <c r="T338" s="49">
        <f t="shared" si="22"/>
        <v>53173.89</v>
      </c>
      <c r="U338" s="49">
        <f t="shared" si="23"/>
        <v>0</v>
      </c>
    </row>
    <row r="339" spans="1:21" ht="17" thickBot="1" x14ac:dyDescent="0.25">
      <c r="A339" s="21" t="s">
        <v>2679</v>
      </c>
      <c r="B339" s="21" t="s">
        <v>288</v>
      </c>
      <c r="C339" s="21" t="s">
        <v>1474</v>
      </c>
      <c r="D339" s="21" t="s">
        <v>2547</v>
      </c>
      <c r="E339" s="22" t="s">
        <v>12</v>
      </c>
      <c r="F339" s="23" t="s">
        <v>227</v>
      </c>
      <c r="G339" s="33" t="s">
        <v>14</v>
      </c>
      <c r="H339" s="18">
        <v>37440</v>
      </c>
      <c r="I339" s="26" t="s">
        <v>14</v>
      </c>
      <c r="J339" s="25">
        <v>33872.94</v>
      </c>
      <c r="K339" s="18">
        <v>1431.95</v>
      </c>
      <c r="L339" s="27">
        <v>50</v>
      </c>
      <c r="M339" s="27" t="s">
        <v>3520</v>
      </c>
      <c r="N339" s="18"/>
      <c r="O339" s="25">
        <v>35354.89</v>
      </c>
      <c r="P339" s="19">
        <f t="shared" si="20"/>
        <v>35354.89</v>
      </c>
      <c r="Q339" s="19">
        <f t="shared" si="21"/>
        <v>0</v>
      </c>
      <c r="R339" s="25">
        <v>17702.25</v>
      </c>
      <c r="S339" s="28">
        <v>53057.14</v>
      </c>
      <c r="T339" s="49">
        <f t="shared" si="22"/>
        <v>53057.14</v>
      </c>
      <c r="U339" s="49">
        <f t="shared" si="23"/>
        <v>0</v>
      </c>
    </row>
    <row r="340" spans="1:21" ht="17" thickBot="1" x14ac:dyDescent="0.25">
      <c r="A340" s="21" t="s">
        <v>2687</v>
      </c>
      <c r="B340" s="21" t="s">
        <v>2688</v>
      </c>
      <c r="C340" s="21" t="s">
        <v>824</v>
      </c>
      <c r="D340" s="21" t="s">
        <v>2500</v>
      </c>
      <c r="E340" s="22" t="s">
        <v>12</v>
      </c>
      <c r="F340" s="23" t="s">
        <v>1405</v>
      </c>
      <c r="G340" s="33" t="s">
        <v>14</v>
      </c>
      <c r="H340" s="18">
        <v>33425.599999999999</v>
      </c>
      <c r="I340" s="26" t="s">
        <v>14</v>
      </c>
      <c r="J340" s="25">
        <v>33559.699999999997</v>
      </c>
      <c r="K340" s="18">
        <v>1459.55</v>
      </c>
      <c r="L340" s="27">
        <v>50</v>
      </c>
      <c r="M340" s="27" t="s">
        <v>3520</v>
      </c>
      <c r="N340" s="18"/>
      <c r="O340" s="25">
        <v>35069.25</v>
      </c>
      <c r="P340" s="19">
        <f t="shared" si="20"/>
        <v>35069.25</v>
      </c>
      <c r="Q340" s="19">
        <f t="shared" si="21"/>
        <v>0</v>
      </c>
      <c r="R340" s="25">
        <v>17800.13</v>
      </c>
      <c r="S340" s="28">
        <v>52869.38</v>
      </c>
      <c r="T340" s="49">
        <f t="shared" si="22"/>
        <v>52869.380000000005</v>
      </c>
      <c r="U340" s="49">
        <f t="shared" si="23"/>
        <v>-7.2759576141834259E-12</v>
      </c>
    </row>
    <row r="341" spans="1:21" ht="17" thickBot="1" x14ac:dyDescent="0.25">
      <c r="A341" s="21" t="s">
        <v>263</v>
      </c>
      <c r="B341" s="21" t="s">
        <v>2696</v>
      </c>
      <c r="C341" s="21" t="s">
        <v>81</v>
      </c>
      <c r="D341" s="21" t="s">
        <v>378</v>
      </c>
      <c r="E341" s="22" t="s">
        <v>20</v>
      </c>
      <c r="F341" s="23" t="s">
        <v>2377</v>
      </c>
      <c r="G341" s="33" t="s">
        <v>14</v>
      </c>
      <c r="H341" s="18">
        <v>38294.699999999997</v>
      </c>
      <c r="I341" s="26" t="s">
        <v>14</v>
      </c>
      <c r="J341" s="25">
        <v>26305.47</v>
      </c>
      <c r="K341" s="18">
        <v>10041.02</v>
      </c>
      <c r="L341" s="27">
        <v>600.03</v>
      </c>
      <c r="M341" s="27" t="s">
        <v>3520</v>
      </c>
      <c r="N341" s="18"/>
      <c r="O341" s="25">
        <v>36946.519999999997</v>
      </c>
      <c r="P341" s="19">
        <f t="shared" si="20"/>
        <v>36946.520000000004</v>
      </c>
      <c r="Q341" s="19">
        <f t="shared" si="21"/>
        <v>-7.2759576141834259E-12</v>
      </c>
      <c r="R341" s="25">
        <v>15890.24</v>
      </c>
      <c r="S341" s="28">
        <v>52836.76</v>
      </c>
      <c r="T341" s="49">
        <f t="shared" si="22"/>
        <v>52836.759999999995</v>
      </c>
      <c r="U341" s="49">
        <f t="shared" si="23"/>
        <v>7.2759576141834259E-12</v>
      </c>
    </row>
    <row r="342" spans="1:21" ht="17" thickBot="1" x14ac:dyDescent="0.25">
      <c r="A342" s="21" t="s">
        <v>2703</v>
      </c>
      <c r="B342" s="21" t="s">
        <v>2704</v>
      </c>
      <c r="C342" s="21" t="s">
        <v>81</v>
      </c>
      <c r="D342" s="21" t="s">
        <v>378</v>
      </c>
      <c r="E342" s="22" t="s">
        <v>20</v>
      </c>
      <c r="F342" s="23" t="s">
        <v>2708</v>
      </c>
      <c r="G342" s="33" t="s">
        <v>14</v>
      </c>
      <c r="H342" s="18">
        <v>52543.17</v>
      </c>
      <c r="I342" s="26" t="s">
        <v>14</v>
      </c>
      <c r="J342" s="25">
        <v>23233.61</v>
      </c>
      <c r="K342" s="18">
        <v>9024.8799999999992</v>
      </c>
      <c r="L342" s="27">
        <v>439.1</v>
      </c>
      <c r="M342" s="27" t="s">
        <v>3520</v>
      </c>
      <c r="N342" s="18"/>
      <c r="O342" s="25">
        <v>32697.59</v>
      </c>
      <c r="P342" s="19">
        <f t="shared" si="20"/>
        <v>32697.589999999997</v>
      </c>
      <c r="Q342" s="19">
        <f t="shared" si="21"/>
        <v>3.637978807091713E-12</v>
      </c>
      <c r="R342" s="25">
        <v>20139.09</v>
      </c>
      <c r="S342" s="28">
        <v>52836.68</v>
      </c>
      <c r="T342" s="49">
        <f t="shared" si="22"/>
        <v>52836.68</v>
      </c>
      <c r="U342" s="49">
        <f t="shared" si="23"/>
        <v>0</v>
      </c>
    </row>
    <row r="343" spans="1:21" ht="17" thickBot="1" x14ac:dyDescent="0.25">
      <c r="A343" s="21" t="s">
        <v>2583</v>
      </c>
      <c r="B343" s="21" t="s">
        <v>288</v>
      </c>
      <c r="C343" s="21" t="s">
        <v>81</v>
      </c>
      <c r="D343" s="21" t="s">
        <v>378</v>
      </c>
      <c r="E343" s="22" t="s">
        <v>20</v>
      </c>
      <c r="F343" s="23" t="s">
        <v>2708</v>
      </c>
      <c r="G343" s="33" t="s">
        <v>14</v>
      </c>
      <c r="H343" s="18">
        <v>52543.17</v>
      </c>
      <c r="I343" s="26" t="s">
        <v>14</v>
      </c>
      <c r="J343" s="25">
        <v>21810.1</v>
      </c>
      <c r="K343" s="18">
        <v>10118.23</v>
      </c>
      <c r="L343" s="27">
        <v>1084.5999999999999</v>
      </c>
      <c r="M343" s="27" t="s">
        <v>3520</v>
      </c>
      <c r="N343" s="18"/>
      <c r="O343" s="25">
        <v>33012.93</v>
      </c>
      <c r="P343" s="19">
        <f t="shared" si="20"/>
        <v>33012.93</v>
      </c>
      <c r="Q343" s="19">
        <f t="shared" si="21"/>
        <v>0</v>
      </c>
      <c r="R343" s="25">
        <v>19757.63</v>
      </c>
      <c r="S343" s="28">
        <v>52770.559999999998</v>
      </c>
      <c r="T343" s="49">
        <f t="shared" si="22"/>
        <v>52770.559999999998</v>
      </c>
      <c r="U343" s="49">
        <f t="shared" si="23"/>
        <v>0</v>
      </c>
    </row>
    <row r="344" spans="1:21" ht="17" thickBot="1" x14ac:dyDescent="0.25">
      <c r="A344" s="21" t="s">
        <v>719</v>
      </c>
      <c r="B344" s="21" t="s">
        <v>384</v>
      </c>
      <c r="C344" s="21" t="s">
        <v>886</v>
      </c>
      <c r="D344" s="21" t="s">
        <v>1989</v>
      </c>
      <c r="E344" s="22" t="s">
        <v>12</v>
      </c>
      <c r="F344" s="23" t="s">
        <v>2628</v>
      </c>
      <c r="G344" s="33" t="s">
        <v>14</v>
      </c>
      <c r="H344" s="18">
        <v>33425.599999999999</v>
      </c>
      <c r="I344" s="26" t="s">
        <v>14</v>
      </c>
      <c r="J344" s="25">
        <v>33547.31</v>
      </c>
      <c r="K344" s="18">
        <v>1251.3399999999999</v>
      </c>
      <c r="L344" s="27">
        <v>160</v>
      </c>
      <c r="M344" s="27" t="s">
        <v>3520</v>
      </c>
      <c r="N344" s="18"/>
      <c r="O344" s="25">
        <v>34958.65</v>
      </c>
      <c r="P344" s="19">
        <f t="shared" si="20"/>
        <v>34958.649999999994</v>
      </c>
      <c r="Q344" s="19">
        <f t="shared" si="21"/>
        <v>7.2759576141834259E-12</v>
      </c>
      <c r="R344" s="25">
        <v>17483.54</v>
      </c>
      <c r="S344" s="28">
        <v>52442.19</v>
      </c>
      <c r="T344" s="49">
        <f t="shared" si="22"/>
        <v>52442.19</v>
      </c>
      <c r="U344" s="49">
        <f t="shared" si="23"/>
        <v>0</v>
      </c>
    </row>
    <row r="345" spans="1:21" ht="17" thickBot="1" x14ac:dyDescent="0.25">
      <c r="A345" s="21" t="s">
        <v>2727</v>
      </c>
      <c r="B345" s="21" t="s">
        <v>2728</v>
      </c>
      <c r="C345" s="21" t="s">
        <v>81</v>
      </c>
      <c r="D345" s="21" t="s">
        <v>2730</v>
      </c>
      <c r="E345" s="22" t="s">
        <v>20</v>
      </c>
      <c r="F345" s="23" t="s">
        <v>1088</v>
      </c>
      <c r="G345" s="33" t="s">
        <v>14</v>
      </c>
      <c r="H345" s="18" t="s">
        <v>2734</v>
      </c>
      <c r="I345" s="26" t="s">
        <v>14</v>
      </c>
      <c r="J345" s="18">
        <v>27965.84</v>
      </c>
      <c r="K345" s="18">
        <v>9192.24</v>
      </c>
      <c r="L345" s="27">
        <v>2566.2600000000002</v>
      </c>
      <c r="M345" s="27" t="s">
        <v>3520</v>
      </c>
      <c r="N345" s="18"/>
      <c r="O345" s="18">
        <v>39724.339999999997</v>
      </c>
      <c r="P345" s="19">
        <f t="shared" si="20"/>
        <v>39724.340000000004</v>
      </c>
      <c r="Q345" s="19">
        <f t="shared" si="21"/>
        <v>-7.2759576141834259E-12</v>
      </c>
      <c r="R345" s="25">
        <v>12628.96</v>
      </c>
      <c r="S345" s="28">
        <v>52353.3</v>
      </c>
      <c r="T345" s="49">
        <f t="shared" si="22"/>
        <v>52353.299999999996</v>
      </c>
      <c r="U345" s="49">
        <f t="shared" si="23"/>
        <v>7.2759576141834259E-12</v>
      </c>
    </row>
    <row r="346" spans="1:21" ht="17" thickBot="1" x14ac:dyDescent="0.25">
      <c r="A346" s="21" t="s">
        <v>303</v>
      </c>
      <c r="B346" s="21" t="s">
        <v>2737</v>
      </c>
      <c r="C346" s="21" t="s">
        <v>2585</v>
      </c>
      <c r="D346" s="21" t="s">
        <v>2586</v>
      </c>
      <c r="E346" s="22" t="s">
        <v>12</v>
      </c>
      <c r="F346" s="23" t="s">
        <v>1557</v>
      </c>
      <c r="G346" s="33" t="s">
        <v>14</v>
      </c>
      <c r="H346" s="18">
        <v>34091.199999999997</v>
      </c>
      <c r="I346" s="26" t="s">
        <v>14</v>
      </c>
      <c r="J346" s="25">
        <v>33941.33</v>
      </c>
      <c r="K346" s="18">
        <v>128.63</v>
      </c>
      <c r="L346" s="27">
        <v>721</v>
      </c>
      <c r="M346" s="27" t="s">
        <v>3520</v>
      </c>
      <c r="N346" s="18"/>
      <c r="O346" s="25">
        <v>34790.959999999999</v>
      </c>
      <c r="P346" s="19">
        <f t="shared" si="20"/>
        <v>34790.959999999999</v>
      </c>
      <c r="Q346" s="19">
        <f t="shared" si="21"/>
        <v>0</v>
      </c>
      <c r="R346" s="25">
        <v>17469.36</v>
      </c>
      <c r="S346" s="28">
        <v>52260.32</v>
      </c>
      <c r="T346" s="49">
        <f t="shared" si="22"/>
        <v>52260.32</v>
      </c>
      <c r="U346" s="49">
        <f t="shared" si="23"/>
        <v>0</v>
      </c>
    </row>
    <row r="347" spans="1:21" ht="17" thickBot="1" x14ac:dyDescent="0.25">
      <c r="A347" s="21" t="s">
        <v>2744</v>
      </c>
      <c r="B347" s="21" t="s">
        <v>104</v>
      </c>
      <c r="C347" s="21" t="s">
        <v>81</v>
      </c>
      <c r="D347" s="21" t="s">
        <v>2747</v>
      </c>
      <c r="E347" s="22" t="s">
        <v>20</v>
      </c>
      <c r="F347" s="23" t="s">
        <v>2749</v>
      </c>
      <c r="G347" s="33" t="s">
        <v>14</v>
      </c>
      <c r="H347" s="18" t="s">
        <v>2734</v>
      </c>
      <c r="I347" s="26" t="s">
        <v>14</v>
      </c>
      <c r="J347" s="25">
        <v>34807.86</v>
      </c>
      <c r="K347" s="18">
        <v>10827.23</v>
      </c>
      <c r="L347" s="27">
        <v>2799.47</v>
      </c>
      <c r="M347" s="27" t="s">
        <v>3520</v>
      </c>
      <c r="N347" s="18"/>
      <c r="O347" s="25">
        <v>48434.559999999998</v>
      </c>
      <c r="P347" s="19">
        <f t="shared" si="20"/>
        <v>48434.559999999998</v>
      </c>
      <c r="Q347" s="19">
        <f t="shared" si="21"/>
        <v>0</v>
      </c>
      <c r="R347" s="25">
        <v>3705.26</v>
      </c>
      <c r="S347" s="28">
        <v>52139.82</v>
      </c>
      <c r="T347" s="49">
        <f t="shared" si="22"/>
        <v>52139.82</v>
      </c>
      <c r="U347" s="49">
        <f t="shared" si="23"/>
        <v>0</v>
      </c>
    </row>
    <row r="348" spans="1:21" ht="17" thickBot="1" x14ac:dyDescent="0.25">
      <c r="A348" s="21" t="s">
        <v>2753</v>
      </c>
      <c r="B348" s="21" t="s">
        <v>2754</v>
      </c>
      <c r="C348" s="21" t="s">
        <v>18</v>
      </c>
      <c r="D348" s="21" t="s">
        <v>498</v>
      </c>
      <c r="E348" s="22" t="s">
        <v>20</v>
      </c>
      <c r="F348" s="23" t="s">
        <v>2117</v>
      </c>
      <c r="G348" s="33" t="s">
        <v>14</v>
      </c>
      <c r="H348" s="18">
        <v>52556.92</v>
      </c>
      <c r="I348" s="26" t="s">
        <v>14</v>
      </c>
      <c r="J348" s="25">
        <v>34205.480000000003</v>
      </c>
      <c r="K348" s="18">
        <v>1388.5</v>
      </c>
      <c r="L348" s="27">
        <v>485.28</v>
      </c>
      <c r="M348" s="27" t="s">
        <v>3520</v>
      </c>
      <c r="N348" s="18"/>
      <c r="O348" s="25">
        <v>36079.26</v>
      </c>
      <c r="P348" s="19">
        <f t="shared" si="20"/>
        <v>36079.26</v>
      </c>
      <c r="Q348" s="19">
        <f t="shared" si="21"/>
        <v>0</v>
      </c>
      <c r="R348" s="25">
        <v>15747.58</v>
      </c>
      <c r="S348" s="28">
        <v>51826.84</v>
      </c>
      <c r="T348" s="49">
        <f t="shared" si="22"/>
        <v>51826.840000000004</v>
      </c>
      <c r="U348" s="49">
        <f t="shared" si="23"/>
        <v>-7.2759576141834259E-12</v>
      </c>
    </row>
    <row r="349" spans="1:21" ht="17" thickBot="1" x14ac:dyDescent="0.25">
      <c r="A349" s="21" t="s">
        <v>263</v>
      </c>
      <c r="B349" s="21" t="s">
        <v>1875</v>
      </c>
      <c r="C349" s="21" t="s">
        <v>65</v>
      </c>
      <c r="D349" s="21" t="s">
        <v>594</v>
      </c>
      <c r="E349" s="22" t="s">
        <v>20</v>
      </c>
      <c r="F349" s="23" t="s">
        <v>2268</v>
      </c>
      <c r="G349" s="34" t="s">
        <v>805</v>
      </c>
      <c r="H349" s="18">
        <v>58822.400000000001</v>
      </c>
      <c r="I349" s="25">
        <v>4283.57</v>
      </c>
      <c r="J349" s="25">
        <v>31270.12</v>
      </c>
      <c r="K349" s="18">
        <v>667.16</v>
      </c>
      <c r="L349" s="27">
        <v>1858.63</v>
      </c>
      <c r="M349" s="27" t="s">
        <v>3520</v>
      </c>
      <c r="N349" s="18"/>
      <c r="O349" s="25">
        <v>38079.480000000003</v>
      </c>
      <c r="P349" s="19">
        <f t="shared" si="20"/>
        <v>38079.480000000003</v>
      </c>
      <c r="Q349" s="19">
        <f t="shared" si="21"/>
        <v>0</v>
      </c>
      <c r="R349" s="25">
        <v>13713.65</v>
      </c>
      <c r="S349" s="28">
        <v>51793.13</v>
      </c>
      <c r="T349" s="49">
        <f t="shared" si="22"/>
        <v>51793.130000000005</v>
      </c>
      <c r="U349" s="49">
        <f t="shared" si="23"/>
        <v>-7.2759576141834259E-12</v>
      </c>
    </row>
    <row r="350" spans="1:21" ht="17" thickBot="1" x14ac:dyDescent="0.25">
      <c r="A350" s="21" t="s">
        <v>2768</v>
      </c>
      <c r="B350" s="21" t="s">
        <v>2769</v>
      </c>
      <c r="C350" s="21" t="s">
        <v>18</v>
      </c>
      <c r="D350" s="21" t="s">
        <v>498</v>
      </c>
      <c r="E350" s="22" t="s">
        <v>20</v>
      </c>
      <c r="F350" s="23" t="s">
        <v>2117</v>
      </c>
      <c r="G350" s="33" t="s">
        <v>14</v>
      </c>
      <c r="H350" s="18">
        <v>69644.12</v>
      </c>
      <c r="I350" s="26" t="s">
        <v>14</v>
      </c>
      <c r="J350" s="25">
        <v>35829.14</v>
      </c>
      <c r="K350" s="18">
        <v>768.9</v>
      </c>
      <c r="L350" s="27">
        <v>79.44</v>
      </c>
      <c r="M350" s="27" t="s">
        <v>3520</v>
      </c>
      <c r="N350" s="18"/>
      <c r="O350" s="25">
        <v>36677.480000000003</v>
      </c>
      <c r="P350" s="19">
        <f t="shared" si="20"/>
        <v>36677.480000000003</v>
      </c>
      <c r="Q350" s="19">
        <f t="shared" si="21"/>
        <v>0</v>
      </c>
      <c r="R350" s="25">
        <v>14712.71</v>
      </c>
      <c r="S350" s="28">
        <v>51390.19</v>
      </c>
      <c r="T350" s="49">
        <f t="shared" si="22"/>
        <v>51390.19</v>
      </c>
      <c r="U350" s="49">
        <f t="shared" si="23"/>
        <v>0</v>
      </c>
    </row>
    <row r="351" spans="1:21" ht="17" thickBot="1" x14ac:dyDescent="0.25">
      <c r="A351" s="21" t="s">
        <v>2776</v>
      </c>
      <c r="B351" s="21" t="s">
        <v>1726</v>
      </c>
      <c r="C351" s="21" t="s">
        <v>1442</v>
      </c>
      <c r="D351" s="21" t="s">
        <v>2468</v>
      </c>
      <c r="E351" s="22" t="s">
        <v>12</v>
      </c>
      <c r="F351" s="23" t="s">
        <v>2781</v>
      </c>
      <c r="G351" s="33" t="s">
        <v>14</v>
      </c>
      <c r="H351" s="18">
        <v>35360</v>
      </c>
      <c r="I351" s="26" t="s">
        <v>14</v>
      </c>
      <c r="J351" s="25">
        <v>33853.46</v>
      </c>
      <c r="K351" s="18">
        <v>132.37</v>
      </c>
      <c r="L351" s="27">
        <v>50</v>
      </c>
      <c r="M351" s="27" t="s">
        <v>3520</v>
      </c>
      <c r="N351" s="18"/>
      <c r="O351" s="25">
        <v>34035.83</v>
      </c>
      <c r="P351" s="19">
        <f t="shared" si="20"/>
        <v>34035.83</v>
      </c>
      <c r="Q351" s="19">
        <f t="shared" si="21"/>
        <v>0</v>
      </c>
      <c r="R351" s="25">
        <v>17338.04</v>
      </c>
      <c r="S351" s="28">
        <v>51373.87</v>
      </c>
      <c r="T351" s="49">
        <f t="shared" si="22"/>
        <v>51373.87</v>
      </c>
      <c r="U351" s="49">
        <f t="shared" si="23"/>
        <v>0</v>
      </c>
    </row>
    <row r="352" spans="1:21" ht="17" thickBot="1" x14ac:dyDescent="0.25">
      <c r="A352" s="21" t="s">
        <v>2784</v>
      </c>
      <c r="B352" s="21" t="s">
        <v>592</v>
      </c>
      <c r="C352" s="21" t="s">
        <v>145</v>
      </c>
      <c r="D352" s="21" t="s">
        <v>2147</v>
      </c>
      <c r="E352" s="22" t="s">
        <v>12</v>
      </c>
      <c r="F352" s="23" t="s">
        <v>1660</v>
      </c>
      <c r="G352" s="33" t="s">
        <v>14</v>
      </c>
      <c r="H352" s="18">
        <v>33425.599999999999</v>
      </c>
      <c r="I352" s="26" t="s">
        <v>14</v>
      </c>
      <c r="J352" s="25">
        <v>33515.480000000003</v>
      </c>
      <c r="K352" s="18">
        <v>1001.86</v>
      </c>
      <c r="L352" s="27">
        <v>220</v>
      </c>
      <c r="M352" s="27" t="s">
        <v>3520</v>
      </c>
      <c r="N352" s="18"/>
      <c r="O352" s="25">
        <v>34737.339999999997</v>
      </c>
      <c r="P352" s="19">
        <f t="shared" si="20"/>
        <v>34737.340000000004</v>
      </c>
      <c r="Q352" s="19">
        <f t="shared" si="21"/>
        <v>-7.2759576141834259E-12</v>
      </c>
      <c r="R352" s="25">
        <v>16613.21</v>
      </c>
      <c r="S352" s="28">
        <v>51350.55</v>
      </c>
      <c r="T352" s="49">
        <f t="shared" si="22"/>
        <v>51350.549999999996</v>
      </c>
      <c r="U352" s="49">
        <f t="shared" si="23"/>
        <v>7.2759576141834259E-12</v>
      </c>
    </row>
    <row r="353" spans="1:21" ht="17" thickBot="1" x14ac:dyDescent="0.25">
      <c r="A353" s="21" t="s">
        <v>2792</v>
      </c>
      <c r="B353" s="21" t="s">
        <v>2592</v>
      </c>
      <c r="C353" s="21" t="s">
        <v>81</v>
      </c>
      <c r="D353" s="21" t="s">
        <v>378</v>
      </c>
      <c r="E353" s="22" t="s">
        <v>20</v>
      </c>
      <c r="F353" s="23" t="s">
        <v>2377</v>
      </c>
      <c r="G353" s="33" t="s">
        <v>14</v>
      </c>
      <c r="H353" s="18">
        <v>52543.17</v>
      </c>
      <c r="I353" s="26" t="s">
        <v>14</v>
      </c>
      <c r="J353" s="25">
        <v>28748.48</v>
      </c>
      <c r="K353" s="18">
        <v>5101.1899999999996</v>
      </c>
      <c r="L353" s="27">
        <v>797.03</v>
      </c>
      <c r="M353" s="27" t="s">
        <v>3520</v>
      </c>
      <c r="N353" s="18"/>
      <c r="O353" s="25">
        <v>34646.699999999997</v>
      </c>
      <c r="P353" s="19">
        <f t="shared" si="20"/>
        <v>34646.699999999997</v>
      </c>
      <c r="Q353" s="19">
        <f t="shared" si="21"/>
        <v>0</v>
      </c>
      <c r="R353" s="25">
        <v>15400.78</v>
      </c>
      <c r="S353" s="28">
        <v>50047.48</v>
      </c>
      <c r="T353" s="49">
        <f t="shared" si="22"/>
        <v>50047.479999999996</v>
      </c>
      <c r="U353" s="49">
        <f t="shared" si="23"/>
        <v>7.2759576141834259E-12</v>
      </c>
    </row>
    <row r="354" spans="1:21" ht="17" thickBot="1" x14ac:dyDescent="0.25">
      <c r="A354" s="21" t="s">
        <v>2800</v>
      </c>
      <c r="B354" s="21" t="s">
        <v>2801</v>
      </c>
      <c r="C354" s="21" t="s">
        <v>281</v>
      </c>
      <c r="D354" s="21" t="s">
        <v>1245</v>
      </c>
      <c r="E354" s="22" t="s">
        <v>12</v>
      </c>
      <c r="F354" s="23" t="s">
        <v>2061</v>
      </c>
      <c r="G354" s="33" t="s">
        <v>14</v>
      </c>
      <c r="H354" s="18">
        <v>49920</v>
      </c>
      <c r="I354" s="26" t="s">
        <v>14</v>
      </c>
      <c r="J354" s="25">
        <v>33984.239999999998</v>
      </c>
      <c r="K354" s="18">
        <v>1177.56</v>
      </c>
      <c r="L354" s="27" t="s">
        <v>3520</v>
      </c>
      <c r="M354" s="27" t="s">
        <v>3520</v>
      </c>
      <c r="N354" s="18"/>
      <c r="O354" s="25">
        <v>35161.800000000003</v>
      </c>
      <c r="P354" s="19">
        <f t="shared" si="20"/>
        <v>35161.799999999996</v>
      </c>
      <c r="Q354" s="19">
        <f t="shared" si="21"/>
        <v>7.2759576141834259E-12</v>
      </c>
      <c r="R354" s="25">
        <v>14718.15</v>
      </c>
      <c r="S354" s="28">
        <v>49879.95</v>
      </c>
      <c r="T354" s="49">
        <f t="shared" si="22"/>
        <v>49879.950000000004</v>
      </c>
      <c r="U354" s="49">
        <f t="shared" si="23"/>
        <v>-7.2759576141834259E-12</v>
      </c>
    </row>
    <row r="355" spans="1:21" ht="17" thickBot="1" x14ac:dyDescent="0.25">
      <c r="A355" s="21" t="s">
        <v>2808</v>
      </c>
      <c r="B355" s="21" t="s">
        <v>2809</v>
      </c>
      <c r="C355" s="21" t="s">
        <v>137</v>
      </c>
      <c r="D355" s="21" t="s">
        <v>1627</v>
      </c>
      <c r="E355" s="22" t="s">
        <v>12</v>
      </c>
      <c r="F355" s="23" t="s">
        <v>2400</v>
      </c>
      <c r="G355" s="33" t="s">
        <v>14</v>
      </c>
      <c r="H355" s="18">
        <v>42640</v>
      </c>
      <c r="I355" s="26" t="s">
        <v>14</v>
      </c>
      <c r="J355" s="25">
        <v>32873.449999999997</v>
      </c>
      <c r="K355" s="18">
        <v>1223.53</v>
      </c>
      <c r="L355" s="27">
        <v>50</v>
      </c>
      <c r="M355" s="27" t="s">
        <v>3520</v>
      </c>
      <c r="N355" s="18"/>
      <c r="O355" s="25">
        <v>34146.980000000003</v>
      </c>
      <c r="P355" s="19">
        <f t="shared" si="20"/>
        <v>34146.979999999996</v>
      </c>
      <c r="Q355" s="19">
        <f t="shared" si="21"/>
        <v>7.2759576141834259E-12</v>
      </c>
      <c r="R355" s="25">
        <v>15400.5</v>
      </c>
      <c r="S355" s="28">
        <v>49547.48</v>
      </c>
      <c r="T355" s="49">
        <f t="shared" si="22"/>
        <v>49547.48</v>
      </c>
      <c r="U355" s="49">
        <f t="shared" si="23"/>
        <v>0</v>
      </c>
    </row>
    <row r="356" spans="1:21" ht="17" thickBot="1" x14ac:dyDescent="0.25">
      <c r="A356" s="21" t="s">
        <v>2816</v>
      </c>
      <c r="B356" s="21" t="s">
        <v>2817</v>
      </c>
      <c r="C356" s="21" t="s">
        <v>81</v>
      </c>
      <c r="D356" s="21" t="s">
        <v>378</v>
      </c>
      <c r="E356" s="22" t="s">
        <v>20</v>
      </c>
      <c r="F356" s="23" t="s">
        <v>2377</v>
      </c>
      <c r="G356" s="33" t="s">
        <v>14</v>
      </c>
      <c r="H356" s="18">
        <v>38294.699999999997</v>
      </c>
      <c r="I356" s="26" t="s">
        <v>14</v>
      </c>
      <c r="J356" s="25">
        <v>21001.78</v>
      </c>
      <c r="K356" s="18">
        <v>12362.88</v>
      </c>
      <c r="L356" s="27">
        <v>900.52</v>
      </c>
      <c r="M356" s="27" t="s">
        <v>3520</v>
      </c>
      <c r="N356" s="18"/>
      <c r="O356" s="25">
        <v>34265.18</v>
      </c>
      <c r="P356" s="19">
        <f t="shared" si="20"/>
        <v>34265.179999999993</v>
      </c>
      <c r="Q356" s="19">
        <f t="shared" si="21"/>
        <v>7.2759576141834259E-12</v>
      </c>
      <c r="R356" s="25">
        <v>15241.08</v>
      </c>
      <c r="S356" s="28">
        <v>49506.26</v>
      </c>
      <c r="T356" s="49">
        <f t="shared" si="22"/>
        <v>49506.26</v>
      </c>
      <c r="U356" s="49">
        <f t="shared" si="23"/>
        <v>0</v>
      </c>
    </row>
    <row r="357" spans="1:21" ht="17" thickBot="1" x14ac:dyDescent="0.25">
      <c r="A357" s="21" t="s">
        <v>2824</v>
      </c>
      <c r="B357" s="21" t="s">
        <v>2825</v>
      </c>
      <c r="C357" s="21" t="s">
        <v>65</v>
      </c>
      <c r="D357" s="21" t="s">
        <v>1728</v>
      </c>
      <c r="E357" s="22" t="s">
        <v>12</v>
      </c>
      <c r="F357" s="23" t="s">
        <v>2438</v>
      </c>
      <c r="G357" s="33" t="s">
        <v>14</v>
      </c>
      <c r="H357" s="18">
        <v>39208</v>
      </c>
      <c r="I357" s="26" t="s">
        <v>14</v>
      </c>
      <c r="J357" s="25">
        <v>32262.16</v>
      </c>
      <c r="K357" s="18">
        <v>397</v>
      </c>
      <c r="L357" s="27">
        <v>1315.72</v>
      </c>
      <c r="M357" s="27" t="s">
        <v>3520</v>
      </c>
      <c r="N357" s="18"/>
      <c r="O357" s="25">
        <v>33974.879999999997</v>
      </c>
      <c r="P357" s="19">
        <f t="shared" si="20"/>
        <v>33974.879999999997</v>
      </c>
      <c r="Q357" s="19">
        <f t="shared" si="21"/>
        <v>0</v>
      </c>
      <c r="R357" s="25">
        <v>15366.37</v>
      </c>
      <c r="S357" s="28">
        <v>49341.25</v>
      </c>
      <c r="T357" s="49">
        <f t="shared" si="22"/>
        <v>49341.25</v>
      </c>
      <c r="U357" s="49">
        <f t="shared" si="23"/>
        <v>0</v>
      </c>
    </row>
    <row r="358" spans="1:21" ht="17" thickBot="1" x14ac:dyDescent="0.25">
      <c r="A358" s="21" t="s">
        <v>2832</v>
      </c>
      <c r="B358" s="21" t="s">
        <v>2233</v>
      </c>
      <c r="C358" s="21" t="s">
        <v>65</v>
      </c>
      <c r="D358" s="21" t="s">
        <v>594</v>
      </c>
      <c r="E358" s="22" t="s">
        <v>20</v>
      </c>
      <c r="F358" s="23" t="s">
        <v>428</v>
      </c>
      <c r="G358" s="34" t="s">
        <v>2838</v>
      </c>
      <c r="H358" s="18">
        <v>62691.199999999997</v>
      </c>
      <c r="I358" s="25">
        <v>3139.99</v>
      </c>
      <c r="J358" s="25">
        <v>27653.200000000001</v>
      </c>
      <c r="K358" s="18">
        <v>482.82</v>
      </c>
      <c r="L358" s="27">
        <v>2243.33</v>
      </c>
      <c r="M358" s="27" t="s">
        <v>3520</v>
      </c>
      <c r="N358" s="18"/>
      <c r="O358" s="25">
        <v>33519.339999999997</v>
      </c>
      <c r="P358" s="19">
        <f t="shared" si="20"/>
        <v>33519.340000000004</v>
      </c>
      <c r="Q358" s="19">
        <f t="shared" si="21"/>
        <v>-7.2759576141834259E-12</v>
      </c>
      <c r="R358" s="25">
        <v>15802.47</v>
      </c>
      <c r="S358" s="28">
        <v>49321.81</v>
      </c>
      <c r="T358" s="49">
        <f t="shared" si="22"/>
        <v>49321.81</v>
      </c>
      <c r="U358" s="49">
        <f t="shared" si="23"/>
        <v>0</v>
      </c>
    </row>
    <row r="359" spans="1:21" ht="17" thickBot="1" x14ac:dyDescent="0.25">
      <c r="A359" s="21" t="s">
        <v>2839</v>
      </c>
      <c r="B359" s="21" t="s">
        <v>592</v>
      </c>
      <c r="C359" s="21" t="s">
        <v>81</v>
      </c>
      <c r="D359" s="21" t="s">
        <v>378</v>
      </c>
      <c r="E359" s="22" t="s">
        <v>20</v>
      </c>
      <c r="F359" s="23" t="s">
        <v>1549</v>
      </c>
      <c r="G359" s="33" t="s">
        <v>14</v>
      </c>
      <c r="H359" s="18" t="s">
        <v>2734</v>
      </c>
      <c r="I359" s="26" t="s">
        <v>14</v>
      </c>
      <c r="J359" s="18">
        <v>23402.240000000002</v>
      </c>
      <c r="K359" s="18">
        <v>11375.65</v>
      </c>
      <c r="L359" s="27">
        <v>1791.36</v>
      </c>
      <c r="M359" s="27"/>
      <c r="N359" s="18"/>
      <c r="O359" s="25">
        <v>36569.25</v>
      </c>
      <c r="P359" s="19">
        <f t="shared" si="20"/>
        <v>36569.25</v>
      </c>
      <c r="Q359" s="19">
        <f t="shared" si="21"/>
        <v>0</v>
      </c>
      <c r="R359" s="25">
        <v>11101.55</v>
      </c>
      <c r="S359" s="28">
        <v>47670.8</v>
      </c>
      <c r="T359" s="49">
        <f t="shared" si="22"/>
        <v>47670.8</v>
      </c>
      <c r="U359" s="49">
        <f t="shared" si="23"/>
        <v>0</v>
      </c>
    </row>
    <row r="360" spans="1:21" ht="17" thickBot="1" x14ac:dyDescent="0.25">
      <c r="A360" s="21" t="s">
        <v>2848</v>
      </c>
      <c r="B360" s="21" t="s">
        <v>2849</v>
      </c>
      <c r="C360" s="21" t="s">
        <v>2850</v>
      </c>
      <c r="D360" s="21" t="s">
        <v>2851</v>
      </c>
      <c r="E360" s="22" t="s">
        <v>12</v>
      </c>
      <c r="F360" s="23" t="s">
        <v>2628</v>
      </c>
      <c r="G360" s="34" t="s">
        <v>2854</v>
      </c>
      <c r="H360" s="18">
        <v>42827.199999999997</v>
      </c>
      <c r="I360" s="25">
        <v>1676.03</v>
      </c>
      <c r="J360" s="25">
        <v>35312.410000000003</v>
      </c>
      <c r="K360" s="18">
        <v>570.82000000000005</v>
      </c>
      <c r="L360" s="27">
        <v>200.24</v>
      </c>
      <c r="M360" s="31" t="s">
        <v>3520</v>
      </c>
      <c r="N360" s="18"/>
      <c r="O360" s="18">
        <v>37759.5</v>
      </c>
      <c r="P360" s="19">
        <f t="shared" si="20"/>
        <v>37759.5</v>
      </c>
      <c r="Q360" s="19">
        <f t="shared" si="21"/>
        <v>0</v>
      </c>
      <c r="R360" s="25">
        <v>9259.73</v>
      </c>
      <c r="S360" s="28">
        <v>47019.23</v>
      </c>
      <c r="T360" s="49">
        <f t="shared" si="22"/>
        <v>47019.229999999996</v>
      </c>
      <c r="U360" s="49">
        <f t="shared" si="23"/>
        <v>7.2759576141834259E-12</v>
      </c>
    </row>
    <row r="361" spans="1:21" ht="17" thickBot="1" x14ac:dyDescent="0.25">
      <c r="A361" s="21" t="s">
        <v>2855</v>
      </c>
      <c r="B361" s="21" t="s">
        <v>2856</v>
      </c>
      <c r="C361" s="21" t="s">
        <v>1252</v>
      </c>
      <c r="D361" s="21" t="s">
        <v>2083</v>
      </c>
      <c r="E361" s="22" t="s">
        <v>12</v>
      </c>
      <c r="F361" s="23" t="s">
        <v>2860</v>
      </c>
      <c r="G361" s="33" t="s">
        <v>14</v>
      </c>
      <c r="H361" s="18">
        <v>37440</v>
      </c>
      <c r="I361" s="26" t="s">
        <v>14</v>
      </c>
      <c r="J361" s="25">
        <v>29695.040000000001</v>
      </c>
      <c r="K361" s="18">
        <v>344.77</v>
      </c>
      <c r="L361" s="27">
        <v>357.5</v>
      </c>
      <c r="M361" s="31" t="s">
        <v>3520</v>
      </c>
      <c r="N361" s="18"/>
      <c r="O361" s="25">
        <v>30397.31</v>
      </c>
      <c r="P361" s="19">
        <f t="shared" si="20"/>
        <v>30397.31</v>
      </c>
      <c r="Q361" s="19">
        <f t="shared" si="21"/>
        <v>0</v>
      </c>
      <c r="R361" s="25">
        <v>16487.77</v>
      </c>
      <c r="S361" s="28">
        <v>46885.08</v>
      </c>
      <c r="T361" s="49">
        <f t="shared" si="22"/>
        <v>46885.08</v>
      </c>
      <c r="U361" s="49">
        <f t="shared" si="23"/>
        <v>0</v>
      </c>
    </row>
    <row r="362" spans="1:21" ht="17" thickBot="1" x14ac:dyDescent="0.25">
      <c r="A362" s="21" t="s">
        <v>1028</v>
      </c>
      <c r="B362" s="21" t="s">
        <v>1377</v>
      </c>
      <c r="C362" s="21" t="s">
        <v>824</v>
      </c>
      <c r="D362" s="21" t="s">
        <v>2500</v>
      </c>
      <c r="E362" s="22" t="s">
        <v>12</v>
      </c>
      <c r="F362" s="23" t="s">
        <v>1573</v>
      </c>
      <c r="G362" s="33" t="s">
        <v>14</v>
      </c>
      <c r="H362" s="18">
        <v>33280</v>
      </c>
      <c r="I362" s="26" t="s">
        <v>14</v>
      </c>
      <c r="J362" s="25">
        <v>30768.32</v>
      </c>
      <c r="K362" s="18">
        <v>458.16</v>
      </c>
      <c r="L362" s="27" t="s">
        <v>3520</v>
      </c>
      <c r="M362" s="31" t="s">
        <v>3520</v>
      </c>
      <c r="N362" s="18"/>
      <c r="O362" s="25">
        <v>31226.48</v>
      </c>
      <c r="P362" s="19">
        <f t="shared" si="20"/>
        <v>31226.48</v>
      </c>
      <c r="Q362" s="19">
        <f t="shared" si="21"/>
        <v>0</v>
      </c>
      <c r="R362" s="25">
        <v>15578.75</v>
      </c>
      <c r="S362" s="28">
        <v>46805.23</v>
      </c>
      <c r="T362" s="49">
        <f t="shared" si="22"/>
        <v>46805.229999999996</v>
      </c>
      <c r="U362" s="49">
        <f t="shared" si="23"/>
        <v>7.2759576141834259E-12</v>
      </c>
    </row>
    <row r="363" spans="1:21" ht="17" thickBot="1" x14ac:dyDescent="0.25">
      <c r="A363" s="21" t="s">
        <v>2871</v>
      </c>
      <c r="B363" s="21" t="s">
        <v>2872</v>
      </c>
      <c r="C363" s="21" t="s">
        <v>145</v>
      </c>
      <c r="D363" s="21" t="s">
        <v>2874</v>
      </c>
      <c r="E363" s="22" t="s">
        <v>12</v>
      </c>
      <c r="F363" s="23" t="s">
        <v>1541</v>
      </c>
      <c r="G363" s="33" t="s">
        <v>14</v>
      </c>
      <c r="H363" s="18">
        <v>46342.400000000001</v>
      </c>
      <c r="I363" s="26" t="s">
        <v>14</v>
      </c>
      <c r="J363" s="25">
        <v>24648.37</v>
      </c>
      <c r="K363" s="18">
        <v>3330.88</v>
      </c>
      <c r="L363" s="27">
        <v>100</v>
      </c>
      <c r="M363" s="31" t="s">
        <v>3520</v>
      </c>
      <c r="N363" s="18"/>
      <c r="O363" s="25">
        <v>28079.25</v>
      </c>
      <c r="P363" s="19">
        <f t="shared" si="20"/>
        <v>28079.25</v>
      </c>
      <c r="Q363" s="19">
        <f t="shared" si="21"/>
        <v>0</v>
      </c>
      <c r="R363" s="25">
        <v>18176.68</v>
      </c>
      <c r="S363" s="28">
        <v>46255.93</v>
      </c>
      <c r="T363" s="49">
        <f t="shared" si="22"/>
        <v>46255.93</v>
      </c>
      <c r="U363" s="49">
        <f t="shared" si="23"/>
        <v>0</v>
      </c>
    </row>
    <row r="364" spans="1:21" ht="17" thickBot="1" x14ac:dyDescent="0.25">
      <c r="A364" s="21" t="s">
        <v>2879</v>
      </c>
      <c r="B364" s="21" t="s">
        <v>2880</v>
      </c>
      <c r="C364" s="21" t="s">
        <v>65</v>
      </c>
      <c r="D364" s="21" t="s">
        <v>2539</v>
      </c>
      <c r="E364" s="22" t="s">
        <v>12</v>
      </c>
      <c r="F364" s="23" t="s">
        <v>2884</v>
      </c>
      <c r="G364" s="33" t="s">
        <v>14</v>
      </c>
      <c r="H364" s="18">
        <v>33425.599999999999</v>
      </c>
      <c r="I364" s="26" t="s">
        <v>14</v>
      </c>
      <c r="J364" s="25">
        <v>33937.160000000003</v>
      </c>
      <c r="K364" s="18">
        <v>1017.16</v>
      </c>
      <c r="L364" s="27">
        <v>1106.9100000000001</v>
      </c>
      <c r="M364" s="31" t="s">
        <v>3520</v>
      </c>
      <c r="N364" s="18"/>
      <c r="O364" s="25">
        <v>36061.230000000003</v>
      </c>
      <c r="P364" s="19">
        <f t="shared" si="20"/>
        <v>36061.23000000001</v>
      </c>
      <c r="Q364" s="19">
        <f t="shared" si="21"/>
        <v>-7.2759576141834259E-12</v>
      </c>
      <c r="R364" s="25">
        <v>9217.49</v>
      </c>
      <c r="S364" s="28">
        <v>45278.720000000001</v>
      </c>
      <c r="T364" s="49">
        <f t="shared" si="22"/>
        <v>45278.720000000001</v>
      </c>
      <c r="U364" s="49">
        <f t="shared" si="23"/>
        <v>0</v>
      </c>
    </row>
    <row r="365" spans="1:21" ht="17" thickBot="1" x14ac:dyDescent="0.25">
      <c r="A365" s="21" t="s">
        <v>1906</v>
      </c>
      <c r="B365" s="21" t="s">
        <v>368</v>
      </c>
      <c r="C365" s="21" t="s">
        <v>65</v>
      </c>
      <c r="D365" s="21" t="s">
        <v>594</v>
      </c>
      <c r="E365" s="22" t="s">
        <v>20</v>
      </c>
      <c r="F365" s="23" t="s">
        <v>1871</v>
      </c>
      <c r="G365" s="33" t="s">
        <v>14</v>
      </c>
      <c r="H365" s="18">
        <v>56971.199999999997</v>
      </c>
      <c r="I365" s="26" t="s">
        <v>14</v>
      </c>
      <c r="J365" s="25">
        <v>22085.38</v>
      </c>
      <c r="K365" s="18">
        <v>3121.14</v>
      </c>
      <c r="L365" s="27">
        <v>1120.5</v>
      </c>
      <c r="M365" s="31" t="s">
        <v>3520</v>
      </c>
      <c r="N365" s="18"/>
      <c r="O365" s="25">
        <v>26327.02</v>
      </c>
      <c r="P365" s="19">
        <f t="shared" si="20"/>
        <v>26327.02</v>
      </c>
      <c r="Q365" s="19">
        <f t="shared" si="21"/>
        <v>0</v>
      </c>
      <c r="R365" s="25">
        <v>18610.93</v>
      </c>
      <c r="S365" s="28">
        <v>44937.95</v>
      </c>
      <c r="T365" s="49">
        <f t="shared" si="22"/>
        <v>44937.95</v>
      </c>
      <c r="U365" s="49">
        <f t="shared" si="23"/>
        <v>0</v>
      </c>
    </row>
    <row r="366" spans="1:21" ht="17" thickBot="1" x14ac:dyDescent="0.25">
      <c r="A366" s="21" t="s">
        <v>1028</v>
      </c>
      <c r="B366" s="21" t="s">
        <v>2896</v>
      </c>
      <c r="C366" s="21" t="s">
        <v>1283</v>
      </c>
      <c r="D366" s="21" t="s">
        <v>2898</v>
      </c>
      <c r="E366" s="22" t="s">
        <v>12</v>
      </c>
      <c r="F366" s="23" t="s">
        <v>2900</v>
      </c>
      <c r="G366" s="33" t="s">
        <v>14</v>
      </c>
      <c r="H366" s="18">
        <v>34257.599999999999</v>
      </c>
      <c r="I366" s="26" t="s">
        <v>14</v>
      </c>
      <c r="J366" s="25">
        <v>34459.68</v>
      </c>
      <c r="K366" s="18">
        <v>643.24</v>
      </c>
      <c r="L366" s="27">
        <v>510</v>
      </c>
      <c r="M366" s="31" t="s">
        <v>3520</v>
      </c>
      <c r="N366" s="18"/>
      <c r="O366" s="25">
        <v>35612.92</v>
      </c>
      <c r="P366" s="19">
        <f t="shared" si="20"/>
        <v>35612.92</v>
      </c>
      <c r="Q366" s="19">
        <f t="shared" si="21"/>
        <v>0</v>
      </c>
      <c r="R366" s="25">
        <v>9106.86</v>
      </c>
      <c r="S366" s="28">
        <v>44719.78</v>
      </c>
      <c r="T366" s="49">
        <f t="shared" si="22"/>
        <v>44719.78</v>
      </c>
      <c r="U366" s="49">
        <f t="shared" si="23"/>
        <v>0</v>
      </c>
    </row>
    <row r="367" spans="1:21" ht="17" thickBot="1" x14ac:dyDescent="0.25">
      <c r="A367" s="21" t="s">
        <v>2903</v>
      </c>
      <c r="B367" s="21" t="s">
        <v>744</v>
      </c>
      <c r="C367" s="21" t="s">
        <v>513</v>
      </c>
      <c r="D367" s="21" t="s">
        <v>2906</v>
      </c>
      <c r="E367" s="22" t="s">
        <v>12</v>
      </c>
      <c r="F367" s="23" t="s">
        <v>2908</v>
      </c>
      <c r="G367" s="33" t="s">
        <v>14</v>
      </c>
      <c r="H367" s="18">
        <v>55170.96</v>
      </c>
      <c r="I367" s="26" t="s">
        <v>14</v>
      </c>
      <c r="J367" s="25">
        <v>29707.439999999999</v>
      </c>
      <c r="K367" s="18" t="s">
        <v>3520</v>
      </c>
      <c r="L367" s="27">
        <v>50</v>
      </c>
      <c r="M367" s="31" t="s">
        <v>3520</v>
      </c>
      <c r="N367" s="18"/>
      <c r="O367" s="25">
        <v>29757.439999999999</v>
      </c>
      <c r="P367" s="19">
        <f t="shared" si="20"/>
        <v>29757.439999999999</v>
      </c>
      <c r="Q367" s="19">
        <f t="shared" si="21"/>
        <v>0</v>
      </c>
      <c r="R367" s="25">
        <v>14256.9</v>
      </c>
      <c r="S367" s="28">
        <v>44014.34</v>
      </c>
      <c r="T367" s="49">
        <f t="shared" si="22"/>
        <v>44014.34</v>
      </c>
      <c r="U367" s="49">
        <f t="shared" si="23"/>
        <v>0</v>
      </c>
    </row>
    <row r="368" spans="1:21" ht="17" thickBot="1" x14ac:dyDescent="0.25">
      <c r="A368" s="21" t="s">
        <v>1345</v>
      </c>
      <c r="B368" s="21" t="s">
        <v>2912</v>
      </c>
      <c r="C368" s="21" t="s">
        <v>617</v>
      </c>
      <c r="D368" s="21" t="s">
        <v>2634</v>
      </c>
      <c r="E368" s="22" t="s">
        <v>12</v>
      </c>
      <c r="F368" s="23" t="s">
        <v>2916</v>
      </c>
      <c r="G368" s="33" t="s">
        <v>14</v>
      </c>
      <c r="H368" s="18">
        <v>58240</v>
      </c>
      <c r="I368" s="26" t="s">
        <v>14</v>
      </c>
      <c r="J368" s="25">
        <v>26955.32</v>
      </c>
      <c r="K368" s="18">
        <v>1597.04</v>
      </c>
      <c r="L368" s="27">
        <v>545</v>
      </c>
      <c r="M368" s="31" t="s">
        <v>3520</v>
      </c>
      <c r="N368" s="18"/>
      <c r="O368" s="25">
        <v>29097.360000000001</v>
      </c>
      <c r="P368" s="19">
        <f t="shared" si="20"/>
        <v>29097.360000000001</v>
      </c>
      <c r="Q368" s="19">
        <f t="shared" si="21"/>
        <v>0</v>
      </c>
      <c r="R368" s="25">
        <v>14064.46</v>
      </c>
      <c r="S368" s="28">
        <v>43161.82</v>
      </c>
      <c r="T368" s="49">
        <f t="shared" si="22"/>
        <v>43161.82</v>
      </c>
      <c r="U368" s="49">
        <f t="shared" si="23"/>
        <v>0</v>
      </c>
    </row>
    <row r="369" spans="1:21" ht="17" thickBot="1" x14ac:dyDescent="0.25">
      <c r="A369" s="21" t="s">
        <v>2919</v>
      </c>
      <c r="B369" s="21" t="s">
        <v>144</v>
      </c>
      <c r="C369" s="21" t="s">
        <v>281</v>
      </c>
      <c r="D369" s="21" t="s">
        <v>2922</v>
      </c>
      <c r="E369" s="22" t="s">
        <v>12</v>
      </c>
      <c r="F369" s="23" t="s">
        <v>284</v>
      </c>
      <c r="G369" s="33" t="s">
        <v>14</v>
      </c>
      <c r="H369" s="18">
        <v>78000</v>
      </c>
      <c r="I369" s="26" t="s">
        <v>14</v>
      </c>
      <c r="J369" s="25">
        <v>24115.88</v>
      </c>
      <c r="K369" s="18">
        <v>3935.29</v>
      </c>
      <c r="L369" s="27" t="s">
        <v>3520</v>
      </c>
      <c r="M369" s="31" t="s">
        <v>3520</v>
      </c>
      <c r="N369" s="18"/>
      <c r="O369" s="25">
        <v>28051.17</v>
      </c>
      <c r="P369" s="19">
        <f t="shared" si="20"/>
        <v>28051.170000000002</v>
      </c>
      <c r="Q369" s="19">
        <f t="shared" si="21"/>
        <v>-3.637978807091713E-12</v>
      </c>
      <c r="R369" s="25">
        <v>13904.02</v>
      </c>
      <c r="S369" s="28">
        <v>41955.19</v>
      </c>
      <c r="T369" s="49">
        <f t="shared" si="22"/>
        <v>41955.19</v>
      </c>
      <c r="U369" s="49">
        <f t="shared" si="23"/>
        <v>0</v>
      </c>
    </row>
    <row r="370" spans="1:21" ht="17" thickBot="1" x14ac:dyDescent="0.25">
      <c r="A370" s="21" t="s">
        <v>2927</v>
      </c>
      <c r="B370" s="21" t="s">
        <v>80</v>
      </c>
      <c r="C370" s="21" t="s">
        <v>18</v>
      </c>
      <c r="D370" s="21" t="s">
        <v>498</v>
      </c>
      <c r="E370" s="22" t="s">
        <v>20</v>
      </c>
      <c r="F370" s="23" t="s">
        <v>2932</v>
      </c>
      <c r="G370" s="34" t="s">
        <v>2933</v>
      </c>
      <c r="H370" s="18">
        <v>61651.72</v>
      </c>
      <c r="I370" s="25">
        <v>12241.31</v>
      </c>
      <c r="J370" s="25">
        <v>15944.75</v>
      </c>
      <c r="K370" s="18">
        <v>238.69</v>
      </c>
      <c r="L370" s="27">
        <v>2537.65</v>
      </c>
      <c r="M370" s="31" t="s">
        <v>3520</v>
      </c>
      <c r="N370" s="18"/>
      <c r="O370" s="25">
        <v>30962.400000000001</v>
      </c>
      <c r="P370" s="19">
        <f t="shared" si="20"/>
        <v>30962.399999999998</v>
      </c>
      <c r="Q370" s="19">
        <f t="shared" si="21"/>
        <v>3.637978807091713E-12</v>
      </c>
      <c r="R370" s="25">
        <v>10825.11</v>
      </c>
      <c r="S370" s="28">
        <v>41787.51</v>
      </c>
      <c r="T370" s="49">
        <f t="shared" si="22"/>
        <v>41787.51</v>
      </c>
      <c r="U370" s="49">
        <f t="shared" si="23"/>
        <v>0</v>
      </c>
    </row>
    <row r="371" spans="1:21" ht="17" thickBot="1" x14ac:dyDescent="0.25">
      <c r="A371" s="21" t="s">
        <v>1717</v>
      </c>
      <c r="B371" s="21" t="s">
        <v>128</v>
      </c>
      <c r="C371" s="21" t="s">
        <v>18</v>
      </c>
      <c r="D371" s="21" t="s">
        <v>498</v>
      </c>
      <c r="E371" s="22" t="s">
        <v>20</v>
      </c>
      <c r="F371" s="23" t="s">
        <v>516</v>
      </c>
      <c r="G371" s="34" t="s">
        <v>2940</v>
      </c>
      <c r="H371" s="18">
        <v>54238.080000000002</v>
      </c>
      <c r="I371" s="25">
        <v>1521.85</v>
      </c>
      <c r="J371" s="25">
        <v>24440.43</v>
      </c>
      <c r="K371" s="18">
        <v>575.5</v>
      </c>
      <c r="L371" s="27">
        <v>2006.4</v>
      </c>
      <c r="M371" s="31" t="s">
        <v>3520</v>
      </c>
      <c r="N371" s="18"/>
      <c r="O371" s="25">
        <v>28544.18</v>
      </c>
      <c r="P371" s="19">
        <f t="shared" si="20"/>
        <v>28544.18</v>
      </c>
      <c r="Q371" s="19">
        <f t="shared" si="21"/>
        <v>0</v>
      </c>
      <c r="R371" s="25">
        <v>13036.97</v>
      </c>
      <c r="S371" s="28">
        <v>41581.15</v>
      </c>
      <c r="T371" s="49">
        <f t="shared" si="22"/>
        <v>41581.15</v>
      </c>
      <c r="U371" s="49">
        <f t="shared" si="23"/>
        <v>0</v>
      </c>
    </row>
    <row r="372" spans="1:21" ht="17" thickBot="1" x14ac:dyDescent="0.25">
      <c r="A372" s="21" t="s">
        <v>2941</v>
      </c>
      <c r="B372" s="21" t="s">
        <v>440</v>
      </c>
      <c r="C372" s="21" t="s">
        <v>18</v>
      </c>
      <c r="D372" s="21" t="s">
        <v>498</v>
      </c>
      <c r="E372" s="22" t="s">
        <v>20</v>
      </c>
      <c r="F372" s="23" t="s">
        <v>2708</v>
      </c>
      <c r="G372" s="33" t="s">
        <v>14</v>
      </c>
      <c r="H372" s="18">
        <v>52556.92</v>
      </c>
      <c r="I372" s="26" t="s">
        <v>14</v>
      </c>
      <c r="J372" s="25">
        <v>26035.72</v>
      </c>
      <c r="K372" s="18">
        <v>876.35</v>
      </c>
      <c r="L372" s="27">
        <v>803.95</v>
      </c>
      <c r="M372" s="31" t="s">
        <v>3520</v>
      </c>
      <c r="N372" s="18"/>
      <c r="O372" s="25">
        <v>27716.02</v>
      </c>
      <c r="P372" s="19">
        <f t="shared" si="20"/>
        <v>27716.02</v>
      </c>
      <c r="Q372" s="19">
        <f t="shared" si="21"/>
        <v>0</v>
      </c>
      <c r="R372" s="25">
        <v>13850.4</v>
      </c>
      <c r="S372" s="28">
        <v>41566.42</v>
      </c>
      <c r="T372" s="49">
        <f t="shared" si="22"/>
        <v>41566.42</v>
      </c>
      <c r="U372" s="49">
        <f t="shared" si="23"/>
        <v>0</v>
      </c>
    </row>
    <row r="373" spans="1:21" ht="17" thickBot="1" x14ac:dyDescent="0.25">
      <c r="A373" s="21" t="s">
        <v>2949</v>
      </c>
      <c r="B373" s="21" t="s">
        <v>2950</v>
      </c>
      <c r="C373" s="21" t="s">
        <v>65</v>
      </c>
      <c r="D373" s="21" t="s">
        <v>594</v>
      </c>
      <c r="E373" s="22" t="s">
        <v>20</v>
      </c>
      <c r="F373" s="23" t="s">
        <v>2954</v>
      </c>
      <c r="G373" s="34" t="s">
        <v>2955</v>
      </c>
      <c r="H373" s="18">
        <v>64729.599999999999</v>
      </c>
      <c r="I373" s="25">
        <v>4529.5200000000004</v>
      </c>
      <c r="J373" s="25">
        <v>20743.849999999999</v>
      </c>
      <c r="K373" s="18">
        <v>2568.3000000000002</v>
      </c>
      <c r="L373" s="27">
        <v>3107.72</v>
      </c>
      <c r="M373" s="31" t="s">
        <v>3520</v>
      </c>
      <c r="N373" s="18"/>
      <c r="O373" s="25">
        <v>30949.39</v>
      </c>
      <c r="P373" s="19">
        <f t="shared" si="20"/>
        <v>30949.39</v>
      </c>
      <c r="Q373" s="19">
        <f t="shared" si="21"/>
        <v>0</v>
      </c>
      <c r="R373" s="25">
        <v>10473.969999999999</v>
      </c>
      <c r="S373" s="28">
        <v>41423.360000000001</v>
      </c>
      <c r="T373" s="49">
        <f t="shared" si="22"/>
        <v>41423.360000000001</v>
      </c>
      <c r="U373" s="49">
        <f t="shared" si="23"/>
        <v>0</v>
      </c>
    </row>
    <row r="374" spans="1:21" ht="17" thickBot="1" x14ac:dyDescent="0.25">
      <c r="A374" s="21" t="s">
        <v>2956</v>
      </c>
      <c r="B374" s="21" t="s">
        <v>2957</v>
      </c>
      <c r="C374" s="21" t="s">
        <v>65</v>
      </c>
      <c r="D374" s="21" t="s">
        <v>594</v>
      </c>
      <c r="E374" s="22" t="s">
        <v>20</v>
      </c>
      <c r="F374" s="23" t="s">
        <v>2369</v>
      </c>
      <c r="G374" s="34" t="s">
        <v>2962</v>
      </c>
      <c r="H374" s="18">
        <v>55161.599999999999</v>
      </c>
      <c r="I374" s="25">
        <v>981.24</v>
      </c>
      <c r="J374" s="25">
        <v>23113.24</v>
      </c>
      <c r="K374" s="18">
        <v>2041.12</v>
      </c>
      <c r="L374" s="27">
        <v>75.400000000000006</v>
      </c>
      <c r="M374" s="31" t="s">
        <v>3520</v>
      </c>
      <c r="N374" s="18"/>
      <c r="O374" s="18">
        <v>26211</v>
      </c>
      <c r="P374" s="19">
        <f t="shared" si="20"/>
        <v>26211.000000000004</v>
      </c>
      <c r="Q374" s="19">
        <f t="shared" si="21"/>
        <v>-3.637978807091713E-12</v>
      </c>
      <c r="R374" s="25">
        <v>15172.57</v>
      </c>
      <c r="S374" s="28">
        <v>41383.57</v>
      </c>
      <c r="T374" s="49">
        <f t="shared" si="22"/>
        <v>41383.57</v>
      </c>
      <c r="U374" s="49">
        <f t="shared" si="23"/>
        <v>0</v>
      </c>
    </row>
    <row r="375" spans="1:21" ht="17" thickBot="1" x14ac:dyDescent="0.25">
      <c r="A375" s="21" t="s">
        <v>375</v>
      </c>
      <c r="B375" s="21" t="s">
        <v>2248</v>
      </c>
      <c r="C375" s="21" t="s">
        <v>145</v>
      </c>
      <c r="D375" s="21" t="s">
        <v>2036</v>
      </c>
      <c r="E375" s="22" t="s">
        <v>12</v>
      </c>
      <c r="F375" s="23" t="s">
        <v>2141</v>
      </c>
      <c r="G375" s="34" t="s">
        <v>2969</v>
      </c>
      <c r="H375" s="25">
        <v>39956.800000000003</v>
      </c>
      <c r="I375" s="25">
        <v>80.3</v>
      </c>
      <c r="J375" s="25">
        <v>23244.560000000001</v>
      </c>
      <c r="K375" s="18">
        <v>410.33</v>
      </c>
      <c r="L375" s="27">
        <v>248.33</v>
      </c>
      <c r="M375" s="31" t="s">
        <v>3520</v>
      </c>
      <c r="N375" s="18"/>
      <c r="O375" s="25">
        <v>23983.52</v>
      </c>
      <c r="P375" s="19">
        <f t="shared" si="20"/>
        <v>23983.520000000004</v>
      </c>
      <c r="Q375" s="19">
        <f t="shared" si="21"/>
        <v>-3.637978807091713E-12</v>
      </c>
      <c r="R375" s="25">
        <v>16825.189999999999</v>
      </c>
      <c r="S375" s="28">
        <v>40808.71</v>
      </c>
      <c r="T375" s="49">
        <f t="shared" si="22"/>
        <v>40808.71</v>
      </c>
      <c r="U375" s="49">
        <f t="shared" si="23"/>
        <v>0</v>
      </c>
    </row>
    <row r="376" spans="1:21" ht="17" thickBot="1" x14ac:dyDescent="0.25">
      <c r="A376" s="21" t="s">
        <v>2970</v>
      </c>
      <c r="B376" s="21" t="s">
        <v>96</v>
      </c>
      <c r="C376" s="21" t="s">
        <v>2507</v>
      </c>
      <c r="D376" s="21" t="s">
        <v>2973</v>
      </c>
      <c r="E376" s="22" t="s">
        <v>12</v>
      </c>
      <c r="F376" s="23" t="s">
        <v>2369</v>
      </c>
      <c r="G376" s="33" t="s">
        <v>14</v>
      </c>
      <c r="H376" s="25">
        <v>37689.599999999999</v>
      </c>
      <c r="I376" s="26" t="s">
        <v>14</v>
      </c>
      <c r="J376" s="25">
        <v>22447.78</v>
      </c>
      <c r="K376" s="18">
        <v>3421.7</v>
      </c>
      <c r="L376" s="27" t="s">
        <v>3520</v>
      </c>
      <c r="M376" s="31" t="s">
        <v>3520</v>
      </c>
      <c r="N376" s="18"/>
      <c r="O376" s="25">
        <v>25869.48</v>
      </c>
      <c r="P376" s="19">
        <f t="shared" si="20"/>
        <v>25869.48</v>
      </c>
      <c r="Q376" s="19">
        <f t="shared" si="21"/>
        <v>0</v>
      </c>
      <c r="R376" s="25">
        <v>13276.82</v>
      </c>
      <c r="S376" s="28">
        <v>39146.300000000003</v>
      </c>
      <c r="T376" s="49">
        <f t="shared" si="22"/>
        <v>39146.300000000003</v>
      </c>
      <c r="U376" s="49">
        <f t="shared" si="23"/>
        <v>0</v>
      </c>
    </row>
    <row r="377" spans="1:21" ht="17" thickBot="1" x14ac:dyDescent="0.25">
      <c r="A377" s="21" t="s">
        <v>2978</v>
      </c>
      <c r="B377" s="21" t="s">
        <v>760</v>
      </c>
      <c r="C377" s="21" t="s">
        <v>65</v>
      </c>
      <c r="D377" s="21" t="s">
        <v>2516</v>
      </c>
      <c r="E377" s="22" t="s">
        <v>12</v>
      </c>
      <c r="F377" s="23" t="s">
        <v>148</v>
      </c>
      <c r="G377" s="33" t="s">
        <v>14</v>
      </c>
      <c r="H377" s="25">
        <v>35360</v>
      </c>
      <c r="I377" s="26" t="s">
        <v>14</v>
      </c>
      <c r="J377" s="25">
        <v>29986.3</v>
      </c>
      <c r="K377" s="18">
        <v>544.71</v>
      </c>
      <c r="L377" s="27">
        <v>102.51</v>
      </c>
      <c r="M377" s="31" t="s">
        <v>3520</v>
      </c>
      <c r="N377" s="18"/>
      <c r="O377" s="25">
        <v>30633.52</v>
      </c>
      <c r="P377" s="19">
        <f t="shared" si="20"/>
        <v>30633.519999999997</v>
      </c>
      <c r="Q377" s="19">
        <f t="shared" si="21"/>
        <v>3.637978807091713E-12</v>
      </c>
      <c r="R377" s="25">
        <v>8106.32</v>
      </c>
      <c r="S377" s="28">
        <v>38739.839999999997</v>
      </c>
      <c r="T377" s="49">
        <f t="shared" si="22"/>
        <v>38739.839999999997</v>
      </c>
      <c r="U377" s="49">
        <f t="shared" si="23"/>
        <v>0</v>
      </c>
    </row>
    <row r="378" spans="1:21" ht="17" thickBot="1" x14ac:dyDescent="0.25">
      <c r="A378" s="21" t="s">
        <v>2986</v>
      </c>
      <c r="B378" s="21" t="s">
        <v>2987</v>
      </c>
      <c r="C378" s="21" t="s">
        <v>1283</v>
      </c>
      <c r="D378" s="21" t="s">
        <v>2898</v>
      </c>
      <c r="E378" s="22" t="s">
        <v>12</v>
      </c>
      <c r="F378" s="23" t="s">
        <v>1573</v>
      </c>
      <c r="G378" s="33" t="s">
        <v>14</v>
      </c>
      <c r="H378" s="25">
        <v>32136</v>
      </c>
      <c r="I378" s="26" t="s">
        <v>14</v>
      </c>
      <c r="J378" s="25">
        <v>29674.83</v>
      </c>
      <c r="K378" s="18">
        <v>1055.18</v>
      </c>
      <c r="L378" s="27" t="s">
        <v>3520</v>
      </c>
      <c r="M378" s="31" t="s">
        <v>3520</v>
      </c>
      <c r="N378" s="18"/>
      <c r="O378" s="25">
        <v>30730.01</v>
      </c>
      <c r="P378" s="19">
        <f t="shared" si="20"/>
        <v>30730.010000000002</v>
      </c>
      <c r="Q378" s="19">
        <f t="shared" si="21"/>
        <v>-3.637978807091713E-12</v>
      </c>
      <c r="R378" s="25">
        <v>7568.37</v>
      </c>
      <c r="S378" s="28">
        <v>38298.379999999997</v>
      </c>
      <c r="T378" s="49">
        <f t="shared" si="22"/>
        <v>38298.379999999997</v>
      </c>
      <c r="U378" s="49">
        <f t="shared" si="23"/>
        <v>0</v>
      </c>
    </row>
    <row r="379" spans="1:21" ht="17" thickBot="1" x14ac:dyDescent="0.25">
      <c r="A379" s="21" t="s">
        <v>2994</v>
      </c>
      <c r="B379" s="21" t="s">
        <v>2995</v>
      </c>
      <c r="C379" s="21" t="s">
        <v>81</v>
      </c>
      <c r="D379" s="21" t="s">
        <v>378</v>
      </c>
      <c r="E379" s="22" t="s">
        <v>20</v>
      </c>
      <c r="F379" s="23" t="s">
        <v>1755</v>
      </c>
      <c r="G379" s="33" t="s">
        <v>14</v>
      </c>
      <c r="H379" s="25">
        <v>54497.78</v>
      </c>
      <c r="I379" s="26" t="s">
        <v>14</v>
      </c>
      <c r="J379" s="25">
        <v>14188.01</v>
      </c>
      <c r="K379" s="18">
        <v>3211.51</v>
      </c>
      <c r="L379" s="27" t="s">
        <v>3520</v>
      </c>
      <c r="M379" s="31" t="s">
        <v>3520</v>
      </c>
      <c r="N379" s="18"/>
      <c r="O379" s="25">
        <v>17399.52</v>
      </c>
      <c r="P379" s="19">
        <f t="shared" si="20"/>
        <v>17399.52</v>
      </c>
      <c r="Q379" s="19">
        <f t="shared" si="21"/>
        <v>0</v>
      </c>
      <c r="R379" s="25">
        <v>20156.810000000001</v>
      </c>
      <c r="S379" s="28">
        <v>37556.33</v>
      </c>
      <c r="T379" s="49">
        <f t="shared" si="22"/>
        <v>37556.33</v>
      </c>
      <c r="U379" s="49">
        <f t="shared" si="23"/>
        <v>0</v>
      </c>
    </row>
    <row r="380" spans="1:21" ht="17" thickBot="1" x14ac:dyDescent="0.25">
      <c r="A380" s="21" t="s">
        <v>3002</v>
      </c>
      <c r="B380" s="21" t="s">
        <v>3003</v>
      </c>
      <c r="C380" s="21" t="s">
        <v>886</v>
      </c>
      <c r="D380" s="21" t="s">
        <v>3005</v>
      </c>
      <c r="E380" s="22" t="s">
        <v>12</v>
      </c>
      <c r="F380" s="23" t="s">
        <v>2781</v>
      </c>
      <c r="G380" s="34" t="s">
        <v>1646</v>
      </c>
      <c r="H380" s="25">
        <v>37440</v>
      </c>
      <c r="I380" s="25">
        <v>392.76</v>
      </c>
      <c r="J380" s="25">
        <v>24233.94</v>
      </c>
      <c r="K380" s="18">
        <v>612.76</v>
      </c>
      <c r="L380" s="27">
        <v>150</v>
      </c>
      <c r="M380" s="31" t="s">
        <v>3520</v>
      </c>
      <c r="N380" s="18"/>
      <c r="O380" s="18">
        <v>25389.46</v>
      </c>
      <c r="P380" s="19">
        <f t="shared" si="20"/>
        <v>25389.459999999995</v>
      </c>
      <c r="Q380" s="19">
        <f t="shared" si="21"/>
        <v>3.637978807091713E-12</v>
      </c>
      <c r="R380" s="25">
        <v>12140.88</v>
      </c>
      <c r="S380" s="28">
        <v>37530.339999999997</v>
      </c>
      <c r="T380" s="49">
        <f t="shared" si="22"/>
        <v>37530.339999999997</v>
      </c>
      <c r="U380" s="49">
        <f t="shared" si="23"/>
        <v>0</v>
      </c>
    </row>
    <row r="381" spans="1:21" ht="17" thickBot="1" x14ac:dyDescent="0.25">
      <c r="A381" s="21" t="s">
        <v>246</v>
      </c>
      <c r="B381" s="21" t="s">
        <v>255</v>
      </c>
      <c r="C381" s="21" t="s">
        <v>129</v>
      </c>
      <c r="D381" s="21" t="s">
        <v>1523</v>
      </c>
      <c r="E381" s="22" t="s">
        <v>12</v>
      </c>
      <c r="F381" s="23" t="s">
        <v>3014</v>
      </c>
      <c r="G381" s="33" t="s">
        <v>14</v>
      </c>
      <c r="H381" s="25">
        <v>39728</v>
      </c>
      <c r="I381" s="26" t="s">
        <v>14</v>
      </c>
      <c r="J381" s="25">
        <v>29622.560000000001</v>
      </c>
      <c r="K381" s="18">
        <v>525.84</v>
      </c>
      <c r="L381" s="27" t="s">
        <v>3520</v>
      </c>
      <c r="M381" s="31" t="s">
        <v>3520</v>
      </c>
      <c r="N381" s="18"/>
      <c r="O381" s="25">
        <v>30148.400000000001</v>
      </c>
      <c r="P381" s="19">
        <f t="shared" si="20"/>
        <v>30148.400000000001</v>
      </c>
      <c r="Q381" s="19">
        <f t="shared" si="21"/>
        <v>0</v>
      </c>
      <c r="R381" s="25">
        <v>7265.12</v>
      </c>
      <c r="S381" s="28">
        <v>37413.519999999997</v>
      </c>
      <c r="T381" s="49">
        <f t="shared" si="22"/>
        <v>37413.520000000004</v>
      </c>
      <c r="U381" s="49">
        <f t="shared" si="23"/>
        <v>-7.2759576141834259E-12</v>
      </c>
    </row>
    <row r="382" spans="1:21" ht="17" thickBot="1" x14ac:dyDescent="0.25">
      <c r="A382" s="21" t="s">
        <v>3017</v>
      </c>
      <c r="B382" s="21" t="s">
        <v>3018</v>
      </c>
      <c r="C382" s="21" t="s">
        <v>1442</v>
      </c>
      <c r="D382" s="21" t="s">
        <v>3020</v>
      </c>
      <c r="E382" s="22" t="s">
        <v>12</v>
      </c>
      <c r="F382" s="23" t="s">
        <v>1730</v>
      </c>
      <c r="G382" s="34" t="s">
        <v>2331</v>
      </c>
      <c r="H382" s="25">
        <v>35651.199999999997</v>
      </c>
      <c r="I382" s="25">
        <v>529.28</v>
      </c>
      <c r="J382" s="25">
        <v>20517.400000000001</v>
      </c>
      <c r="K382" s="18">
        <v>171.3</v>
      </c>
      <c r="L382" s="27">
        <v>163.33000000000001</v>
      </c>
      <c r="M382" s="31" t="s">
        <v>3520</v>
      </c>
      <c r="N382" s="18"/>
      <c r="O382" s="18">
        <v>21381.31</v>
      </c>
      <c r="P382" s="19">
        <f t="shared" si="20"/>
        <v>21381.31</v>
      </c>
      <c r="Q382" s="19">
        <f t="shared" si="21"/>
        <v>0</v>
      </c>
      <c r="R382" s="25">
        <v>15366.99</v>
      </c>
      <c r="S382" s="28">
        <v>36748.300000000003</v>
      </c>
      <c r="T382" s="49">
        <f t="shared" si="22"/>
        <v>36748.300000000003</v>
      </c>
      <c r="U382" s="49">
        <f t="shared" si="23"/>
        <v>0</v>
      </c>
    </row>
    <row r="383" spans="1:21" ht="17" thickBot="1" x14ac:dyDescent="0.25">
      <c r="A383" s="21" t="s">
        <v>3024</v>
      </c>
      <c r="B383" s="21" t="s">
        <v>3025</v>
      </c>
      <c r="C383" s="21" t="s">
        <v>256</v>
      </c>
      <c r="D383" s="21" t="s">
        <v>2005</v>
      </c>
      <c r="E383" s="22" t="s">
        <v>12</v>
      </c>
      <c r="F383" s="23" t="s">
        <v>3029</v>
      </c>
      <c r="G383" s="33" t="s">
        <v>14</v>
      </c>
      <c r="H383" s="25">
        <v>16712.8</v>
      </c>
      <c r="I383" s="26" t="s">
        <v>14</v>
      </c>
      <c r="J383" s="25">
        <v>23925.98</v>
      </c>
      <c r="K383" s="18">
        <v>31.57</v>
      </c>
      <c r="L383" s="27" t="s">
        <v>3520</v>
      </c>
      <c r="M383" s="31" t="s">
        <v>3520</v>
      </c>
      <c r="N383" s="18"/>
      <c r="O383" s="25">
        <v>23957.55</v>
      </c>
      <c r="P383" s="19">
        <f t="shared" si="20"/>
        <v>23957.55</v>
      </c>
      <c r="Q383" s="19">
        <f t="shared" si="21"/>
        <v>0</v>
      </c>
      <c r="R383" s="25">
        <v>12717.15</v>
      </c>
      <c r="S383" s="28">
        <v>36674.699999999997</v>
      </c>
      <c r="T383" s="49">
        <f t="shared" si="22"/>
        <v>36674.699999999997</v>
      </c>
      <c r="U383" s="49">
        <f t="shared" si="23"/>
        <v>0</v>
      </c>
    </row>
    <row r="384" spans="1:21" ht="17" thickBot="1" x14ac:dyDescent="0.25">
      <c r="A384" s="21" t="s">
        <v>1795</v>
      </c>
      <c r="B384" s="21" t="s">
        <v>3033</v>
      </c>
      <c r="C384" s="21" t="s">
        <v>1260</v>
      </c>
      <c r="D384" s="21" t="s">
        <v>1736</v>
      </c>
      <c r="E384" s="22" t="s">
        <v>12</v>
      </c>
      <c r="F384" s="23" t="s">
        <v>3037</v>
      </c>
      <c r="G384" s="33" t="s">
        <v>14</v>
      </c>
      <c r="H384" s="25">
        <v>47507.199999999997</v>
      </c>
      <c r="I384" s="26" t="s">
        <v>14</v>
      </c>
      <c r="J384" s="25">
        <v>17943.79</v>
      </c>
      <c r="K384" s="18">
        <v>1001.48</v>
      </c>
      <c r="L384" s="27">
        <v>50</v>
      </c>
      <c r="M384" s="31" t="s">
        <v>3520</v>
      </c>
      <c r="N384" s="18"/>
      <c r="O384" s="25">
        <v>18995.27</v>
      </c>
      <c r="P384" s="19">
        <f t="shared" si="20"/>
        <v>18995.27</v>
      </c>
      <c r="Q384" s="19">
        <f t="shared" si="21"/>
        <v>0</v>
      </c>
      <c r="R384" s="25">
        <v>17418.830000000002</v>
      </c>
      <c r="S384" s="28">
        <v>36414.1</v>
      </c>
      <c r="T384" s="49">
        <f t="shared" si="22"/>
        <v>36414.100000000006</v>
      </c>
      <c r="U384" s="49">
        <f t="shared" si="23"/>
        <v>-7.2759576141834259E-12</v>
      </c>
    </row>
    <row r="385" spans="1:21" ht="17" thickBot="1" x14ac:dyDescent="0.25">
      <c r="A385" s="21" t="s">
        <v>3040</v>
      </c>
      <c r="B385" s="21" t="s">
        <v>3041</v>
      </c>
      <c r="C385" s="21" t="s">
        <v>1283</v>
      </c>
      <c r="D385" s="21" t="s">
        <v>2898</v>
      </c>
      <c r="E385" s="22" t="s">
        <v>12</v>
      </c>
      <c r="F385" s="23" t="s">
        <v>2580</v>
      </c>
      <c r="G385" s="34" t="s">
        <v>3046</v>
      </c>
      <c r="H385" s="25">
        <v>36337.599999999999</v>
      </c>
      <c r="I385" s="25">
        <v>311.49</v>
      </c>
      <c r="J385" s="25">
        <v>22212.69</v>
      </c>
      <c r="K385" s="18">
        <v>164.32</v>
      </c>
      <c r="L385" s="27">
        <v>1254</v>
      </c>
      <c r="M385" s="31" t="s">
        <v>3520</v>
      </c>
      <c r="N385" s="18"/>
      <c r="O385" s="18">
        <v>23942.5</v>
      </c>
      <c r="P385" s="19">
        <f t="shared" si="20"/>
        <v>23942.5</v>
      </c>
      <c r="Q385" s="19">
        <f t="shared" si="21"/>
        <v>0</v>
      </c>
      <c r="R385" s="25">
        <v>11995.84</v>
      </c>
      <c r="S385" s="28">
        <v>35938.339999999997</v>
      </c>
      <c r="T385" s="49">
        <f t="shared" si="22"/>
        <v>35938.339999999997</v>
      </c>
      <c r="U385" s="49">
        <f t="shared" si="23"/>
        <v>0</v>
      </c>
    </row>
    <row r="386" spans="1:21" ht="17" thickBot="1" x14ac:dyDescent="0.25">
      <c r="A386" s="21" t="s">
        <v>303</v>
      </c>
      <c r="B386" s="21" t="s">
        <v>3048</v>
      </c>
      <c r="C386" s="21" t="s">
        <v>1323</v>
      </c>
      <c r="D386" s="21" t="s">
        <v>3050</v>
      </c>
      <c r="E386" s="22" t="s">
        <v>12</v>
      </c>
      <c r="F386" s="23" t="s">
        <v>2061</v>
      </c>
      <c r="G386" s="33" t="s">
        <v>14</v>
      </c>
      <c r="H386" s="25">
        <v>40040</v>
      </c>
      <c r="I386" s="26" t="s">
        <v>14</v>
      </c>
      <c r="J386" s="25">
        <v>26756.21</v>
      </c>
      <c r="K386" s="18">
        <v>72.489999999999995</v>
      </c>
      <c r="L386" s="27" t="s">
        <v>3520</v>
      </c>
      <c r="M386" s="31" t="s">
        <v>3520</v>
      </c>
      <c r="N386" s="18"/>
      <c r="O386" s="25">
        <v>26828.7</v>
      </c>
      <c r="P386" s="19">
        <f t="shared" si="20"/>
        <v>26828.7</v>
      </c>
      <c r="Q386" s="19">
        <f t="shared" si="21"/>
        <v>0</v>
      </c>
      <c r="R386" s="25">
        <v>6651.96</v>
      </c>
      <c r="S386" s="28">
        <v>33480.660000000003</v>
      </c>
      <c r="T386" s="49">
        <f t="shared" si="22"/>
        <v>33480.660000000003</v>
      </c>
      <c r="U386" s="49">
        <f t="shared" si="23"/>
        <v>0</v>
      </c>
    </row>
    <row r="387" spans="1:21" ht="17" thickBot="1" x14ac:dyDescent="0.25">
      <c r="A387" s="21" t="s">
        <v>3055</v>
      </c>
      <c r="B387" s="21" t="s">
        <v>223</v>
      </c>
      <c r="C387" s="21" t="s">
        <v>1315</v>
      </c>
      <c r="D387" s="21" t="s">
        <v>2250</v>
      </c>
      <c r="E387" s="22" t="s">
        <v>12</v>
      </c>
      <c r="F387" s="23" t="s">
        <v>2908</v>
      </c>
      <c r="G387" s="33" t="s">
        <v>14</v>
      </c>
      <c r="H387" s="25">
        <v>33280</v>
      </c>
      <c r="I387" s="26" t="s">
        <v>14</v>
      </c>
      <c r="J387" s="25">
        <v>18320.96</v>
      </c>
      <c r="K387" s="18">
        <v>1931.34</v>
      </c>
      <c r="L387" s="27">
        <v>380.8</v>
      </c>
      <c r="M387" s="31" t="s">
        <v>3520</v>
      </c>
      <c r="N387" s="18"/>
      <c r="O387" s="25">
        <v>20633.099999999999</v>
      </c>
      <c r="P387" s="19">
        <f t="shared" ref="P387:P450" si="24">SUM(I387:N387)</f>
        <v>20633.099999999999</v>
      </c>
      <c r="Q387" s="19">
        <f t="shared" ref="Q387:Q450" si="25">SUM(O387-P387)</f>
        <v>0</v>
      </c>
      <c r="R387" s="25">
        <v>11984.42</v>
      </c>
      <c r="S387" s="28">
        <v>32617.52</v>
      </c>
      <c r="T387" s="49">
        <f t="shared" ref="T387:T450" si="26">SUM(O387+R387)</f>
        <v>32617.519999999997</v>
      </c>
      <c r="U387" s="49">
        <f t="shared" ref="U387:U450" si="27">SUM(S387-T387)</f>
        <v>3.637978807091713E-12</v>
      </c>
    </row>
    <row r="388" spans="1:21" ht="17" thickBot="1" x14ac:dyDescent="0.25">
      <c r="A388" s="21" t="s">
        <v>3063</v>
      </c>
      <c r="B388" s="21" t="s">
        <v>3064</v>
      </c>
      <c r="C388" s="21" t="s">
        <v>137</v>
      </c>
      <c r="D388" s="21" t="s">
        <v>2305</v>
      </c>
      <c r="E388" s="22" t="s">
        <v>12</v>
      </c>
      <c r="F388" s="23" t="s">
        <v>2377</v>
      </c>
      <c r="G388" s="34" t="s">
        <v>3069</v>
      </c>
      <c r="H388" s="25">
        <v>42640</v>
      </c>
      <c r="I388" s="25">
        <v>856.29</v>
      </c>
      <c r="J388" s="25">
        <v>24091.06</v>
      </c>
      <c r="K388" s="18">
        <v>452.59</v>
      </c>
      <c r="L388" s="27">
        <v>350</v>
      </c>
      <c r="M388" s="31" t="s">
        <v>3520</v>
      </c>
      <c r="N388" s="18"/>
      <c r="O388" s="18">
        <v>25749.94</v>
      </c>
      <c r="P388" s="19">
        <f t="shared" si="24"/>
        <v>25749.940000000002</v>
      </c>
      <c r="Q388" s="19">
        <f t="shared" si="25"/>
        <v>-3.637978807091713E-12</v>
      </c>
      <c r="R388" s="25">
        <v>6662.56</v>
      </c>
      <c r="S388" s="28">
        <v>32412.5</v>
      </c>
      <c r="T388" s="49">
        <f t="shared" si="26"/>
        <v>32412.5</v>
      </c>
      <c r="U388" s="49">
        <f t="shared" si="27"/>
        <v>0</v>
      </c>
    </row>
    <row r="389" spans="1:21" ht="17" thickBot="1" x14ac:dyDescent="0.25">
      <c r="A389" s="21" t="s">
        <v>3070</v>
      </c>
      <c r="B389" s="21" t="s">
        <v>1561</v>
      </c>
      <c r="C389" s="21" t="s">
        <v>2507</v>
      </c>
      <c r="D389" s="21" t="s">
        <v>2524</v>
      </c>
      <c r="E389" s="22" t="s">
        <v>12</v>
      </c>
      <c r="F389" s="23" t="s">
        <v>2908</v>
      </c>
      <c r="G389" s="33" t="s">
        <v>14</v>
      </c>
      <c r="H389" s="25">
        <v>32323.200000000001</v>
      </c>
      <c r="I389" s="26" t="s">
        <v>14</v>
      </c>
      <c r="J389" s="25">
        <v>17691.97</v>
      </c>
      <c r="K389" s="18">
        <v>2085.29</v>
      </c>
      <c r="L389" s="27">
        <v>430.8</v>
      </c>
      <c r="M389" s="31" t="s">
        <v>3520</v>
      </c>
      <c r="N389" s="18"/>
      <c r="O389" s="25">
        <v>20208.060000000001</v>
      </c>
      <c r="P389" s="19">
        <f t="shared" si="24"/>
        <v>20208.060000000001</v>
      </c>
      <c r="Q389" s="19">
        <f t="shared" si="25"/>
        <v>0</v>
      </c>
      <c r="R389" s="25">
        <v>12060.17</v>
      </c>
      <c r="S389" s="28">
        <v>32268.23</v>
      </c>
      <c r="T389" s="49">
        <f t="shared" si="26"/>
        <v>32268.230000000003</v>
      </c>
      <c r="U389" s="49">
        <f t="shared" si="27"/>
        <v>-3.637978807091713E-12</v>
      </c>
    </row>
    <row r="390" spans="1:21" ht="17" thickBot="1" x14ac:dyDescent="0.25">
      <c r="A390" s="21" t="s">
        <v>3078</v>
      </c>
      <c r="B390" s="21" t="s">
        <v>3079</v>
      </c>
      <c r="C390" s="21" t="s">
        <v>926</v>
      </c>
      <c r="D390" s="21" t="s">
        <v>927</v>
      </c>
      <c r="E390" s="22" t="s">
        <v>12</v>
      </c>
      <c r="F390" s="23" t="s">
        <v>3083</v>
      </c>
      <c r="G390" s="34" t="s">
        <v>3084</v>
      </c>
      <c r="H390" s="25">
        <v>99452.86</v>
      </c>
      <c r="I390" s="25">
        <v>15393.86</v>
      </c>
      <c r="J390" s="18">
        <v>7650.22</v>
      </c>
      <c r="K390" s="18" t="s">
        <v>3520</v>
      </c>
      <c r="L390" s="30">
        <v>1958</v>
      </c>
      <c r="M390" s="31" t="s">
        <v>3520</v>
      </c>
      <c r="N390" s="18"/>
      <c r="O390" s="25">
        <v>25002.080000000002</v>
      </c>
      <c r="P390" s="19">
        <f t="shared" si="24"/>
        <v>25002.080000000002</v>
      </c>
      <c r="Q390" s="19">
        <f t="shared" si="25"/>
        <v>0</v>
      </c>
      <c r="R390" s="25">
        <v>6762.69</v>
      </c>
      <c r="S390" s="28">
        <v>31764.77</v>
      </c>
      <c r="T390" s="49">
        <f t="shared" si="26"/>
        <v>31764.77</v>
      </c>
      <c r="U390" s="49">
        <f t="shared" si="27"/>
        <v>0</v>
      </c>
    </row>
    <row r="391" spans="1:21" ht="17" thickBot="1" x14ac:dyDescent="0.25">
      <c r="A391" s="21" t="s">
        <v>3085</v>
      </c>
      <c r="B391" s="21" t="s">
        <v>17</v>
      </c>
      <c r="C391" s="21" t="s">
        <v>886</v>
      </c>
      <c r="D391" s="21" t="s">
        <v>3088</v>
      </c>
      <c r="E391" s="22" t="s">
        <v>12</v>
      </c>
      <c r="F391" s="23" t="s">
        <v>2884</v>
      </c>
      <c r="G391" s="34" t="s">
        <v>2061</v>
      </c>
      <c r="H391" s="25">
        <v>78217.62</v>
      </c>
      <c r="I391" s="25">
        <v>496.38</v>
      </c>
      <c r="J391" s="18">
        <v>24251.26</v>
      </c>
      <c r="K391" s="18" t="s">
        <v>3520</v>
      </c>
      <c r="L391" s="27">
        <v>543.33000000000004</v>
      </c>
      <c r="M391" s="31" t="s">
        <v>3520</v>
      </c>
      <c r="N391" s="18"/>
      <c r="O391" s="25">
        <v>25290.97</v>
      </c>
      <c r="P391" s="19">
        <f t="shared" si="24"/>
        <v>25290.97</v>
      </c>
      <c r="Q391" s="19">
        <f t="shared" si="25"/>
        <v>0</v>
      </c>
      <c r="R391" s="25">
        <v>6215.03</v>
      </c>
      <c r="S391" s="28">
        <v>31506</v>
      </c>
      <c r="T391" s="49">
        <f t="shared" si="26"/>
        <v>31506</v>
      </c>
      <c r="U391" s="49">
        <f t="shared" si="27"/>
        <v>0</v>
      </c>
    </row>
    <row r="392" spans="1:21" ht="17" thickBot="1" x14ac:dyDescent="0.25">
      <c r="A392" s="21" t="s">
        <v>3092</v>
      </c>
      <c r="B392" s="21" t="s">
        <v>3093</v>
      </c>
      <c r="C392" s="21" t="s">
        <v>65</v>
      </c>
      <c r="D392" s="21" t="s">
        <v>2516</v>
      </c>
      <c r="E392" s="22" t="s">
        <v>12</v>
      </c>
      <c r="F392" s="23" t="s">
        <v>2969</v>
      </c>
      <c r="G392" s="33" t="s">
        <v>14</v>
      </c>
      <c r="H392" s="25">
        <v>35360</v>
      </c>
      <c r="I392" s="26" t="s">
        <v>14</v>
      </c>
      <c r="J392" s="25">
        <v>14991.45</v>
      </c>
      <c r="K392" s="18">
        <v>336.88</v>
      </c>
      <c r="L392" s="27" t="s">
        <v>3520</v>
      </c>
      <c r="M392" s="31" t="s">
        <v>3520</v>
      </c>
      <c r="N392" s="18"/>
      <c r="O392" s="25">
        <v>15328.33</v>
      </c>
      <c r="P392" s="19">
        <f t="shared" si="24"/>
        <v>15328.33</v>
      </c>
      <c r="Q392" s="19">
        <f t="shared" si="25"/>
        <v>0</v>
      </c>
      <c r="R392" s="25">
        <v>15604.69</v>
      </c>
      <c r="S392" s="28">
        <v>30933.02</v>
      </c>
      <c r="T392" s="49">
        <f t="shared" si="26"/>
        <v>30933.02</v>
      </c>
      <c r="U392" s="49">
        <f t="shared" si="27"/>
        <v>0</v>
      </c>
    </row>
    <row r="393" spans="1:21" ht="17" thickBot="1" x14ac:dyDescent="0.25">
      <c r="A393" s="21" t="s">
        <v>3100</v>
      </c>
      <c r="B393" s="21" t="s">
        <v>2097</v>
      </c>
      <c r="C393" s="21" t="s">
        <v>81</v>
      </c>
      <c r="D393" s="21" t="s">
        <v>2747</v>
      </c>
      <c r="E393" s="22" t="s">
        <v>20</v>
      </c>
      <c r="F393" s="23" t="s">
        <v>428</v>
      </c>
      <c r="G393" s="33" t="s">
        <v>14</v>
      </c>
      <c r="H393" s="18" t="s">
        <v>2734</v>
      </c>
      <c r="I393" s="26" t="s">
        <v>14</v>
      </c>
      <c r="J393" s="18">
        <v>26322.080000000002</v>
      </c>
      <c r="K393" s="18">
        <v>1394.07</v>
      </c>
      <c r="L393" s="27">
        <v>948.68</v>
      </c>
      <c r="M393" s="31" t="s">
        <v>3520</v>
      </c>
      <c r="N393" s="18"/>
      <c r="O393" s="25">
        <v>28664.83</v>
      </c>
      <c r="P393" s="19">
        <f t="shared" si="24"/>
        <v>28664.83</v>
      </c>
      <c r="Q393" s="19">
        <f t="shared" si="25"/>
        <v>0</v>
      </c>
      <c r="R393" s="25">
        <v>2192.85</v>
      </c>
      <c r="S393" s="28">
        <v>30857.68</v>
      </c>
      <c r="T393" s="49">
        <f t="shared" si="26"/>
        <v>30857.68</v>
      </c>
      <c r="U393" s="49">
        <f t="shared" si="27"/>
        <v>0</v>
      </c>
    </row>
    <row r="394" spans="1:21" ht="17" thickBot="1" x14ac:dyDescent="0.25">
      <c r="A394" s="10" t="s">
        <v>3109</v>
      </c>
      <c r="B394" s="10" t="s">
        <v>1773</v>
      </c>
      <c r="C394" s="10" t="s">
        <v>256</v>
      </c>
      <c r="D394" s="10" t="s">
        <v>2005</v>
      </c>
      <c r="E394" s="11" t="s">
        <v>12</v>
      </c>
      <c r="F394" s="12" t="s">
        <v>3029</v>
      </c>
      <c r="G394" s="35" t="s">
        <v>3115</v>
      </c>
      <c r="H394" s="16">
        <v>35713.599999999999</v>
      </c>
      <c r="I394" s="36">
        <v>295.83999999999997</v>
      </c>
      <c r="J394" s="14">
        <v>19035.73</v>
      </c>
      <c r="K394" s="16">
        <v>34.51</v>
      </c>
      <c r="L394" s="17">
        <v>1239.33</v>
      </c>
      <c r="M394" s="37" t="s">
        <v>14</v>
      </c>
      <c r="N394" s="18"/>
      <c r="O394" s="17">
        <v>20605.41</v>
      </c>
      <c r="P394" s="19">
        <f t="shared" si="24"/>
        <v>20605.409999999996</v>
      </c>
      <c r="Q394" s="19">
        <f t="shared" si="25"/>
        <v>3.637978807091713E-12</v>
      </c>
      <c r="R394" s="14">
        <v>10216.19</v>
      </c>
      <c r="S394" s="20">
        <v>30821.599999999999</v>
      </c>
      <c r="T394" s="49">
        <f t="shared" si="26"/>
        <v>30821.599999999999</v>
      </c>
      <c r="U394" s="49">
        <f t="shared" si="27"/>
        <v>0</v>
      </c>
    </row>
    <row r="395" spans="1:21" ht="17" thickBot="1" x14ac:dyDescent="0.25">
      <c r="A395" s="21" t="s">
        <v>3117</v>
      </c>
      <c r="B395" s="21" t="s">
        <v>1696</v>
      </c>
      <c r="C395" s="21" t="s">
        <v>1442</v>
      </c>
      <c r="D395" s="21" t="s">
        <v>2468</v>
      </c>
      <c r="E395" s="22" t="s">
        <v>12</v>
      </c>
      <c r="F395" s="23" t="s">
        <v>2908</v>
      </c>
      <c r="G395" s="33" t="s">
        <v>14</v>
      </c>
      <c r="H395" s="18">
        <v>35360</v>
      </c>
      <c r="I395" s="38" t="s">
        <v>14</v>
      </c>
      <c r="J395" s="25">
        <v>19039.66</v>
      </c>
      <c r="K395" s="18">
        <v>4.8600000000000003</v>
      </c>
      <c r="L395" s="27">
        <v>50</v>
      </c>
      <c r="M395" s="29" t="s">
        <v>14</v>
      </c>
      <c r="N395" s="18"/>
      <c r="O395" s="27">
        <v>19094.52</v>
      </c>
      <c r="P395" s="19">
        <f t="shared" si="24"/>
        <v>19094.52</v>
      </c>
      <c r="Q395" s="19">
        <f t="shared" si="25"/>
        <v>0</v>
      </c>
      <c r="R395" s="25">
        <v>11640.77</v>
      </c>
      <c r="S395" s="28">
        <v>30735.29</v>
      </c>
      <c r="T395" s="49">
        <f t="shared" si="26"/>
        <v>30735.29</v>
      </c>
      <c r="U395" s="49">
        <f t="shared" si="27"/>
        <v>0</v>
      </c>
    </row>
    <row r="396" spans="1:21" ht="17" thickBot="1" x14ac:dyDescent="0.25">
      <c r="A396" s="21" t="s">
        <v>3126</v>
      </c>
      <c r="B396" s="21" t="s">
        <v>536</v>
      </c>
      <c r="C396" s="21" t="s">
        <v>1474</v>
      </c>
      <c r="D396" s="21" t="s">
        <v>2547</v>
      </c>
      <c r="E396" s="22" t="s">
        <v>12</v>
      </c>
      <c r="F396" s="23" t="s">
        <v>2969</v>
      </c>
      <c r="G396" s="33" t="s">
        <v>14</v>
      </c>
      <c r="H396" s="18">
        <v>42640</v>
      </c>
      <c r="I396" s="38" t="s">
        <v>14</v>
      </c>
      <c r="J396" s="25">
        <v>18068.11</v>
      </c>
      <c r="K396" s="18">
        <v>710.46</v>
      </c>
      <c r="L396" s="27">
        <v>50</v>
      </c>
      <c r="M396" s="29" t="s">
        <v>14</v>
      </c>
      <c r="N396" s="18"/>
      <c r="O396" s="27">
        <v>18828.57</v>
      </c>
      <c r="P396" s="19">
        <f t="shared" si="24"/>
        <v>18828.57</v>
      </c>
      <c r="Q396" s="19">
        <f t="shared" si="25"/>
        <v>0</v>
      </c>
      <c r="R396" s="25">
        <v>11742.24</v>
      </c>
      <c r="S396" s="28">
        <v>30570.81</v>
      </c>
      <c r="T396" s="49">
        <f t="shared" si="26"/>
        <v>30570.809999999998</v>
      </c>
      <c r="U396" s="49">
        <f t="shared" si="27"/>
        <v>3.637978807091713E-12</v>
      </c>
    </row>
    <row r="397" spans="1:21" ht="17" thickBot="1" x14ac:dyDescent="0.25">
      <c r="A397" s="21" t="s">
        <v>24</v>
      </c>
      <c r="B397" s="21" t="s">
        <v>3136</v>
      </c>
      <c r="C397" s="21" t="s">
        <v>145</v>
      </c>
      <c r="D397" s="21" t="s">
        <v>3138</v>
      </c>
      <c r="E397" s="22" t="s">
        <v>12</v>
      </c>
      <c r="F397" s="23" t="s">
        <v>2353</v>
      </c>
      <c r="G397" s="34" t="s">
        <v>3141</v>
      </c>
      <c r="H397" s="18">
        <v>129851.28</v>
      </c>
      <c r="I397" s="39">
        <v>13498.91</v>
      </c>
      <c r="J397" s="18">
        <v>9795.09</v>
      </c>
      <c r="K397" s="18" t="s">
        <v>3520</v>
      </c>
      <c r="L397" s="30">
        <v>375</v>
      </c>
      <c r="M397" s="40"/>
      <c r="N397" s="18"/>
      <c r="O397" s="27">
        <v>23669</v>
      </c>
      <c r="P397" s="19">
        <f t="shared" si="24"/>
        <v>23669</v>
      </c>
      <c r="Q397" s="19">
        <f t="shared" si="25"/>
        <v>0</v>
      </c>
      <c r="R397" s="25">
        <v>6420.38</v>
      </c>
      <c r="S397" s="28">
        <v>30089.38</v>
      </c>
      <c r="T397" s="49">
        <f t="shared" si="26"/>
        <v>30089.38</v>
      </c>
      <c r="U397" s="49">
        <f t="shared" si="27"/>
        <v>0</v>
      </c>
    </row>
    <row r="398" spans="1:21" ht="17" thickBot="1" x14ac:dyDescent="0.25">
      <c r="A398" s="21" t="s">
        <v>2599</v>
      </c>
      <c r="B398" s="21" t="s">
        <v>3143</v>
      </c>
      <c r="C398" s="21" t="s">
        <v>129</v>
      </c>
      <c r="D398" s="21" t="s">
        <v>498</v>
      </c>
      <c r="E398" s="22" t="s">
        <v>20</v>
      </c>
      <c r="F398" s="23" t="s">
        <v>1755</v>
      </c>
      <c r="G398" s="33" t="s">
        <v>14</v>
      </c>
      <c r="H398" s="18">
        <v>59722.52</v>
      </c>
      <c r="I398" s="38" t="s">
        <v>14</v>
      </c>
      <c r="J398" s="25">
        <v>17357.68</v>
      </c>
      <c r="K398" s="18">
        <v>1070.93</v>
      </c>
      <c r="L398" s="27">
        <v>319.94</v>
      </c>
      <c r="M398" s="41">
        <v>520.08000000000004</v>
      </c>
      <c r="N398" s="18"/>
      <c r="O398" s="27">
        <v>19268.63</v>
      </c>
      <c r="P398" s="19">
        <f t="shared" si="24"/>
        <v>19268.63</v>
      </c>
      <c r="Q398" s="19">
        <f t="shared" si="25"/>
        <v>0</v>
      </c>
      <c r="R398" s="25">
        <v>10817.45</v>
      </c>
      <c r="S398" s="28">
        <v>30086.080000000002</v>
      </c>
      <c r="T398" s="49">
        <f t="shared" si="26"/>
        <v>30086.080000000002</v>
      </c>
      <c r="U398" s="49">
        <f t="shared" si="27"/>
        <v>0</v>
      </c>
    </row>
    <row r="399" spans="1:21" ht="17" thickBot="1" x14ac:dyDescent="0.25">
      <c r="A399" s="21" t="s">
        <v>3150</v>
      </c>
      <c r="B399" s="21" t="s">
        <v>536</v>
      </c>
      <c r="C399" s="21" t="s">
        <v>824</v>
      </c>
      <c r="D399" s="21" t="s">
        <v>2500</v>
      </c>
      <c r="E399" s="22" t="s">
        <v>12</v>
      </c>
      <c r="F399" s="23" t="s">
        <v>993</v>
      </c>
      <c r="G399" s="33" t="s">
        <v>14</v>
      </c>
      <c r="H399" s="18">
        <v>33425.599999999999</v>
      </c>
      <c r="I399" s="38" t="s">
        <v>14</v>
      </c>
      <c r="J399" s="25">
        <v>14934.08</v>
      </c>
      <c r="K399" s="18">
        <v>833.83</v>
      </c>
      <c r="L399" s="27">
        <v>683.33</v>
      </c>
      <c r="M399" s="29" t="s">
        <v>14</v>
      </c>
      <c r="N399" s="18"/>
      <c r="O399" s="27">
        <v>16451.240000000002</v>
      </c>
      <c r="P399" s="19">
        <f t="shared" si="24"/>
        <v>16451.240000000002</v>
      </c>
      <c r="Q399" s="19">
        <f t="shared" si="25"/>
        <v>0</v>
      </c>
      <c r="R399" s="25">
        <v>13095.22</v>
      </c>
      <c r="S399" s="28">
        <v>29546.46</v>
      </c>
      <c r="T399" s="49">
        <f t="shared" si="26"/>
        <v>29546.46</v>
      </c>
      <c r="U399" s="49">
        <f t="shared" si="27"/>
        <v>0</v>
      </c>
    </row>
    <row r="400" spans="1:21" ht="17" thickBot="1" x14ac:dyDescent="0.25">
      <c r="A400" s="21" t="s">
        <v>159</v>
      </c>
      <c r="B400" s="21" t="s">
        <v>2592</v>
      </c>
      <c r="C400" s="21" t="s">
        <v>65</v>
      </c>
      <c r="D400" s="21" t="s">
        <v>3162</v>
      </c>
      <c r="E400" s="22" t="s">
        <v>12</v>
      </c>
      <c r="F400" s="23" t="s">
        <v>993</v>
      </c>
      <c r="G400" s="34" t="s">
        <v>3165</v>
      </c>
      <c r="H400" s="18">
        <v>33425.599999999999</v>
      </c>
      <c r="I400" s="39">
        <v>250.21</v>
      </c>
      <c r="J400" s="25">
        <v>18240.78</v>
      </c>
      <c r="K400" s="18">
        <v>654.39</v>
      </c>
      <c r="L400" s="27">
        <v>287.69</v>
      </c>
      <c r="M400" s="29" t="s">
        <v>14</v>
      </c>
      <c r="N400" s="18"/>
      <c r="O400" s="27">
        <v>19433.07</v>
      </c>
      <c r="P400" s="19">
        <f t="shared" si="24"/>
        <v>19433.069999999996</v>
      </c>
      <c r="Q400" s="19">
        <f t="shared" si="25"/>
        <v>3.637978807091713E-12</v>
      </c>
      <c r="R400" s="25">
        <v>9946.9699999999993</v>
      </c>
      <c r="S400" s="28">
        <v>29380.04</v>
      </c>
      <c r="T400" s="49">
        <f t="shared" si="26"/>
        <v>29380.04</v>
      </c>
      <c r="U400" s="49">
        <f t="shared" si="27"/>
        <v>0</v>
      </c>
    </row>
    <row r="401" spans="1:21" ht="17" thickBot="1" x14ac:dyDescent="0.25">
      <c r="A401" s="21" t="s">
        <v>3167</v>
      </c>
      <c r="B401" s="21" t="s">
        <v>3168</v>
      </c>
      <c r="C401" s="21" t="s">
        <v>81</v>
      </c>
      <c r="D401" s="21" t="s">
        <v>378</v>
      </c>
      <c r="E401" s="22" t="s">
        <v>20</v>
      </c>
      <c r="F401" s="23" t="s">
        <v>1755</v>
      </c>
      <c r="G401" s="33" t="s">
        <v>14</v>
      </c>
      <c r="H401" s="18">
        <v>54497.78</v>
      </c>
      <c r="I401" s="38" t="s">
        <v>14</v>
      </c>
      <c r="J401" s="25">
        <v>14463.85</v>
      </c>
      <c r="K401" s="18">
        <v>2970.56</v>
      </c>
      <c r="L401" s="27">
        <v>361.11</v>
      </c>
      <c r="M401" s="29" t="s">
        <v>14</v>
      </c>
      <c r="N401" s="18"/>
      <c r="O401" s="27">
        <v>17795.52</v>
      </c>
      <c r="P401" s="19">
        <f t="shared" si="24"/>
        <v>17795.52</v>
      </c>
      <c r="Q401" s="19">
        <f t="shared" si="25"/>
        <v>0</v>
      </c>
      <c r="R401" s="25">
        <v>11468.21</v>
      </c>
      <c r="S401" s="28">
        <v>29263.73</v>
      </c>
      <c r="T401" s="49">
        <f t="shared" si="26"/>
        <v>29263.73</v>
      </c>
      <c r="U401" s="49">
        <f t="shared" si="27"/>
        <v>0</v>
      </c>
    </row>
    <row r="402" spans="1:21" ht="17" thickBot="1" x14ac:dyDescent="0.25">
      <c r="A402" s="21" t="s">
        <v>3176</v>
      </c>
      <c r="B402" s="21" t="s">
        <v>3177</v>
      </c>
      <c r="C402" s="21" t="s">
        <v>81</v>
      </c>
      <c r="D402" s="21" t="s">
        <v>378</v>
      </c>
      <c r="E402" s="22" t="s">
        <v>20</v>
      </c>
      <c r="F402" s="23" t="s">
        <v>1755</v>
      </c>
      <c r="G402" s="33" t="s">
        <v>14</v>
      </c>
      <c r="H402" s="18">
        <v>52543.17</v>
      </c>
      <c r="I402" s="38" t="s">
        <v>14</v>
      </c>
      <c r="J402" s="25">
        <v>13579.44</v>
      </c>
      <c r="K402" s="18">
        <v>3434</v>
      </c>
      <c r="L402" s="27">
        <v>727.02</v>
      </c>
      <c r="M402" s="29" t="s">
        <v>14</v>
      </c>
      <c r="N402" s="18"/>
      <c r="O402" s="27">
        <v>17740.46</v>
      </c>
      <c r="P402" s="19">
        <f t="shared" si="24"/>
        <v>17740.460000000003</v>
      </c>
      <c r="Q402" s="19">
        <f t="shared" si="25"/>
        <v>-3.637978807091713E-12</v>
      </c>
      <c r="R402" s="25">
        <v>10429.99</v>
      </c>
      <c r="S402" s="28">
        <v>28170.45</v>
      </c>
      <c r="T402" s="49">
        <f t="shared" si="26"/>
        <v>28170.449999999997</v>
      </c>
      <c r="U402" s="49">
        <f t="shared" si="27"/>
        <v>3.637978807091713E-12</v>
      </c>
    </row>
    <row r="403" spans="1:21" ht="17" thickBot="1" x14ac:dyDescent="0.25">
      <c r="A403" s="21" t="s">
        <v>3185</v>
      </c>
      <c r="B403" s="21" t="s">
        <v>440</v>
      </c>
      <c r="C403" s="21" t="s">
        <v>81</v>
      </c>
      <c r="D403" s="21" t="s">
        <v>3188</v>
      </c>
      <c r="E403" s="22" t="s">
        <v>20</v>
      </c>
      <c r="F403" s="23" t="s">
        <v>564</v>
      </c>
      <c r="G403" s="34" t="s">
        <v>3191</v>
      </c>
      <c r="H403" s="18" t="s">
        <v>2734</v>
      </c>
      <c r="I403" s="27" t="s">
        <v>3520</v>
      </c>
      <c r="J403" s="25">
        <v>14738.12</v>
      </c>
      <c r="K403" s="18">
        <v>5618.18</v>
      </c>
      <c r="L403" s="27">
        <v>1629.55</v>
      </c>
      <c r="M403" s="29" t="s">
        <v>14</v>
      </c>
      <c r="N403" s="18"/>
      <c r="O403" s="27">
        <v>21985.85</v>
      </c>
      <c r="P403" s="19">
        <f t="shared" si="24"/>
        <v>21985.850000000002</v>
      </c>
      <c r="Q403" s="19">
        <f t="shared" si="25"/>
        <v>-3.637978807091713E-12</v>
      </c>
      <c r="R403" s="25">
        <v>6150.82</v>
      </c>
      <c r="S403" s="28">
        <v>28136.67</v>
      </c>
      <c r="T403" s="49">
        <f t="shared" si="26"/>
        <v>28136.67</v>
      </c>
      <c r="U403" s="49">
        <f t="shared" si="27"/>
        <v>0</v>
      </c>
    </row>
    <row r="404" spans="1:21" ht="17" thickBot="1" x14ac:dyDescent="0.25">
      <c r="A404" s="21" t="s">
        <v>3194</v>
      </c>
      <c r="B404" s="21" t="s">
        <v>680</v>
      </c>
      <c r="C404" s="21" t="s">
        <v>65</v>
      </c>
      <c r="D404" s="21" t="s">
        <v>3197</v>
      </c>
      <c r="E404" s="22" t="s">
        <v>20</v>
      </c>
      <c r="F404" s="23" t="s">
        <v>3199</v>
      </c>
      <c r="G404" s="33" t="s">
        <v>14</v>
      </c>
      <c r="H404" s="18">
        <v>62691.199999999997</v>
      </c>
      <c r="I404" s="38" t="s">
        <v>14</v>
      </c>
      <c r="J404" s="25">
        <v>19786.759999999998</v>
      </c>
      <c r="K404" s="18">
        <v>590.82000000000005</v>
      </c>
      <c r="L404" s="27">
        <v>2351.4899999999998</v>
      </c>
      <c r="M404" s="29" t="s">
        <v>14</v>
      </c>
      <c r="N404" s="18"/>
      <c r="O404" s="27">
        <v>22729.07</v>
      </c>
      <c r="P404" s="19">
        <f t="shared" si="24"/>
        <v>22729.07</v>
      </c>
      <c r="Q404" s="19">
        <f t="shared" si="25"/>
        <v>0</v>
      </c>
      <c r="R404" s="25">
        <v>5303.41</v>
      </c>
      <c r="S404" s="28">
        <v>28032.48</v>
      </c>
      <c r="T404" s="49">
        <f t="shared" si="26"/>
        <v>28032.48</v>
      </c>
      <c r="U404" s="49">
        <f t="shared" si="27"/>
        <v>0</v>
      </c>
    </row>
    <row r="405" spans="1:21" ht="17" thickBot="1" x14ac:dyDescent="0.25">
      <c r="A405" s="21" t="s">
        <v>3203</v>
      </c>
      <c r="B405" s="21" t="s">
        <v>432</v>
      </c>
      <c r="C405" s="21" t="s">
        <v>1323</v>
      </c>
      <c r="D405" s="21" t="s">
        <v>3206</v>
      </c>
      <c r="E405" s="22" t="s">
        <v>12</v>
      </c>
      <c r="F405" s="23" t="s">
        <v>3208</v>
      </c>
      <c r="G405" s="34" t="s">
        <v>3209</v>
      </c>
      <c r="H405" s="18">
        <v>104033.02</v>
      </c>
      <c r="I405" s="39">
        <v>7756.46</v>
      </c>
      <c r="J405" s="25">
        <v>11346.19</v>
      </c>
      <c r="K405" s="18" t="s">
        <v>3520</v>
      </c>
      <c r="L405" s="27">
        <v>704</v>
      </c>
      <c r="M405" s="29" t="s">
        <v>14</v>
      </c>
      <c r="N405" s="18"/>
      <c r="O405" s="27">
        <v>19806.650000000001</v>
      </c>
      <c r="P405" s="19">
        <f t="shared" si="24"/>
        <v>19806.650000000001</v>
      </c>
      <c r="Q405" s="19">
        <f t="shared" si="25"/>
        <v>0</v>
      </c>
      <c r="R405" s="25">
        <v>7890.46</v>
      </c>
      <c r="S405" s="28">
        <v>27697.11</v>
      </c>
      <c r="T405" s="49">
        <f t="shared" si="26"/>
        <v>27697.11</v>
      </c>
      <c r="U405" s="49">
        <f t="shared" si="27"/>
        <v>0</v>
      </c>
    </row>
    <row r="406" spans="1:21" ht="17" thickBot="1" x14ac:dyDescent="0.25">
      <c r="A406" s="21" t="s">
        <v>3211</v>
      </c>
      <c r="B406" s="21" t="s">
        <v>680</v>
      </c>
      <c r="C406" s="21" t="s">
        <v>145</v>
      </c>
      <c r="D406" s="21" t="s">
        <v>2036</v>
      </c>
      <c r="E406" s="22" t="s">
        <v>12</v>
      </c>
      <c r="F406" s="23" t="s">
        <v>148</v>
      </c>
      <c r="G406" s="34" t="s">
        <v>3217</v>
      </c>
      <c r="H406" s="18">
        <v>40560</v>
      </c>
      <c r="I406" s="39">
        <v>577.20000000000005</v>
      </c>
      <c r="J406" s="25">
        <v>12379</v>
      </c>
      <c r="K406" s="18">
        <v>794.98</v>
      </c>
      <c r="L406" s="27">
        <v>50</v>
      </c>
      <c r="M406" s="29" t="s">
        <v>14</v>
      </c>
      <c r="N406" s="18"/>
      <c r="O406" s="27">
        <v>13801.18</v>
      </c>
      <c r="P406" s="19">
        <f t="shared" si="24"/>
        <v>13801.18</v>
      </c>
      <c r="Q406" s="19">
        <f t="shared" si="25"/>
        <v>0</v>
      </c>
      <c r="R406" s="25">
        <v>12802.62</v>
      </c>
      <c r="S406" s="28">
        <v>26603.8</v>
      </c>
      <c r="T406" s="49">
        <f t="shared" si="26"/>
        <v>26603.800000000003</v>
      </c>
      <c r="U406" s="49">
        <f t="shared" si="27"/>
        <v>-3.637978807091713E-12</v>
      </c>
    </row>
    <row r="407" spans="1:21" ht="17" thickBot="1" x14ac:dyDescent="0.25">
      <c r="A407" s="21" t="s">
        <v>3219</v>
      </c>
      <c r="B407" s="21" t="s">
        <v>3220</v>
      </c>
      <c r="C407" s="21" t="s">
        <v>281</v>
      </c>
      <c r="D407" s="21" t="s">
        <v>2131</v>
      </c>
      <c r="E407" s="22" t="s">
        <v>12</v>
      </c>
      <c r="F407" s="23" t="s">
        <v>3224</v>
      </c>
      <c r="G407" s="33" t="s">
        <v>14</v>
      </c>
      <c r="H407" s="18">
        <v>47008</v>
      </c>
      <c r="I407" s="38" t="s">
        <v>14</v>
      </c>
      <c r="J407" s="25">
        <v>14585.59</v>
      </c>
      <c r="K407" s="18">
        <v>1640.11</v>
      </c>
      <c r="L407" s="27">
        <v>50</v>
      </c>
      <c r="M407" s="29" t="s">
        <v>14</v>
      </c>
      <c r="N407" s="18"/>
      <c r="O407" s="27">
        <v>16275.7</v>
      </c>
      <c r="P407" s="19">
        <f t="shared" si="24"/>
        <v>16275.7</v>
      </c>
      <c r="Q407" s="19">
        <f t="shared" si="25"/>
        <v>0</v>
      </c>
      <c r="R407" s="25">
        <v>10058.36</v>
      </c>
      <c r="S407" s="28">
        <v>26334.06</v>
      </c>
      <c r="T407" s="49">
        <f t="shared" si="26"/>
        <v>26334.06</v>
      </c>
      <c r="U407" s="49">
        <f t="shared" si="27"/>
        <v>0</v>
      </c>
    </row>
    <row r="408" spans="1:21" ht="17" thickBot="1" x14ac:dyDescent="0.25">
      <c r="A408" s="21" t="s">
        <v>3228</v>
      </c>
      <c r="B408" s="21" t="s">
        <v>3229</v>
      </c>
      <c r="C408" s="21" t="s">
        <v>81</v>
      </c>
      <c r="D408" s="21" t="s">
        <v>1419</v>
      </c>
      <c r="E408" s="22" t="s">
        <v>20</v>
      </c>
      <c r="F408" s="23" t="s">
        <v>516</v>
      </c>
      <c r="G408" s="34" t="s">
        <v>3234</v>
      </c>
      <c r="H408" s="18">
        <v>38294.699999999997</v>
      </c>
      <c r="I408" s="27" t="s">
        <v>3520</v>
      </c>
      <c r="J408" s="25">
        <v>11550.17</v>
      </c>
      <c r="K408" s="18">
        <v>6013.16</v>
      </c>
      <c r="L408" s="27">
        <v>1195.3599999999999</v>
      </c>
      <c r="M408" s="29" t="s">
        <v>14</v>
      </c>
      <c r="N408" s="18"/>
      <c r="O408" s="27">
        <v>18758.689999999999</v>
      </c>
      <c r="P408" s="19">
        <f t="shared" si="24"/>
        <v>18758.690000000002</v>
      </c>
      <c r="Q408" s="19">
        <f t="shared" si="25"/>
        <v>-3.637978807091713E-12</v>
      </c>
      <c r="R408" s="25">
        <v>7437.99</v>
      </c>
      <c r="S408" s="28">
        <v>26196.68</v>
      </c>
      <c r="T408" s="49">
        <f t="shared" si="26"/>
        <v>26196.68</v>
      </c>
      <c r="U408" s="49">
        <f t="shared" si="27"/>
        <v>0</v>
      </c>
    </row>
    <row r="409" spans="1:21" ht="17" thickBot="1" x14ac:dyDescent="0.25">
      <c r="A409" s="21" t="s">
        <v>3236</v>
      </c>
      <c r="B409" s="21" t="s">
        <v>104</v>
      </c>
      <c r="C409" s="21" t="s">
        <v>18</v>
      </c>
      <c r="D409" s="21" t="s">
        <v>498</v>
      </c>
      <c r="E409" s="22" t="s">
        <v>20</v>
      </c>
      <c r="F409" s="23" t="s">
        <v>2117</v>
      </c>
      <c r="G409" s="34" t="s">
        <v>3242</v>
      </c>
      <c r="H409" s="18">
        <v>56001.919999999998</v>
      </c>
      <c r="I409" s="39">
        <v>674.62</v>
      </c>
      <c r="J409" s="25">
        <v>12709.76</v>
      </c>
      <c r="K409" s="18">
        <v>770.13</v>
      </c>
      <c r="L409" s="27">
        <v>11.04</v>
      </c>
      <c r="M409" s="29" t="s">
        <v>14</v>
      </c>
      <c r="N409" s="18"/>
      <c r="O409" s="27">
        <v>14165.55</v>
      </c>
      <c r="P409" s="19">
        <f t="shared" si="24"/>
        <v>14165.550000000001</v>
      </c>
      <c r="Q409" s="19">
        <f t="shared" si="25"/>
        <v>-1.8189894035458565E-12</v>
      </c>
      <c r="R409" s="25">
        <v>11836.98</v>
      </c>
      <c r="S409" s="28">
        <v>26002.53</v>
      </c>
      <c r="T409" s="49">
        <f t="shared" si="26"/>
        <v>26002.53</v>
      </c>
      <c r="U409" s="49">
        <f t="shared" si="27"/>
        <v>0</v>
      </c>
    </row>
    <row r="410" spans="1:21" ht="17" thickBot="1" x14ac:dyDescent="0.25">
      <c r="A410" s="21" t="s">
        <v>3244</v>
      </c>
      <c r="B410" s="21" t="s">
        <v>1211</v>
      </c>
      <c r="C410" s="21" t="s">
        <v>18</v>
      </c>
      <c r="D410" s="21" t="s">
        <v>498</v>
      </c>
      <c r="E410" s="22" t="s">
        <v>20</v>
      </c>
      <c r="F410" s="23" t="s">
        <v>1755</v>
      </c>
      <c r="G410" s="33" t="s">
        <v>14</v>
      </c>
      <c r="H410" s="18">
        <v>52556.92</v>
      </c>
      <c r="I410" s="38" t="s">
        <v>14</v>
      </c>
      <c r="J410" s="25">
        <v>15169.61</v>
      </c>
      <c r="K410" s="18">
        <v>407.15</v>
      </c>
      <c r="L410" s="27">
        <v>289.97000000000003</v>
      </c>
      <c r="M410" s="29" t="s">
        <v>14</v>
      </c>
      <c r="N410" s="18"/>
      <c r="O410" s="27">
        <v>15866.73</v>
      </c>
      <c r="P410" s="19">
        <f t="shared" si="24"/>
        <v>15866.73</v>
      </c>
      <c r="Q410" s="19">
        <f t="shared" si="25"/>
        <v>0</v>
      </c>
      <c r="R410" s="25">
        <v>9973.76</v>
      </c>
      <c r="S410" s="28">
        <v>25840.49</v>
      </c>
      <c r="T410" s="49">
        <f t="shared" si="26"/>
        <v>25840.489999999998</v>
      </c>
      <c r="U410" s="49">
        <f t="shared" si="27"/>
        <v>3.637978807091713E-12</v>
      </c>
    </row>
    <row r="411" spans="1:21" ht="17" thickBot="1" x14ac:dyDescent="0.25">
      <c r="A411" s="21" t="s">
        <v>375</v>
      </c>
      <c r="B411" s="21" t="s">
        <v>8</v>
      </c>
      <c r="C411" s="21" t="s">
        <v>81</v>
      </c>
      <c r="D411" s="21" t="s">
        <v>3256</v>
      </c>
      <c r="E411" s="22" t="s">
        <v>20</v>
      </c>
      <c r="F411" s="23" t="s">
        <v>796</v>
      </c>
      <c r="G411" s="33" t="s">
        <v>14</v>
      </c>
      <c r="H411" s="18" t="s">
        <v>2734</v>
      </c>
      <c r="I411" s="38" t="s">
        <v>14</v>
      </c>
      <c r="J411" s="18">
        <v>16832</v>
      </c>
      <c r="K411" s="18">
        <v>5472.65</v>
      </c>
      <c r="L411" s="27">
        <v>1333.67</v>
      </c>
      <c r="M411" s="29" t="s">
        <v>14</v>
      </c>
      <c r="N411" s="18"/>
      <c r="O411" s="27">
        <v>23638.32</v>
      </c>
      <c r="P411" s="19">
        <f t="shared" si="24"/>
        <v>23638.32</v>
      </c>
      <c r="Q411" s="19">
        <f t="shared" si="25"/>
        <v>0</v>
      </c>
      <c r="R411" s="25">
        <v>2051.38</v>
      </c>
      <c r="S411" s="28">
        <v>25689.7</v>
      </c>
      <c r="T411" s="49">
        <f t="shared" si="26"/>
        <v>25689.7</v>
      </c>
      <c r="U411" s="49">
        <f t="shared" si="27"/>
        <v>0</v>
      </c>
    </row>
    <row r="412" spans="1:21" ht="17" thickBot="1" x14ac:dyDescent="0.25">
      <c r="A412" s="21" t="s">
        <v>3263</v>
      </c>
      <c r="B412" s="21" t="s">
        <v>3264</v>
      </c>
      <c r="C412" s="21" t="s">
        <v>65</v>
      </c>
      <c r="D412" s="21" t="s">
        <v>1736</v>
      </c>
      <c r="E412" s="22" t="s">
        <v>12</v>
      </c>
      <c r="F412" s="23" t="s">
        <v>2969</v>
      </c>
      <c r="G412" s="33" t="s">
        <v>14</v>
      </c>
      <c r="H412" s="18">
        <v>47320</v>
      </c>
      <c r="I412" s="38" t="s">
        <v>14</v>
      </c>
      <c r="J412" s="25">
        <v>19379.84</v>
      </c>
      <c r="K412" s="18">
        <v>128.12</v>
      </c>
      <c r="L412" s="27">
        <v>330</v>
      </c>
      <c r="M412" s="29" t="s">
        <v>14</v>
      </c>
      <c r="N412" s="18"/>
      <c r="O412" s="27">
        <v>19837.96</v>
      </c>
      <c r="P412" s="19">
        <f t="shared" si="24"/>
        <v>19837.96</v>
      </c>
      <c r="Q412" s="19">
        <f t="shared" si="25"/>
        <v>0</v>
      </c>
      <c r="R412" s="25">
        <v>4945.12</v>
      </c>
      <c r="S412" s="28">
        <v>24783.08</v>
      </c>
      <c r="T412" s="49">
        <f t="shared" si="26"/>
        <v>24783.079999999998</v>
      </c>
      <c r="U412" s="49">
        <f t="shared" si="27"/>
        <v>3.637978807091713E-12</v>
      </c>
    </row>
    <row r="413" spans="1:21" ht="17" thickBot="1" x14ac:dyDescent="0.25">
      <c r="A413" s="21" t="s">
        <v>3272</v>
      </c>
      <c r="B413" s="21" t="s">
        <v>760</v>
      </c>
      <c r="C413" s="21" t="s">
        <v>81</v>
      </c>
      <c r="D413" s="21" t="s">
        <v>3275</v>
      </c>
      <c r="E413" s="22" t="s">
        <v>20</v>
      </c>
      <c r="F413" s="23" t="s">
        <v>516</v>
      </c>
      <c r="G413" s="33" t="s">
        <v>14</v>
      </c>
      <c r="H413" s="18">
        <v>16712.8</v>
      </c>
      <c r="I413" s="38" t="s">
        <v>14</v>
      </c>
      <c r="J413" s="25">
        <v>19945.689999999999</v>
      </c>
      <c r="K413" s="18" t="s">
        <v>3520</v>
      </c>
      <c r="L413" s="27" t="s">
        <v>3520</v>
      </c>
      <c r="M413" s="29" t="s">
        <v>14</v>
      </c>
      <c r="N413" s="18"/>
      <c r="O413" s="27">
        <v>19945.689999999999</v>
      </c>
      <c r="P413" s="19">
        <f t="shared" si="24"/>
        <v>19945.689999999999</v>
      </c>
      <c r="Q413" s="19">
        <f t="shared" si="25"/>
        <v>0</v>
      </c>
      <c r="R413" s="25">
        <v>4794.93</v>
      </c>
      <c r="S413" s="28">
        <v>24740.62</v>
      </c>
      <c r="T413" s="49">
        <f t="shared" si="26"/>
        <v>24740.62</v>
      </c>
      <c r="U413" s="49">
        <f t="shared" si="27"/>
        <v>0</v>
      </c>
    </row>
    <row r="414" spans="1:21" ht="17" thickBot="1" x14ac:dyDescent="0.25">
      <c r="A414" s="21" t="s">
        <v>3281</v>
      </c>
      <c r="B414" s="21" t="s">
        <v>3282</v>
      </c>
      <c r="C414" s="21" t="s">
        <v>1260</v>
      </c>
      <c r="D414" s="21" t="s">
        <v>3284</v>
      </c>
      <c r="E414" s="22" t="s">
        <v>12</v>
      </c>
      <c r="F414" s="23" t="s">
        <v>3286</v>
      </c>
      <c r="G414" s="34" t="s">
        <v>3287</v>
      </c>
      <c r="H414" s="18">
        <v>63036.22</v>
      </c>
      <c r="I414" s="27" t="s">
        <v>3520</v>
      </c>
      <c r="J414" s="25">
        <v>16534.79</v>
      </c>
      <c r="K414" s="18" t="s">
        <v>3520</v>
      </c>
      <c r="L414" s="27">
        <v>298.33</v>
      </c>
      <c r="M414" s="29" t="s">
        <v>14</v>
      </c>
      <c r="N414" s="18"/>
      <c r="O414" s="30">
        <v>16833.12</v>
      </c>
      <c r="P414" s="19">
        <f t="shared" si="24"/>
        <v>16833.120000000003</v>
      </c>
      <c r="Q414" s="19">
        <f t="shared" si="25"/>
        <v>-3.637978807091713E-12</v>
      </c>
      <c r="R414" s="25">
        <v>7810.1</v>
      </c>
      <c r="S414" s="28">
        <v>24643.22</v>
      </c>
      <c r="T414" s="49">
        <f t="shared" si="26"/>
        <v>24643.22</v>
      </c>
      <c r="U414" s="49">
        <f t="shared" si="27"/>
        <v>0</v>
      </c>
    </row>
    <row r="415" spans="1:21" ht="17" thickBot="1" x14ac:dyDescent="0.25">
      <c r="A415" s="21" t="s">
        <v>3289</v>
      </c>
      <c r="B415" s="21" t="s">
        <v>3290</v>
      </c>
      <c r="C415" s="21" t="s">
        <v>256</v>
      </c>
      <c r="D415" s="21" t="s">
        <v>2005</v>
      </c>
      <c r="E415" s="22" t="s">
        <v>12</v>
      </c>
      <c r="F415" s="23" t="s">
        <v>3294</v>
      </c>
      <c r="G415" s="33" t="s">
        <v>14</v>
      </c>
      <c r="H415" s="18">
        <v>18106.400000000001</v>
      </c>
      <c r="I415" s="42" t="s">
        <v>14</v>
      </c>
      <c r="J415" s="25">
        <v>19781.740000000002</v>
      </c>
      <c r="K415" s="18" t="s">
        <v>3520</v>
      </c>
      <c r="L415" s="27" t="s">
        <v>3520</v>
      </c>
      <c r="M415" s="29" t="s">
        <v>14</v>
      </c>
      <c r="N415" s="18"/>
      <c r="O415" s="31">
        <v>19781.740000000002</v>
      </c>
      <c r="P415" s="19">
        <f t="shared" si="24"/>
        <v>19781.740000000002</v>
      </c>
      <c r="Q415" s="19">
        <f t="shared" si="25"/>
        <v>0</v>
      </c>
      <c r="R415" s="25">
        <v>4755.54</v>
      </c>
      <c r="S415" s="28">
        <v>24537.279999999999</v>
      </c>
      <c r="T415" s="49">
        <f t="shared" si="26"/>
        <v>24537.280000000002</v>
      </c>
      <c r="U415" s="49">
        <f t="shared" si="27"/>
        <v>-3.637978807091713E-12</v>
      </c>
    </row>
    <row r="416" spans="1:21" ht="17" thickBot="1" x14ac:dyDescent="0.25">
      <c r="A416" s="21" t="s">
        <v>375</v>
      </c>
      <c r="B416" s="21" t="s">
        <v>424</v>
      </c>
      <c r="C416" s="21" t="s">
        <v>1283</v>
      </c>
      <c r="D416" s="21" t="s">
        <v>2898</v>
      </c>
      <c r="E416" s="22" t="s">
        <v>12</v>
      </c>
      <c r="F416" s="23" t="s">
        <v>1461</v>
      </c>
      <c r="G416" s="34" t="s">
        <v>3304</v>
      </c>
      <c r="H416" s="18">
        <v>16712.8</v>
      </c>
      <c r="I416" s="27" t="s">
        <v>3520</v>
      </c>
      <c r="J416" s="25">
        <v>19484.61</v>
      </c>
      <c r="K416" s="18" t="s">
        <v>3520</v>
      </c>
      <c r="L416" s="27" t="s">
        <v>3520</v>
      </c>
      <c r="M416" s="29" t="s">
        <v>14</v>
      </c>
      <c r="N416" s="18"/>
      <c r="O416" s="30">
        <v>19484.61</v>
      </c>
      <c r="P416" s="19">
        <f t="shared" si="24"/>
        <v>19484.61</v>
      </c>
      <c r="Q416" s="19">
        <f t="shared" si="25"/>
        <v>0</v>
      </c>
      <c r="R416" s="25">
        <v>4684.1099999999997</v>
      </c>
      <c r="S416" s="28">
        <v>24168.720000000001</v>
      </c>
      <c r="T416" s="49">
        <f t="shared" si="26"/>
        <v>24168.720000000001</v>
      </c>
      <c r="U416" s="49">
        <f t="shared" si="27"/>
        <v>0</v>
      </c>
    </row>
    <row r="417" spans="1:21" ht="17" thickBot="1" x14ac:dyDescent="0.25">
      <c r="A417" s="21" t="s">
        <v>3306</v>
      </c>
      <c r="B417" s="21" t="s">
        <v>3307</v>
      </c>
      <c r="C417" s="21" t="s">
        <v>65</v>
      </c>
      <c r="D417" s="21" t="s">
        <v>3309</v>
      </c>
      <c r="E417" s="22" t="s">
        <v>12</v>
      </c>
      <c r="F417" s="23" t="s">
        <v>3311</v>
      </c>
      <c r="G417" s="33" t="s">
        <v>14</v>
      </c>
      <c r="H417" s="18" t="s">
        <v>3313</v>
      </c>
      <c r="I417" s="38" t="s">
        <v>14</v>
      </c>
      <c r="J417" s="25">
        <v>22176.1</v>
      </c>
      <c r="K417" s="18" t="s">
        <v>3520</v>
      </c>
      <c r="L417" s="27" t="s">
        <v>3520</v>
      </c>
      <c r="M417" s="29" t="s">
        <v>14</v>
      </c>
      <c r="N417" s="18"/>
      <c r="O417" s="31">
        <v>22176.1</v>
      </c>
      <c r="P417" s="19">
        <f t="shared" si="24"/>
        <v>22176.1</v>
      </c>
      <c r="Q417" s="19">
        <f t="shared" si="25"/>
        <v>0</v>
      </c>
      <c r="R417" s="25">
        <v>1696.46</v>
      </c>
      <c r="S417" s="28">
        <v>23872.560000000001</v>
      </c>
      <c r="T417" s="49">
        <f t="shared" si="26"/>
        <v>23872.559999999998</v>
      </c>
      <c r="U417" s="49">
        <f t="shared" si="27"/>
        <v>3.637978807091713E-12</v>
      </c>
    </row>
    <row r="418" spans="1:21" ht="17" thickBot="1" x14ac:dyDescent="0.25">
      <c r="A418" s="21" t="s">
        <v>727</v>
      </c>
      <c r="B418" s="21" t="s">
        <v>1219</v>
      </c>
      <c r="C418" s="21" t="s">
        <v>97</v>
      </c>
      <c r="D418" s="21" t="s">
        <v>1491</v>
      </c>
      <c r="E418" s="22" t="s">
        <v>12</v>
      </c>
      <c r="F418" s="23" t="s">
        <v>3321</v>
      </c>
      <c r="G418" s="33" t="s">
        <v>14</v>
      </c>
      <c r="H418" s="18">
        <v>58760</v>
      </c>
      <c r="I418" s="38" t="s">
        <v>14</v>
      </c>
      <c r="J418" s="18">
        <v>9040.01</v>
      </c>
      <c r="K418" s="18">
        <v>78.41</v>
      </c>
      <c r="L418" s="27" t="s">
        <v>3520</v>
      </c>
      <c r="M418" s="29" t="s">
        <v>14</v>
      </c>
      <c r="N418" s="18"/>
      <c r="O418" s="27">
        <v>9118.42</v>
      </c>
      <c r="P418" s="19">
        <f t="shared" si="24"/>
        <v>9118.42</v>
      </c>
      <c r="Q418" s="19">
        <f t="shared" si="25"/>
        <v>0</v>
      </c>
      <c r="R418" s="25">
        <v>14616.31</v>
      </c>
      <c r="S418" s="28">
        <v>23734.73</v>
      </c>
      <c r="T418" s="49">
        <f t="shared" si="26"/>
        <v>23734.73</v>
      </c>
      <c r="U418" s="49">
        <f t="shared" si="27"/>
        <v>0</v>
      </c>
    </row>
    <row r="419" spans="1:21" ht="17" thickBot="1" x14ac:dyDescent="0.25">
      <c r="A419" s="21" t="s">
        <v>24</v>
      </c>
      <c r="B419" s="21" t="s">
        <v>2872</v>
      </c>
      <c r="C419" s="21" t="s">
        <v>18</v>
      </c>
      <c r="D419" s="21" t="s">
        <v>498</v>
      </c>
      <c r="E419" s="22" t="s">
        <v>20</v>
      </c>
      <c r="F419" s="23" t="s">
        <v>1755</v>
      </c>
      <c r="G419" s="33" t="s">
        <v>14</v>
      </c>
      <c r="H419" s="18">
        <v>54238.080000000002</v>
      </c>
      <c r="I419" s="38" t="s">
        <v>14</v>
      </c>
      <c r="J419" s="25">
        <v>12750.84</v>
      </c>
      <c r="K419" s="18" t="s">
        <v>3520</v>
      </c>
      <c r="L419" s="27">
        <v>501.93</v>
      </c>
      <c r="M419" s="29" t="s">
        <v>14</v>
      </c>
      <c r="N419" s="18"/>
      <c r="O419" s="27">
        <v>13252.77</v>
      </c>
      <c r="P419" s="19">
        <f t="shared" si="24"/>
        <v>13252.77</v>
      </c>
      <c r="Q419" s="19">
        <f t="shared" si="25"/>
        <v>0</v>
      </c>
      <c r="R419" s="25">
        <v>9413.08</v>
      </c>
      <c r="S419" s="28">
        <v>22665.85</v>
      </c>
      <c r="T419" s="49">
        <f t="shared" si="26"/>
        <v>22665.85</v>
      </c>
      <c r="U419" s="49">
        <f t="shared" si="27"/>
        <v>0</v>
      </c>
    </row>
    <row r="420" spans="1:21" ht="17" thickBot="1" x14ac:dyDescent="0.25">
      <c r="A420" s="21" t="s">
        <v>3334</v>
      </c>
      <c r="B420" s="21" t="s">
        <v>3290</v>
      </c>
      <c r="C420" s="21" t="s">
        <v>256</v>
      </c>
      <c r="D420" s="21" t="s">
        <v>2005</v>
      </c>
      <c r="E420" s="22" t="s">
        <v>12</v>
      </c>
      <c r="F420" s="23" t="s">
        <v>3339</v>
      </c>
      <c r="G420" s="33" t="s">
        <v>14</v>
      </c>
      <c r="H420" s="18">
        <v>17316</v>
      </c>
      <c r="I420" s="38" t="s">
        <v>14</v>
      </c>
      <c r="J420" s="25">
        <v>18268.080000000002</v>
      </c>
      <c r="K420" s="18" t="s">
        <v>3520</v>
      </c>
      <c r="L420" s="27" t="s">
        <v>3520</v>
      </c>
      <c r="M420" s="29" t="s">
        <v>14</v>
      </c>
      <c r="N420" s="18"/>
      <c r="O420" s="27">
        <v>18268.080000000002</v>
      </c>
      <c r="P420" s="19">
        <f t="shared" si="24"/>
        <v>18268.080000000002</v>
      </c>
      <c r="Q420" s="19">
        <f t="shared" si="25"/>
        <v>0</v>
      </c>
      <c r="R420" s="25">
        <v>4391.6400000000003</v>
      </c>
      <c r="S420" s="28">
        <v>22659.72</v>
      </c>
      <c r="T420" s="49">
        <f t="shared" si="26"/>
        <v>22659.72</v>
      </c>
      <c r="U420" s="49">
        <f t="shared" si="27"/>
        <v>0</v>
      </c>
    </row>
    <row r="421" spans="1:21" ht="17" thickBot="1" x14ac:dyDescent="0.25">
      <c r="A421" s="21" t="s">
        <v>3343</v>
      </c>
      <c r="B421" s="21" t="s">
        <v>3344</v>
      </c>
      <c r="C421" s="21" t="s">
        <v>256</v>
      </c>
      <c r="D421" s="21" t="s">
        <v>3346</v>
      </c>
      <c r="E421" s="22" t="s">
        <v>12</v>
      </c>
      <c r="F421" s="23" t="s">
        <v>2749</v>
      </c>
      <c r="G421" s="33" t="s">
        <v>14</v>
      </c>
      <c r="H421" s="18">
        <v>17461.599999999999</v>
      </c>
      <c r="I421" s="38" t="s">
        <v>14</v>
      </c>
      <c r="J421" s="25">
        <v>17853.97</v>
      </c>
      <c r="K421" s="18" t="s">
        <v>3520</v>
      </c>
      <c r="L421" s="27" t="s">
        <v>3520</v>
      </c>
      <c r="M421" s="29" t="s">
        <v>14</v>
      </c>
      <c r="N421" s="18"/>
      <c r="O421" s="27">
        <v>17853.97</v>
      </c>
      <c r="P421" s="19">
        <f t="shared" si="24"/>
        <v>17853.97</v>
      </c>
      <c r="Q421" s="19">
        <f t="shared" si="25"/>
        <v>0</v>
      </c>
      <c r="R421" s="25">
        <v>4292.1099999999997</v>
      </c>
      <c r="S421" s="28">
        <v>22146.080000000002</v>
      </c>
      <c r="T421" s="49">
        <f t="shared" si="26"/>
        <v>22146.080000000002</v>
      </c>
      <c r="U421" s="49">
        <f t="shared" si="27"/>
        <v>0</v>
      </c>
    </row>
    <row r="422" spans="1:21" ht="17" thickBot="1" x14ac:dyDescent="0.25">
      <c r="A422" s="21" t="s">
        <v>159</v>
      </c>
      <c r="B422" s="21" t="s">
        <v>696</v>
      </c>
      <c r="C422" s="21" t="s">
        <v>886</v>
      </c>
      <c r="D422" s="21" t="s">
        <v>3355</v>
      </c>
      <c r="E422" s="22" t="s">
        <v>12</v>
      </c>
      <c r="F422" s="23" t="s">
        <v>3357</v>
      </c>
      <c r="G422" s="33" t="s">
        <v>14</v>
      </c>
      <c r="H422" s="18">
        <v>58240</v>
      </c>
      <c r="I422" s="38" t="s">
        <v>14</v>
      </c>
      <c r="J422" s="18">
        <v>4561.76</v>
      </c>
      <c r="K422" s="18">
        <v>488.46</v>
      </c>
      <c r="L422" s="27"/>
      <c r="M422" s="43" t="s">
        <v>3520</v>
      </c>
      <c r="N422" s="18"/>
      <c r="O422" s="27">
        <v>5050.22</v>
      </c>
      <c r="P422" s="19">
        <f t="shared" si="24"/>
        <v>5050.22</v>
      </c>
      <c r="Q422" s="19">
        <f t="shared" si="25"/>
        <v>0</v>
      </c>
      <c r="R422" s="25">
        <v>16700.03</v>
      </c>
      <c r="S422" s="28">
        <v>21750.25</v>
      </c>
      <c r="T422" s="49">
        <f t="shared" si="26"/>
        <v>21750.25</v>
      </c>
      <c r="U422" s="49">
        <f t="shared" si="27"/>
        <v>0</v>
      </c>
    </row>
    <row r="423" spans="1:21" ht="17" thickBot="1" x14ac:dyDescent="0.25">
      <c r="A423" s="21" t="s">
        <v>3360</v>
      </c>
      <c r="B423" s="21" t="s">
        <v>3361</v>
      </c>
      <c r="C423" s="21" t="s">
        <v>824</v>
      </c>
      <c r="D423" s="21" t="s">
        <v>1611</v>
      </c>
      <c r="E423" s="22" t="s">
        <v>12</v>
      </c>
      <c r="F423" s="23" t="s">
        <v>148</v>
      </c>
      <c r="G423" s="34" t="s">
        <v>3366</v>
      </c>
      <c r="H423" s="18">
        <v>36420.800000000003</v>
      </c>
      <c r="I423" s="39">
        <v>64.790000000000006</v>
      </c>
      <c r="J423" s="25">
        <v>13402.16</v>
      </c>
      <c r="K423" s="18">
        <v>217.47</v>
      </c>
      <c r="L423" s="31" t="s">
        <v>3520</v>
      </c>
      <c r="M423" s="29" t="s">
        <v>14</v>
      </c>
      <c r="N423" s="18"/>
      <c r="O423" s="27">
        <v>13684.42</v>
      </c>
      <c r="P423" s="19">
        <f t="shared" si="24"/>
        <v>13684.42</v>
      </c>
      <c r="Q423" s="19">
        <f t="shared" si="25"/>
        <v>0</v>
      </c>
      <c r="R423" s="25">
        <v>7993.19</v>
      </c>
      <c r="S423" s="28">
        <v>21677.61</v>
      </c>
      <c r="T423" s="49">
        <f t="shared" si="26"/>
        <v>21677.61</v>
      </c>
      <c r="U423" s="49">
        <f t="shared" si="27"/>
        <v>0</v>
      </c>
    </row>
    <row r="424" spans="1:21" ht="17" thickBot="1" x14ac:dyDescent="0.25">
      <c r="A424" s="21" t="s">
        <v>303</v>
      </c>
      <c r="B424" s="21" t="s">
        <v>2153</v>
      </c>
      <c r="C424" s="21" t="s">
        <v>2585</v>
      </c>
      <c r="D424" s="21" t="s">
        <v>1997</v>
      </c>
      <c r="E424" s="22" t="s">
        <v>12</v>
      </c>
      <c r="F424" s="23" t="s">
        <v>3286</v>
      </c>
      <c r="G424" s="33" t="s">
        <v>14</v>
      </c>
      <c r="H424" s="18">
        <v>16712.8</v>
      </c>
      <c r="I424" s="38" t="s">
        <v>14</v>
      </c>
      <c r="J424" s="25">
        <v>17175</v>
      </c>
      <c r="K424" s="18" t="s">
        <v>3520</v>
      </c>
      <c r="L424" s="27">
        <v>234.64</v>
      </c>
      <c r="M424" s="29" t="s">
        <v>14</v>
      </c>
      <c r="N424" s="18"/>
      <c r="O424" s="27">
        <v>17409.64</v>
      </c>
      <c r="P424" s="19">
        <f t="shared" si="24"/>
        <v>17409.64</v>
      </c>
      <c r="Q424" s="19">
        <f t="shared" si="25"/>
        <v>0</v>
      </c>
      <c r="R424" s="25">
        <v>4185.2700000000004</v>
      </c>
      <c r="S424" s="28">
        <v>21594.91</v>
      </c>
      <c r="T424" s="49">
        <f t="shared" si="26"/>
        <v>21594.91</v>
      </c>
      <c r="U424" s="49">
        <f t="shared" si="27"/>
        <v>0</v>
      </c>
    </row>
    <row r="425" spans="1:21" ht="17" thickBot="1" x14ac:dyDescent="0.25">
      <c r="A425" s="21" t="s">
        <v>3377</v>
      </c>
      <c r="B425" s="21" t="s">
        <v>3378</v>
      </c>
      <c r="C425" s="21" t="s">
        <v>256</v>
      </c>
      <c r="D425" s="21" t="s">
        <v>2005</v>
      </c>
      <c r="E425" s="22" t="s">
        <v>12</v>
      </c>
      <c r="F425" s="23" t="s">
        <v>3382</v>
      </c>
      <c r="G425" s="33" t="s">
        <v>14</v>
      </c>
      <c r="H425" s="18">
        <v>17108</v>
      </c>
      <c r="I425" s="38" t="s">
        <v>14</v>
      </c>
      <c r="J425" s="25">
        <v>17322.68</v>
      </c>
      <c r="K425" s="18" t="s">
        <v>3520</v>
      </c>
      <c r="L425" s="27" t="s">
        <v>3520</v>
      </c>
      <c r="M425" s="29" t="s">
        <v>14</v>
      </c>
      <c r="N425" s="18"/>
      <c r="O425" s="27">
        <v>17322.68</v>
      </c>
      <c r="P425" s="19">
        <f t="shared" si="24"/>
        <v>17322.68</v>
      </c>
      <c r="Q425" s="19">
        <f t="shared" si="25"/>
        <v>0</v>
      </c>
      <c r="R425" s="25">
        <v>4164.3900000000003</v>
      </c>
      <c r="S425" s="28">
        <v>21487.07</v>
      </c>
      <c r="T425" s="49">
        <f t="shared" si="26"/>
        <v>21487.07</v>
      </c>
      <c r="U425" s="49">
        <f t="shared" si="27"/>
        <v>0</v>
      </c>
    </row>
    <row r="426" spans="1:21" ht="17" thickBot="1" x14ac:dyDescent="0.25">
      <c r="A426" s="21" t="s">
        <v>3386</v>
      </c>
      <c r="B426" s="21" t="s">
        <v>424</v>
      </c>
      <c r="C426" s="21" t="s">
        <v>18</v>
      </c>
      <c r="D426" s="21" t="s">
        <v>2391</v>
      </c>
      <c r="E426" s="22" t="s">
        <v>12</v>
      </c>
      <c r="F426" s="23" t="s">
        <v>3391</v>
      </c>
      <c r="G426" s="33" t="s">
        <v>14</v>
      </c>
      <c r="H426" s="18">
        <v>87500.14</v>
      </c>
      <c r="I426" s="38" t="s">
        <v>14</v>
      </c>
      <c r="J426" s="25">
        <v>16826.95</v>
      </c>
      <c r="K426" s="18" t="s">
        <v>3520</v>
      </c>
      <c r="L426" s="27" t="s">
        <v>3520</v>
      </c>
      <c r="M426" s="29" t="s">
        <v>14</v>
      </c>
      <c r="N426" s="18"/>
      <c r="O426" s="27">
        <v>16826.95</v>
      </c>
      <c r="P426" s="19">
        <f t="shared" si="24"/>
        <v>16826.95</v>
      </c>
      <c r="Q426" s="19">
        <f t="shared" si="25"/>
        <v>0</v>
      </c>
      <c r="R426" s="25">
        <v>4642.1099999999997</v>
      </c>
      <c r="S426" s="28">
        <v>21469.06</v>
      </c>
      <c r="T426" s="49">
        <f t="shared" si="26"/>
        <v>21469.06</v>
      </c>
      <c r="U426" s="49">
        <f t="shared" si="27"/>
        <v>0</v>
      </c>
    </row>
    <row r="427" spans="1:21" ht="17" thickBot="1" x14ac:dyDescent="0.25">
      <c r="A427" s="21" t="s">
        <v>1258</v>
      </c>
      <c r="B427" s="21" t="s">
        <v>3396</v>
      </c>
      <c r="C427" s="21" t="s">
        <v>1442</v>
      </c>
      <c r="D427" s="21" t="s">
        <v>2578</v>
      </c>
      <c r="E427" s="22" t="s">
        <v>12</v>
      </c>
      <c r="F427" s="23" t="s">
        <v>3224</v>
      </c>
      <c r="G427" s="33" t="s">
        <v>14</v>
      </c>
      <c r="H427" s="18">
        <v>37440</v>
      </c>
      <c r="I427" s="38" t="s">
        <v>14</v>
      </c>
      <c r="J427" s="25">
        <v>11520</v>
      </c>
      <c r="K427" s="18">
        <v>4.8600000000000003</v>
      </c>
      <c r="L427" s="27">
        <v>50</v>
      </c>
      <c r="M427" s="29" t="s">
        <v>14</v>
      </c>
      <c r="N427" s="18"/>
      <c r="O427" s="27">
        <v>11574.86</v>
      </c>
      <c r="P427" s="19">
        <f t="shared" si="24"/>
        <v>11574.86</v>
      </c>
      <c r="Q427" s="19">
        <f t="shared" si="25"/>
        <v>0</v>
      </c>
      <c r="R427" s="25">
        <v>9787.49</v>
      </c>
      <c r="S427" s="28">
        <v>21362.35</v>
      </c>
      <c r="T427" s="49">
        <f t="shared" si="26"/>
        <v>21362.35</v>
      </c>
      <c r="U427" s="49">
        <f t="shared" si="27"/>
        <v>0</v>
      </c>
    </row>
    <row r="428" spans="1:21" ht="17" thickBot="1" x14ac:dyDescent="0.25">
      <c r="A428" s="21" t="s">
        <v>3404</v>
      </c>
      <c r="B428" s="21" t="s">
        <v>3405</v>
      </c>
      <c r="C428" s="21" t="s">
        <v>256</v>
      </c>
      <c r="D428" s="21" t="s">
        <v>2005</v>
      </c>
      <c r="E428" s="22" t="s">
        <v>12</v>
      </c>
      <c r="F428" s="23" t="s">
        <v>1613</v>
      </c>
      <c r="G428" s="33" t="s">
        <v>14</v>
      </c>
      <c r="H428" s="18">
        <v>16712.8</v>
      </c>
      <c r="I428" s="38" t="s">
        <v>14</v>
      </c>
      <c r="J428" s="25">
        <v>17177.740000000002</v>
      </c>
      <c r="K428" s="18" t="s">
        <v>3520</v>
      </c>
      <c r="L428" s="27" t="s">
        <v>3520</v>
      </c>
      <c r="M428" s="29" t="s">
        <v>14</v>
      </c>
      <c r="N428" s="18"/>
      <c r="O428" s="27">
        <v>17177.740000000002</v>
      </c>
      <c r="P428" s="19">
        <f t="shared" si="24"/>
        <v>17177.740000000002</v>
      </c>
      <c r="Q428" s="19">
        <f t="shared" si="25"/>
        <v>0</v>
      </c>
      <c r="R428" s="25">
        <v>4129.51</v>
      </c>
      <c r="S428" s="28">
        <v>21307.25</v>
      </c>
      <c r="T428" s="49">
        <f t="shared" si="26"/>
        <v>21307.25</v>
      </c>
      <c r="U428" s="49">
        <f t="shared" si="27"/>
        <v>0</v>
      </c>
    </row>
    <row r="429" spans="1:21" ht="17" thickBot="1" x14ac:dyDescent="0.25">
      <c r="A429" s="21" t="s">
        <v>3413</v>
      </c>
      <c r="B429" s="21" t="s">
        <v>1393</v>
      </c>
      <c r="C429" s="21" t="s">
        <v>81</v>
      </c>
      <c r="D429" s="21" t="s">
        <v>378</v>
      </c>
      <c r="E429" s="22" t="s">
        <v>20</v>
      </c>
      <c r="F429" s="23" t="s">
        <v>564</v>
      </c>
      <c r="G429" s="34" t="s">
        <v>3419</v>
      </c>
      <c r="H429" s="18">
        <v>56525.1</v>
      </c>
      <c r="I429" s="39">
        <v>644.41</v>
      </c>
      <c r="J429" s="18">
        <v>7740.1</v>
      </c>
      <c r="K429" s="18">
        <v>5652.4</v>
      </c>
      <c r="L429" s="43">
        <v>626.37</v>
      </c>
      <c r="M429" s="18"/>
      <c r="N429" s="18"/>
      <c r="O429" s="27">
        <v>14663.28</v>
      </c>
      <c r="P429" s="19">
        <f t="shared" si="24"/>
        <v>14663.28</v>
      </c>
      <c r="Q429" s="19">
        <f t="shared" si="25"/>
        <v>0</v>
      </c>
      <c r="R429" s="25">
        <v>6489.94</v>
      </c>
      <c r="S429" s="28">
        <v>21153.22</v>
      </c>
      <c r="T429" s="49">
        <f t="shared" si="26"/>
        <v>21153.22</v>
      </c>
      <c r="U429" s="49">
        <f t="shared" si="27"/>
        <v>0</v>
      </c>
    </row>
    <row r="430" spans="1:21" ht="17" thickBot="1" x14ac:dyDescent="0.25">
      <c r="A430" s="21" t="s">
        <v>3420</v>
      </c>
      <c r="B430" s="21" t="s">
        <v>3421</v>
      </c>
      <c r="C430" s="21" t="s">
        <v>256</v>
      </c>
      <c r="D430" s="21" t="s">
        <v>2005</v>
      </c>
      <c r="E430" s="22" t="s">
        <v>12</v>
      </c>
      <c r="F430" s="23" t="s">
        <v>3425</v>
      </c>
      <c r="G430" s="33" t="s">
        <v>14</v>
      </c>
      <c r="H430" s="18">
        <v>17815.2</v>
      </c>
      <c r="I430" s="38" t="s">
        <v>14</v>
      </c>
      <c r="J430" s="25">
        <v>17006.05</v>
      </c>
      <c r="K430" s="18" t="s">
        <v>3520</v>
      </c>
      <c r="L430" s="27" t="s">
        <v>3520</v>
      </c>
      <c r="M430" s="18"/>
      <c r="N430" s="18"/>
      <c r="O430" s="27">
        <v>17006.05</v>
      </c>
      <c r="P430" s="19">
        <f t="shared" si="24"/>
        <v>17006.05</v>
      </c>
      <c r="Q430" s="19">
        <f t="shared" si="25"/>
        <v>0</v>
      </c>
      <c r="R430" s="25">
        <v>4088.27</v>
      </c>
      <c r="S430" s="28">
        <v>21094.32</v>
      </c>
      <c r="T430" s="49">
        <f t="shared" si="26"/>
        <v>21094.32</v>
      </c>
      <c r="U430" s="49">
        <f t="shared" si="27"/>
        <v>0</v>
      </c>
    </row>
    <row r="431" spans="1:21" ht="17" thickBot="1" x14ac:dyDescent="0.25">
      <c r="A431" s="21" t="s">
        <v>1875</v>
      </c>
      <c r="B431" s="21" t="s">
        <v>3429</v>
      </c>
      <c r="C431" s="21" t="s">
        <v>240</v>
      </c>
      <c r="D431" s="21" t="s">
        <v>3431</v>
      </c>
      <c r="E431" s="22" t="s">
        <v>12</v>
      </c>
      <c r="F431" s="23" t="s">
        <v>1009</v>
      </c>
      <c r="G431" s="34" t="s">
        <v>3434</v>
      </c>
      <c r="H431" s="18">
        <v>38376</v>
      </c>
      <c r="I431" s="39">
        <v>1946.84</v>
      </c>
      <c r="J431" s="25">
        <v>11039.88</v>
      </c>
      <c r="K431" s="18">
        <v>1044.02</v>
      </c>
      <c r="L431" s="27">
        <v>505</v>
      </c>
      <c r="M431" s="18"/>
      <c r="N431" s="18"/>
      <c r="O431" s="27">
        <v>14535.74</v>
      </c>
      <c r="P431" s="19">
        <f t="shared" si="24"/>
        <v>14535.74</v>
      </c>
      <c r="Q431" s="19">
        <f t="shared" si="25"/>
        <v>0</v>
      </c>
      <c r="R431" s="25">
        <v>6415.37</v>
      </c>
      <c r="S431" s="28">
        <v>20951.11</v>
      </c>
      <c r="T431" s="49">
        <f t="shared" si="26"/>
        <v>20951.11</v>
      </c>
      <c r="U431" s="49">
        <f t="shared" si="27"/>
        <v>0</v>
      </c>
    </row>
    <row r="432" spans="1:21" ht="17" thickBot="1" x14ac:dyDescent="0.25">
      <c r="A432" s="21" t="s">
        <v>3435</v>
      </c>
      <c r="B432" s="21" t="s">
        <v>3436</v>
      </c>
      <c r="C432" s="21" t="s">
        <v>1283</v>
      </c>
      <c r="D432" s="21" t="s">
        <v>2898</v>
      </c>
      <c r="E432" s="22" t="s">
        <v>12</v>
      </c>
      <c r="F432" s="23" t="s">
        <v>3440</v>
      </c>
      <c r="G432" s="33" t="s">
        <v>14</v>
      </c>
      <c r="H432" s="18">
        <v>32136</v>
      </c>
      <c r="I432" s="38" t="s">
        <v>14</v>
      </c>
      <c r="J432" s="25">
        <v>11208.98</v>
      </c>
      <c r="K432" s="18">
        <v>654.71</v>
      </c>
      <c r="L432" s="27" t="s">
        <v>3520</v>
      </c>
      <c r="M432" s="18"/>
      <c r="N432" s="18"/>
      <c r="O432" s="27">
        <v>11863.69</v>
      </c>
      <c r="P432" s="19">
        <f t="shared" si="24"/>
        <v>11863.689999999999</v>
      </c>
      <c r="Q432" s="19">
        <f t="shared" si="25"/>
        <v>1.8189894035458565E-12</v>
      </c>
      <c r="R432" s="25">
        <v>8925.06</v>
      </c>
      <c r="S432" s="28">
        <v>20788.75</v>
      </c>
      <c r="T432" s="49">
        <f t="shared" si="26"/>
        <v>20788.75</v>
      </c>
      <c r="U432" s="49">
        <f t="shared" si="27"/>
        <v>0</v>
      </c>
    </row>
    <row r="433" spans="1:21" ht="17" thickBot="1" x14ac:dyDescent="0.25">
      <c r="A433" s="21" t="s">
        <v>3443</v>
      </c>
      <c r="B433" s="21" t="s">
        <v>2217</v>
      </c>
      <c r="C433" s="21" t="s">
        <v>256</v>
      </c>
      <c r="D433" s="21" t="s">
        <v>2005</v>
      </c>
      <c r="E433" s="22" t="s">
        <v>12</v>
      </c>
      <c r="F433" s="23" t="s">
        <v>3448</v>
      </c>
      <c r="G433" s="34" t="s">
        <v>3449</v>
      </c>
      <c r="H433" s="18">
        <v>20176</v>
      </c>
      <c r="I433" s="27" t="s">
        <v>3520</v>
      </c>
      <c r="J433" s="25">
        <v>16021.86</v>
      </c>
      <c r="K433" s="18" t="s">
        <v>3520</v>
      </c>
      <c r="L433" s="27">
        <v>511.6</v>
      </c>
      <c r="M433" s="18"/>
      <c r="N433" s="18"/>
      <c r="O433" s="30">
        <v>16533.46</v>
      </c>
      <c r="P433" s="19">
        <f t="shared" si="24"/>
        <v>16533.46</v>
      </c>
      <c r="Q433" s="19">
        <f t="shared" si="25"/>
        <v>0</v>
      </c>
      <c r="R433" s="25">
        <v>3974.65</v>
      </c>
      <c r="S433" s="28">
        <v>20508.11</v>
      </c>
      <c r="T433" s="49">
        <f t="shared" si="26"/>
        <v>20508.11</v>
      </c>
      <c r="U433" s="49">
        <f t="shared" si="27"/>
        <v>0</v>
      </c>
    </row>
    <row r="434" spans="1:21" ht="17" thickBot="1" x14ac:dyDescent="0.25">
      <c r="A434" s="21" t="s">
        <v>3450</v>
      </c>
      <c r="B434" s="21" t="s">
        <v>255</v>
      </c>
      <c r="C434" s="21" t="s">
        <v>65</v>
      </c>
      <c r="D434" s="21" t="s">
        <v>3453</v>
      </c>
      <c r="E434" s="22" t="s">
        <v>12</v>
      </c>
      <c r="F434" s="23" t="s">
        <v>969</v>
      </c>
      <c r="G434" s="34" t="s">
        <v>3456</v>
      </c>
      <c r="H434" s="18">
        <v>59009.599999999999</v>
      </c>
      <c r="I434" s="39">
        <v>209.94</v>
      </c>
      <c r="J434" s="25">
        <v>13458.91</v>
      </c>
      <c r="K434" s="18">
        <v>354.7</v>
      </c>
      <c r="L434" s="27">
        <v>270</v>
      </c>
      <c r="M434" s="18"/>
      <c r="N434" s="18"/>
      <c r="O434" s="31">
        <v>14293.55</v>
      </c>
      <c r="P434" s="19">
        <f t="shared" si="24"/>
        <v>14293.550000000001</v>
      </c>
      <c r="Q434" s="19">
        <f t="shared" si="25"/>
        <v>-1.8189894035458565E-12</v>
      </c>
      <c r="R434" s="25">
        <v>6017.24</v>
      </c>
      <c r="S434" s="28">
        <v>20310.79</v>
      </c>
      <c r="T434" s="49">
        <f t="shared" si="26"/>
        <v>20310.79</v>
      </c>
      <c r="U434" s="49">
        <f t="shared" si="27"/>
        <v>0</v>
      </c>
    </row>
    <row r="435" spans="1:21" ht="17" thickBot="1" x14ac:dyDescent="0.25">
      <c r="A435" s="21" t="s">
        <v>3457</v>
      </c>
      <c r="B435" s="21" t="s">
        <v>1561</v>
      </c>
      <c r="C435" s="21" t="s">
        <v>81</v>
      </c>
      <c r="D435" s="21" t="s">
        <v>746</v>
      </c>
      <c r="E435" s="22" t="s">
        <v>20</v>
      </c>
      <c r="F435" s="23" t="s">
        <v>1088</v>
      </c>
      <c r="G435" s="33" t="s">
        <v>14</v>
      </c>
      <c r="H435" s="18" t="s">
        <v>2734</v>
      </c>
      <c r="I435" s="38" t="s">
        <v>14</v>
      </c>
      <c r="J435" s="18">
        <v>17851.349999999999</v>
      </c>
      <c r="K435" s="18">
        <v>937.28</v>
      </c>
      <c r="L435" s="27" t="s">
        <v>3520</v>
      </c>
      <c r="M435" s="18"/>
      <c r="N435" s="18"/>
      <c r="O435" s="31">
        <v>18788.63</v>
      </c>
      <c r="P435" s="19">
        <f t="shared" si="24"/>
        <v>18788.629999999997</v>
      </c>
      <c r="Q435" s="19">
        <f t="shared" si="25"/>
        <v>3.637978807091713E-12</v>
      </c>
      <c r="R435" s="25">
        <v>1454.77</v>
      </c>
      <c r="S435" s="28">
        <v>20243.400000000001</v>
      </c>
      <c r="T435" s="49">
        <f t="shared" si="26"/>
        <v>20243.400000000001</v>
      </c>
      <c r="U435" s="49">
        <f t="shared" si="27"/>
        <v>0</v>
      </c>
    </row>
    <row r="436" spans="1:21" ht="17" thickBot="1" x14ac:dyDescent="0.25">
      <c r="A436" s="21" t="s">
        <v>3466</v>
      </c>
      <c r="B436" s="21" t="s">
        <v>288</v>
      </c>
      <c r="C436" s="21" t="s">
        <v>145</v>
      </c>
      <c r="D436" s="21" t="s">
        <v>2147</v>
      </c>
      <c r="E436" s="22" t="s">
        <v>12</v>
      </c>
      <c r="F436" s="23" t="s">
        <v>3321</v>
      </c>
      <c r="G436" s="33" t="s">
        <v>14</v>
      </c>
      <c r="H436" s="18">
        <v>38417.599999999999</v>
      </c>
      <c r="I436" s="38" t="s">
        <v>14</v>
      </c>
      <c r="J436" s="18">
        <v>6050.77</v>
      </c>
      <c r="K436" s="18">
        <v>321.66000000000003</v>
      </c>
      <c r="L436" s="27"/>
      <c r="M436" s="18"/>
      <c r="N436" s="28"/>
      <c r="O436" s="27">
        <v>6372.43</v>
      </c>
      <c r="P436" s="19">
        <f t="shared" si="24"/>
        <v>6372.43</v>
      </c>
      <c r="Q436" s="19">
        <f t="shared" si="25"/>
        <v>0</v>
      </c>
      <c r="R436" s="25">
        <v>13788.28</v>
      </c>
      <c r="S436" s="28">
        <v>20160.71</v>
      </c>
      <c r="T436" s="49">
        <f t="shared" si="26"/>
        <v>20160.71</v>
      </c>
      <c r="U436" s="49">
        <f t="shared" si="27"/>
        <v>0</v>
      </c>
    </row>
    <row r="437" spans="1:21" ht="17" thickBot="1" x14ac:dyDescent="0.25">
      <c r="A437" s="21" t="s">
        <v>3474</v>
      </c>
      <c r="B437" s="21" t="s">
        <v>239</v>
      </c>
      <c r="C437" s="21" t="s">
        <v>886</v>
      </c>
      <c r="D437" s="21" t="s">
        <v>3477</v>
      </c>
      <c r="E437" s="22" t="s">
        <v>12</v>
      </c>
      <c r="F437" s="23" t="s">
        <v>3321</v>
      </c>
      <c r="G437" s="33" t="s">
        <v>14</v>
      </c>
      <c r="H437" s="18">
        <v>39520</v>
      </c>
      <c r="I437" s="38" t="s">
        <v>14</v>
      </c>
      <c r="J437" s="18">
        <v>5966.95</v>
      </c>
      <c r="K437" s="18">
        <v>117.71</v>
      </c>
      <c r="L437" s="27"/>
      <c r="M437" s="28" t="s">
        <v>3520</v>
      </c>
      <c r="N437" s="18"/>
      <c r="O437" s="27">
        <v>6084.66</v>
      </c>
      <c r="P437" s="19">
        <f t="shared" si="24"/>
        <v>6084.66</v>
      </c>
      <c r="Q437" s="19">
        <f t="shared" si="25"/>
        <v>0</v>
      </c>
      <c r="R437" s="25">
        <v>13868.38</v>
      </c>
      <c r="S437" s="28">
        <v>19953.04</v>
      </c>
      <c r="T437" s="49">
        <f t="shared" si="26"/>
        <v>19953.04</v>
      </c>
      <c r="U437" s="49">
        <f t="shared" si="27"/>
        <v>0</v>
      </c>
    </row>
    <row r="438" spans="1:21" ht="17" thickBot="1" x14ac:dyDescent="0.25">
      <c r="A438" s="21" t="s">
        <v>1930</v>
      </c>
      <c r="B438" s="21" t="s">
        <v>1971</v>
      </c>
      <c r="C438" s="21" t="s">
        <v>1371</v>
      </c>
      <c r="D438" s="21" t="s">
        <v>2650</v>
      </c>
      <c r="E438" s="22" t="s">
        <v>12</v>
      </c>
      <c r="F438" s="23" t="s">
        <v>3487</v>
      </c>
      <c r="G438" s="34" t="s">
        <v>3488</v>
      </c>
      <c r="H438" s="18">
        <v>47964.800000000003</v>
      </c>
      <c r="I438" s="39">
        <v>2344.7399999999998</v>
      </c>
      <c r="J438" s="18">
        <v>9400.02</v>
      </c>
      <c r="K438" s="18" t="s">
        <v>3520</v>
      </c>
      <c r="L438" s="43">
        <v>2368</v>
      </c>
      <c r="M438" s="18"/>
      <c r="N438" s="18"/>
      <c r="O438" s="27">
        <v>14112.76</v>
      </c>
      <c r="P438" s="19">
        <f t="shared" si="24"/>
        <v>14112.76</v>
      </c>
      <c r="Q438" s="19">
        <f t="shared" si="25"/>
        <v>0</v>
      </c>
      <c r="R438" s="25">
        <v>5542.57</v>
      </c>
      <c r="S438" s="28">
        <v>19655.330000000002</v>
      </c>
      <c r="T438" s="49">
        <f t="shared" si="26"/>
        <v>19655.330000000002</v>
      </c>
      <c r="U438" s="49">
        <f t="shared" si="27"/>
        <v>0</v>
      </c>
    </row>
    <row r="439" spans="1:21" ht="17" thickBot="1" x14ac:dyDescent="0.25">
      <c r="A439" s="21" t="s">
        <v>1717</v>
      </c>
      <c r="B439" s="21" t="s">
        <v>3490</v>
      </c>
      <c r="C439" s="21" t="s">
        <v>145</v>
      </c>
      <c r="D439" s="21" t="s">
        <v>3492</v>
      </c>
      <c r="E439" s="22" t="s">
        <v>12</v>
      </c>
      <c r="F439" s="23" t="s">
        <v>3321</v>
      </c>
      <c r="G439" s="33" t="s">
        <v>14</v>
      </c>
      <c r="H439" s="18">
        <v>39520</v>
      </c>
      <c r="I439" s="38" t="s">
        <v>14</v>
      </c>
      <c r="J439" s="18">
        <v>5928.38</v>
      </c>
      <c r="K439" s="18">
        <v>63.57</v>
      </c>
      <c r="L439" s="27" t="s">
        <v>3520</v>
      </c>
      <c r="M439" s="18"/>
      <c r="N439" s="18"/>
      <c r="O439" s="27">
        <v>5991.95</v>
      </c>
      <c r="P439" s="19">
        <f t="shared" si="24"/>
        <v>5991.95</v>
      </c>
      <c r="Q439" s="19">
        <f t="shared" si="25"/>
        <v>0</v>
      </c>
      <c r="R439" s="25">
        <v>12881.52</v>
      </c>
      <c r="S439" s="28">
        <v>18873.47</v>
      </c>
      <c r="T439" s="49">
        <f t="shared" si="26"/>
        <v>18873.47</v>
      </c>
      <c r="U439" s="49">
        <f t="shared" si="27"/>
        <v>0</v>
      </c>
    </row>
    <row r="440" spans="1:21" ht="17" thickBot="1" x14ac:dyDescent="0.25">
      <c r="A440" s="21" t="s">
        <v>3497</v>
      </c>
      <c r="B440" s="21" t="s">
        <v>2193</v>
      </c>
      <c r="C440" s="21" t="s">
        <v>1315</v>
      </c>
      <c r="D440" s="21" t="s">
        <v>2250</v>
      </c>
      <c r="E440" s="22" t="s">
        <v>12</v>
      </c>
      <c r="F440" s="23" t="s">
        <v>3502</v>
      </c>
      <c r="G440" s="34" t="s">
        <v>3503</v>
      </c>
      <c r="H440" s="18">
        <v>34985.599999999999</v>
      </c>
      <c r="I440" s="27" t="s">
        <v>3520</v>
      </c>
      <c r="J440" s="25">
        <v>11158.62</v>
      </c>
      <c r="K440" s="18">
        <v>474.46</v>
      </c>
      <c r="L440" s="27">
        <v>959.03</v>
      </c>
      <c r="M440" s="18"/>
      <c r="N440" s="18"/>
      <c r="O440" s="27">
        <v>12592.11</v>
      </c>
      <c r="P440" s="19">
        <f t="shared" si="24"/>
        <v>12592.11</v>
      </c>
      <c r="Q440" s="19">
        <f t="shared" si="25"/>
        <v>0</v>
      </c>
      <c r="R440" s="25">
        <v>5944.1</v>
      </c>
      <c r="S440" s="28">
        <v>18536.21</v>
      </c>
      <c r="T440" s="49">
        <f t="shared" si="26"/>
        <v>18536.21</v>
      </c>
      <c r="U440" s="49">
        <f t="shared" si="27"/>
        <v>0</v>
      </c>
    </row>
    <row r="441" spans="1:21" ht="17" thickBot="1" x14ac:dyDescent="0.25">
      <c r="A441" s="21" t="s">
        <v>3504</v>
      </c>
      <c r="B441" s="21" t="s">
        <v>3505</v>
      </c>
      <c r="C441" s="21" t="s">
        <v>81</v>
      </c>
      <c r="D441" s="21" t="s">
        <v>3256</v>
      </c>
      <c r="E441" s="22" t="s">
        <v>20</v>
      </c>
      <c r="F441" s="23" t="s">
        <v>3509</v>
      </c>
      <c r="G441" s="33" t="s">
        <v>14</v>
      </c>
      <c r="H441" s="18" t="s">
        <v>2734</v>
      </c>
      <c r="I441" s="42" t="s">
        <v>14</v>
      </c>
      <c r="J441" s="18">
        <v>11451.88</v>
      </c>
      <c r="K441" s="18">
        <v>4631.21</v>
      </c>
      <c r="L441" s="27">
        <v>978.98</v>
      </c>
      <c r="M441" s="18"/>
      <c r="N441" s="18"/>
      <c r="O441" s="27">
        <v>17062.07</v>
      </c>
      <c r="P441" s="19">
        <f t="shared" si="24"/>
        <v>17062.07</v>
      </c>
      <c r="Q441" s="19">
        <f t="shared" si="25"/>
        <v>0</v>
      </c>
      <c r="R441" s="25">
        <v>1305.25</v>
      </c>
      <c r="S441" s="28">
        <v>18367.32</v>
      </c>
      <c r="T441" s="49">
        <f t="shared" si="26"/>
        <v>18367.32</v>
      </c>
      <c r="U441" s="49">
        <f t="shared" si="27"/>
        <v>0</v>
      </c>
    </row>
    <row r="442" spans="1:21" ht="17" thickBot="1" x14ac:dyDescent="0.25">
      <c r="A442" s="21" t="s">
        <v>719</v>
      </c>
      <c r="B442" s="21" t="s">
        <v>901</v>
      </c>
      <c r="C442" s="21" t="s">
        <v>18</v>
      </c>
      <c r="D442" s="21" t="s">
        <v>498</v>
      </c>
      <c r="E442" s="22" t="s">
        <v>20</v>
      </c>
      <c r="F442" s="23" t="s">
        <v>2117</v>
      </c>
      <c r="G442" s="34" t="s">
        <v>3519</v>
      </c>
      <c r="H442" s="18">
        <v>61651.72</v>
      </c>
      <c r="I442" s="27"/>
      <c r="J442" s="18">
        <v>8789.16</v>
      </c>
      <c r="K442" s="18">
        <v>274.22000000000003</v>
      </c>
      <c r="L442" s="27">
        <v>9.1999999999999993</v>
      </c>
      <c r="M442" s="18"/>
      <c r="N442" s="18"/>
      <c r="O442" s="30">
        <v>9072.58</v>
      </c>
      <c r="P442" s="19">
        <f t="shared" si="24"/>
        <v>9072.58</v>
      </c>
      <c r="Q442" s="19">
        <f t="shared" si="25"/>
        <v>0</v>
      </c>
      <c r="R442" s="25">
        <v>9265.34</v>
      </c>
      <c r="S442" s="28">
        <v>18337.919999999998</v>
      </c>
      <c r="T442" s="49">
        <f t="shared" si="26"/>
        <v>18337.919999999998</v>
      </c>
      <c r="U442" s="49">
        <f t="shared" si="27"/>
        <v>0</v>
      </c>
    </row>
    <row r="443" spans="1:21" ht="17" thickBot="1" x14ac:dyDescent="0.25">
      <c r="A443" s="21" t="s">
        <v>3521</v>
      </c>
      <c r="B443" s="21" t="s">
        <v>3522</v>
      </c>
      <c r="C443" s="21" t="s">
        <v>65</v>
      </c>
      <c r="D443" s="21" t="s">
        <v>2516</v>
      </c>
      <c r="E443" s="22" t="s">
        <v>12</v>
      </c>
      <c r="F443" s="23" t="s">
        <v>3526</v>
      </c>
      <c r="G443" s="34" t="s">
        <v>3434</v>
      </c>
      <c r="H443" s="18">
        <v>35651.199999999997</v>
      </c>
      <c r="I443" s="39">
        <v>68.05</v>
      </c>
      <c r="J443" s="25">
        <v>10092.870000000001</v>
      </c>
      <c r="K443" s="18">
        <v>42.67</v>
      </c>
      <c r="L443" s="27">
        <v>588.33000000000004</v>
      </c>
      <c r="M443" s="18"/>
      <c r="N443" s="18"/>
      <c r="O443" s="30">
        <v>10791.92</v>
      </c>
      <c r="P443" s="19">
        <f t="shared" si="24"/>
        <v>10791.92</v>
      </c>
      <c r="Q443" s="19">
        <f t="shared" si="25"/>
        <v>0</v>
      </c>
      <c r="R443" s="25">
        <v>7527.27</v>
      </c>
      <c r="S443" s="28">
        <v>18319.29</v>
      </c>
      <c r="T443" s="49">
        <f t="shared" si="26"/>
        <v>18319.190000000002</v>
      </c>
      <c r="U443" s="49">
        <f t="shared" si="27"/>
        <v>9.9999999998544808E-2</v>
      </c>
    </row>
    <row r="444" spans="1:21" ht="17" thickBot="1" x14ac:dyDescent="0.25">
      <c r="A444" s="21" t="s">
        <v>3528</v>
      </c>
      <c r="B444" s="21" t="s">
        <v>3344</v>
      </c>
      <c r="C444" s="21" t="s">
        <v>256</v>
      </c>
      <c r="D444" s="21" t="s">
        <v>2005</v>
      </c>
      <c r="E444" s="22" t="s">
        <v>12</v>
      </c>
      <c r="F444" s="23" t="s">
        <v>3526</v>
      </c>
      <c r="G444" s="33" t="s">
        <v>14</v>
      </c>
      <c r="H444" s="18">
        <v>8356.4</v>
      </c>
      <c r="I444" s="38" t="s">
        <v>14</v>
      </c>
      <c r="J444" s="25">
        <v>14446.83</v>
      </c>
      <c r="K444" s="18" t="s">
        <v>3520</v>
      </c>
      <c r="L444" s="27" t="s">
        <v>3520</v>
      </c>
      <c r="M444" s="18"/>
      <c r="N444" s="18"/>
      <c r="O444" s="30">
        <v>14446.83</v>
      </c>
      <c r="P444" s="19">
        <f t="shared" si="24"/>
        <v>14446.83</v>
      </c>
      <c r="Q444" s="19">
        <f t="shared" si="25"/>
        <v>0</v>
      </c>
      <c r="R444" s="25">
        <v>3473.02</v>
      </c>
      <c r="S444" s="28">
        <v>17919.849999999999</v>
      </c>
      <c r="T444" s="49">
        <f t="shared" si="26"/>
        <v>17919.849999999999</v>
      </c>
      <c r="U444" s="49">
        <f t="shared" si="27"/>
        <v>0</v>
      </c>
    </row>
    <row r="445" spans="1:21" ht="17" thickBot="1" x14ac:dyDescent="0.25">
      <c r="A445" s="21" t="s">
        <v>3536</v>
      </c>
      <c r="B445" s="21" t="s">
        <v>255</v>
      </c>
      <c r="C445" s="21" t="s">
        <v>65</v>
      </c>
      <c r="D445" s="21" t="s">
        <v>1736</v>
      </c>
      <c r="E445" s="22" t="s">
        <v>12</v>
      </c>
      <c r="F445" s="23" t="s">
        <v>644</v>
      </c>
      <c r="G445" s="34" t="s">
        <v>3542</v>
      </c>
      <c r="H445" s="18">
        <v>43596.800000000003</v>
      </c>
      <c r="I445" s="39">
        <v>2158.46</v>
      </c>
      <c r="J445" s="25">
        <v>11080.87</v>
      </c>
      <c r="K445" s="18" t="s">
        <v>3520</v>
      </c>
      <c r="L445" s="27">
        <v>672.5</v>
      </c>
      <c r="M445" s="18"/>
      <c r="N445" s="18"/>
      <c r="O445" s="27">
        <v>13911.83</v>
      </c>
      <c r="P445" s="19">
        <f t="shared" si="24"/>
        <v>13911.830000000002</v>
      </c>
      <c r="Q445" s="19">
        <f t="shared" si="25"/>
        <v>-1.8189894035458565E-12</v>
      </c>
      <c r="R445" s="25">
        <v>3415</v>
      </c>
      <c r="S445" s="28">
        <v>17326.830000000002</v>
      </c>
      <c r="T445" s="49">
        <f t="shared" si="26"/>
        <v>17326.830000000002</v>
      </c>
      <c r="U445" s="49">
        <f t="shared" si="27"/>
        <v>0</v>
      </c>
    </row>
    <row r="446" spans="1:21" ht="17" thickBot="1" x14ac:dyDescent="0.25">
      <c r="A446" s="21" t="s">
        <v>3543</v>
      </c>
      <c r="B446" s="21" t="s">
        <v>3544</v>
      </c>
      <c r="C446" s="21" t="s">
        <v>65</v>
      </c>
      <c r="D446" s="21" t="s">
        <v>2195</v>
      </c>
      <c r="E446" s="22" t="s">
        <v>12</v>
      </c>
      <c r="F446" s="23" t="s">
        <v>1573</v>
      </c>
      <c r="G446" s="34" t="s">
        <v>3549</v>
      </c>
      <c r="H446" s="18">
        <v>33862.400000000001</v>
      </c>
      <c r="I446" s="39">
        <v>120.47</v>
      </c>
      <c r="J446" s="18">
        <v>9205.52</v>
      </c>
      <c r="K446" s="18">
        <v>260.72000000000003</v>
      </c>
      <c r="L446" s="43">
        <v>100</v>
      </c>
      <c r="M446" s="18"/>
      <c r="N446" s="18"/>
      <c r="O446" s="27">
        <v>9686.7099999999991</v>
      </c>
      <c r="P446" s="19">
        <f t="shared" si="24"/>
        <v>9686.7099999999991</v>
      </c>
      <c r="Q446" s="19">
        <f t="shared" si="25"/>
        <v>0</v>
      </c>
      <c r="R446" s="25">
        <v>6833.22</v>
      </c>
      <c r="S446" s="28">
        <v>16519.93</v>
      </c>
      <c r="T446" s="49">
        <f t="shared" si="26"/>
        <v>16519.93</v>
      </c>
      <c r="U446" s="49">
        <f t="shared" si="27"/>
        <v>0</v>
      </c>
    </row>
    <row r="447" spans="1:21" ht="17" thickBot="1" x14ac:dyDescent="0.25">
      <c r="A447" s="21" t="s">
        <v>3550</v>
      </c>
      <c r="B447" s="21" t="s">
        <v>384</v>
      </c>
      <c r="C447" s="21" t="s">
        <v>81</v>
      </c>
      <c r="D447" s="21" t="s">
        <v>746</v>
      </c>
      <c r="E447" s="22" t="s">
        <v>20</v>
      </c>
      <c r="F447" s="23" t="s">
        <v>796</v>
      </c>
      <c r="G447" s="33" t="s">
        <v>14</v>
      </c>
      <c r="H447" s="18" t="s">
        <v>2734</v>
      </c>
      <c r="I447" s="38" t="s">
        <v>14</v>
      </c>
      <c r="J447" s="18">
        <v>10613.6</v>
      </c>
      <c r="K447" s="18">
        <v>3007.45</v>
      </c>
      <c r="L447" s="27">
        <v>988.7</v>
      </c>
      <c r="M447" s="18"/>
      <c r="N447" s="18"/>
      <c r="O447" s="27">
        <v>14609.75</v>
      </c>
      <c r="P447" s="19">
        <f t="shared" si="24"/>
        <v>14609.75</v>
      </c>
      <c r="Q447" s="19">
        <f t="shared" si="25"/>
        <v>0</v>
      </c>
      <c r="R447" s="25">
        <v>1176.5899999999999</v>
      </c>
      <c r="S447" s="28">
        <v>15786.34</v>
      </c>
      <c r="T447" s="49">
        <f t="shared" si="26"/>
        <v>15786.34</v>
      </c>
      <c r="U447" s="49">
        <f t="shared" si="27"/>
        <v>0</v>
      </c>
    </row>
    <row r="448" spans="1:21" ht="17" thickBot="1" x14ac:dyDescent="0.25">
      <c r="A448" s="21" t="s">
        <v>3559</v>
      </c>
      <c r="B448" s="21" t="s">
        <v>3560</v>
      </c>
      <c r="C448" s="21" t="s">
        <v>65</v>
      </c>
      <c r="D448" s="21" t="s">
        <v>3162</v>
      </c>
      <c r="E448" s="22" t="s">
        <v>12</v>
      </c>
      <c r="F448" s="23" t="s">
        <v>1755</v>
      </c>
      <c r="G448" s="34" t="s">
        <v>3565</v>
      </c>
      <c r="H448" s="18">
        <v>32136</v>
      </c>
      <c r="I448" s="39">
        <v>342.99</v>
      </c>
      <c r="J448" s="18">
        <v>6343.77</v>
      </c>
      <c r="K448" s="18">
        <v>409.27</v>
      </c>
      <c r="L448" s="43">
        <v>193.9</v>
      </c>
      <c r="M448" s="18"/>
      <c r="N448" s="18"/>
      <c r="O448" s="27">
        <v>7289.93</v>
      </c>
      <c r="P448" s="19">
        <f t="shared" si="24"/>
        <v>7289.93</v>
      </c>
      <c r="Q448" s="19">
        <f t="shared" si="25"/>
        <v>0</v>
      </c>
      <c r="R448" s="25">
        <v>7950.86</v>
      </c>
      <c r="S448" s="28">
        <v>15240.79</v>
      </c>
      <c r="T448" s="49">
        <f t="shared" si="26"/>
        <v>15240.79</v>
      </c>
      <c r="U448" s="49">
        <f t="shared" si="27"/>
        <v>0</v>
      </c>
    </row>
    <row r="449" spans="1:21" ht="17" thickBot="1" x14ac:dyDescent="0.25">
      <c r="A449" s="21" t="s">
        <v>3566</v>
      </c>
      <c r="B449" s="21" t="s">
        <v>3567</v>
      </c>
      <c r="C449" s="21" t="s">
        <v>1442</v>
      </c>
      <c r="D449" s="21" t="s">
        <v>3020</v>
      </c>
      <c r="E449" s="22" t="s">
        <v>12</v>
      </c>
      <c r="F449" s="23" t="s">
        <v>1730</v>
      </c>
      <c r="G449" s="34" t="s">
        <v>3572</v>
      </c>
      <c r="H449" s="18">
        <v>35651.199999999997</v>
      </c>
      <c r="I449" s="39">
        <v>652.69000000000005</v>
      </c>
      <c r="J449" s="25">
        <v>10095.9</v>
      </c>
      <c r="K449" s="18">
        <v>47.56</v>
      </c>
      <c r="L449" s="31">
        <v>113.33</v>
      </c>
      <c r="M449" s="18"/>
      <c r="N449" s="18"/>
      <c r="O449" s="27">
        <v>10909.48</v>
      </c>
      <c r="P449" s="19">
        <f t="shared" si="24"/>
        <v>10909.48</v>
      </c>
      <c r="Q449" s="19">
        <f t="shared" si="25"/>
        <v>0</v>
      </c>
      <c r="R449" s="25">
        <v>3454.79</v>
      </c>
      <c r="S449" s="28">
        <v>14364.27</v>
      </c>
      <c r="T449" s="49">
        <f t="shared" si="26"/>
        <v>14364.27</v>
      </c>
      <c r="U449" s="49">
        <f t="shared" si="27"/>
        <v>0</v>
      </c>
    </row>
    <row r="450" spans="1:21" ht="17" thickBot="1" x14ac:dyDescent="0.25">
      <c r="A450" s="10" t="s">
        <v>3573</v>
      </c>
      <c r="B450" s="10" t="s">
        <v>3574</v>
      </c>
      <c r="C450" s="10" t="s">
        <v>65</v>
      </c>
      <c r="D450" s="10" t="s">
        <v>594</v>
      </c>
      <c r="E450" s="11" t="s">
        <v>20</v>
      </c>
      <c r="F450" s="12" t="s">
        <v>3357</v>
      </c>
      <c r="G450" s="32" t="s">
        <v>14</v>
      </c>
      <c r="H450" s="16">
        <v>58822.400000000001</v>
      </c>
      <c r="I450" s="44" t="s">
        <v>14</v>
      </c>
      <c r="J450" s="16">
        <v>4524.8</v>
      </c>
      <c r="K450" s="16">
        <v>651.21</v>
      </c>
      <c r="L450" s="45">
        <v>3.68</v>
      </c>
      <c r="M450" s="18"/>
      <c r="N450" s="18"/>
      <c r="O450" s="17">
        <v>5179.6899999999996</v>
      </c>
      <c r="P450" s="19">
        <f t="shared" si="24"/>
        <v>5179.6900000000005</v>
      </c>
      <c r="Q450" s="19">
        <f t="shared" si="25"/>
        <v>-9.0949470177292824E-13</v>
      </c>
      <c r="R450" s="14">
        <v>8322.33</v>
      </c>
      <c r="S450" s="20">
        <v>13502.02</v>
      </c>
      <c r="T450" s="49">
        <f t="shared" si="26"/>
        <v>13502.02</v>
      </c>
      <c r="U450" s="49">
        <f t="shared" si="27"/>
        <v>0</v>
      </c>
    </row>
    <row r="451" spans="1:21" ht="17" thickBot="1" x14ac:dyDescent="0.25">
      <c r="A451" s="21" t="s">
        <v>3581</v>
      </c>
      <c r="B451" s="21" t="s">
        <v>3582</v>
      </c>
      <c r="C451" s="21" t="s">
        <v>65</v>
      </c>
      <c r="D451" s="21" t="s">
        <v>3309</v>
      </c>
      <c r="E451" s="22" t="s">
        <v>12</v>
      </c>
      <c r="F451" s="23" t="s">
        <v>3586</v>
      </c>
      <c r="G451" s="34" t="s">
        <v>3587</v>
      </c>
      <c r="H451" s="18" t="s">
        <v>3313</v>
      </c>
      <c r="I451" s="27" t="s">
        <v>3520</v>
      </c>
      <c r="J451" s="25">
        <v>12165.13</v>
      </c>
      <c r="K451" s="18" t="s">
        <v>3520</v>
      </c>
      <c r="L451" s="40"/>
      <c r="M451" s="18" t="s">
        <v>3520</v>
      </c>
      <c r="N451" s="18"/>
      <c r="O451" s="30">
        <v>12165.13</v>
      </c>
      <c r="P451" s="19">
        <f t="shared" ref="P451:P514" si="28">SUM(I451:N451)</f>
        <v>12165.13</v>
      </c>
      <c r="Q451" s="19">
        <f t="shared" ref="Q451:Q514" si="29">SUM(O451-P451)</f>
        <v>0</v>
      </c>
      <c r="R451" s="25">
        <v>930.65</v>
      </c>
      <c r="S451" s="28">
        <v>13095.78</v>
      </c>
      <c r="T451" s="49">
        <f t="shared" ref="T451:T514" si="30">SUM(O451+R451)</f>
        <v>13095.779999999999</v>
      </c>
      <c r="U451" s="49">
        <f t="shared" ref="U451:U514" si="31">SUM(S451-T451)</f>
        <v>1.8189894035458565E-12</v>
      </c>
    </row>
    <row r="452" spans="1:21" ht="17" thickBot="1" x14ac:dyDescent="0.25">
      <c r="A452" s="21" t="s">
        <v>3589</v>
      </c>
      <c r="B452" s="21" t="s">
        <v>25</v>
      </c>
      <c r="C452" s="21" t="s">
        <v>256</v>
      </c>
      <c r="D452" s="21" t="s">
        <v>2005</v>
      </c>
      <c r="E452" s="22" t="s">
        <v>12</v>
      </c>
      <c r="F452" s="23" t="s">
        <v>3594</v>
      </c>
      <c r="G452" s="33" t="s">
        <v>14</v>
      </c>
      <c r="H452" s="18">
        <v>8554</v>
      </c>
      <c r="I452" s="42" t="s">
        <v>14</v>
      </c>
      <c r="J452" s="25">
        <v>10049.24</v>
      </c>
      <c r="K452" s="18" t="s">
        <v>3520</v>
      </c>
      <c r="L452" s="40"/>
      <c r="M452" s="18" t="s">
        <v>3520</v>
      </c>
      <c r="N452" s="18"/>
      <c r="O452" s="31">
        <v>10049.24</v>
      </c>
      <c r="P452" s="19">
        <f t="shared" si="28"/>
        <v>10049.24</v>
      </c>
      <c r="Q452" s="19">
        <f t="shared" si="29"/>
        <v>0</v>
      </c>
      <c r="R452" s="25">
        <v>2415.83</v>
      </c>
      <c r="S452" s="28">
        <v>12465.07</v>
      </c>
      <c r="T452" s="49">
        <f t="shared" si="30"/>
        <v>12465.07</v>
      </c>
      <c r="U452" s="49">
        <f t="shared" si="31"/>
        <v>0</v>
      </c>
    </row>
    <row r="453" spans="1:21" ht="17" thickBot="1" x14ac:dyDescent="0.25">
      <c r="A453" s="21" t="s">
        <v>3597</v>
      </c>
      <c r="B453" s="21" t="s">
        <v>760</v>
      </c>
      <c r="C453" s="21" t="s">
        <v>824</v>
      </c>
      <c r="D453" s="21" t="s">
        <v>1611</v>
      </c>
      <c r="E453" s="22" t="s">
        <v>12</v>
      </c>
      <c r="F453" s="23" t="s">
        <v>3602</v>
      </c>
      <c r="G453" s="33" t="s">
        <v>14</v>
      </c>
      <c r="H453" s="18">
        <v>33280</v>
      </c>
      <c r="I453" s="42" t="s">
        <v>14</v>
      </c>
      <c r="J453" s="18">
        <v>3840.48</v>
      </c>
      <c r="K453" s="18">
        <v>92.16</v>
      </c>
      <c r="L453" s="40"/>
      <c r="M453" s="18" t="s">
        <v>3520</v>
      </c>
      <c r="N453" s="18"/>
      <c r="O453" s="27">
        <v>3932.64</v>
      </c>
      <c r="P453" s="19">
        <f t="shared" si="28"/>
        <v>3932.64</v>
      </c>
      <c r="Q453" s="19">
        <f t="shared" si="29"/>
        <v>0</v>
      </c>
      <c r="R453" s="25">
        <v>7948.39</v>
      </c>
      <c r="S453" s="28">
        <v>11881.03</v>
      </c>
      <c r="T453" s="49">
        <f t="shared" si="30"/>
        <v>11881.03</v>
      </c>
      <c r="U453" s="49">
        <f t="shared" si="31"/>
        <v>0</v>
      </c>
    </row>
    <row r="454" spans="1:21" ht="17" thickBot="1" x14ac:dyDescent="0.25">
      <c r="A454" s="21" t="s">
        <v>3605</v>
      </c>
      <c r="B454" s="21" t="s">
        <v>3606</v>
      </c>
      <c r="C454" s="21" t="s">
        <v>65</v>
      </c>
      <c r="D454" s="21" t="s">
        <v>1728</v>
      </c>
      <c r="E454" s="22" t="s">
        <v>12</v>
      </c>
      <c r="F454" s="23" t="s">
        <v>3357</v>
      </c>
      <c r="G454" s="33" t="s">
        <v>14</v>
      </c>
      <c r="H454" s="18">
        <v>39208</v>
      </c>
      <c r="I454" s="42" t="s">
        <v>14</v>
      </c>
      <c r="J454" s="18">
        <v>3016</v>
      </c>
      <c r="K454" s="18">
        <v>42.98</v>
      </c>
      <c r="L454" s="27">
        <v>229.03</v>
      </c>
      <c r="M454" s="18"/>
      <c r="N454" s="18"/>
      <c r="O454" s="27">
        <v>3288.01</v>
      </c>
      <c r="P454" s="19">
        <f t="shared" si="28"/>
        <v>3288.01</v>
      </c>
      <c r="Q454" s="19">
        <f t="shared" si="29"/>
        <v>0</v>
      </c>
      <c r="R454" s="25">
        <v>7862.04</v>
      </c>
      <c r="S454" s="28">
        <v>11150.05</v>
      </c>
      <c r="T454" s="49">
        <f t="shared" si="30"/>
        <v>11150.05</v>
      </c>
      <c r="U454" s="49">
        <f t="shared" si="31"/>
        <v>0</v>
      </c>
    </row>
    <row r="455" spans="1:21" ht="17" thickBot="1" x14ac:dyDescent="0.25">
      <c r="A455" s="21" t="s">
        <v>3613</v>
      </c>
      <c r="B455" s="21" t="s">
        <v>3614</v>
      </c>
      <c r="C455" s="21" t="s">
        <v>256</v>
      </c>
      <c r="D455" s="21" t="s">
        <v>2005</v>
      </c>
      <c r="E455" s="22" t="s">
        <v>12</v>
      </c>
      <c r="F455" s="23" t="s">
        <v>1239</v>
      </c>
      <c r="G455" s="33" t="s">
        <v>14</v>
      </c>
      <c r="H455" s="18">
        <v>8590.4</v>
      </c>
      <c r="I455" s="42" t="s">
        <v>14</v>
      </c>
      <c r="J455" s="18">
        <v>8717.61</v>
      </c>
      <c r="K455" s="18" t="s">
        <v>3520</v>
      </c>
      <c r="L455" s="43">
        <v>240</v>
      </c>
      <c r="M455" s="18"/>
      <c r="N455" s="18"/>
      <c r="O455" s="27">
        <v>8957.61</v>
      </c>
      <c r="P455" s="19">
        <f t="shared" si="28"/>
        <v>8957.61</v>
      </c>
      <c r="Q455" s="19">
        <f t="shared" si="29"/>
        <v>0</v>
      </c>
      <c r="R455" s="25">
        <v>2153.4</v>
      </c>
      <c r="S455" s="28">
        <v>11111.01</v>
      </c>
      <c r="T455" s="49">
        <f t="shared" si="30"/>
        <v>11111.01</v>
      </c>
      <c r="U455" s="49">
        <f t="shared" si="31"/>
        <v>0</v>
      </c>
    </row>
    <row r="456" spans="1:21" ht="17" thickBot="1" x14ac:dyDescent="0.25">
      <c r="A456" s="21" t="s">
        <v>246</v>
      </c>
      <c r="B456" s="21" t="s">
        <v>807</v>
      </c>
      <c r="C456" s="21" t="s">
        <v>240</v>
      </c>
      <c r="D456" s="21" t="s">
        <v>2250</v>
      </c>
      <c r="E456" s="22" t="s">
        <v>12</v>
      </c>
      <c r="F456" s="23" t="s">
        <v>3626</v>
      </c>
      <c r="G456" s="34" t="s">
        <v>3046</v>
      </c>
      <c r="H456" s="18">
        <v>16712.8</v>
      </c>
      <c r="I456" s="27"/>
      <c r="J456" s="18">
        <v>8832.41</v>
      </c>
      <c r="K456" s="18" t="s">
        <v>3520</v>
      </c>
      <c r="L456" s="27" t="s">
        <v>3520</v>
      </c>
      <c r="M456" s="18"/>
      <c r="N456" s="18"/>
      <c r="O456" s="30">
        <v>8832.41</v>
      </c>
      <c r="P456" s="19">
        <f t="shared" si="28"/>
        <v>8832.41</v>
      </c>
      <c r="Q456" s="19">
        <f t="shared" si="29"/>
        <v>0</v>
      </c>
      <c r="R456" s="25">
        <v>2123.31</v>
      </c>
      <c r="S456" s="28">
        <v>10955.72</v>
      </c>
      <c r="T456" s="49">
        <f t="shared" si="30"/>
        <v>10955.72</v>
      </c>
      <c r="U456" s="49">
        <f t="shared" si="31"/>
        <v>0</v>
      </c>
    </row>
    <row r="457" spans="1:21" ht="17" thickBot="1" x14ac:dyDescent="0.25">
      <c r="A457" s="21" t="s">
        <v>3628</v>
      </c>
      <c r="B457" s="21" t="s">
        <v>3629</v>
      </c>
      <c r="C457" s="21" t="s">
        <v>256</v>
      </c>
      <c r="D457" s="21" t="s">
        <v>2005</v>
      </c>
      <c r="E457" s="22" t="s">
        <v>12</v>
      </c>
      <c r="F457" s="23" t="s">
        <v>1088</v>
      </c>
      <c r="G457" s="34" t="s">
        <v>3634</v>
      </c>
      <c r="H457" s="18">
        <v>16712.8</v>
      </c>
      <c r="I457" s="27"/>
      <c r="J457" s="18">
        <v>8828.1200000000008</v>
      </c>
      <c r="K457" s="18" t="s">
        <v>3520</v>
      </c>
      <c r="L457" s="27" t="s">
        <v>3520</v>
      </c>
      <c r="M457" s="18"/>
      <c r="N457" s="18"/>
      <c r="O457" s="30">
        <v>8828.1200000000008</v>
      </c>
      <c r="P457" s="19">
        <f t="shared" si="28"/>
        <v>8828.1200000000008</v>
      </c>
      <c r="Q457" s="19">
        <f t="shared" si="29"/>
        <v>0</v>
      </c>
      <c r="R457" s="25">
        <v>2122.29</v>
      </c>
      <c r="S457" s="28">
        <v>10950.41</v>
      </c>
      <c r="T457" s="49">
        <f t="shared" si="30"/>
        <v>10950.41</v>
      </c>
      <c r="U457" s="49">
        <f t="shared" si="31"/>
        <v>0</v>
      </c>
    </row>
    <row r="458" spans="1:21" ht="17" thickBot="1" x14ac:dyDescent="0.25">
      <c r="A458" s="21" t="s">
        <v>3635</v>
      </c>
      <c r="B458" s="21" t="s">
        <v>384</v>
      </c>
      <c r="C458" s="21" t="s">
        <v>2507</v>
      </c>
      <c r="D458" s="21" t="s">
        <v>3638</v>
      </c>
      <c r="E458" s="22" t="s">
        <v>12</v>
      </c>
      <c r="F458" s="23" t="s">
        <v>2438</v>
      </c>
      <c r="G458" s="34" t="s">
        <v>3641</v>
      </c>
      <c r="H458" s="18">
        <v>32136</v>
      </c>
      <c r="I458" s="39">
        <v>207.49</v>
      </c>
      <c r="J458" s="18">
        <v>6973.81</v>
      </c>
      <c r="K458" s="18">
        <v>71.849999999999994</v>
      </c>
      <c r="L458" s="27" t="s">
        <v>3520</v>
      </c>
      <c r="M458" s="18"/>
      <c r="N458" s="18"/>
      <c r="O458" s="31">
        <v>7253.15</v>
      </c>
      <c r="P458" s="19">
        <f t="shared" si="28"/>
        <v>7253.1500000000005</v>
      </c>
      <c r="Q458" s="19">
        <f t="shared" si="29"/>
        <v>-9.0949470177292824E-13</v>
      </c>
      <c r="R458" s="25">
        <v>3293.76</v>
      </c>
      <c r="S458" s="28">
        <v>10546.91</v>
      </c>
      <c r="T458" s="49">
        <f t="shared" si="30"/>
        <v>10546.91</v>
      </c>
      <c r="U458" s="49">
        <f t="shared" si="31"/>
        <v>0</v>
      </c>
    </row>
    <row r="459" spans="1:21" ht="17" thickBot="1" x14ac:dyDescent="0.25">
      <c r="A459" s="21" t="s">
        <v>24</v>
      </c>
      <c r="B459" s="21" t="s">
        <v>3643</v>
      </c>
      <c r="C459" s="21" t="s">
        <v>65</v>
      </c>
      <c r="D459" s="21" t="s">
        <v>3309</v>
      </c>
      <c r="E459" s="22" t="s">
        <v>12</v>
      </c>
      <c r="F459" s="23" t="s">
        <v>850</v>
      </c>
      <c r="G459" s="33" t="s">
        <v>14</v>
      </c>
      <c r="H459" s="18" t="s">
        <v>3313</v>
      </c>
      <c r="I459" s="38" t="s">
        <v>14</v>
      </c>
      <c r="J459" s="18">
        <v>9769.4</v>
      </c>
      <c r="K459" s="18" t="s">
        <v>3520</v>
      </c>
      <c r="L459" s="27"/>
      <c r="M459" s="18"/>
      <c r="N459" s="28"/>
      <c r="O459" s="30">
        <v>9769.4</v>
      </c>
      <c r="P459" s="19">
        <f t="shared" si="28"/>
        <v>9769.4</v>
      </c>
      <c r="Q459" s="19">
        <f t="shared" si="29"/>
        <v>0</v>
      </c>
      <c r="R459" s="25">
        <v>747.36</v>
      </c>
      <c r="S459" s="28">
        <v>10516.76</v>
      </c>
      <c r="T459" s="49">
        <f t="shared" si="30"/>
        <v>10516.76</v>
      </c>
      <c r="U459" s="49">
        <f t="shared" si="31"/>
        <v>0</v>
      </c>
    </row>
    <row r="460" spans="1:21" ht="17" thickBot="1" x14ac:dyDescent="0.25">
      <c r="A460" s="21" t="s">
        <v>900</v>
      </c>
      <c r="B460" s="21" t="s">
        <v>1773</v>
      </c>
      <c r="C460" s="21" t="s">
        <v>81</v>
      </c>
      <c r="D460" s="21" t="s">
        <v>378</v>
      </c>
      <c r="E460" s="22" t="s">
        <v>20</v>
      </c>
      <c r="F460" s="23" t="s">
        <v>2708</v>
      </c>
      <c r="G460" s="33" t="s">
        <v>14</v>
      </c>
      <c r="H460" s="18" t="s">
        <v>2734</v>
      </c>
      <c r="I460" s="38" t="s">
        <v>14</v>
      </c>
      <c r="J460" s="25">
        <v>8397.1</v>
      </c>
      <c r="K460" s="18">
        <v>1134.02</v>
      </c>
      <c r="L460" s="27">
        <v>96.36</v>
      </c>
      <c r="M460" s="18"/>
      <c r="N460" s="18"/>
      <c r="O460" s="31">
        <v>9627.48</v>
      </c>
      <c r="P460" s="19">
        <f t="shared" si="28"/>
        <v>9627.4800000000014</v>
      </c>
      <c r="Q460" s="19">
        <f t="shared" si="29"/>
        <v>-1.8189894035458565E-12</v>
      </c>
      <c r="R460" s="25">
        <v>736.51</v>
      </c>
      <c r="S460" s="28">
        <v>10363.99</v>
      </c>
      <c r="T460" s="49">
        <f t="shared" si="30"/>
        <v>10363.99</v>
      </c>
      <c r="U460" s="49">
        <f t="shared" si="31"/>
        <v>0</v>
      </c>
    </row>
    <row r="461" spans="1:21" ht="17" thickBot="1" x14ac:dyDescent="0.25">
      <c r="A461" s="21" t="s">
        <v>3660</v>
      </c>
      <c r="B461" s="21" t="s">
        <v>3661</v>
      </c>
      <c r="C461" s="21" t="s">
        <v>2850</v>
      </c>
      <c r="D461" s="21" t="s">
        <v>2851</v>
      </c>
      <c r="E461" s="22" t="s">
        <v>12</v>
      </c>
      <c r="F461" s="23" t="s">
        <v>3357</v>
      </c>
      <c r="G461" s="33" t="s">
        <v>14</v>
      </c>
      <c r="H461" s="18">
        <v>41163.199999999997</v>
      </c>
      <c r="I461" s="38" t="s">
        <v>14</v>
      </c>
      <c r="J461" s="18">
        <v>3191.14</v>
      </c>
      <c r="K461" s="18" t="s">
        <v>3520</v>
      </c>
      <c r="L461" s="27"/>
      <c r="M461" s="18"/>
      <c r="N461" s="28"/>
      <c r="O461" s="27">
        <v>3191.14</v>
      </c>
      <c r="P461" s="19">
        <f t="shared" si="28"/>
        <v>3191.14</v>
      </c>
      <c r="Q461" s="19">
        <f t="shared" si="29"/>
        <v>0</v>
      </c>
      <c r="R461" s="25">
        <v>6935.58</v>
      </c>
      <c r="S461" s="28">
        <v>10126.719999999999</v>
      </c>
      <c r="T461" s="49">
        <f t="shared" si="30"/>
        <v>10126.719999999999</v>
      </c>
      <c r="U461" s="49">
        <f t="shared" si="31"/>
        <v>0</v>
      </c>
    </row>
    <row r="462" spans="1:21" ht="17" thickBot="1" x14ac:dyDescent="0.25">
      <c r="A462" s="21" t="s">
        <v>375</v>
      </c>
      <c r="B462" s="21" t="s">
        <v>760</v>
      </c>
      <c r="C462" s="21" t="s">
        <v>1474</v>
      </c>
      <c r="D462" s="21" t="s">
        <v>2547</v>
      </c>
      <c r="E462" s="22" t="s">
        <v>12</v>
      </c>
      <c r="F462" s="23" t="s">
        <v>3673</v>
      </c>
      <c r="G462" s="34" t="s">
        <v>2316</v>
      </c>
      <c r="H462" s="18">
        <v>48880</v>
      </c>
      <c r="I462" s="39">
        <v>89.3</v>
      </c>
      <c r="J462" s="18">
        <v>7602.49</v>
      </c>
      <c r="K462" s="18">
        <v>81.44</v>
      </c>
      <c r="L462" s="27" t="s">
        <v>3520</v>
      </c>
      <c r="M462" s="18"/>
      <c r="N462" s="18"/>
      <c r="O462" s="30">
        <v>7773.23</v>
      </c>
      <c r="P462" s="19">
        <f t="shared" si="28"/>
        <v>7773.23</v>
      </c>
      <c r="Q462" s="19">
        <f t="shared" si="29"/>
        <v>0</v>
      </c>
      <c r="R462" s="25">
        <v>1928.75</v>
      </c>
      <c r="S462" s="28">
        <v>9701.98</v>
      </c>
      <c r="T462" s="49">
        <f t="shared" si="30"/>
        <v>9701.98</v>
      </c>
      <c r="U462" s="49">
        <f t="shared" si="31"/>
        <v>0</v>
      </c>
    </row>
    <row r="463" spans="1:21" ht="17" thickBot="1" x14ac:dyDescent="0.25">
      <c r="A463" s="21" t="s">
        <v>3675</v>
      </c>
      <c r="B463" s="21" t="s">
        <v>917</v>
      </c>
      <c r="C463" s="21" t="s">
        <v>81</v>
      </c>
      <c r="D463" s="21" t="s">
        <v>3256</v>
      </c>
      <c r="E463" s="22" t="s">
        <v>20</v>
      </c>
      <c r="F463" s="23" t="s">
        <v>668</v>
      </c>
      <c r="G463" s="33" t="s">
        <v>14</v>
      </c>
      <c r="H463" s="18" t="s">
        <v>2734</v>
      </c>
      <c r="I463" s="38" t="s">
        <v>14</v>
      </c>
      <c r="J463" s="25">
        <v>7810.17</v>
      </c>
      <c r="K463" s="18" t="s">
        <v>3520</v>
      </c>
      <c r="L463" s="27">
        <v>494.43</v>
      </c>
      <c r="M463" s="18"/>
      <c r="N463" s="18"/>
      <c r="O463" s="31">
        <v>8304.6</v>
      </c>
      <c r="P463" s="19">
        <f t="shared" si="28"/>
        <v>8304.6</v>
      </c>
      <c r="Q463" s="19">
        <f t="shared" si="29"/>
        <v>0</v>
      </c>
      <c r="R463" s="25">
        <v>635.29</v>
      </c>
      <c r="S463" s="28">
        <v>8939.89</v>
      </c>
      <c r="T463" s="49">
        <f t="shared" si="30"/>
        <v>8939.89</v>
      </c>
      <c r="U463" s="49">
        <f t="shared" si="31"/>
        <v>0</v>
      </c>
    </row>
    <row r="464" spans="1:21" ht="17" thickBot="1" x14ac:dyDescent="0.25">
      <c r="A464" s="21" t="s">
        <v>3684</v>
      </c>
      <c r="B464" s="21" t="s">
        <v>3685</v>
      </c>
      <c r="C464" s="21" t="s">
        <v>256</v>
      </c>
      <c r="D464" s="21" t="s">
        <v>2005</v>
      </c>
      <c r="E464" s="22" t="s">
        <v>12</v>
      </c>
      <c r="F464" s="23" t="s">
        <v>1871</v>
      </c>
      <c r="G464" s="34" t="s">
        <v>3690</v>
      </c>
      <c r="H464" s="18">
        <v>16068</v>
      </c>
      <c r="I464" s="27"/>
      <c r="J464" s="18">
        <v>6979.83</v>
      </c>
      <c r="K464" s="18" t="s">
        <v>3520</v>
      </c>
      <c r="L464" s="27" t="s">
        <v>3520</v>
      </c>
      <c r="M464" s="18"/>
      <c r="N464" s="18"/>
      <c r="O464" s="30">
        <v>6979.83</v>
      </c>
      <c r="P464" s="19">
        <f t="shared" si="28"/>
        <v>6979.83</v>
      </c>
      <c r="Q464" s="19">
        <f t="shared" si="29"/>
        <v>0</v>
      </c>
      <c r="R464" s="25">
        <v>1677.94</v>
      </c>
      <c r="S464" s="28">
        <v>8657.77</v>
      </c>
      <c r="T464" s="49">
        <f t="shared" si="30"/>
        <v>8657.77</v>
      </c>
      <c r="U464" s="49">
        <f t="shared" si="31"/>
        <v>0</v>
      </c>
    </row>
    <row r="465" spans="1:21" ht="17" thickBot="1" x14ac:dyDescent="0.25">
      <c r="A465" s="21" t="s">
        <v>3691</v>
      </c>
      <c r="B465" s="21" t="s">
        <v>1995</v>
      </c>
      <c r="C465" s="21" t="s">
        <v>81</v>
      </c>
      <c r="D465" s="21" t="s">
        <v>746</v>
      </c>
      <c r="E465" s="22" t="s">
        <v>20</v>
      </c>
      <c r="F465" s="23" t="s">
        <v>2369</v>
      </c>
      <c r="G465" s="34" t="s">
        <v>3697</v>
      </c>
      <c r="H465" s="18" t="s">
        <v>2734</v>
      </c>
      <c r="I465" s="27"/>
      <c r="J465" s="18">
        <v>7920.57</v>
      </c>
      <c r="K465" s="18" t="s">
        <v>3520</v>
      </c>
      <c r="L465" s="27" t="s">
        <v>3520</v>
      </c>
      <c r="M465" s="18"/>
      <c r="N465" s="18"/>
      <c r="O465" s="30">
        <v>7920.57</v>
      </c>
      <c r="P465" s="19">
        <f t="shared" si="28"/>
        <v>7920.57</v>
      </c>
      <c r="Q465" s="19">
        <f t="shared" si="29"/>
        <v>0</v>
      </c>
      <c r="R465" s="25">
        <v>605.91999999999996</v>
      </c>
      <c r="S465" s="28">
        <v>8526.49</v>
      </c>
      <c r="T465" s="49">
        <f t="shared" si="30"/>
        <v>8526.49</v>
      </c>
      <c r="U465" s="49">
        <f t="shared" si="31"/>
        <v>0</v>
      </c>
    </row>
    <row r="466" spans="1:21" ht="17" thickBot="1" x14ac:dyDescent="0.25">
      <c r="A466" s="21" t="s">
        <v>3699</v>
      </c>
      <c r="B466" s="21" t="s">
        <v>168</v>
      </c>
      <c r="C466" s="21" t="s">
        <v>256</v>
      </c>
      <c r="D466" s="21" t="s">
        <v>2005</v>
      </c>
      <c r="E466" s="22" t="s">
        <v>12</v>
      </c>
      <c r="F466" s="23" t="s">
        <v>3704</v>
      </c>
      <c r="G466" s="33" t="s">
        <v>14</v>
      </c>
      <c r="H466" s="18">
        <v>32136</v>
      </c>
      <c r="I466" s="38" t="s">
        <v>14</v>
      </c>
      <c r="J466" s="18">
        <v>6536.59</v>
      </c>
      <c r="K466" s="18" t="s">
        <v>3520</v>
      </c>
      <c r="L466" s="27"/>
      <c r="M466" s="18"/>
      <c r="N466" s="28"/>
      <c r="O466" s="31">
        <v>6536.59</v>
      </c>
      <c r="P466" s="19">
        <f t="shared" si="28"/>
        <v>6536.59</v>
      </c>
      <c r="Q466" s="19">
        <f t="shared" si="29"/>
        <v>0</v>
      </c>
      <c r="R466" s="25">
        <v>1571.4</v>
      </c>
      <c r="S466" s="28">
        <v>8107.99</v>
      </c>
      <c r="T466" s="49">
        <f t="shared" si="30"/>
        <v>8107.99</v>
      </c>
      <c r="U466" s="49">
        <f t="shared" si="31"/>
        <v>0</v>
      </c>
    </row>
    <row r="467" spans="1:21" ht="17" thickBot="1" x14ac:dyDescent="0.25">
      <c r="A467" s="21" t="s">
        <v>111</v>
      </c>
      <c r="B467" s="21" t="s">
        <v>1171</v>
      </c>
      <c r="C467" s="21" t="s">
        <v>81</v>
      </c>
      <c r="D467" s="21" t="s">
        <v>378</v>
      </c>
      <c r="E467" s="22" t="s">
        <v>20</v>
      </c>
      <c r="F467" s="23" t="s">
        <v>1755</v>
      </c>
      <c r="G467" s="33" t="s">
        <v>14</v>
      </c>
      <c r="H467" s="18" t="s">
        <v>2734</v>
      </c>
      <c r="I467" s="38" t="s">
        <v>14</v>
      </c>
      <c r="J467" s="25">
        <v>6961.85</v>
      </c>
      <c r="K467" s="18">
        <v>555.17999999999995</v>
      </c>
      <c r="L467" s="31" t="s">
        <v>3520</v>
      </c>
      <c r="M467" s="18"/>
      <c r="N467" s="18"/>
      <c r="O467" s="31">
        <v>7517.03</v>
      </c>
      <c r="P467" s="19">
        <f t="shared" si="28"/>
        <v>7517.0300000000007</v>
      </c>
      <c r="Q467" s="19">
        <f t="shared" si="29"/>
        <v>-9.0949470177292824E-13</v>
      </c>
      <c r="R467" s="25">
        <v>575.05999999999995</v>
      </c>
      <c r="S467" s="28">
        <v>8092.09</v>
      </c>
      <c r="T467" s="49">
        <f t="shared" si="30"/>
        <v>8092.09</v>
      </c>
      <c r="U467" s="49">
        <f t="shared" si="31"/>
        <v>0</v>
      </c>
    </row>
    <row r="468" spans="1:21" ht="17" thickBot="1" x14ac:dyDescent="0.25">
      <c r="A468" s="21" t="s">
        <v>2064</v>
      </c>
      <c r="B468" s="21" t="s">
        <v>3717</v>
      </c>
      <c r="C468" s="21" t="s">
        <v>3718</v>
      </c>
      <c r="D468" s="21" t="s">
        <v>3719</v>
      </c>
      <c r="E468" s="22" t="s">
        <v>12</v>
      </c>
      <c r="F468" s="23" t="s">
        <v>3721</v>
      </c>
      <c r="G468" s="33" t="s">
        <v>14</v>
      </c>
      <c r="H468" s="18" t="s">
        <v>3723</v>
      </c>
      <c r="I468" s="38" t="s">
        <v>14</v>
      </c>
      <c r="J468" s="25">
        <v>4978.29</v>
      </c>
      <c r="K468" s="18" t="s">
        <v>3520</v>
      </c>
      <c r="L468" s="27">
        <v>2489.59</v>
      </c>
      <c r="M468" s="18"/>
      <c r="N468" s="18"/>
      <c r="O468" s="31">
        <v>7467.88</v>
      </c>
      <c r="P468" s="19">
        <f t="shared" si="28"/>
        <v>7467.88</v>
      </c>
      <c r="Q468" s="19">
        <f t="shared" si="29"/>
        <v>0</v>
      </c>
      <c r="R468" s="25">
        <v>571.28</v>
      </c>
      <c r="S468" s="28">
        <v>8039.16</v>
      </c>
      <c r="T468" s="49">
        <f t="shared" si="30"/>
        <v>8039.16</v>
      </c>
      <c r="U468" s="49">
        <f t="shared" si="31"/>
        <v>0</v>
      </c>
    </row>
    <row r="469" spans="1:21" ht="17" thickBot="1" x14ac:dyDescent="0.25">
      <c r="A469" s="21" t="s">
        <v>3725</v>
      </c>
      <c r="B469" s="21" t="s">
        <v>112</v>
      </c>
      <c r="C469" s="21" t="s">
        <v>65</v>
      </c>
      <c r="D469" s="21" t="s">
        <v>2123</v>
      </c>
      <c r="E469" s="22" t="s">
        <v>12</v>
      </c>
      <c r="F469" s="23" t="s">
        <v>1374</v>
      </c>
      <c r="G469" s="33" t="s">
        <v>14</v>
      </c>
      <c r="H469" s="18" t="s">
        <v>2734</v>
      </c>
      <c r="I469" s="38" t="s">
        <v>14</v>
      </c>
      <c r="J469" s="18">
        <v>6827.17</v>
      </c>
      <c r="K469" s="18" t="s">
        <v>3520</v>
      </c>
      <c r="L469" s="27">
        <v>622.72</v>
      </c>
      <c r="M469" s="18"/>
      <c r="N469" s="18"/>
      <c r="O469" s="31">
        <v>7449.89</v>
      </c>
      <c r="P469" s="19">
        <f t="shared" si="28"/>
        <v>7449.89</v>
      </c>
      <c r="Q469" s="19">
        <f t="shared" si="29"/>
        <v>0</v>
      </c>
      <c r="R469" s="25">
        <v>569.92999999999995</v>
      </c>
      <c r="S469" s="28">
        <v>8019.82</v>
      </c>
      <c r="T469" s="49">
        <f t="shared" si="30"/>
        <v>8019.8200000000006</v>
      </c>
      <c r="U469" s="49">
        <f t="shared" si="31"/>
        <v>-9.0949470177292824E-13</v>
      </c>
    </row>
    <row r="470" spans="1:21" ht="17" thickBot="1" x14ac:dyDescent="0.25">
      <c r="A470" s="21" t="s">
        <v>3734</v>
      </c>
      <c r="B470" s="21" t="s">
        <v>3735</v>
      </c>
      <c r="C470" s="21" t="s">
        <v>18</v>
      </c>
      <c r="D470" s="21" t="s">
        <v>498</v>
      </c>
      <c r="E470" s="22" t="s">
        <v>20</v>
      </c>
      <c r="F470" s="23" t="s">
        <v>2038</v>
      </c>
      <c r="G470" s="34" t="s">
        <v>3740</v>
      </c>
      <c r="H470" s="18">
        <v>52556.92</v>
      </c>
      <c r="I470" s="39">
        <v>2321.39</v>
      </c>
      <c r="J470" s="18">
        <v>3614.27</v>
      </c>
      <c r="K470" s="18" t="s">
        <v>3520</v>
      </c>
      <c r="L470" s="43">
        <v>419.54</v>
      </c>
      <c r="M470" s="18"/>
      <c r="N470" s="18"/>
      <c r="O470" s="31">
        <v>6355.2</v>
      </c>
      <c r="P470" s="19">
        <f t="shared" si="28"/>
        <v>6355.2</v>
      </c>
      <c r="Q470" s="19">
        <f t="shared" si="29"/>
        <v>0</v>
      </c>
      <c r="R470" s="25">
        <v>1552</v>
      </c>
      <c r="S470" s="28">
        <v>7907.2</v>
      </c>
      <c r="T470" s="49">
        <f t="shared" si="30"/>
        <v>7907.2</v>
      </c>
      <c r="U470" s="49">
        <f t="shared" si="31"/>
        <v>0</v>
      </c>
    </row>
    <row r="471" spans="1:21" ht="17" thickBot="1" x14ac:dyDescent="0.25">
      <c r="A471" s="21" t="s">
        <v>3741</v>
      </c>
      <c r="B471" s="21" t="s">
        <v>384</v>
      </c>
      <c r="C471" s="21" t="s">
        <v>2507</v>
      </c>
      <c r="D471" s="21" t="s">
        <v>3638</v>
      </c>
      <c r="E471" s="22" t="s">
        <v>12</v>
      </c>
      <c r="F471" s="23" t="s">
        <v>1755</v>
      </c>
      <c r="G471" s="34" t="s">
        <v>3747</v>
      </c>
      <c r="H471" s="18" t="s">
        <v>3313</v>
      </c>
      <c r="I471" s="27"/>
      <c r="J471" s="18">
        <v>7234.46</v>
      </c>
      <c r="K471" s="18">
        <v>35.92</v>
      </c>
      <c r="L471" s="27" t="s">
        <v>3520</v>
      </c>
      <c r="M471" s="18"/>
      <c r="N471" s="18"/>
      <c r="O471" s="30">
        <v>7270.38</v>
      </c>
      <c r="P471" s="19">
        <f t="shared" si="28"/>
        <v>7270.38</v>
      </c>
      <c r="Q471" s="19">
        <f t="shared" si="29"/>
        <v>0</v>
      </c>
      <c r="R471" s="25">
        <v>573.64</v>
      </c>
      <c r="S471" s="28">
        <v>7844.02</v>
      </c>
      <c r="T471" s="49">
        <f t="shared" si="30"/>
        <v>7844.02</v>
      </c>
      <c r="U471" s="49">
        <f t="shared" si="31"/>
        <v>0</v>
      </c>
    </row>
    <row r="472" spans="1:21" ht="17" thickBot="1" x14ac:dyDescent="0.25">
      <c r="A472" s="21" t="s">
        <v>3749</v>
      </c>
      <c r="B472" s="21" t="s">
        <v>17</v>
      </c>
      <c r="C472" s="21" t="s">
        <v>65</v>
      </c>
      <c r="D472" s="21" t="s">
        <v>3309</v>
      </c>
      <c r="E472" s="22" t="s">
        <v>12</v>
      </c>
      <c r="F472" s="23" t="s">
        <v>1429</v>
      </c>
      <c r="G472" s="33" t="s">
        <v>14</v>
      </c>
      <c r="H472" s="18" t="s">
        <v>3313</v>
      </c>
      <c r="I472" s="42" t="s">
        <v>14</v>
      </c>
      <c r="J472" s="18">
        <v>7125.28</v>
      </c>
      <c r="K472" s="18" t="s">
        <v>3520</v>
      </c>
      <c r="L472" s="27"/>
      <c r="M472" s="18"/>
      <c r="N472" s="28"/>
      <c r="O472" s="31">
        <v>7125.28</v>
      </c>
      <c r="P472" s="19">
        <f t="shared" si="28"/>
        <v>7125.28</v>
      </c>
      <c r="Q472" s="19">
        <f t="shared" si="29"/>
        <v>0</v>
      </c>
      <c r="R472" s="25">
        <v>545.09</v>
      </c>
      <c r="S472" s="28">
        <v>7670.37</v>
      </c>
      <c r="T472" s="49">
        <f t="shared" si="30"/>
        <v>7670.37</v>
      </c>
      <c r="U472" s="49">
        <f t="shared" si="31"/>
        <v>0</v>
      </c>
    </row>
    <row r="473" spans="1:21" ht="17" thickBot="1" x14ac:dyDescent="0.25">
      <c r="A473" s="21" t="s">
        <v>2395</v>
      </c>
      <c r="B473" s="21" t="s">
        <v>3759</v>
      </c>
      <c r="C473" s="21" t="s">
        <v>824</v>
      </c>
      <c r="D473" s="21" t="s">
        <v>2500</v>
      </c>
      <c r="E473" s="22" t="s">
        <v>12</v>
      </c>
      <c r="F473" s="23" t="s">
        <v>2038</v>
      </c>
      <c r="G473" s="34" t="s">
        <v>3764</v>
      </c>
      <c r="H473" s="18">
        <v>33425.599999999999</v>
      </c>
      <c r="I473" s="27"/>
      <c r="J473" s="18">
        <v>5984.47</v>
      </c>
      <c r="K473" s="18">
        <v>39.29</v>
      </c>
      <c r="L473" s="27">
        <v>100</v>
      </c>
      <c r="M473" s="18"/>
      <c r="N473" s="18"/>
      <c r="O473" s="31">
        <v>6123.76</v>
      </c>
      <c r="P473" s="19">
        <f t="shared" si="28"/>
        <v>6123.76</v>
      </c>
      <c r="Q473" s="19">
        <f t="shared" si="29"/>
        <v>0</v>
      </c>
      <c r="R473" s="25">
        <v>1487.16</v>
      </c>
      <c r="S473" s="28">
        <v>7610.92</v>
      </c>
      <c r="T473" s="49">
        <f t="shared" si="30"/>
        <v>7610.92</v>
      </c>
      <c r="U473" s="49">
        <f t="shared" si="31"/>
        <v>0</v>
      </c>
    </row>
    <row r="474" spans="1:21" ht="17" thickBot="1" x14ac:dyDescent="0.25">
      <c r="A474" s="21" t="s">
        <v>3765</v>
      </c>
      <c r="B474" s="21" t="s">
        <v>2599</v>
      </c>
      <c r="C474" s="21" t="s">
        <v>65</v>
      </c>
      <c r="D474" s="21" t="s">
        <v>3309</v>
      </c>
      <c r="E474" s="22" t="s">
        <v>12</v>
      </c>
      <c r="F474" s="23" t="s">
        <v>1660</v>
      </c>
      <c r="G474" s="33" t="s">
        <v>14</v>
      </c>
      <c r="H474" s="18" t="s">
        <v>3313</v>
      </c>
      <c r="I474" s="42" t="s">
        <v>14</v>
      </c>
      <c r="J474" s="25">
        <v>6984.62</v>
      </c>
      <c r="K474" s="18" t="s">
        <v>3520</v>
      </c>
      <c r="L474" s="27"/>
      <c r="M474" s="18"/>
      <c r="N474" s="28"/>
      <c r="O474" s="30">
        <v>6984.62</v>
      </c>
      <c r="P474" s="19">
        <f t="shared" si="28"/>
        <v>6984.62</v>
      </c>
      <c r="Q474" s="19">
        <f t="shared" si="29"/>
        <v>0</v>
      </c>
      <c r="R474" s="25">
        <v>534.32000000000005</v>
      </c>
      <c r="S474" s="28">
        <v>7518.94</v>
      </c>
      <c r="T474" s="49">
        <f t="shared" si="30"/>
        <v>7518.94</v>
      </c>
      <c r="U474" s="49">
        <f t="shared" si="31"/>
        <v>0</v>
      </c>
    </row>
    <row r="475" spans="1:21" ht="17" thickBot="1" x14ac:dyDescent="0.25">
      <c r="A475" s="21" t="s">
        <v>3774</v>
      </c>
      <c r="B475" s="21" t="s">
        <v>877</v>
      </c>
      <c r="C475" s="21" t="s">
        <v>256</v>
      </c>
      <c r="D475" s="21" t="s">
        <v>2005</v>
      </c>
      <c r="E475" s="22" t="s">
        <v>12</v>
      </c>
      <c r="F475" s="23" t="s">
        <v>1871</v>
      </c>
      <c r="G475" s="34" t="s">
        <v>3780</v>
      </c>
      <c r="H475" s="18">
        <v>16068</v>
      </c>
      <c r="I475" s="27"/>
      <c r="J475" s="18">
        <v>5930.81</v>
      </c>
      <c r="K475" s="18" t="s">
        <v>3520</v>
      </c>
      <c r="L475" s="31" t="s">
        <v>3520</v>
      </c>
      <c r="M475" s="18"/>
      <c r="N475" s="18"/>
      <c r="O475" s="30">
        <v>5930.81</v>
      </c>
      <c r="P475" s="19">
        <f t="shared" si="28"/>
        <v>5930.81</v>
      </c>
      <c r="Q475" s="19">
        <f t="shared" si="29"/>
        <v>0</v>
      </c>
      <c r="R475" s="25">
        <v>1425.75</v>
      </c>
      <c r="S475" s="28">
        <v>7356.56</v>
      </c>
      <c r="T475" s="49">
        <f t="shared" si="30"/>
        <v>7356.56</v>
      </c>
      <c r="U475" s="49">
        <f t="shared" si="31"/>
        <v>0</v>
      </c>
    </row>
    <row r="476" spans="1:21" ht="17" thickBot="1" x14ac:dyDescent="0.25">
      <c r="A476" s="21" t="s">
        <v>3781</v>
      </c>
      <c r="B476" s="21" t="s">
        <v>3782</v>
      </c>
      <c r="C476" s="21" t="s">
        <v>81</v>
      </c>
      <c r="D476" s="21" t="s">
        <v>746</v>
      </c>
      <c r="E476" s="22" t="s">
        <v>20</v>
      </c>
      <c r="F476" s="23" t="s">
        <v>3786</v>
      </c>
      <c r="G476" s="46" t="s">
        <v>3787</v>
      </c>
      <c r="H476" s="41" t="s">
        <v>14</v>
      </c>
      <c r="I476" s="27"/>
      <c r="J476" s="18">
        <v>6051.27</v>
      </c>
      <c r="K476" s="18" t="s">
        <v>3520</v>
      </c>
      <c r="L476" s="27">
        <v>761.96</v>
      </c>
      <c r="M476" s="18"/>
      <c r="N476" s="18"/>
      <c r="O476" s="30">
        <v>6813.23</v>
      </c>
      <c r="P476" s="19">
        <f t="shared" si="28"/>
        <v>6813.2300000000005</v>
      </c>
      <c r="Q476" s="19">
        <f t="shared" si="29"/>
        <v>-9.0949470177292824E-13</v>
      </c>
      <c r="R476" s="25">
        <v>538.64</v>
      </c>
      <c r="S476" s="28">
        <v>7351.87</v>
      </c>
      <c r="T476" s="49">
        <f t="shared" si="30"/>
        <v>7351.87</v>
      </c>
      <c r="U476" s="49">
        <f t="shared" si="31"/>
        <v>0</v>
      </c>
    </row>
    <row r="477" spans="1:21" ht="17" thickBot="1" x14ac:dyDescent="0.25">
      <c r="A477" s="21" t="s">
        <v>3789</v>
      </c>
      <c r="B477" s="21" t="s">
        <v>8</v>
      </c>
      <c r="C477" s="21" t="s">
        <v>81</v>
      </c>
      <c r="D477" s="21" t="s">
        <v>746</v>
      </c>
      <c r="E477" s="22" t="s">
        <v>20</v>
      </c>
      <c r="F477" s="23" t="s">
        <v>2708</v>
      </c>
      <c r="G477" s="33" t="s">
        <v>14</v>
      </c>
      <c r="H477" s="18" t="s">
        <v>2734</v>
      </c>
      <c r="I477" s="47" t="s">
        <v>14</v>
      </c>
      <c r="J477" s="25">
        <v>6785.35</v>
      </c>
      <c r="K477" s="18" t="s">
        <v>3520</v>
      </c>
      <c r="L477" s="27"/>
      <c r="M477" s="18"/>
      <c r="N477" s="28"/>
      <c r="O477" s="27">
        <v>6785.35</v>
      </c>
      <c r="P477" s="19">
        <f t="shared" si="28"/>
        <v>6785.35</v>
      </c>
      <c r="Q477" s="19">
        <f t="shared" si="29"/>
        <v>0</v>
      </c>
      <c r="R477" s="25">
        <v>526.42999999999995</v>
      </c>
      <c r="S477" s="28">
        <v>7311.78</v>
      </c>
      <c r="T477" s="49">
        <f t="shared" si="30"/>
        <v>7311.7800000000007</v>
      </c>
      <c r="U477" s="49">
        <f t="shared" si="31"/>
        <v>-9.0949470177292824E-13</v>
      </c>
    </row>
    <row r="478" spans="1:21" ht="17" thickBot="1" x14ac:dyDescent="0.25">
      <c r="A478" s="21" t="s">
        <v>3798</v>
      </c>
      <c r="B478" s="21" t="s">
        <v>3799</v>
      </c>
      <c r="C478" s="21" t="s">
        <v>65</v>
      </c>
      <c r="D478" s="21" t="s">
        <v>3309</v>
      </c>
      <c r="E478" s="22" t="s">
        <v>12</v>
      </c>
      <c r="F478" s="23" t="s">
        <v>2093</v>
      </c>
      <c r="G478" s="33" t="s">
        <v>14</v>
      </c>
      <c r="H478" s="18" t="s">
        <v>3313</v>
      </c>
      <c r="I478" s="47" t="s">
        <v>14</v>
      </c>
      <c r="J478" s="25">
        <v>6567.17</v>
      </c>
      <c r="K478" s="18" t="s">
        <v>3520</v>
      </c>
      <c r="L478" s="27"/>
      <c r="M478" s="18"/>
      <c r="N478" s="28"/>
      <c r="O478" s="27">
        <v>6567.17</v>
      </c>
      <c r="P478" s="19">
        <f t="shared" si="28"/>
        <v>6567.17</v>
      </c>
      <c r="Q478" s="19">
        <f t="shared" si="29"/>
        <v>0</v>
      </c>
      <c r="R478" s="25">
        <v>502.38</v>
      </c>
      <c r="S478" s="28">
        <v>7069.55</v>
      </c>
      <c r="T478" s="49">
        <f t="shared" si="30"/>
        <v>7069.55</v>
      </c>
      <c r="U478" s="49">
        <f t="shared" si="31"/>
        <v>0</v>
      </c>
    </row>
    <row r="479" spans="1:21" ht="17" thickBot="1" x14ac:dyDescent="0.25">
      <c r="A479" s="21" t="s">
        <v>3807</v>
      </c>
      <c r="B479" s="21" t="s">
        <v>3808</v>
      </c>
      <c r="C479" s="21" t="s">
        <v>65</v>
      </c>
      <c r="D479" s="21" t="s">
        <v>3309</v>
      </c>
      <c r="E479" s="22" t="s">
        <v>12</v>
      </c>
      <c r="F479" s="23" t="s">
        <v>2093</v>
      </c>
      <c r="G479" s="33" t="s">
        <v>14</v>
      </c>
      <c r="H479" s="18" t="s">
        <v>3313</v>
      </c>
      <c r="I479" s="47" t="s">
        <v>14</v>
      </c>
      <c r="J479" s="18">
        <v>6554.64</v>
      </c>
      <c r="K479" s="18" t="s">
        <v>3520</v>
      </c>
      <c r="L479" s="31" t="s">
        <v>3520</v>
      </c>
      <c r="M479" s="18"/>
      <c r="N479" s="18"/>
      <c r="O479" s="30">
        <v>6554.64</v>
      </c>
      <c r="P479" s="19">
        <f t="shared" si="28"/>
        <v>6554.64</v>
      </c>
      <c r="Q479" s="19">
        <f t="shared" si="29"/>
        <v>0</v>
      </c>
      <c r="R479" s="25">
        <v>501.43</v>
      </c>
      <c r="S479" s="28">
        <v>7056.07</v>
      </c>
      <c r="T479" s="49">
        <f t="shared" si="30"/>
        <v>7056.0700000000006</v>
      </c>
      <c r="U479" s="49">
        <f t="shared" si="31"/>
        <v>-9.0949470177292824E-13</v>
      </c>
    </row>
    <row r="480" spans="1:21" ht="17" thickBot="1" x14ac:dyDescent="0.25">
      <c r="A480" s="21" t="s">
        <v>3816</v>
      </c>
      <c r="B480" s="21" t="s">
        <v>3817</v>
      </c>
      <c r="C480" s="21" t="s">
        <v>65</v>
      </c>
      <c r="D480" s="21" t="s">
        <v>594</v>
      </c>
      <c r="E480" s="22" t="s">
        <v>20</v>
      </c>
      <c r="F480" s="23" t="s">
        <v>3602</v>
      </c>
      <c r="G480" s="33" t="s">
        <v>14</v>
      </c>
      <c r="H480" s="18" t="s">
        <v>3723</v>
      </c>
      <c r="I480" s="47" t="s">
        <v>14</v>
      </c>
      <c r="J480" s="25">
        <v>6062.4</v>
      </c>
      <c r="K480" s="18" t="s">
        <v>3520</v>
      </c>
      <c r="L480" s="43">
        <v>5.52</v>
      </c>
      <c r="M480" s="18"/>
      <c r="N480" s="18"/>
      <c r="O480" s="31">
        <v>6067.92</v>
      </c>
      <c r="P480" s="19">
        <f t="shared" si="28"/>
        <v>6067.92</v>
      </c>
      <c r="Q480" s="19">
        <f t="shared" si="29"/>
        <v>0</v>
      </c>
      <c r="R480" s="25">
        <v>663.33</v>
      </c>
      <c r="S480" s="28">
        <v>6731.25</v>
      </c>
      <c r="T480" s="49">
        <f t="shared" si="30"/>
        <v>6731.25</v>
      </c>
      <c r="U480" s="49">
        <f t="shared" si="31"/>
        <v>0</v>
      </c>
    </row>
    <row r="481" spans="1:21" ht="17" thickBot="1" x14ac:dyDescent="0.25">
      <c r="A481" s="21" t="s">
        <v>3825</v>
      </c>
      <c r="B481" s="21" t="s">
        <v>2809</v>
      </c>
      <c r="C481" s="21" t="s">
        <v>824</v>
      </c>
      <c r="D481" s="21" t="s">
        <v>2500</v>
      </c>
      <c r="E481" s="22" t="s">
        <v>12</v>
      </c>
      <c r="F481" s="23" t="s">
        <v>3321</v>
      </c>
      <c r="G481" s="33" t="s">
        <v>14</v>
      </c>
      <c r="H481" s="18">
        <v>32136</v>
      </c>
      <c r="I481" s="47" t="s">
        <v>14</v>
      </c>
      <c r="J481" s="18">
        <v>4944</v>
      </c>
      <c r="K481" s="18">
        <v>50.28</v>
      </c>
      <c r="L481" s="27" t="s">
        <v>3520</v>
      </c>
      <c r="M481" s="18"/>
      <c r="N481" s="18"/>
      <c r="O481" s="31">
        <v>4994.28</v>
      </c>
      <c r="P481" s="19">
        <f t="shared" si="28"/>
        <v>4994.28</v>
      </c>
      <c r="Q481" s="19">
        <f t="shared" si="29"/>
        <v>0</v>
      </c>
      <c r="R481" s="25">
        <v>1336.26</v>
      </c>
      <c r="S481" s="28">
        <v>6330.54</v>
      </c>
      <c r="T481" s="49">
        <f t="shared" si="30"/>
        <v>6330.54</v>
      </c>
      <c r="U481" s="49">
        <f t="shared" si="31"/>
        <v>0</v>
      </c>
    </row>
    <row r="482" spans="1:21" ht="17" thickBot="1" x14ac:dyDescent="0.25">
      <c r="A482" s="21" t="s">
        <v>3833</v>
      </c>
      <c r="B482" s="21" t="s">
        <v>120</v>
      </c>
      <c r="C482" s="21" t="s">
        <v>65</v>
      </c>
      <c r="D482" s="21" t="s">
        <v>3309</v>
      </c>
      <c r="E482" s="22" t="s">
        <v>12</v>
      </c>
      <c r="F482" s="23" t="s">
        <v>2510</v>
      </c>
      <c r="G482" s="33" t="s">
        <v>14</v>
      </c>
      <c r="H482" s="18" t="s">
        <v>3313</v>
      </c>
      <c r="I482" s="47" t="s">
        <v>14</v>
      </c>
      <c r="J482" s="25">
        <v>5318.97</v>
      </c>
      <c r="K482" s="18" t="s">
        <v>3520</v>
      </c>
      <c r="L482" s="27"/>
      <c r="M482" s="18"/>
      <c r="N482" s="28"/>
      <c r="O482" s="31">
        <v>5318.97</v>
      </c>
      <c r="P482" s="19">
        <f t="shared" si="28"/>
        <v>5318.97</v>
      </c>
      <c r="Q482" s="19">
        <f t="shared" si="29"/>
        <v>0</v>
      </c>
      <c r="R482" s="25">
        <v>406.89</v>
      </c>
      <c r="S482" s="28">
        <v>5725.86</v>
      </c>
      <c r="T482" s="49">
        <f t="shared" si="30"/>
        <v>5725.8600000000006</v>
      </c>
      <c r="U482" s="49">
        <f t="shared" si="31"/>
        <v>-9.0949470177292824E-13</v>
      </c>
    </row>
    <row r="483" spans="1:21" ht="17" thickBot="1" x14ac:dyDescent="0.25">
      <c r="A483" s="21" t="s">
        <v>3842</v>
      </c>
      <c r="B483" s="21" t="s">
        <v>680</v>
      </c>
      <c r="C483" s="21" t="s">
        <v>81</v>
      </c>
      <c r="D483" s="21" t="s">
        <v>3256</v>
      </c>
      <c r="E483" s="22" t="s">
        <v>20</v>
      </c>
      <c r="F483" s="23" t="s">
        <v>3847</v>
      </c>
      <c r="G483" s="33" t="s">
        <v>14</v>
      </c>
      <c r="H483" s="18" t="s">
        <v>2734</v>
      </c>
      <c r="I483" s="47" t="s">
        <v>14</v>
      </c>
      <c r="J483" s="25">
        <v>5119.28</v>
      </c>
      <c r="K483" s="18" t="s">
        <v>3520</v>
      </c>
      <c r="L483" s="27"/>
      <c r="M483" s="18"/>
      <c r="N483" s="28"/>
      <c r="O483" s="31">
        <v>5119.28</v>
      </c>
      <c r="P483" s="19">
        <f t="shared" si="28"/>
        <v>5119.28</v>
      </c>
      <c r="Q483" s="19">
        <f t="shared" si="29"/>
        <v>0</v>
      </c>
      <c r="R483" s="25">
        <v>391.63</v>
      </c>
      <c r="S483" s="28">
        <v>5510.91</v>
      </c>
      <c r="T483" s="49">
        <f t="shared" si="30"/>
        <v>5510.91</v>
      </c>
      <c r="U483" s="49">
        <f t="shared" si="31"/>
        <v>0</v>
      </c>
    </row>
    <row r="484" spans="1:21" ht="17" thickBot="1" x14ac:dyDescent="0.25">
      <c r="A484" s="21" t="s">
        <v>3851</v>
      </c>
      <c r="B484" s="21" t="s">
        <v>3852</v>
      </c>
      <c r="C484" s="21" t="s">
        <v>2106</v>
      </c>
      <c r="D484" s="21" t="s">
        <v>2107</v>
      </c>
      <c r="E484" s="22" t="s">
        <v>12</v>
      </c>
      <c r="F484" s="23" t="s">
        <v>3391</v>
      </c>
      <c r="G484" s="33" t="s">
        <v>14</v>
      </c>
      <c r="H484" s="18">
        <v>16068</v>
      </c>
      <c r="I484" s="47" t="s">
        <v>14</v>
      </c>
      <c r="J484" s="18">
        <v>4192.0600000000004</v>
      </c>
      <c r="K484" s="18" t="s">
        <v>3520</v>
      </c>
      <c r="L484" s="27"/>
      <c r="M484" s="18"/>
      <c r="N484" s="28"/>
      <c r="O484" s="27">
        <v>4192.0600000000004</v>
      </c>
      <c r="P484" s="19">
        <f t="shared" si="28"/>
        <v>4192.0600000000004</v>
      </c>
      <c r="Q484" s="19">
        <f t="shared" si="29"/>
        <v>0</v>
      </c>
      <c r="R484" s="25">
        <v>1007.77</v>
      </c>
      <c r="S484" s="28">
        <v>5199.83</v>
      </c>
      <c r="T484" s="49">
        <f t="shared" si="30"/>
        <v>5199.83</v>
      </c>
      <c r="U484" s="49">
        <f t="shared" si="31"/>
        <v>0</v>
      </c>
    </row>
    <row r="485" spans="1:21" ht="17" thickBot="1" x14ac:dyDescent="0.25">
      <c r="A485" s="21" t="s">
        <v>3859</v>
      </c>
      <c r="B485" s="21" t="s">
        <v>592</v>
      </c>
      <c r="C485" s="21" t="s">
        <v>81</v>
      </c>
      <c r="D485" s="21" t="s">
        <v>2730</v>
      </c>
      <c r="E485" s="22" t="s">
        <v>20</v>
      </c>
      <c r="F485" s="23" t="s">
        <v>3864</v>
      </c>
      <c r="G485" s="33" t="s">
        <v>14</v>
      </c>
      <c r="H485" s="18" t="s">
        <v>2734</v>
      </c>
      <c r="I485" s="47" t="s">
        <v>14</v>
      </c>
      <c r="J485" s="25">
        <v>4636.82</v>
      </c>
      <c r="K485" s="18">
        <v>59.03</v>
      </c>
      <c r="L485" s="27"/>
      <c r="M485" s="18"/>
      <c r="N485" s="28"/>
      <c r="O485" s="27">
        <v>4695.8500000000004</v>
      </c>
      <c r="P485" s="19">
        <f t="shared" si="28"/>
        <v>4695.8499999999995</v>
      </c>
      <c r="Q485" s="19">
        <f t="shared" si="29"/>
        <v>9.0949470177292824E-13</v>
      </c>
      <c r="R485" s="25">
        <v>359.23</v>
      </c>
      <c r="S485" s="28">
        <v>5055.08</v>
      </c>
      <c r="T485" s="49">
        <f t="shared" si="30"/>
        <v>5055.08</v>
      </c>
      <c r="U485" s="49">
        <f t="shared" si="31"/>
        <v>0</v>
      </c>
    </row>
    <row r="486" spans="1:21" ht="17" thickBot="1" x14ac:dyDescent="0.25">
      <c r="A486" s="21" t="s">
        <v>3868</v>
      </c>
      <c r="B486" s="21" t="s">
        <v>3064</v>
      </c>
      <c r="C486" s="21" t="s">
        <v>65</v>
      </c>
      <c r="D486" s="21" t="s">
        <v>3309</v>
      </c>
      <c r="E486" s="22" t="s">
        <v>12</v>
      </c>
      <c r="F486" s="23" t="s">
        <v>850</v>
      </c>
      <c r="G486" s="33" t="s">
        <v>14</v>
      </c>
      <c r="H486" s="18" t="s">
        <v>3313</v>
      </c>
      <c r="I486" s="47" t="s">
        <v>14</v>
      </c>
      <c r="J486" s="25">
        <v>4665.33</v>
      </c>
      <c r="K486" s="18" t="s">
        <v>3520</v>
      </c>
      <c r="L486" s="27"/>
      <c r="M486" s="18"/>
      <c r="N486" s="28"/>
      <c r="O486" s="27">
        <v>4665.33</v>
      </c>
      <c r="P486" s="19">
        <f t="shared" si="28"/>
        <v>4665.33</v>
      </c>
      <c r="Q486" s="19">
        <f t="shared" si="29"/>
        <v>0</v>
      </c>
      <c r="R486" s="25">
        <v>356.9</v>
      </c>
      <c r="S486" s="28">
        <v>5022.2299999999996</v>
      </c>
      <c r="T486" s="49">
        <f t="shared" si="30"/>
        <v>5022.2299999999996</v>
      </c>
      <c r="U486" s="49">
        <f t="shared" si="31"/>
        <v>0</v>
      </c>
    </row>
    <row r="487" spans="1:21" ht="17" thickBot="1" x14ac:dyDescent="0.25">
      <c r="A487" s="21" t="s">
        <v>3877</v>
      </c>
      <c r="B487" s="21" t="s">
        <v>830</v>
      </c>
      <c r="C487" s="21" t="s">
        <v>3718</v>
      </c>
      <c r="D487" s="21" t="s">
        <v>3880</v>
      </c>
      <c r="E487" s="22" t="s">
        <v>12</v>
      </c>
      <c r="F487" s="23" t="s">
        <v>3882</v>
      </c>
      <c r="G487" s="33" t="s">
        <v>14</v>
      </c>
      <c r="H487" s="18" t="s">
        <v>3723</v>
      </c>
      <c r="I487" s="47" t="s">
        <v>14</v>
      </c>
      <c r="J487" s="25">
        <v>3319.07</v>
      </c>
      <c r="K487" s="18" t="s">
        <v>3520</v>
      </c>
      <c r="L487" s="27">
        <v>1229.06</v>
      </c>
      <c r="M487" s="18"/>
      <c r="N487" s="18"/>
      <c r="O487" s="27">
        <v>4548.13</v>
      </c>
      <c r="P487" s="19">
        <f t="shared" si="28"/>
        <v>4548.13</v>
      </c>
      <c r="Q487" s="19">
        <f t="shared" si="29"/>
        <v>0</v>
      </c>
      <c r="R487" s="25">
        <v>347.97</v>
      </c>
      <c r="S487" s="28">
        <v>4896.1000000000004</v>
      </c>
      <c r="T487" s="49">
        <f t="shared" si="30"/>
        <v>4896.1000000000004</v>
      </c>
      <c r="U487" s="49">
        <f t="shared" si="31"/>
        <v>0</v>
      </c>
    </row>
    <row r="488" spans="1:21" ht="17" thickBot="1" x14ac:dyDescent="0.25">
      <c r="A488" s="21" t="s">
        <v>2583</v>
      </c>
      <c r="B488" s="21" t="s">
        <v>2097</v>
      </c>
      <c r="C488" s="21" t="s">
        <v>3718</v>
      </c>
      <c r="D488" s="21" t="s">
        <v>3880</v>
      </c>
      <c r="E488" s="22" t="s">
        <v>12</v>
      </c>
      <c r="F488" s="23" t="s">
        <v>3721</v>
      </c>
      <c r="G488" s="33" t="s">
        <v>14</v>
      </c>
      <c r="H488" s="18" t="s">
        <v>3723</v>
      </c>
      <c r="I488" s="47" t="s">
        <v>14</v>
      </c>
      <c r="J488" s="25">
        <v>3319.07</v>
      </c>
      <c r="K488" s="18" t="s">
        <v>3520</v>
      </c>
      <c r="L488" s="27">
        <v>1229.06</v>
      </c>
      <c r="M488" s="18"/>
      <c r="N488" s="18"/>
      <c r="O488" s="27">
        <v>4548.13</v>
      </c>
      <c r="P488" s="19">
        <f t="shared" si="28"/>
        <v>4548.13</v>
      </c>
      <c r="Q488" s="19">
        <f t="shared" si="29"/>
        <v>0</v>
      </c>
      <c r="R488" s="25">
        <v>347.97</v>
      </c>
      <c r="S488" s="28">
        <v>4896.1000000000004</v>
      </c>
      <c r="T488" s="49">
        <f t="shared" si="30"/>
        <v>4896.1000000000004</v>
      </c>
      <c r="U488" s="49">
        <f t="shared" si="31"/>
        <v>0</v>
      </c>
    </row>
    <row r="489" spans="1:21" ht="17" thickBot="1" x14ac:dyDescent="0.25">
      <c r="A489" s="21" t="s">
        <v>3895</v>
      </c>
      <c r="B489" s="21" t="s">
        <v>528</v>
      </c>
      <c r="C489" s="21" t="s">
        <v>3718</v>
      </c>
      <c r="D489" s="21" t="s">
        <v>3880</v>
      </c>
      <c r="E489" s="22" t="s">
        <v>12</v>
      </c>
      <c r="F489" s="23" t="s">
        <v>3882</v>
      </c>
      <c r="G489" s="33" t="s">
        <v>14</v>
      </c>
      <c r="H489" s="18" t="s">
        <v>3723</v>
      </c>
      <c r="I489" s="47" t="s">
        <v>14</v>
      </c>
      <c r="J489" s="25">
        <v>3319.07</v>
      </c>
      <c r="K489" s="18" t="s">
        <v>3520</v>
      </c>
      <c r="L489" s="27">
        <v>1229.06</v>
      </c>
      <c r="M489" s="18"/>
      <c r="N489" s="18"/>
      <c r="O489" s="27">
        <v>4548.13</v>
      </c>
      <c r="P489" s="19">
        <f t="shared" si="28"/>
        <v>4548.13</v>
      </c>
      <c r="Q489" s="19">
        <f t="shared" si="29"/>
        <v>0</v>
      </c>
      <c r="R489" s="25">
        <v>347.97</v>
      </c>
      <c r="S489" s="28">
        <v>4896.1000000000004</v>
      </c>
      <c r="T489" s="49">
        <f t="shared" si="30"/>
        <v>4896.1000000000004</v>
      </c>
      <c r="U489" s="49">
        <f t="shared" si="31"/>
        <v>0</v>
      </c>
    </row>
    <row r="490" spans="1:21" ht="17" thickBot="1" x14ac:dyDescent="0.25">
      <c r="A490" s="21" t="s">
        <v>3904</v>
      </c>
      <c r="B490" s="21" t="s">
        <v>384</v>
      </c>
      <c r="C490" s="21" t="s">
        <v>3718</v>
      </c>
      <c r="D490" s="21" t="s">
        <v>3880</v>
      </c>
      <c r="E490" s="22" t="s">
        <v>12</v>
      </c>
      <c r="F490" s="23" t="s">
        <v>3909</v>
      </c>
      <c r="G490" s="33" t="s">
        <v>14</v>
      </c>
      <c r="H490" s="18" t="s">
        <v>3723</v>
      </c>
      <c r="I490" s="47" t="s">
        <v>14</v>
      </c>
      <c r="J490" s="25">
        <v>3319.07</v>
      </c>
      <c r="K490" s="18" t="s">
        <v>3520</v>
      </c>
      <c r="L490" s="27">
        <v>1229.06</v>
      </c>
      <c r="M490" s="18"/>
      <c r="N490" s="18"/>
      <c r="O490" s="27">
        <v>4548.13</v>
      </c>
      <c r="P490" s="19">
        <f t="shared" si="28"/>
        <v>4548.13</v>
      </c>
      <c r="Q490" s="19">
        <f t="shared" si="29"/>
        <v>0</v>
      </c>
      <c r="R490" s="25">
        <v>347.97</v>
      </c>
      <c r="S490" s="28">
        <v>4896.1000000000004</v>
      </c>
      <c r="T490" s="49">
        <f t="shared" si="30"/>
        <v>4896.1000000000004</v>
      </c>
      <c r="U490" s="49">
        <f t="shared" si="31"/>
        <v>0</v>
      </c>
    </row>
    <row r="491" spans="1:21" ht="17" thickBot="1" x14ac:dyDescent="0.25">
      <c r="A491" s="21" t="s">
        <v>3913</v>
      </c>
      <c r="B491" s="21" t="s">
        <v>760</v>
      </c>
      <c r="C491" s="21" t="s">
        <v>3718</v>
      </c>
      <c r="D491" s="21" t="s">
        <v>3880</v>
      </c>
      <c r="E491" s="22" t="s">
        <v>12</v>
      </c>
      <c r="F491" s="23" t="s">
        <v>3918</v>
      </c>
      <c r="G491" s="33" t="s">
        <v>14</v>
      </c>
      <c r="H491" s="18" t="s">
        <v>3723</v>
      </c>
      <c r="I491" s="47" t="s">
        <v>14</v>
      </c>
      <c r="J491" s="18">
        <v>3319.07</v>
      </c>
      <c r="K491" s="18" t="s">
        <v>3520</v>
      </c>
      <c r="L491" s="27">
        <v>1229.06</v>
      </c>
      <c r="M491" s="18"/>
      <c r="N491" s="18"/>
      <c r="O491" s="27">
        <v>4548.13</v>
      </c>
      <c r="P491" s="19">
        <f t="shared" si="28"/>
        <v>4548.13</v>
      </c>
      <c r="Q491" s="19">
        <f t="shared" si="29"/>
        <v>0</v>
      </c>
      <c r="R491" s="25">
        <v>347.97</v>
      </c>
      <c r="S491" s="28">
        <v>4896.1000000000004</v>
      </c>
      <c r="T491" s="49">
        <f t="shared" si="30"/>
        <v>4896.1000000000004</v>
      </c>
      <c r="U491" s="49">
        <f t="shared" si="31"/>
        <v>0</v>
      </c>
    </row>
    <row r="492" spans="1:21" ht="17" thickBot="1" x14ac:dyDescent="0.25">
      <c r="A492" s="21" t="s">
        <v>504</v>
      </c>
      <c r="B492" s="21" t="s">
        <v>1124</v>
      </c>
      <c r="C492" s="21" t="s">
        <v>65</v>
      </c>
      <c r="D492" s="21" t="s">
        <v>3309</v>
      </c>
      <c r="E492" s="22" t="s">
        <v>12</v>
      </c>
      <c r="F492" s="23" t="s">
        <v>756</v>
      </c>
      <c r="G492" s="33" t="s">
        <v>14</v>
      </c>
      <c r="H492" s="18" t="s">
        <v>3313</v>
      </c>
      <c r="I492" s="47" t="s">
        <v>14</v>
      </c>
      <c r="J492" s="25">
        <v>4478.3999999999996</v>
      </c>
      <c r="K492" s="18" t="s">
        <v>3520</v>
      </c>
      <c r="L492" s="27"/>
      <c r="M492" s="18"/>
      <c r="N492" s="28"/>
      <c r="O492" s="27">
        <v>4478.3999999999996</v>
      </c>
      <c r="P492" s="19">
        <f t="shared" si="28"/>
        <v>4478.3999999999996</v>
      </c>
      <c r="Q492" s="19">
        <f t="shared" si="29"/>
        <v>0</v>
      </c>
      <c r="R492" s="25">
        <v>342.58</v>
      </c>
      <c r="S492" s="28">
        <v>4820.9799999999996</v>
      </c>
      <c r="T492" s="49">
        <f t="shared" si="30"/>
        <v>4820.9799999999996</v>
      </c>
      <c r="U492" s="49">
        <f t="shared" si="31"/>
        <v>0</v>
      </c>
    </row>
    <row r="493" spans="1:21" ht="17" thickBot="1" x14ac:dyDescent="0.25">
      <c r="A493" s="21" t="s">
        <v>111</v>
      </c>
      <c r="B493" s="21" t="s">
        <v>3932</v>
      </c>
      <c r="C493" s="21" t="s">
        <v>65</v>
      </c>
      <c r="D493" s="21" t="s">
        <v>3309</v>
      </c>
      <c r="E493" s="22" t="s">
        <v>12</v>
      </c>
      <c r="F493" s="23" t="s">
        <v>203</v>
      </c>
      <c r="G493" s="33" t="s">
        <v>14</v>
      </c>
      <c r="H493" s="18" t="s">
        <v>3313</v>
      </c>
      <c r="I493" s="47" t="s">
        <v>14</v>
      </c>
      <c r="J493" s="18">
        <v>4449.16</v>
      </c>
      <c r="K493" s="18" t="s">
        <v>3520</v>
      </c>
      <c r="L493" s="27"/>
      <c r="M493" s="18"/>
      <c r="N493" s="28"/>
      <c r="O493" s="30">
        <v>4449.16</v>
      </c>
      <c r="P493" s="19">
        <f t="shared" si="28"/>
        <v>4449.16</v>
      </c>
      <c r="Q493" s="19">
        <f t="shared" si="29"/>
        <v>0</v>
      </c>
      <c r="R493" s="25">
        <v>340.35</v>
      </c>
      <c r="S493" s="28">
        <v>4789.51</v>
      </c>
      <c r="T493" s="49">
        <f t="shared" si="30"/>
        <v>4789.51</v>
      </c>
      <c r="U493" s="49">
        <f t="shared" si="31"/>
        <v>0</v>
      </c>
    </row>
    <row r="494" spans="1:21" ht="17" thickBot="1" x14ac:dyDescent="0.25">
      <c r="A494" s="21" t="s">
        <v>3940</v>
      </c>
      <c r="B494" s="21" t="s">
        <v>3941</v>
      </c>
      <c r="C494" s="21" t="s">
        <v>3718</v>
      </c>
      <c r="D494" s="21" t="s">
        <v>3880</v>
      </c>
      <c r="E494" s="22" t="s">
        <v>12</v>
      </c>
      <c r="F494" s="23" t="s">
        <v>3945</v>
      </c>
      <c r="G494" s="33" t="s">
        <v>14</v>
      </c>
      <c r="H494" s="18" t="s">
        <v>3723</v>
      </c>
      <c r="I494" s="47" t="s">
        <v>14</v>
      </c>
      <c r="J494" s="25">
        <v>3221.39</v>
      </c>
      <c r="K494" s="18" t="s">
        <v>3520</v>
      </c>
      <c r="L494" s="27">
        <v>1204.31</v>
      </c>
      <c r="M494" s="18"/>
      <c r="N494" s="18"/>
      <c r="O494" s="31">
        <v>4425.7</v>
      </c>
      <c r="P494" s="19">
        <f t="shared" si="28"/>
        <v>4425.7</v>
      </c>
      <c r="Q494" s="19">
        <f t="shared" si="29"/>
        <v>0</v>
      </c>
      <c r="R494" s="25">
        <v>338.6</v>
      </c>
      <c r="S494" s="28">
        <v>4764.3</v>
      </c>
      <c r="T494" s="49">
        <f t="shared" si="30"/>
        <v>4764.3</v>
      </c>
      <c r="U494" s="49">
        <f t="shared" si="31"/>
        <v>0</v>
      </c>
    </row>
    <row r="495" spans="1:21" ht="17" thickBot="1" x14ac:dyDescent="0.25">
      <c r="A495" s="21" t="s">
        <v>2583</v>
      </c>
      <c r="B495" s="21" t="s">
        <v>384</v>
      </c>
      <c r="C495" s="21" t="s">
        <v>81</v>
      </c>
      <c r="D495" s="21" t="s">
        <v>746</v>
      </c>
      <c r="E495" s="22" t="s">
        <v>20</v>
      </c>
      <c r="F495" s="23" t="s">
        <v>3954</v>
      </c>
      <c r="G495" s="33" t="s">
        <v>14</v>
      </c>
      <c r="H495" s="18" t="s">
        <v>2734</v>
      </c>
      <c r="I495" s="47" t="s">
        <v>14</v>
      </c>
      <c r="J495" s="25">
        <v>4044.8</v>
      </c>
      <c r="K495" s="18" t="s">
        <v>3520</v>
      </c>
      <c r="L495" s="43">
        <v>69.05</v>
      </c>
      <c r="M495" s="18"/>
      <c r="N495" s="18"/>
      <c r="O495" s="31">
        <v>4113.8500000000004</v>
      </c>
      <c r="P495" s="19">
        <f t="shared" si="28"/>
        <v>4113.8500000000004</v>
      </c>
      <c r="Q495" s="19">
        <f t="shared" si="29"/>
        <v>0</v>
      </c>
      <c r="R495" s="25">
        <v>314.70999999999998</v>
      </c>
      <c r="S495" s="28">
        <v>4428.5600000000004</v>
      </c>
      <c r="T495" s="49">
        <f t="shared" si="30"/>
        <v>4428.5600000000004</v>
      </c>
      <c r="U495" s="49">
        <f t="shared" si="31"/>
        <v>0</v>
      </c>
    </row>
    <row r="496" spans="1:21" ht="17" thickBot="1" x14ac:dyDescent="0.25">
      <c r="A496" s="21" t="s">
        <v>3958</v>
      </c>
      <c r="B496" s="21" t="s">
        <v>3959</v>
      </c>
      <c r="C496" s="21" t="s">
        <v>256</v>
      </c>
      <c r="D496" s="21" t="s">
        <v>2005</v>
      </c>
      <c r="E496" s="22" t="s">
        <v>12</v>
      </c>
      <c r="F496" s="23" t="s">
        <v>3382</v>
      </c>
      <c r="G496" s="33" t="s">
        <v>14</v>
      </c>
      <c r="H496" s="18">
        <v>16712.8</v>
      </c>
      <c r="I496" s="47" t="s">
        <v>14</v>
      </c>
      <c r="J496" s="18">
        <v>3494.93</v>
      </c>
      <c r="K496" s="18" t="s">
        <v>3520</v>
      </c>
      <c r="L496" s="27"/>
      <c r="M496" s="18"/>
      <c r="N496" s="28"/>
      <c r="O496" s="31">
        <v>3494.93</v>
      </c>
      <c r="P496" s="19">
        <f t="shared" si="28"/>
        <v>3494.93</v>
      </c>
      <c r="Q496" s="19">
        <f t="shared" si="29"/>
        <v>0</v>
      </c>
      <c r="R496" s="25">
        <v>840.18</v>
      </c>
      <c r="S496" s="28">
        <v>4335.1099999999997</v>
      </c>
      <c r="T496" s="49">
        <f t="shared" si="30"/>
        <v>4335.1099999999997</v>
      </c>
      <c r="U496" s="49">
        <f t="shared" si="31"/>
        <v>0</v>
      </c>
    </row>
    <row r="497" spans="1:21" ht="17" thickBot="1" x14ac:dyDescent="0.25">
      <c r="A497" s="21" t="s">
        <v>3966</v>
      </c>
      <c r="B497" s="21" t="s">
        <v>296</v>
      </c>
      <c r="C497" s="21" t="s">
        <v>65</v>
      </c>
      <c r="D497" s="21" t="s">
        <v>3309</v>
      </c>
      <c r="E497" s="22" t="s">
        <v>12</v>
      </c>
      <c r="F497" s="23" t="s">
        <v>2400</v>
      </c>
      <c r="G497" s="33" t="s">
        <v>14</v>
      </c>
      <c r="H497" s="18" t="s">
        <v>3313</v>
      </c>
      <c r="I497" s="47" t="s">
        <v>14</v>
      </c>
      <c r="J497" s="18">
        <v>3897.64</v>
      </c>
      <c r="K497" s="18" t="s">
        <v>3520</v>
      </c>
      <c r="L497" s="27"/>
      <c r="M497" s="18"/>
      <c r="N497" s="28"/>
      <c r="O497" s="30">
        <v>3897.64</v>
      </c>
      <c r="P497" s="19">
        <f t="shared" si="28"/>
        <v>3897.64</v>
      </c>
      <c r="Q497" s="19">
        <f t="shared" si="29"/>
        <v>0</v>
      </c>
      <c r="R497" s="25">
        <v>298.17</v>
      </c>
      <c r="S497" s="28">
        <v>4195.8100000000004</v>
      </c>
      <c r="T497" s="49">
        <f t="shared" si="30"/>
        <v>4195.8099999999995</v>
      </c>
      <c r="U497" s="49">
        <f t="shared" si="31"/>
        <v>9.0949470177292824E-13</v>
      </c>
    </row>
    <row r="498" spans="1:21" ht="17" thickBot="1" x14ac:dyDescent="0.25">
      <c r="A498" s="21" t="s">
        <v>719</v>
      </c>
      <c r="B498" s="21" t="s">
        <v>3976</v>
      </c>
      <c r="C498" s="21" t="s">
        <v>65</v>
      </c>
      <c r="D498" s="21" t="s">
        <v>3309</v>
      </c>
      <c r="E498" s="22" t="s">
        <v>12</v>
      </c>
      <c r="F498" s="23" t="s">
        <v>1660</v>
      </c>
      <c r="G498" s="33" t="s">
        <v>14</v>
      </c>
      <c r="H498" s="18" t="s">
        <v>3313</v>
      </c>
      <c r="I498" s="47" t="s">
        <v>14</v>
      </c>
      <c r="J498" s="25">
        <v>3870.14</v>
      </c>
      <c r="K498" s="18" t="s">
        <v>3520</v>
      </c>
      <c r="L498" s="27"/>
      <c r="M498" s="18"/>
      <c r="N498" s="28"/>
      <c r="O498" s="30">
        <v>3870.14</v>
      </c>
      <c r="P498" s="19">
        <f t="shared" si="28"/>
        <v>3870.14</v>
      </c>
      <c r="Q498" s="19">
        <f t="shared" si="29"/>
        <v>0</v>
      </c>
      <c r="R498" s="25">
        <v>296.10000000000002</v>
      </c>
      <c r="S498" s="28">
        <v>4166.24</v>
      </c>
      <c r="T498" s="49">
        <f t="shared" si="30"/>
        <v>4166.24</v>
      </c>
      <c r="U498" s="49">
        <f t="shared" si="31"/>
        <v>0</v>
      </c>
    </row>
    <row r="499" spans="1:21" ht="17" thickBot="1" x14ac:dyDescent="0.25">
      <c r="A499" s="21" t="s">
        <v>3984</v>
      </c>
      <c r="B499" s="21" t="s">
        <v>9</v>
      </c>
      <c r="C499" s="21" t="s">
        <v>145</v>
      </c>
      <c r="D499" s="21" t="s">
        <v>2036</v>
      </c>
      <c r="E499" s="22" t="s">
        <v>12</v>
      </c>
      <c r="F499" s="23" t="s">
        <v>993</v>
      </c>
      <c r="G499" s="34" t="s">
        <v>3141</v>
      </c>
      <c r="H499" s="18">
        <v>39956.800000000003</v>
      </c>
      <c r="I499" s="31">
        <v>370.75</v>
      </c>
      <c r="J499" s="18">
        <v>2300.1999999999998</v>
      </c>
      <c r="K499" s="18" t="s">
        <v>3520</v>
      </c>
      <c r="L499" s="27"/>
      <c r="M499" s="18"/>
      <c r="N499" s="28"/>
      <c r="O499" s="30">
        <v>2670.95</v>
      </c>
      <c r="P499" s="19">
        <f t="shared" si="28"/>
        <v>2670.95</v>
      </c>
      <c r="Q499" s="19">
        <f t="shared" si="29"/>
        <v>0</v>
      </c>
      <c r="R499" s="25">
        <v>1359.28</v>
      </c>
      <c r="S499" s="28">
        <v>4030.23</v>
      </c>
      <c r="T499" s="49">
        <f t="shared" si="30"/>
        <v>4030.2299999999996</v>
      </c>
      <c r="U499" s="49">
        <f t="shared" si="31"/>
        <v>4.5474735088646412E-13</v>
      </c>
    </row>
    <row r="500" spans="1:21" ht="17" thickBot="1" x14ac:dyDescent="0.25">
      <c r="A500" s="21" t="s">
        <v>3991</v>
      </c>
      <c r="B500" s="21" t="s">
        <v>600</v>
      </c>
      <c r="C500" s="21" t="s">
        <v>81</v>
      </c>
      <c r="D500" s="21" t="s">
        <v>746</v>
      </c>
      <c r="E500" s="22" t="s">
        <v>20</v>
      </c>
      <c r="F500" s="23" t="s">
        <v>3996</v>
      </c>
      <c r="G500" s="33" t="s">
        <v>14</v>
      </c>
      <c r="H500" s="18" t="s">
        <v>2734</v>
      </c>
      <c r="I500" s="47" t="s">
        <v>14</v>
      </c>
      <c r="J500" s="25">
        <v>3626.07</v>
      </c>
      <c r="K500" s="18" t="s">
        <v>3520</v>
      </c>
      <c r="L500" s="27"/>
      <c r="M500" s="18"/>
      <c r="N500" s="28"/>
      <c r="O500" s="31">
        <v>3626.07</v>
      </c>
      <c r="P500" s="19">
        <f t="shared" si="28"/>
        <v>3626.07</v>
      </c>
      <c r="Q500" s="19">
        <f t="shared" si="29"/>
        <v>0</v>
      </c>
      <c r="R500" s="25">
        <v>277.39</v>
      </c>
      <c r="S500" s="28">
        <v>3903.46</v>
      </c>
      <c r="T500" s="49">
        <f t="shared" si="30"/>
        <v>3903.46</v>
      </c>
      <c r="U500" s="49">
        <f t="shared" si="31"/>
        <v>0</v>
      </c>
    </row>
    <row r="501" spans="1:21" ht="17" thickBot="1" x14ac:dyDescent="0.25">
      <c r="A501" s="21" t="s">
        <v>4000</v>
      </c>
      <c r="B501" s="21" t="s">
        <v>853</v>
      </c>
      <c r="C501" s="21" t="s">
        <v>65</v>
      </c>
      <c r="D501" s="21" t="s">
        <v>3309</v>
      </c>
      <c r="E501" s="22" t="s">
        <v>12</v>
      </c>
      <c r="F501" s="23" t="s">
        <v>4005</v>
      </c>
      <c r="G501" s="33" t="s">
        <v>14</v>
      </c>
      <c r="H501" s="18" t="s">
        <v>3313</v>
      </c>
      <c r="I501" s="47" t="s">
        <v>14</v>
      </c>
      <c r="J501" s="18">
        <v>3581.57</v>
      </c>
      <c r="K501" s="18" t="s">
        <v>3520</v>
      </c>
      <c r="L501" s="27"/>
      <c r="M501" s="18"/>
      <c r="N501" s="28"/>
      <c r="O501" s="31">
        <v>3581.57</v>
      </c>
      <c r="P501" s="19">
        <f t="shared" si="28"/>
        <v>3581.57</v>
      </c>
      <c r="Q501" s="19">
        <f t="shared" si="29"/>
        <v>0</v>
      </c>
      <c r="R501" s="25">
        <v>274</v>
      </c>
      <c r="S501" s="28">
        <v>3855.57</v>
      </c>
      <c r="T501" s="49">
        <f t="shared" si="30"/>
        <v>3855.57</v>
      </c>
      <c r="U501" s="49">
        <f t="shared" si="31"/>
        <v>0</v>
      </c>
    </row>
    <row r="502" spans="1:21" ht="17" thickBot="1" x14ac:dyDescent="0.25">
      <c r="A502" s="21" t="s">
        <v>303</v>
      </c>
      <c r="B502" s="21" t="s">
        <v>4010</v>
      </c>
      <c r="C502" s="21" t="s">
        <v>2507</v>
      </c>
      <c r="D502" s="21" t="s">
        <v>3638</v>
      </c>
      <c r="E502" s="22" t="s">
        <v>12</v>
      </c>
      <c r="F502" s="23" t="s">
        <v>1755</v>
      </c>
      <c r="G502" s="34" t="s">
        <v>4015</v>
      </c>
      <c r="H502" s="18" t="s">
        <v>3313</v>
      </c>
      <c r="I502" s="27"/>
      <c r="J502" s="18">
        <v>3230.6</v>
      </c>
      <c r="K502" s="18" t="s">
        <v>3520</v>
      </c>
      <c r="L502" s="31" t="s">
        <v>3520</v>
      </c>
      <c r="M502" s="18"/>
      <c r="N502" s="18"/>
      <c r="O502" s="30">
        <v>3230.6</v>
      </c>
      <c r="P502" s="19">
        <f t="shared" si="28"/>
        <v>3230.6</v>
      </c>
      <c r="Q502" s="19">
        <f t="shared" si="29"/>
        <v>0</v>
      </c>
      <c r="R502" s="25">
        <v>247.14</v>
      </c>
      <c r="S502" s="28">
        <v>3477.74</v>
      </c>
      <c r="T502" s="49">
        <f t="shared" si="30"/>
        <v>3477.74</v>
      </c>
      <c r="U502" s="49">
        <f t="shared" si="31"/>
        <v>0</v>
      </c>
    </row>
    <row r="503" spans="1:21" ht="17" thickBot="1" x14ac:dyDescent="0.25">
      <c r="A503" s="21" t="s">
        <v>4017</v>
      </c>
      <c r="B503" s="21" t="s">
        <v>3344</v>
      </c>
      <c r="C503" s="21" t="s">
        <v>3718</v>
      </c>
      <c r="D503" s="21" t="s">
        <v>3880</v>
      </c>
      <c r="E503" s="22" t="s">
        <v>12</v>
      </c>
      <c r="F503" s="23" t="s">
        <v>2061</v>
      </c>
      <c r="G503" s="33" t="s">
        <v>14</v>
      </c>
      <c r="H503" s="18" t="s">
        <v>3723</v>
      </c>
      <c r="I503" s="42" t="s">
        <v>14</v>
      </c>
      <c r="J503" s="25">
        <v>2336.91</v>
      </c>
      <c r="K503" s="18" t="s">
        <v>3520</v>
      </c>
      <c r="L503" s="27">
        <v>865.38</v>
      </c>
      <c r="M503" s="18"/>
      <c r="N503" s="18"/>
      <c r="O503" s="31">
        <v>3202.29</v>
      </c>
      <c r="P503" s="19">
        <f t="shared" si="28"/>
        <v>3202.29</v>
      </c>
      <c r="Q503" s="19">
        <f t="shared" si="29"/>
        <v>0</v>
      </c>
      <c r="R503" s="25">
        <v>245.01</v>
      </c>
      <c r="S503" s="28">
        <v>3447.3</v>
      </c>
      <c r="T503" s="49">
        <f t="shared" si="30"/>
        <v>3447.3</v>
      </c>
      <c r="U503" s="49">
        <f t="shared" si="31"/>
        <v>0</v>
      </c>
    </row>
    <row r="504" spans="1:21" ht="17" thickBot="1" x14ac:dyDescent="0.25">
      <c r="A504" s="21" t="s">
        <v>4026</v>
      </c>
      <c r="B504" s="21" t="s">
        <v>4027</v>
      </c>
      <c r="C504" s="21" t="s">
        <v>65</v>
      </c>
      <c r="D504" s="21" t="s">
        <v>3309</v>
      </c>
      <c r="E504" s="22" t="s">
        <v>12</v>
      </c>
      <c r="F504" s="23" t="s">
        <v>2969</v>
      </c>
      <c r="G504" s="33" t="s">
        <v>14</v>
      </c>
      <c r="H504" s="18" t="s">
        <v>3313</v>
      </c>
      <c r="I504" s="42" t="s">
        <v>14</v>
      </c>
      <c r="J504" s="18">
        <v>2402.08</v>
      </c>
      <c r="K504" s="18" t="s">
        <v>3520</v>
      </c>
      <c r="L504" s="27"/>
      <c r="M504" s="18"/>
      <c r="N504" s="28"/>
      <c r="O504" s="31">
        <v>2402.08</v>
      </c>
      <c r="P504" s="19">
        <f t="shared" si="28"/>
        <v>2402.08</v>
      </c>
      <c r="Q504" s="19">
        <f t="shared" si="29"/>
        <v>0</v>
      </c>
      <c r="R504" s="25">
        <v>183.76</v>
      </c>
      <c r="S504" s="28">
        <v>2585.84</v>
      </c>
      <c r="T504" s="49">
        <f t="shared" si="30"/>
        <v>2585.84</v>
      </c>
      <c r="U504" s="49">
        <f t="shared" si="31"/>
        <v>0</v>
      </c>
    </row>
    <row r="505" spans="1:21" ht="17" thickBot="1" x14ac:dyDescent="0.25">
      <c r="A505" s="21" t="s">
        <v>4035</v>
      </c>
      <c r="B505" s="21" t="s">
        <v>432</v>
      </c>
      <c r="C505" s="21" t="s">
        <v>81</v>
      </c>
      <c r="D505" s="21" t="s">
        <v>4038</v>
      </c>
      <c r="E505" s="22" t="s">
        <v>20</v>
      </c>
      <c r="F505" s="23" t="s">
        <v>516</v>
      </c>
      <c r="G505" s="34" t="s">
        <v>2535</v>
      </c>
      <c r="H505" s="18" t="s">
        <v>2734</v>
      </c>
      <c r="I505" s="27"/>
      <c r="J505" s="18">
        <v>2012.82</v>
      </c>
      <c r="K505" s="18" t="s">
        <v>3520</v>
      </c>
      <c r="L505" s="31" t="s">
        <v>3520</v>
      </c>
      <c r="M505" s="18"/>
      <c r="N505" s="18"/>
      <c r="O505" s="30">
        <v>2012.82</v>
      </c>
      <c r="P505" s="19">
        <f t="shared" si="28"/>
        <v>2012.82</v>
      </c>
      <c r="Q505" s="19">
        <f t="shared" si="29"/>
        <v>0</v>
      </c>
      <c r="R505" s="25">
        <v>153.97999999999999</v>
      </c>
      <c r="S505" s="28">
        <v>2166.8000000000002</v>
      </c>
      <c r="T505" s="49">
        <f t="shared" si="30"/>
        <v>2166.7999999999997</v>
      </c>
      <c r="U505" s="49">
        <f t="shared" si="31"/>
        <v>4.5474735088646412E-13</v>
      </c>
    </row>
    <row r="506" spans="1:21" ht="17" thickBot="1" x14ac:dyDescent="0.25">
      <c r="A506" s="10" t="s">
        <v>4043</v>
      </c>
      <c r="B506" s="10" t="s">
        <v>8</v>
      </c>
      <c r="C506" s="10" t="s">
        <v>81</v>
      </c>
      <c r="D506" s="10" t="s">
        <v>746</v>
      </c>
      <c r="E506" s="11" t="s">
        <v>20</v>
      </c>
      <c r="F506" s="12" t="s">
        <v>2221</v>
      </c>
      <c r="G506" s="35" t="s">
        <v>4049</v>
      </c>
      <c r="H506" s="16" t="s">
        <v>2734</v>
      </c>
      <c r="I506" s="17"/>
      <c r="J506" s="16">
        <v>942.77</v>
      </c>
      <c r="K506" s="17"/>
      <c r="L506" s="17">
        <v>220.5</v>
      </c>
      <c r="M506" s="18"/>
      <c r="N506" s="18"/>
      <c r="O506" s="48">
        <v>1163.27</v>
      </c>
      <c r="P506" s="19">
        <f t="shared" si="28"/>
        <v>1163.27</v>
      </c>
      <c r="Q506" s="19">
        <f t="shared" si="29"/>
        <v>0</v>
      </c>
      <c r="R506" s="14">
        <v>88.99</v>
      </c>
      <c r="S506" s="20">
        <v>1252.26</v>
      </c>
      <c r="T506" s="49">
        <f t="shared" si="30"/>
        <v>1252.26</v>
      </c>
      <c r="U506" s="49">
        <f t="shared" si="31"/>
        <v>0</v>
      </c>
    </row>
    <row r="507" spans="1:21" ht="17" thickBot="1" x14ac:dyDescent="0.25">
      <c r="A507" s="21" t="s">
        <v>4051</v>
      </c>
      <c r="B507" s="21" t="s">
        <v>2825</v>
      </c>
      <c r="C507" s="21" t="s">
        <v>81</v>
      </c>
      <c r="D507" s="21" t="s">
        <v>4038</v>
      </c>
      <c r="E507" s="22" t="s">
        <v>20</v>
      </c>
      <c r="F507" s="23" t="s">
        <v>564</v>
      </c>
      <c r="G507" s="34" t="s">
        <v>4057</v>
      </c>
      <c r="H507" s="27">
        <v>715.2</v>
      </c>
      <c r="I507" s="29" t="s">
        <v>14</v>
      </c>
      <c r="J507" s="18">
        <v>715.2</v>
      </c>
      <c r="K507" s="27">
        <v>338.34</v>
      </c>
      <c r="L507" s="29" t="s">
        <v>14</v>
      </c>
      <c r="M507" s="18"/>
      <c r="N507" s="18"/>
      <c r="O507" s="30">
        <v>1053.54</v>
      </c>
      <c r="P507" s="19">
        <f t="shared" si="28"/>
        <v>1053.54</v>
      </c>
      <c r="Q507" s="19">
        <f t="shared" si="29"/>
        <v>0</v>
      </c>
      <c r="R507" s="25">
        <v>80.599999999999994</v>
      </c>
      <c r="S507" s="28">
        <v>1134.1400000000001</v>
      </c>
      <c r="T507" s="49">
        <f t="shared" si="30"/>
        <v>1134.1399999999999</v>
      </c>
      <c r="U507" s="49">
        <f t="shared" si="31"/>
        <v>2.2737367544323206E-13</v>
      </c>
    </row>
    <row r="508" spans="1:21" ht="17" thickBot="1" x14ac:dyDescent="0.25">
      <c r="A508" s="21" t="s">
        <v>4060</v>
      </c>
      <c r="B508" s="21" t="s">
        <v>3344</v>
      </c>
      <c r="C508" s="21" t="s">
        <v>137</v>
      </c>
      <c r="D508" s="21" t="s">
        <v>2305</v>
      </c>
      <c r="E508" s="22" t="s">
        <v>12</v>
      </c>
      <c r="F508" s="23" t="s">
        <v>4065</v>
      </c>
      <c r="G508" s="33" t="s">
        <v>14</v>
      </c>
      <c r="H508" s="18">
        <v>42640</v>
      </c>
      <c r="I508" s="42" t="s">
        <v>14</v>
      </c>
      <c r="J508" s="18">
        <v>820</v>
      </c>
      <c r="K508" s="27">
        <v>15.38</v>
      </c>
      <c r="L508" s="29" t="s">
        <v>14</v>
      </c>
      <c r="M508" s="18"/>
      <c r="N508" s="18"/>
      <c r="O508" s="27">
        <v>835.38</v>
      </c>
      <c r="P508" s="19">
        <f t="shared" si="28"/>
        <v>835.38</v>
      </c>
      <c r="Q508" s="19">
        <f t="shared" si="29"/>
        <v>0</v>
      </c>
      <c r="R508" s="25">
        <v>218.29</v>
      </c>
      <c r="S508" s="28">
        <v>1053.67</v>
      </c>
      <c r="T508" s="49">
        <f t="shared" si="30"/>
        <v>1053.67</v>
      </c>
      <c r="U508" s="49">
        <f t="shared" si="31"/>
        <v>0</v>
      </c>
    </row>
    <row r="509" spans="1:21" ht="17" thickBot="1" x14ac:dyDescent="0.25">
      <c r="A509" s="21" t="s">
        <v>40</v>
      </c>
      <c r="B509" s="21" t="s">
        <v>4070</v>
      </c>
      <c r="C509" s="21" t="s">
        <v>137</v>
      </c>
      <c r="D509" s="21" t="s">
        <v>2305</v>
      </c>
      <c r="E509" s="22" t="s">
        <v>12</v>
      </c>
      <c r="F509" s="23" t="s">
        <v>4065</v>
      </c>
      <c r="G509" s="33" t="s">
        <v>14</v>
      </c>
      <c r="H509" s="18">
        <v>42640</v>
      </c>
      <c r="I509" s="42" t="s">
        <v>14</v>
      </c>
      <c r="J509" s="18">
        <v>820</v>
      </c>
      <c r="K509" s="27">
        <v>4.62</v>
      </c>
      <c r="L509" s="29" t="s">
        <v>14</v>
      </c>
      <c r="M509" s="18"/>
      <c r="N509" s="18"/>
      <c r="O509" s="27">
        <v>824.62</v>
      </c>
      <c r="P509" s="19">
        <f t="shared" si="28"/>
        <v>824.62</v>
      </c>
      <c r="Q509" s="19">
        <f t="shared" si="29"/>
        <v>0</v>
      </c>
      <c r="R509" s="25">
        <v>215.7</v>
      </c>
      <c r="S509" s="28">
        <v>1040.32</v>
      </c>
      <c r="T509" s="49">
        <f t="shared" si="30"/>
        <v>1040.32</v>
      </c>
      <c r="U509" s="49">
        <f t="shared" si="31"/>
        <v>0</v>
      </c>
    </row>
    <row r="510" spans="1:21" ht="17" thickBot="1" x14ac:dyDescent="0.25">
      <c r="A510" s="21" t="s">
        <v>4078</v>
      </c>
      <c r="B510" s="21" t="s">
        <v>1037</v>
      </c>
      <c r="C510" s="21" t="s">
        <v>256</v>
      </c>
      <c r="D510" s="21" t="s">
        <v>3346</v>
      </c>
      <c r="E510" s="22" t="s">
        <v>12</v>
      </c>
      <c r="F510" s="23" t="s">
        <v>4015</v>
      </c>
      <c r="G510" s="33" t="s">
        <v>14</v>
      </c>
      <c r="H510" s="18">
        <v>16068</v>
      </c>
      <c r="I510" s="42" t="s">
        <v>14</v>
      </c>
      <c r="J510" s="18">
        <v>598.38</v>
      </c>
      <c r="K510" s="27" t="s">
        <v>3520</v>
      </c>
      <c r="L510" s="29" t="s">
        <v>14</v>
      </c>
      <c r="M510" s="18"/>
      <c r="N510" s="18"/>
      <c r="O510" s="30">
        <v>598.38</v>
      </c>
      <c r="P510" s="19">
        <f t="shared" si="28"/>
        <v>598.38</v>
      </c>
      <c r="Q510" s="19">
        <f t="shared" si="29"/>
        <v>0</v>
      </c>
      <c r="R510" s="25">
        <v>143.85</v>
      </c>
      <c r="S510" s="28">
        <v>742.23</v>
      </c>
      <c r="T510" s="49">
        <f t="shared" si="30"/>
        <v>742.23</v>
      </c>
      <c r="U510" s="49">
        <f t="shared" si="31"/>
        <v>0</v>
      </c>
    </row>
    <row r="511" spans="1:21" ht="17" thickBot="1" x14ac:dyDescent="0.25">
      <c r="A511" s="21" t="s">
        <v>4087</v>
      </c>
      <c r="B511" s="21" t="s">
        <v>4088</v>
      </c>
      <c r="C511" s="21" t="s">
        <v>81</v>
      </c>
      <c r="D511" s="21" t="s">
        <v>2747</v>
      </c>
      <c r="E511" s="22" t="s">
        <v>20</v>
      </c>
      <c r="F511" s="23" t="s">
        <v>4092</v>
      </c>
      <c r="G511" s="34" t="s">
        <v>4093</v>
      </c>
      <c r="H511" s="18" t="s">
        <v>2734</v>
      </c>
      <c r="I511" s="27"/>
      <c r="J511" s="18">
        <v>633.54</v>
      </c>
      <c r="K511" s="27"/>
      <c r="L511" s="43" t="s">
        <v>3520</v>
      </c>
      <c r="M511" s="18"/>
      <c r="N511" s="28"/>
      <c r="O511" s="30">
        <v>633.54</v>
      </c>
      <c r="P511" s="19">
        <f t="shared" si="28"/>
        <v>633.54</v>
      </c>
      <c r="Q511" s="19">
        <f t="shared" si="29"/>
        <v>0</v>
      </c>
      <c r="R511" s="25">
        <v>48.47</v>
      </c>
      <c r="S511" s="28">
        <v>682.01</v>
      </c>
      <c r="T511" s="49">
        <f t="shared" si="30"/>
        <v>682.01</v>
      </c>
      <c r="U511" s="49">
        <f t="shared" si="31"/>
        <v>0</v>
      </c>
    </row>
    <row r="512" spans="1:21" ht="17" thickBot="1" x14ac:dyDescent="0.25">
      <c r="A512" s="21" t="s">
        <v>948</v>
      </c>
      <c r="B512" s="21" t="s">
        <v>4097</v>
      </c>
      <c r="C512" s="21" t="s">
        <v>65</v>
      </c>
      <c r="D512" s="21" t="s">
        <v>3309</v>
      </c>
      <c r="E512" s="22" t="s">
        <v>12</v>
      </c>
      <c r="F512" s="23" t="s">
        <v>4101</v>
      </c>
      <c r="G512" s="34" t="s">
        <v>1849</v>
      </c>
      <c r="H512" s="18" t="s">
        <v>3313</v>
      </c>
      <c r="I512" s="27"/>
      <c r="J512" s="18">
        <v>284.08</v>
      </c>
      <c r="K512" s="27"/>
      <c r="L512" s="43" t="s">
        <v>3520</v>
      </c>
      <c r="M512" s="18"/>
      <c r="N512" s="28"/>
      <c r="O512" s="30">
        <v>284.08</v>
      </c>
      <c r="P512" s="19">
        <f t="shared" si="28"/>
        <v>284.08</v>
      </c>
      <c r="Q512" s="19">
        <f t="shared" si="29"/>
        <v>0</v>
      </c>
      <c r="R512" s="25">
        <v>21.73</v>
      </c>
      <c r="S512" s="28">
        <v>305.81</v>
      </c>
      <c r="T512" s="49">
        <f t="shared" si="30"/>
        <v>305.81</v>
      </c>
      <c r="U512" s="49">
        <f t="shared" si="31"/>
        <v>0</v>
      </c>
    </row>
    <row r="513" spans="1:21" ht="17" thickBot="1" x14ac:dyDescent="0.25">
      <c r="A513" s="21" t="s">
        <v>4105</v>
      </c>
      <c r="B513" s="21" t="s">
        <v>4106</v>
      </c>
      <c r="C513" s="21" t="s">
        <v>65</v>
      </c>
      <c r="D513" s="21" t="s">
        <v>3309</v>
      </c>
      <c r="E513" s="22" t="s">
        <v>12</v>
      </c>
      <c r="F513" s="23" t="s">
        <v>2400</v>
      </c>
      <c r="G513" s="34" t="s">
        <v>3434</v>
      </c>
      <c r="H513" s="18" t="s">
        <v>3313</v>
      </c>
      <c r="I513" s="27"/>
      <c r="J513" s="18">
        <v>233.94</v>
      </c>
      <c r="K513" s="27"/>
      <c r="L513" s="43" t="s">
        <v>3520</v>
      </c>
      <c r="M513" s="18"/>
      <c r="N513" s="28"/>
      <c r="O513" s="30">
        <v>233.94</v>
      </c>
      <c r="P513" s="19">
        <f t="shared" si="28"/>
        <v>233.94</v>
      </c>
      <c r="Q513" s="19">
        <f t="shared" si="29"/>
        <v>0</v>
      </c>
      <c r="R513" s="25">
        <v>17.899999999999999</v>
      </c>
      <c r="S513" s="28">
        <v>251.84</v>
      </c>
      <c r="T513" s="49">
        <f t="shared" si="30"/>
        <v>251.84</v>
      </c>
      <c r="U513" s="49">
        <f t="shared" si="31"/>
        <v>0</v>
      </c>
    </row>
    <row r="514" spans="1:21" x14ac:dyDescent="0.2">
      <c r="A514" s="21" t="s">
        <v>4114</v>
      </c>
      <c r="B514" s="21" t="s">
        <v>2011</v>
      </c>
      <c r="C514" s="21" t="s">
        <v>65</v>
      </c>
      <c r="D514" s="21" t="s">
        <v>3309</v>
      </c>
      <c r="E514" s="22" t="s">
        <v>12</v>
      </c>
      <c r="F514" s="23" t="s">
        <v>4119</v>
      </c>
      <c r="G514" s="33" t="s">
        <v>14</v>
      </c>
      <c r="H514" s="18" t="s">
        <v>3313</v>
      </c>
      <c r="I514" s="42" t="s">
        <v>14</v>
      </c>
      <c r="J514" s="18">
        <v>104.44</v>
      </c>
      <c r="K514" s="31" t="s">
        <v>3520</v>
      </c>
      <c r="L514" s="29" t="s">
        <v>14</v>
      </c>
      <c r="M514" s="18"/>
      <c r="N514" s="28"/>
      <c r="O514" s="30">
        <v>104.44</v>
      </c>
      <c r="P514" s="19">
        <f t="shared" si="28"/>
        <v>104.44</v>
      </c>
      <c r="Q514" s="19">
        <f t="shared" si="29"/>
        <v>0</v>
      </c>
      <c r="R514" s="25">
        <v>7.99</v>
      </c>
      <c r="S514" s="28">
        <v>112.43</v>
      </c>
      <c r="T514" s="49">
        <f t="shared" si="30"/>
        <v>112.42999999999999</v>
      </c>
      <c r="U514" s="49">
        <f t="shared" si="31"/>
        <v>1.4210854715202004E-14</v>
      </c>
    </row>
    <row r="516" spans="1:21" x14ac:dyDescent="0.2">
      <c r="M516" s="54" t="e">
        <f>SUM(#REF!/#REF!)</f>
        <v>#REF!</v>
      </c>
      <c r="R516" s="54" t="e">
        <f>SUM(#REF!/#REF!)</f>
        <v>#REF!</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4"/>
  <sheetViews>
    <sheetView zoomScale="140" zoomScaleNormal="140" workbookViewId="0">
      <pane ySplit="1" topLeftCell="A2" activePane="bottomLeft" state="frozen"/>
      <selection pane="bottomLeft"/>
    </sheetView>
  </sheetViews>
  <sheetFormatPr baseColWidth="10" defaultColWidth="8.83203125" defaultRowHeight="16" x14ac:dyDescent="0.2"/>
  <cols>
    <col min="1" max="1" width="16.1640625" style="1" bestFit="1" customWidth="1"/>
    <col min="2" max="2" width="12" style="1" bestFit="1" customWidth="1"/>
    <col min="3" max="3" width="24.83203125" style="1" bestFit="1" customWidth="1"/>
    <col min="4" max="4" width="38.33203125" style="1" bestFit="1" customWidth="1"/>
    <col min="5" max="5" width="10.6640625" style="1" bestFit="1" customWidth="1"/>
    <col min="6" max="6" width="11.33203125" style="1" bestFit="1" customWidth="1"/>
    <col min="7" max="7" width="14.83203125" style="1" bestFit="1" customWidth="1"/>
    <col min="8" max="8" width="11.83203125" style="1" bestFit="1" customWidth="1"/>
    <col min="9" max="9" width="10.83203125" style="1" bestFit="1" customWidth="1"/>
    <col min="10" max="10" width="11.83203125" style="1" bestFit="1" customWidth="1"/>
    <col min="11" max="11" width="10.83203125" style="1" bestFit="1" customWidth="1"/>
    <col min="12" max="12" width="11.6640625" style="1" bestFit="1" customWidth="1"/>
    <col min="13" max="13" width="10.83203125" style="1" bestFit="1" customWidth="1"/>
    <col min="14" max="14" width="14.1640625" style="1" bestFit="1" customWidth="1"/>
    <col min="15" max="15" width="11.83203125" style="1" bestFit="1" customWidth="1"/>
    <col min="16" max="16" width="11.6640625" style="1" bestFit="1" customWidth="1"/>
    <col min="17" max="17" width="13.6640625" style="1" bestFit="1" customWidth="1"/>
    <col min="18" max="16384" width="8.83203125" style="1"/>
  </cols>
  <sheetData>
    <row r="1" spans="1:17" ht="35" customHeight="1" thickBot="1" x14ac:dyDescent="0.25">
      <c r="A1" s="2" t="s">
        <v>0</v>
      </c>
      <c r="B1" s="2" t="s">
        <v>1</v>
      </c>
      <c r="C1" s="2" t="s">
        <v>2</v>
      </c>
      <c r="D1" s="2" t="s">
        <v>3</v>
      </c>
      <c r="E1" s="3" t="s">
        <v>4</v>
      </c>
      <c r="F1" s="2" t="s">
        <v>5</v>
      </c>
      <c r="G1" s="4" t="s">
        <v>6</v>
      </c>
      <c r="H1" s="5" t="s">
        <v>4138</v>
      </c>
      <c r="I1" s="6" t="s">
        <v>4139</v>
      </c>
      <c r="J1" s="6" t="s">
        <v>4140</v>
      </c>
      <c r="K1" s="6" t="s">
        <v>4141</v>
      </c>
      <c r="L1" s="7" t="s">
        <v>4142</v>
      </c>
      <c r="M1" s="5" t="s">
        <v>4143</v>
      </c>
      <c r="N1" s="8" t="s">
        <v>7</v>
      </c>
      <c r="O1" s="6" t="s">
        <v>4144</v>
      </c>
      <c r="P1" s="5" t="s">
        <v>4145</v>
      </c>
      <c r="Q1" s="9" t="s">
        <v>4146</v>
      </c>
    </row>
    <row r="2" spans="1:17" ht="12" customHeight="1" x14ac:dyDescent="0.2">
      <c r="A2" s="10" t="s">
        <v>8</v>
      </c>
      <c r="B2" s="10" t="s">
        <v>9</v>
      </c>
      <c r="C2" s="10" t="s">
        <v>10</v>
      </c>
      <c r="D2" s="10" t="s">
        <v>11</v>
      </c>
      <c r="E2" s="11" t="s">
        <v>12</v>
      </c>
      <c r="F2" s="12" t="s">
        <v>13</v>
      </c>
      <c r="G2" s="13" t="s">
        <v>14</v>
      </c>
      <c r="H2" s="14">
        <v>185825.12</v>
      </c>
      <c r="I2" s="15" t="s">
        <v>15</v>
      </c>
      <c r="J2" s="16">
        <v>182571.4</v>
      </c>
      <c r="K2" s="16" t="s">
        <v>3520</v>
      </c>
      <c r="L2" s="17">
        <v>8497.25</v>
      </c>
      <c r="M2" s="17" t="s">
        <v>3520</v>
      </c>
      <c r="N2" s="18"/>
      <c r="O2" s="19">
        <v>191068.65</v>
      </c>
      <c r="P2" s="14">
        <v>64073.37</v>
      </c>
      <c r="Q2" s="20">
        <v>255142.02</v>
      </c>
    </row>
    <row r="3" spans="1:17" ht="12" customHeight="1" x14ac:dyDescent="0.2">
      <c r="A3" s="21" t="s">
        <v>16</v>
      </c>
      <c r="B3" s="21" t="s">
        <v>17</v>
      </c>
      <c r="C3" s="21" t="s">
        <v>18</v>
      </c>
      <c r="D3" s="21" t="s">
        <v>19</v>
      </c>
      <c r="E3" s="22" t="s">
        <v>20</v>
      </c>
      <c r="F3" s="23" t="s">
        <v>21</v>
      </c>
      <c r="G3" s="24" t="s">
        <v>22</v>
      </c>
      <c r="H3" s="25">
        <v>98554.559999999998</v>
      </c>
      <c r="I3" s="26" t="s">
        <v>23</v>
      </c>
      <c r="J3" s="25">
        <v>93957.43</v>
      </c>
      <c r="K3" s="18">
        <v>41411.5</v>
      </c>
      <c r="L3" s="27">
        <v>10228.81</v>
      </c>
      <c r="M3" s="27">
        <v>49402.44</v>
      </c>
      <c r="N3" s="18"/>
      <c r="O3" s="25">
        <v>195000.18</v>
      </c>
      <c r="P3" s="25">
        <v>59277</v>
      </c>
      <c r="Q3" s="28">
        <v>254277.18</v>
      </c>
    </row>
    <row r="4" spans="1:17" ht="12" customHeight="1" x14ac:dyDescent="0.2">
      <c r="A4" s="21" t="s">
        <v>24</v>
      </c>
      <c r="B4" s="21" t="s">
        <v>25</v>
      </c>
      <c r="C4" s="21" t="s">
        <v>26</v>
      </c>
      <c r="D4" s="21" t="s">
        <v>27</v>
      </c>
      <c r="E4" s="22" t="s">
        <v>28</v>
      </c>
      <c r="F4" s="23" t="s">
        <v>29</v>
      </c>
      <c r="G4" s="24" t="s">
        <v>30</v>
      </c>
      <c r="H4" s="25">
        <v>272000.03999999998</v>
      </c>
      <c r="I4" s="26" t="s">
        <v>31</v>
      </c>
      <c r="J4" s="18">
        <v>183153.97</v>
      </c>
      <c r="K4" s="18" t="s">
        <v>3520</v>
      </c>
      <c r="L4" s="27">
        <v>1538.5</v>
      </c>
      <c r="M4" s="27" t="s">
        <v>3520</v>
      </c>
      <c r="N4" s="18"/>
      <c r="O4" s="25">
        <v>184692.47</v>
      </c>
      <c r="P4" s="25">
        <v>63422.080000000002</v>
      </c>
      <c r="Q4" s="28">
        <v>248114.55</v>
      </c>
    </row>
    <row r="5" spans="1:17" ht="12" customHeight="1" x14ac:dyDescent="0.2">
      <c r="A5" s="21" t="s">
        <v>32</v>
      </c>
      <c r="B5" s="21" t="s">
        <v>33</v>
      </c>
      <c r="C5" s="21" t="s">
        <v>34</v>
      </c>
      <c r="D5" s="21" t="s">
        <v>35</v>
      </c>
      <c r="E5" s="22" t="s">
        <v>36</v>
      </c>
      <c r="F5" s="23" t="s">
        <v>37</v>
      </c>
      <c r="G5" s="24" t="s">
        <v>38</v>
      </c>
      <c r="H5" s="25">
        <v>143561.60000000001</v>
      </c>
      <c r="I5" s="26" t="s">
        <v>39</v>
      </c>
      <c r="J5" s="18">
        <v>143347.70000000001</v>
      </c>
      <c r="K5" s="18" t="s">
        <v>3520</v>
      </c>
      <c r="L5" s="27">
        <v>2379.52</v>
      </c>
      <c r="M5" s="27">
        <v>18230.28</v>
      </c>
      <c r="N5" s="18"/>
      <c r="O5" s="25">
        <v>163957.5</v>
      </c>
      <c r="P5" s="25">
        <v>47322.11</v>
      </c>
      <c r="Q5" s="28">
        <v>211279.61</v>
      </c>
    </row>
    <row r="6" spans="1:17" ht="12" customHeight="1" x14ac:dyDescent="0.2">
      <c r="A6" s="21" t="s">
        <v>40</v>
      </c>
      <c r="B6" s="21" t="s">
        <v>41</v>
      </c>
      <c r="C6" s="21" t="s">
        <v>42</v>
      </c>
      <c r="D6" s="21" t="s">
        <v>58</v>
      </c>
      <c r="E6" s="22" t="s">
        <v>43</v>
      </c>
      <c r="F6" s="23" t="s">
        <v>44</v>
      </c>
      <c r="G6" s="24" t="s">
        <v>45</v>
      </c>
      <c r="H6" s="25">
        <v>101751.52</v>
      </c>
      <c r="I6" s="26" t="s">
        <v>46</v>
      </c>
      <c r="J6" s="25">
        <v>110211.32</v>
      </c>
      <c r="K6" s="18">
        <v>18974.07</v>
      </c>
      <c r="L6" s="27">
        <v>12252.52</v>
      </c>
      <c r="M6" s="27">
        <v>22373.52</v>
      </c>
      <c r="N6" s="18"/>
      <c r="O6" s="25">
        <v>163811.43</v>
      </c>
      <c r="P6" s="25">
        <v>46496.14</v>
      </c>
      <c r="Q6" s="28">
        <v>210307.57</v>
      </c>
    </row>
    <row r="7" spans="1:17" ht="12" customHeight="1" x14ac:dyDescent="0.2">
      <c r="A7" s="21" t="s">
        <v>47</v>
      </c>
      <c r="B7" s="21" t="s">
        <v>48</v>
      </c>
      <c r="C7" s="21" t="s">
        <v>49</v>
      </c>
      <c r="D7" s="21" t="s">
        <v>50</v>
      </c>
      <c r="E7" s="22" t="s">
        <v>51</v>
      </c>
      <c r="F7" s="23" t="s">
        <v>52</v>
      </c>
      <c r="G7" s="24" t="s">
        <v>53</v>
      </c>
      <c r="H7" s="25">
        <v>137937.79999999999</v>
      </c>
      <c r="I7" s="26" t="s">
        <v>54</v>
      </c>
      <c r="J7" s="18">
        <v>103417.26</v>
      </c>
      <c r="K7" s="18">
        <v>12146.48</v>
      </c>
      <c r="L7" s="27">
        <v>8245.0499999999993</v>
      </c>
      <c r="M7" s="27">
        <v>22401.05</v>
      </c>
      <c r="N7" s="18"/>
      <c r="O7" s="25">
        <v>146209.84</v>
      </c>
      <c r="P7" s="25">
        <v>54986.32</v>
      </c>
      <c r="Q7" s="28">
        <v>201196.16</v>
      </c>
    </row>
    <row r="8" spans="1:17" ht="12" customHeight="1" x14ac:dyDescent="0.2">
      <c r="A8" s="21" t="s">
        <v>55</v>
      </c>
      <c r="B8" s="21" t="s">
        <v>56</v>
      </c>
      <c r="C8" s="21" t="s">
        <v>57</v>
      </c>
      <c r="D8" s="21" t="s">
        <v>58</v>
      </c>
      <c r="E8" s="22" t="s">
        <v>59</v>
      </c>
      <c r="F8" s="23" t="s">
        <v>60</v>
      </c>
      <c r="G8" s="24" t="s">
        <v>61</v>
      </c>
      <c r="H8" s="25">
        <v>84030.44</v>
      </c>
      <c r="I8" s="26" t="s">
        <v>62</v>
      </c>
      <c r="J8" s="25">
        <v>83209.06</v>
      </c>
      <c r="K8" s="18">
        <v>27351.22</v>
      </c>
      <c r="L8" s="27">
        <v>6670.14</v>
      </c>
      <c r="M8" s="27">
        <v>37243.54</v>
      </c>
      <c r="N8" s="18"/>
      <c r="O8" s="25">
        <v>154473.96</v>
      </c>
      <c r="P8" s="25">
        <v>45911.68</v>
      </c>
      <c r="Q8" s="28">
        <v>200385.64</v>
      </c>
    </row>
    <row r="9" spans="1:17" ht="12" customHeight="1" x14ac:dyDescent="0.2">
      <c r="A9" s="21" t="s">
        <v>63</v>
      </c>
      <c r="B9" s="21" t="s">
        <v>64</v>
      </c>
      <c r="C9" s="21" t="s">
        <v>65</v>
      </c>
      <c r="D9" s="21" t="s">
        <v>66</v>
      </c>
      <c r="E9" s="22" t="s">
        <v>67</v>
      </c>
      <c r="F9" s="23" t="s">
        <v>68</v>
      </c>
      <c r="G9" s="24" t="s">
        <v>69</v>
      </c>
      <c r="H9" s="25">
        <v>150993.96</v>
      </c>
      <c r="I9" s="26" t="s">
        <v>70</v>
      </c>
      <c r="J9" s="18">
        <v>150824.81</v>
      </c>
      <c r="K9" s="18" t="s">
        <v>3520</v>
      </c>
      <c r="L9" s="27">
        <v>3463.36</v>
      </c>
      <c r="M9" s="27" t="s">
        <v>3520</v>
      </c>
      <c r="N9" s="18"/>
      <c r="O9" s="25">
        <v>154288.17000000001</v>
      </c>
      <c r="P9" s="25">
        <v>45638.39</v>
      </c>
      <c r="Q9" s="28">
        <v>199926.56</v>
      </c>
    </row>
    <row r="10" spans="1:17" ht="12" customHeight="1" x14ac:dyDescent="0.2">
      <c r="A10" s="21" t="s">
        <v>71</v>
      </c>
      <c r="B10" s="21" t="s">
        <v>72</v>
      </c>
      <c r="C10" s="21" t="s">
        <v>73</v>
      </c>
      <c r="D10" s="21" t="s">
        <v>74</v>
      </c>
      <c r="E10" s="22" t="s">
        <v>75</v>
      </c>
      <c r="F10" s="23" t="s">
        <v>76</v>
      </c>
      <c r="G10" s="24" t="s">
        <v>77</v>
      </c>
      <c r="H10" s="25">
        <v>77691.64</v>
      </c>
      <c r="I10" s="26" t="s">
        <v>78</v>
      </c>
      <c r="J10" s="25">
        <v>77414.28</v>
      </c>
      <c r="K10" s="18">
        <v>20137.400000000001</v>
      </c>
      <c r="L10" s="27">
        <v>9995.57</v>
      </c>
      <c r="M10" s="27">
        <v>36214.01</v>
      </c>
      <c r="N10" s="18"/>
      <c r="O10" s="25">
        <v>143761.26</v>
      </c>
      <c r="P10" s="25">
        <v>53483.88</v>
      </c>
      <c r="Q10" s="28">
        <v>197245.14</v>
      </c>
    </row>
    <row r="11" spans="1:17" ht="12" customHeight="1" x14ac:dyDescent="0.2">
      <c r="A11" s="21" t="s">
        <v>79</v>
      </c>
      <c r="B11" s="21" t="s">
        <v>80</v>
      </c>
      <c r="C11" s="21" t="s">
        <v>81</v>
      </c>
      <c r="D11" s="21" t="s">
        <v>82</v>
      </c>
      <c r="E11" s="22" t="s">
        <v>83</v>
      </c>
      <c r="F11" s="23" t="s">
        <v>84</v>
      </c>
      <c r="G11" s="24" t="s">
        <v>85</v>
      </c>
      <c r="H11" s="25">
        <v>134394.26</v>
      </c>
      <c r="I11" s="26" t="s">
        <v>86</v>
      </c>
      <c r="J11" s="18">
        <v>134194.01999999999</v>
      </c>
      <c r="K11" s="18" t="s">
        <v>3520</v>
      </c>
      <c r="L11" s="27">
        <v>4706</v>
      </c>
      <c r="M11" s="27" t="s">
        <v>3520</v>
      </c>
      <c r="N11" s="18"/>
      <c r="O11" s="25">
        <v>138900.01999999999</v>
      </c>
      <c r="P11" s="25">
        <v>54026.64</v>
      </c>
      <c r="Q11" s="28">
        <v>192926.66</v>
      </c>
    </row>
    <row r="12" spans="1:17" ht="12" customHeight="1" x14ac:dyDescent="0.2">
      <c r="A12" s="21" t="s">
        <v>87</v>
      </c>
      <c r="B12" s="21" t="s">
        <v>88</v>
      </c>
      <c r="C12" s="21" t="s">
        <v>89</v>
      </c>
      <c r="D12" s="21" t="s">
        <v>90</v>
      </c>
      <c r="E12" s="22" t="s">
        <v>91</v>
      </c>
      <c r="F12" s="23" t="s">
        <v>92</v>
      </c>
      <c r="G12" s="24" t="s">
        <v>93</v>
      </c>
      <c r="H12" s="25">
        <v>98554.559999999998</v>
      </c>
      <c r="I12" s="26" t="s">
        <v>94</v>
      </c>
      <c r="J12" s="25">
        <v>109617.71</v>
      </c>
      <c r="K12" s="18">
        <v>10361.08</v>
      </c>
      <c r="L12" s="27">
        <v>11699.83</v>
      </c>
      <c r="M12" s="27">
        <v>7250.34</v>
      </c>
      <c r="N12" s="18"/>
      <c r="O12" s="25">
        <v>138928.95999999999</v>
      </c>
      <c r="P12" s="25">
        <v>51102.32</v>
      </c>
      <c r="Q12" s="28">
        <v>190031.28</v>
      </c>
    </row>
    <row r="13" spans="1:17" ht="12" customHeight="1" x14ac:dyDescent="0.2">
      <c r="A13" s="21" t="s">
        <v>95</v>
      </c>
      <c r="B13" s="21" t="s">
        <v>96</v>
      </c>
      <c r="C13" s="21" t="s">
        <v>97</v>
      </c>
      <c r="D13" s="21" t="s">
        <v>98</v>
      </c>
      <c r="E13" s="22" t="s">
        <v>99</v>
      </c>
      <c r="F13" s="23" t="s">
        <v>100</v>
      </c>
      <c r="G13" s="24" t="s">
        <v>101</v>
      </c>
      <c r="H13" s="25">
        <v>134378.14000000001</v>
      </c>
      <c r="I13" s="26" t="s">
        <v>102</v>
      </c>
      <c r="J13" s="18">
        <v>134177.92000000001</v>
      </c>
      <c r="K13" s="18" t="s">
        <v>3520</v>
      </c>
      <c r="L13" s="27">
        <v>1227</v>
      </c>
      <c r="M13" s="27" t="s">
        <v>3520</v>
      </c>
      <c r="N13" s="18"/>
      <c r="O13" s="25">
        <v>135404.92000000001</v>
      </c>
      <c r="P13" s="25">
        <v>51968.06</v>
      </c>
      <c r="Q13" s="28">
        <v>187372.98</v>
      </c>
    </row>
    <row r="14" spans="1:17" ht="12" customHeight="1" x14ac:dyDescent="0.2">
      <c r="A14" s="21" t="s">
        <v>103</v>
      </c>
      <c r="B14" s="21" t="s">
        <v>104</v>
      </c>
      <c r="C14" s="21" t="s">
        <v>105</v>
      </c>
      <c r="D14" s="21" t="s">
        <v>106</v>
      </c>
      <c r="E14" s="22" t="s">
        <v>107</v>
      </c>
      <c r="F14" s="23" t="s">
        <v>108</v>
      </c>
      <c r="G14" s="24" t="s">
        <v>109</v>
      </c>
      <c r="H14" s="25">
        <v>84030.44</v>
      </c>
      <c r="I14" s="26" t="s">
        <v>110</v>
      </c>
      <c r="J14" s="25">
        <v>91907.34</v>
      </c>
      <c r="K14" s="18">
        <v>17028.080000000002</v>
      </c>
      <c r="L14" s="27">
        <v>9941.43</v>
      </c>
      <c r="M14" s="27">
        <v>16281.66</v>
      </c>
      <c r="N14" s="18"/>
      <c r="O14" s="25">
        <v>135158.51</v>
      </c>
      <c r="P14" s="25">
        <v>51960.11</v>
      </c>
      <c r="Q14" s="28">
        <v>187118.62</v>
      </c>
    </row>
    <row r="15" spans="1:17" ht="12" customHeight="1" x14ac:dyDescent="0.2">
      <c r="A15" s="21" t="s">
        <v>111</v>
      </c>
      <c r="B15" s="21" t="s">
        <v>112</v>
      </c>
      <c r="C15" s="21" t="s">
        <v>113</v>
      </c>
      <c r="D15" s="21" t="s">
        <v>114</v>
      </c>
      <c r="E15" s="22" t="s">
        <v>115</v>
      </c>
      <c r="F15" s="23" t="s">
        <v>116</v>
      </c>
      <c r="G15" s="24" t="s">
        <v>117</v>
      </c>
      <c r="H15" s="25">
        <v>137856.94</v>
      </c>
      <c r="I15" s="26" t="s">
        <v>118</v>
      </c>
      <c r="J15" s="18">
        <v>128375.89</v>
      </c>
      <c r="K15" s="18" t="s">
        <v>3520</v>
      </c>
      <c r="L15" s="27">
        <v>3013.12</v>
      </c>
      <c r="M15" s="27" t="s">
        <v>3520</v>
      </c>
      <c r="N15" s="18"/>
      <c r="O15" s="25">
        <v>131389.01</v>
      </c>
      <c r="P15" s="25">
        <v>51311.4</v>
      </c>
      <c r="Q15" s="28">
        <v>182700.41</v>
      </c>
    </row>
    <row r="16" spans="1:17" ht="12" customHeight="1" x14ac:dyDescent="0.2">
      <c r="A16" s="21" t="s">
        <v>119</v>
      </c>
      <c r="B16" s="21" t="s">
        <v>120</v>
      </c>
      <c r="C16" s="21" t="s">
        <v>121</v>
      </c>
      <c r="D16" s="21" t="s">
        <v>122</v>
      </c>
      <c r="E16" s="22" t="s">
        <v>123</v>
      </c>
      <c r="F16" s="23" t="s">
        <v>124</v>
      </c>
      <c r="G16" s="24" t="s">
        <v>125</v>
      </c>
      <c r="H16" s="25">
        <v>107473.60000000001</v>
      </c>
      <c r="I16" s="26" t="s">
        <v>126</v>
      </c>
      <c r="J16" s="18">
        <v>107335.64</v>
      </c>
      <c r="K16" s="18">
        <v>1767.93</v>
      </c>
      <c r="L16" s="27">
        <v>4228.57</v>
      </c>
      <c r="M16" s="27">
        <v>14260.92</v>
      </c>
      <c r="N16" s="18"/>
      <c r="O16" s="25">
        <v>127593.06</v>
      </c>
      <c r="P16" s="25">
        <v>51393.85</v>
      </c>
      <c r="Q16" s="28">
        <v>178986.91</v>
      </c>
    </row>
    <row r="17" spans="1:17" ht="12" customHeight="1" x14ac:dyDescent="0.2">
      <c r="A17" s="21" t="s">
        <v>127</v>
      </c>
      <c r="B17" s="21" t="s">
        <v>128</v>
      </c>
      <c r="C17" s="21" t="s">
        <v>129</v>
      </c>
      <c r="D17" s="21" t="s">
        <v>130</v>
      </c>
      <c r="E17" s="22" t="s">
        <v>131</v>
      </c>
      <c r="F17" s="23" t="s">
        <v>132</v>
      </c>
      <c r="G17" s="24" t="s">
        <v>133</v>
      </c>
      <c r="H17" s="25">
        <v>80870.399999999994</v>
      </c>
      <c r="I17" s="26" t="s">
        <v>134</v>
      </c>
      <c r="J17" s="25">
        <v>83428.490000000005</v>
      </c>
      <c r="K17" s="18">
        <v>8908.23</v>
      </c>
      <c r="L17" s="27">
        <v>4033.65</v>
      </c>
      <c r="M17" s="27">
        <v>30606.04</v>
      </c>
      <c r="N17" s="18"/>
      <c r="O17" s="25">
        <v>126976.41</v>
      </c>
      <c r="P17" s="25">
        <v>46418.41</v>
      </c>
      <c r="Q17" s="28">
        <v>173394.82</v>
      </c>
    </row>
    <row r="18" spans="1:17" ht="12" customHeight="1" x14ac:dyDescent="0.2">
      <c r="A18" s="21" t="s">
        <v>135</v>
      </c>
      <c r="B18" s="21" t="s">
        <v>136</v>
      </c>
      <c r="C18" s="21" t="s">
        <v>137</v>
      </c>
      <c r="D18" s="21" t="s">
        <v>138</v>
      </c>
      <c r="E18" s="22" t="s">
        <v>139</v>
      </c>
      <c r="F18" s="23" t="s">
        <v>140</v>
      </c>
      <c r="G18" s="24" t="s">
        <v>141</v>
      </c>
      <c r="H18" s="25">
        <v>129493.26</v>
      </c>
      <c r="I18" s="26" t="s">
        <v>142</v>
      </c>
      <c r="J18" s="18">
        <v>129300.32</v>
      </c>
      <c r="K18" s="18" t="s">
        <v>3520</v>
      </c>
      <c r="L18" s="27">
        <v>2494</v>
      </c>
      <c r="M18" s="27" t="s">
        <v>3520</v>
      </c>
      <c r="N18" s="18"/>
      <c r="O18" s="25">
        <v>131794.32</v>
      </c>
      <c r="P18" s="25">
        <v>41321.43</v>
      </c>
      <c r="Q18" s="28">
        <v>173115.75</v>
      </c>
    </row>
    <row r="19" spans="1:17" ht="12" customHeight="1" x14ac:dyDescent="0.2">
      <c r="A19" s="21" t="s">
        <v>143</v>
      </c>
      <c r="B19" s="21" t="s">
        <v>144</v>
      </c>
      <c r="C19" s="21" t="s">
        <v>145</v>
      </c>
      <c r="D19" s="21" t="s">
        <v>146</v>
      </c>
      <c r="E19" s="22" t="s">
        <v>147</v>
      </c>
      <c r="F19" s="23" t="s">
        <v>148</v>
      </c>
      <c r="G19" s="24" t="s">
        <v>149</v>
      </c>
      <c r="H19" s="25">
        <v>150000.24</v>
      </c>
      <c r="I19" s="26" t="s">
        <v>150</v>
      </c>
      <c r="J19" s="18">
        <v>126923.28</v>
      </c>
      <c r="K19" s="18" t="s">
        <v>3520</v>
      </c>
      <c r="L19" s="27"/>
      <c r="M19" s="27" t="s">
        <v>3520</v>
      </c>
      <c r="N19" s="18"/>
      <c r="O19" s="25">
        <v>126923.28</v>
      </c>
      <c r="P19" s="25">
        <v>46030.9</v>
      </c>
      <c r="Q19" s="28">
        <v>172954.18</v>
      </c>
    </row>
    <row r="20" spans="1:17" ht="12" customHeight="1" x14ac:dyDescent="0.2">
      <c r="A20" s="21" t="s">
        <v>151</v>
      </c>
      <c r="B20" s="21" t="s">
        <v>152</v>
      </c>
      <c r="C20" s="21" t="s">
        <v>153</v>
      </c>
      <c r="D20" s="21" t="s">
        <v>154</v>
      </c>
      <c r="E20" s="22" t="s">
        <v>155</v>
      </c>
      <c r="F20" s="23" t="s">
        <v>156</v>
      </c>
      <c r="G20" s="24" t="s">
        <v>157</v>
      </c>
      <c r="H20" s="25">
        <v>83151.83</v>
      </c>
      <c r="I20" s="26" t="s">
        <v>158</v>
      </c>
      <c r="J20" s="25">
        <v>63911.76</v>
      </c>
      <c r="K20" s="18">
        <v>47524.21</v>
      </c>
      <c r="L20" s="27">
        <v>6721.2</v>
      </c>
      <c r="N20" s="18"/>
      <c r="O20" s="25">
        <v>118157.17</v>
      </c>
      <c r="P20" s="25">
        <v>48753.41</v>
      </c>
      <c r="Q20" s="28">
        <v>166910.57999999999</v>
      </c>
    </row>
    <row r="21" spans="1:17" ht="12" customHeight="1" x14ac:dyDescent="0.2">
      <c r="A21" s="21" t="s">
        <v>159</v>
      </c>
      <c r="B21" s="21" t="s">
        <v>160</v>
      </c>
      <c r="C21" s="21" t="s">
        <v>161</v>
      </c>
      <c r="D21" s="21" t="s">
        <v>162</v>
      </c>
      <c r="E21" s="22" t="s">
        <v>163</v>
      </c>
      <c r="F21" s="23" t="s">
        <v>164</v>
      </c>
      <c r="G21" s="24" t="s">
        <v>165</v>
      </c>
      <c r="H21" s="25">
        <v>71821.36</v>
      </c>
      <c r="I21" s="26" t="s">
        <v>166</v>
      </c>
      <c r="J21" s="25">
        <v>81922.36</v>
      </c>
      <c r="K21" s="18">
        <v>17703.560000000001</v>
      </c>
      <c r="L21" s="27">
        <v>7913.05</v>
      </c>
      <c r="M21" s="27">
        <v>10880.05</v>
      </c>
      <c r="N21" s="18"/>
      <c r="O21" s="25">
        <v>118419.02</v>
      </c>
      <c r="P21" s="25">
        <v>47954.51</v>
      </c>
      <c r="Q21" s="28">
        <v>166373.53</v>
      </c>
    </row>
    <row r="22" spans="1:17" ht="12" customHeight="1" x14ac:dyDescent="0.2">
      <c r="A22" s="21" t="s">
        <v>167</v>
      </c>
      <c r="B22" s="21" t="s">
        <v>168</v>
      </c>
      <c r="C22" s="21" t="s">
        <v>169</v>
      </c>
      <c r="D22" s="21" t="s">
        <v>170</v>
      </c>
      <c r="E22" s="22" t="s">
        <v>171</v>
      </c>
      <c r="F22" s="23" t="s">
        <v>172</v>
      </c>
      <c r="G22" s="24" t="s">
        <v>173</v>
      </c>
      <c r="H22" s="25">
        <v>119600</v>
      </c>
      <c r="I22" s="26" t="s">
        <v>174</v>
      </c>
      <c r="J22" s="18">
        <v>119421.9</v>
      </c>
      <c r="K22" s="18" t="s">
        <v>3520</v>
      </c>
      <c r="L22" s="27">
        <v>2232</v>
      </c>
      <c r="M22" s="27" t="s">
        <v>3520</v>
      </c>
      <c r="N22" s="18"/>
      <c r="O22" s="25">
        <v>121653.9</v>
      </c>
      <c r="P22" s="25">
        <v>44269.279999999999</v>
      </c>
      <c r="Q22" s="28">
        <v>165923.18</v>
      </c>
    </row>
    <row r="23" spans="1:17" ht="12" customHeight="1" x14ac:dyDescent="0.2">
      <c r="A23" s="21" t="s">
        <v>175</v>
      </c>
      <c r="B23" s="21" t="s">
        <v>176</v>
      </c>
      <c r="C23" s="21" t="s">
        <v>177</v>
      </c>
      <c r="D23" s="21" t="s">
        <v>178</v>
      </c>
      <c r="E23" s="22" t="s">
        <v>179</v>
      </c>
      <c r="F23" s="23" t="s">
        <v>180</v>
      </c>
      <c r="G23" s="24" t="s">
        <v>181</v>
      </c>
      <c r="H23" s="25">
        <v>89074.31</v>
      </c>
      <c r="I23" s="26" t="s">
        <v>182</v>
      </c>
      <c r="J23" s="25">
        <v>67392.36</v>
      </c>
      <c r="K23" s="18">
        <v>46687.22</v>
      </c>
      <c r="L23" s="27">
        <v>6243.89</v>
      </c>
      <c r="M23" s="27"/>
      <c r="N23" s="18"/>
      <c r="O23" s="25">
        <v>120323.47</v>
      </c>
      <c r="P23" s="25">
        <v>44426</v>
      </c>
      <c r="Q23" s="28">
        <v>164749.47</v>
      </c>
    </row>
    <row r="24" spans="1:17" ht="12" customHeight="1" x14ac:dyDescent="0.2">
      <c r="A24" s="21" t="s">
        <v>183</v>
      </c>
      <c r="B24" s="21" t="s">
        <v>184</v>
      </c>
      <c r="C24" s="21" t="s">
        <v>18</v>
      </c>
      <c r="D24" s="21" t="s">
        <v>185</v>
      </c>
      <c r="E24" s="22" t="s">
        <v>186</v>
      </c>
      <c r="F24" s="23" t="s">
        <v>187</v>
      </c>
      <c r="G24" s="24" t="s">
        <v>188</v>
      </c>
      <c r="H24" s="25">
        <v>74687.600000000006</v>
      </c>
      <c r="I24" s="26" t="s">
        <v>189</v>
      </c>
      <c r="J24" s="25">
        <v>74034.42</v>
      </c>
      <c r="K24" s="18">
        <v>18320</v>
      </c>
      <c r="L24" s="27">
        <v>6090.13</v>
      </c>
      <c r="M24" s="27">
        <v>18606.84</v>
      </c>
      <c r="N24" s="18"/>
      <c r="O24" s="25">
        <v>117051.39</v>
      </c>
      <c r="P24" s="25">
        <v>46152.56</v>
      </c>
      <c r="Q24" s="28">
        <v>163203.95000000001</v>
      </c>
    </row>
    <row r="25" spans="1:17" ht="12" customHeight="1" x14ac:dyDescent="0.2">
      <c r="A25" s="21" t="s">
        <v>190</v>
      </c>
      <c r="B25" s="21" t="s">
        <v>191</v>
      </c>
      <c r="C25" s="21" t="s">
        <v>192</v>
      </c>
      <c r="D25" s="21" t="s">
        <v>193</v>
      </c>
      <c r="E25" s="22" t="s">
        <v>194</v>
      </c>
      <c r="F25" s="23" t="s">
        <v>195</v>
      </c>
      <c r="G25" s="24" t="s">
        <v>196</v>
      </c>
      <c r="H25" s="25">
        <v>77691.64</v>
      </c>
      <c r="I25" s="26" t="s">
        <v>197</v>
      </c>
      <c r="J25" s="25">
        <v>84014.78</v>
      </c>
      <c r="K25" s="18">
        <v>14431.17</v>
      </c>
      <c r="L25" s="27">
        <v>6898.47</v>
      </c>
      <c r="M25" s="27">
        <v>15996.12</v>
      </c>
      <c r="N25" s="18"/>
      <c r="O25" s="25">
        <v>121340.54</v>
      </c>
      <c r="P25" s="25">
        <v>40521.43</v>
      </c>
      <c r="Q25" s="28">
        <v>161861.97</v>
      </c>
    </row>
    <row r="26" spans="1:17" ht="12" customHeight="1" x14ac:dyDescent="0.2">
      <c r="A26" s="21" t="s">
        <v>198</v>
      </c>
      <c r="B26" s="21" t="s">
        <v>199</v>
      </c>
      <c r="C26" s="21" t="s">
        <v>200</v>
      </c>
      <c r="D26" s="21" t="s">
        <v>201</v>
      </c>
      <c r="E26" s="22" t="s">
        <v>202</v>
      </c>
      <c r="F26" s="23" t="s">
        <v>203</v>
      </c>
      <c r="G26" s="24" t="s">
        <v>204</v>
      </c>
      <c r="H26" s="25">
        <v>77691.64</v>
      </c>
      <c r="I26" s="26" t="s">
        <v>205</v>
      </c>
      <c r="J26" s="25">
        <v>85663.23</v>
      </c>
      <c r="K26" s="18">
        <v>13538.81</v>
      </c>
      <c r="L26" s="27">
        <v>5980.88</v>
      </c>
      <c r="M26" s="27">
        <v>10067.14</v>
      </c>
      <c r="N26" s="18"/>
      <c r="O26" s="25">
        <v>115250.06</v>
      </c>
      <c r="P26" s="25">
        <v>45369.53</v>
      </c>
      <c r="Q26" s="28">
        <v>160619.59</v>
      </c>
    </row>
    <row r="27" spans="1:17" ht="12" customHeight="1" x14ac:dyDescent="0.2">
      <c r="A27" s="21" t="s">
        <v>206</v>
      </c>
      <c r="B27" s="21" t="s">
        <v>207</v>
      </c>
      <c r="C27" s="21" t="s">
        <v>208</v>
      </c>
      <c r="D27" s="21" t="s">
        <v>209</v>
      </c>
      <c r="E27" s="22" t="s">
        <v>210</v>
      </c>
      <c r="F27" s="23" t="s">
        <v>211</v>
      </c>
      <c r="G27" s="24" t="s">
        <v>212</v>
      </c>
      <c r="H27" s="25">
        <v>118731.34</v>
      </c>
      <c r="I27" s="26" t="s">
        <v>213</v>
      </c>
      <c r="J27" s="18">
        <v>118554.43</v>
      </c>
      <c r="K27" s="18" t="s">
        <v>3520</v>
      </c>
      <c r="L27" s="27">
        <v>2984</v>
      </c>
      <c r="M27" s="27" t="s">
        <v>3520</v>
      </c>
      <c r="N27" s="18"/>
      <c r="O27" s="25">
        <v>121538.43</v>
      </c>
      <c r="P27" s="25">
        <v>38273.379999999997</v>
      </c>
      <c r="Q27" s="28">
        <v>159811.81</v>
      </c>
    </row>
    <row r="28" spans="1:17" ht="12" customHeight="1" x14ac:dyDescent="0.2">
      <c r="A28" s="21" t="s">
        <v>214</v>
      </c>
      <c r="B28" s="21" t="s">
        <v>215</v>
      </c>
      <c r="C28" s="21" t="s">
        <v>216</v>
      </c>
      <c r="D28" s="21" t="s">
        <v>217</v>
      </c>
      <c r="E28" s="22" t="s">
        <v>218</v>
      </c>
      <c r="F28" s="23" t="s">
        <v>219</v>
      </c>
      <c r="G28" s="24" t="s">
        <v>220</v>
      </c>
      <c r="H28" s="25">
        <v>94504.28</v>
      </c>
      <c r="I28" s="26" t="s">
        <v>221</v>
      </c>
      <c r="J28" s="18">
        <v>122769.34</v>
      </c>
      <c r="K28" s="18">
        <v>575.09</v>
      </c>
      <c r="L28" s="27">
        <v>4654.2700000000004</v>
      </c>
      <c r="N28" s="18"/>
      <c r="O28" s="25">
        <v>127998.7</v>
      </c>
      <c r="P28" s="25">
        <v>31259.08</v>
      </c>
      <c r="Q28" s="28">
        <v>159257.78</v>
      </c>
    </row>
    <row r="29" spans="1:17" ht="12" customHeight="1" x14ac:dyDescent="0.2">
      <c r="A29" s="21" t="s">
        <v>222</v>
      </c>
      <c r="B29" s="21" t="s">
        <v>223</v>
      </c>
      <c r="C29" s="21" t="s">
        <v>224</v>
      </c>
      <c r="D29" s="21" t="s">
        <v>225</v>
      </c>
      <c r="E29" s="22" t="s">
        <v>226</v>
      </c>
      <c r="F29" s="23" t="s">
        <v>227</v>
      </c>
      <c r="G29" s="24" t="s">
        <v>228</v>
      </c>
      <c r="H29" s="25">
        <v>115000.08</v>
      </c>
      <c r="I29" s="26" t="s">
        <v>229</v>
      </c>
      <c r="J29" s="18">
        <v>101730.84</v>
      </c>
      <c r="K29" s="18" t="s">
        <v>3520</v>
      </c>
      <c r="L29" s="27">
        <v>2652.4</v>
      </c>
      <c r="M29" s="27">
        <v>5307.84</v>
      </c>
      <c r="N29" s="18"/>
      <c r="O29" s="25">
        <v>109691.08</v>
      </c>
      <c r="P29" s="25">
        <v>47484.55</v>
      </c>
      <c r="Q29" s="28">
        <v>157175.63</v>
      </c>
    </row>
    <row r="30" spans="1:17" ht="12" customHeight="1" x14ac:dyDescent="0.2">
      <c r="A30" s="21" t="s">
        <v>230</v>
      </c>
      <c r="B30" s="21" t="s">
        <v>231</v>
      </c>
      <c r="C30" s="21" t="s">
        <v>232</v>
      </c>
      <c r="D30" s="21" t="s">
        <v>233</v>
      </c>
      <c r="E30" s="22" t="s">
        <v>234</v>
      </c>
      <c r="F30" s="23" t="s">
        <v>235</v>
      </c>
      <c r="G30" s="24" t="s">
        <v>236</v>
      </c>
      <c r="H30" s="25">
        <v>116000.04</v>
      </c>
      <c r="I30" s="26" t="s">
        <v>237</v>
      </c>
      <c r="J30" s="18">
        <v>112851.72</v>
      </c>
      <c r="K30" s="18" t="s">
        <v>3520</v>
      </c>
      <c r="L30" s="27">
        <v>5801.84</v>
      </c>
      <c r="M30" s="27" t="s">
        <v>3520</v>
      </c>
      <c r="N30" s="18"/>
      <c r="O30" s="25">
        <v>118653.56</v>
      </c>
      <c r="P30" s="25">
        <v>38025.72</v>
      </c>
      <c r="Q30" s="28">
        <v>156679.28</v>
      </c>
    </row>
    <row r="31" spans="1:17" ht="12" customHeight="1" x14ac:dyDescent="0.2">
      <c r="A31" s="21" t="s">
        <v>238</v>
      </c>
      <c r="B31" s="21" t="s">
        <v>239</v>
      </c>
      <c r="C31" s="21" t="s">
        <v>240</v>
      </c>
      <c r="D31" s="21" t="s">
        <v>241</v>
      </c>
      <c r="E31" s="22" t="s">
        <v>242</v>
      </c>
      <c r="F31" s="23" t="s">
        <v>243</v>
      </c>
      <c r="G31" s="24" t="s">
        <v>244</v>
      </c>
      <c r="H31" s="25">
        <v>112281</v>
      </c>
      <c r="I31" s="26" t="s">
        <v>245</v>
      </c>
      <c r="J31" s="18">
        <v>109653.87</v>
      </c>
      <c r="K31" s="18" t="s">
        <v>3520</v>
      </c>
      <c r="L31" s="27">
        <v>2056</v>
      </c>
      <c r="M31" s="27" t="s">
        <v>3520</v>
      </c>
      <c r="N31" s="18"/>
      <c r="O31" s="25">
        <v>111709.87</v>
      </c>
      <c r="P31" s="25">
        <v>44898.400000000001</v>
      </c>
      <c r="Q31" s="28">
        <v>156608.26999999999</v>
      </c>
    </row>
    <row r="32" spans="1:17" ht="12" customHeight="1" x14ac:dyDescent="0.2">
      <c r="A32" s="21" t="s">
        <v>246</v>
      </c>
      <c r="B32" s="21" t="s">
        <v>247</v>
      </c>
      <c r="C32" s="21" t="s">
        <v>248</v>
      </c>
      <c r="D32" s="21" t="s">
        <v>249</v>
      </c>
      <c r="E32" s="22" t="s">
        <v>250</v>
      </c>
      <c r="F32" s="23" t="s">
        <v>251</v>
      </c>
      <c r="G32" s="24" t="s">
        <v>252</v>
      </c>
      <c r="H32" s="25">
        <v>83253.820000000007</v>
      </c>
      <c r="I32" s="26" t="s">
        <v>253</v>
      </c>
      <c r="J32" s="25">
        <v>87933.7</v>
      </c>
      <c r="K32" s="18">
        <v>18970.82</v>
      </c>
      <c r="L32" s="27">
        <v>5878.28</v>
      </c>
      <c r="M32" s="27" t="s">
        <v>3520</v>
      </c>
      <c r="N32" s="18"/>
      <c r="O32" s="25">
        <v>112782.8</v>
      </c>
      <c r="P32" s="25">
        <v>42775.39</v>
      </c>
      <c r="Q32" s="28">
        <v>155558.19</v>
      </c>
    </row>
    <row r="33" spans="1:17" ht="12" customHeight="1" x14ac:dyDescent="0.2">
      <c r="A33" s="21" t="s">
        <v>254</v>
      </c>
      <c r="B33" s="21" t="s">
        <v>255</v>
      </c>
      <c r="C33" s="21" t="s">
        <v>256</v>
      </c>
      <c r="D33" s="21" t="s">
        <v>257</v>
      </c>
      <c r="E33" s="22" t="s">
        <v>258</v>
      </c>
      <c r="F33" s="23" t="s">
        <v>259</v>
      </c>
      <c r="G33" s="24" t="s">
        <v>260</v>
      </c>
      <c r="H33" s="25">
        <v>109168.54</v>
      </c>
      <c r="I33" s="26" t="s">
        <v>261</v>
      </c>
      <c r="J33" s="18">
        <v>109005.88</v>
      </c>
      <c r="K33" s="18" t="s">
        <v>3520</v>
      </c>
      <c r="L33" s="27">
        <v>3486</v>
      </c>
      <c r="M33" s="27" t="s">
        <v>3520</v>
      </c>
      <c r="N33" s="18"/>
      <c r="O33" s="25">
        <v>112491.88</v>
      </c>
      <c r="P33" s="25">
        <v>41971.97</v>
      </c>
      <c r="Q33" s="28">
        <v>154463.85</v>
      </c>
    </row>
    <row r="34" spans="1:17" ht="12" customHeight="1" x14ac:dyDescent="0.2">
      <c r="A34" s="21" t="s">
        <v>262</v>
      </c>
      <c r="B34" s="21" t="s">
        <v>263</v>
      </c>
      <c r="C34" s="21" t="s">
        <v>264</v>
      </c>
      <c r="D34" s="21" t="s">
        <v>265</v>
      </c>
      <c r="E34" s="22" t="s">
        <v>266</v>
      </c>
      <c r="F34" s="23" t="s">
        <v>267</v>
      </c>
      <c r="G34" s="24" t="s">
        <v>268</v>
      </c>
      <c r="H34" s="25">
        <v>88212.800000000003</v>
      </c>
      <c r="I34" s="26" t="s">
        <v>269</v>
      </c>
      <c r="J34" s="25">
        <v>89702.24</v>
      </c>
      <c r="K34" s="18">
        <v>12985.11</v>
      </c>
      <c r="L34" s="27">
        <v>4295.75</v>
      </c>
      <c r="M34" s="27" t="s">
        <v>3520</v>
      </c>
      <c r="N34" s="18"/>
      <c r="O34" s="25">
        <v>106983.1</v>
      </c>
      <c r="P34" s="25">
        <v>46247.12</v>
      </c>
      <c r="Q34" s="28">
        <v>153230.22</v>
      </c>
    </row>
    <row r="35" spans="1:17" ht="12" customHeight="1" x14ac:dyDescent="0.2">
      <c r="A35" s="21" t="s">
        <v>270</v>
      </c>
      <c r="B35" s="21" t="s">
        <v>271</v>
      </c>
      <c r="C35" s="21" t="s">
        <v>272</v>
      </c>
      <c r="D35" s="21" t="s">
        <v>273</v>
      </c>
      <c r="E35" s="22" t="s">
        <v>274</v>
      </c>
      <c r="F35" s="23" t="s">
        <v>275</v>
      </c>
      <c r="G35" s="24" t="s">
        <v>276</v>
      </c>
      <c r="H35" s="25">
        <v>110000.02</v>
      </c>
      <c r="I35" s="26" t="s">
        <v>277</v>
      </c>
      <c r="J35" s="18">
        <v>106042.3</v>
      </c>
      <c r="K35" s="18" t="s">
        <v>3520</v>
      </c>
      <c r="L35" s="27">
        <v>4094.46</v>
      </c>
      <c r="M35" s="29" t="s">
        <v>278</v>
      </c>
      <c r="N35" s="18"/>
      <c r="O35" s="25">
        <v>110136.76</v>
      </c>
      <c r="P35" s="25">
        <v>41485.5</v>
      </c>
      <c r="Q35" s="28">
        <v>151622.26</v>
      </c>
    </row>
    <row r="36" spans="1:17" ht="12" customHeight="1" x14ac:dyDescent="0.2">
      <c r="A36" s="21" t="s">
        <v>279</v>
      </c>
      <c r="B36" s="21" t="s">
        <v>280</v>
      </c>
      <c r="C36" s="21" t="s">
        <v>281</v>
      </c>
      <c r="D36" s="21" t="s">
        <v>282</v>
      </c>
      <c r="E36" s="22" t="s">
        <v>283</v>
      </c>
      <c r="F36" s="23" t="s">
        <v>284</v>
      </c>
      <c r="G36" s="24" t="s">
        <v>285</v>
      </c>
      <c r="H36" s="25">
        <v>114433.02</v>
      </c>
      <c r="I36" s="26" t="s">
        <v>286</v>
      </c>
      <c r="J36" s="18">
        <v>114262.52</v>
      </c>
      <c r="K36" s="18" t="s">
        <v>3520</v>
      </c>
      <c r="L36" s="30">
        <v>250</v>
      </c>
      <c r="M36" s="27" t="s">
        <v>3520</v>
      </c>
      <c r="N36" s="18"/>
      <c r="O36" s="25">
        <v>114512.52</v>
      </c>
      <c r="P36" s="25">
        <v>36939.870000000003</v>
      </c>
      <c r="Q36" s="28">
        <v>151452.39000000001</v>
      </c>
    </row>
    <row r="37" spans="1:17" ht="12" customHeight="1" x14ac:dyDescent="0.2">
      <c r="A37" s="21" t="s">
        <v>287</v>
      </c>
      <c r="B37" s="21" t="s">
        <v>288</v>
      </c>
      <c r="C37" s="21" t="s">
        <v>289</v>
      </c>
      <c r="D37" s="21" t="s">
        <v>290</v>
      </c>
      <c r="E37" s="22" t="s">
        <v>291</v>
      </c>
      <c r="F37" s="23" t="s">
        <v>292</v>
      </c>
      <c r="G37" s="24" t="s">
        <v>293</v>
      </c>
      <c r="H37" s="25">
        <v>72096.960000000006</v>
      </c>
      <c r="I37" s="26" t="s">
        <v>294</v>
      </c>
      <c r="J37" s="25">
        <v>90542.34</v>
      </c>
      <c r="K37" s="18">
        <v>8250.39</v>
      </c>
      <c r="L37" s="27">
        <v>7452.1</v>
      </c>
      <c r="M37" s="27">
        <v>1220.1500000000001</v>
      </c>
      <c r="N37" s="18"/>
      <c r="O37" s="25">
        <v>107464.98</v>
      </c>
      <c r="P37" s="25">
        <v>43919.4</v>
      </c>
      <c r="Q37" s="28">
        <v>151384.38</v>
      </c>
    </row>
    <row r="38" spans="1:17" ht="12" customHeight="1" x14ac:dyDescent="0.2">
      <c r="A38" s="21" t="s">
        <v>295</v>
      </c>
      <c r="B38" s="21" t="s">
        <v>296</v>
      </c>
      <c r="C38" s="21" t="s">
        <v>297</v>
      </c>
      <c r="D38" s="21" t="s">
        <v>298</v>
      </c>
      <c r="E38" s="22" t="s">
        <v>299</v>
      </c>
      <c r="F38" s="23" t="s">
        <v>300</v>
      </c>
      <c r="G38" s="24" t="s">
        <v>301</v>
      </c>
      <c r="H38" s="25">
        <v>88212.800000000003</v>
      </c>
      <c r="I38" s="26" t="s">
        <v>302</v>
      </c>
      <c r="J38" s="25">
        <v>91031.79</v>
      </c>
      <c r="K38" s="18">
        <v>11044.39</v>
      </c>
      <c r="L38" s="27">
        <v>7726.23</v>
      </c>
      <c r="M38" s="27" t="s">
        <v>3520</v>
      </c>
      <c r="N38" s="18"/>
      <c r="O38" s="25">
        <v>109802.41</v>
      </c>
      <c r="P38" s="25">
        <v>41342.370000000003</v>
      </c>
      <c r="Q38" s="28">
        <v>151144.78</v>
      </c>
    </row>
    <row r="39" spans="1:17" ht="12" customHeight="1" x14ac:dyDescent="0.2">
      <c r="A39" s="21" t="s">
        <v>303</v>
      </c>
      <c r="B39" s="21" t="s">
        <v>304</v>
      </c>
      <c r="C39" s="21" t="s">
        <v>305</v>
      </c>
      <c r="D39" s="21" t="s">
        <v>306</v>
      </c>
      <c r="E39" s="22" t="s">
        <v>307</v>
      </c>
      <c r="F39" s="23" t="s">
        <v>308</v>
      </c>
      <c r="G39" s="24" t="s">
        <v>309</v>
      </c>
      <c r="H39" s="25">
        <v>75691.199999999997</v>
      </c>
      <c r="I39" s="26" t="s">
        <v>310</v>
      </c>
      <c r="J39" s="25">
        <v>78410.84</v>
      </c>
      <c r="K39" s="18">
        <v>21079.71</v>
      </c>
      <c r="L39" s="27">
        <v>5172.26</v>
      </c>
      <c r="M39" s="27" t="s">
        <v>3520</v>
      </c>
      <c r="N39" s="18"/>
      <c r="O39" s="25">
        <v>104662.81</v>
      </c>
      <c r="P39" s="25">
        <v>45850.82</v>
      </c>
      <c r="Q39" s="28">
        <v>150513.63</v>
      </c>
    </row>
    <row r="40" spans="1:17" ht="12" customHeight="1" x14ac:dyDescent="0.2">
      <c r="A40" s="21" t="s">
        <v>311</v>
      </c>
      <c r="B40" s="21" t="s">
        <v>312</v>
      </c>
      <c r="C40" s="21" t="s">
        <v>313</v>
      </c>
      <c r="D40" s="21" t="s">
        <v>314</v>
      </c>
      <c r="E40" s="22" t="s">
        <v>315</v>
      </c>
      <c r="F40" s="23" t="s">
        <v>316</v>
      </c>
      <c r="G40" s="24" t="s">
        <v>317</v>
      </c>
      <c r="H40" s="25">
        <v>98284.42</v>
      </c>
      <c r="I40" s="26" t="s">
        <v>318</v>
      </c>
      <c r="J40" s="25">
        <v>99157.49</v>
      </c>
      <c r="K40" s="18" t="s">
        <v>3520</v>
      </c>
      <c r="L40" s="27">
        <v>5339.9</v>
      </c>
      <c r="M40" s="27" t="s">
        <v>3520</v>
      </c>
      <c r="N40" s="18"/>
      <c r="O40" s="25">
        <v>104497.39</v>
      </c>
      <c r="P40" s="25">
        <v>45763.19</v>
      </c>
      <c r="Q40" s="28">
        <v>150260.57999999999</v>
      </c>
    </row>
    <row r="41" spans="1:17" ht="12" customHeight="1" x14ac:dyDescent="0.2">
      <c r="A41" s="21" t="s">
        <v>319</v>
      </c>
      <c r="B41" s="21" t="s">
        <v>320</v>
      </c>
      <c r="C41" s="21" t="s">
        <v>321</v>
      </c>
      <c r="D41" s="21" t="s">
        <v>322</v>
      </c>
      <c r="E41" s="22" t="s">
        <v>323</v>
      </c>
      <c r="F41" s="23" t="s">
        <v>324</v>
      </c>
      <c r="G41" s="24" t="s">
        <v>325</v>
      </c>
      <c r="H41" s="25">
        <v>111425.08</v>
      </c>
      <c r="I41" s="26" t="s">
        <v>326</v>
      </c>
      <c r="J41" s="25">
        <v>82591.61</v>
      </c>
      <c r="K41" s="18">
        <v>9813.35</v>
      </c>
      <c r="L41" s="27">
        <v>6265.89</v>
      </c>
      <c r="M41" s="27">
        <v>5694.38</v>
      </c>
      <c r="N41" s="18"/>
      <c r="O41" s="25">
        <v>104365.23</v>
      </c>
      <c r="P41" s="25">
        <v>45522.38</v>
      </c>
      <c r="Q41" s="28">
        <v>149887.60999999999</v>
      </c>
    </row>
    <row r="42" spans="1:17" ht="12" customHeight="1" x14ac:dyDescent="0.2">
      <c r="A42" s="21" t="s">
        <v>327</v>
      </c>
      <c r="B42" s="21" t="s">
        <v>328</v>
      </c>
      <c r="C42" s="21" t="s">
        <v>329</v>
      </c>
      <c r="D42" s="21" t="s">
        <v>330</v>
      </c>
      <c r="E42" s="22" t="s">
        <v>331</v>
      </c>
      <c r="F42" s="23" t="s">
        <v>332</v>
      </c>
      <c r="G42" s="24" t="s">
        <v>333</v>
      </c>
      <c r="H42" s="25">
        <v>88212.800000000003</v>
      </c>
      <c r="I42" s="26" t="s">
        <v>334</v>
      </c>
      <c r="J42" s="25">
        <v>89764.32</v>
      </c>
      <c r="K42" s="18">
        <v>11902.12</v>
      </c>
      <c r="L42" s="27">
        <v>6544.91</v>
      </c>
      <c r="M42" s="27" t="s">
        <v>3520</v>
      </c>
      <c r="N42" s="18"/>
      <c r="O42" s="25">
        <v>108211.35</v>
      </c>
      <c r="P42" s="25">
        <v>41532.81</v>
      </c>
      <c r="Q42" s="28">
        <v>149744.16</v>
      </c>
    </row>
    <row r="43" spans="1:17" ht="12" customHeight="1" x14ac:dyDescent="0.2">
      <c r="A43" s="21" t="s">
        <v>335</v>
      </c>
      <c r="B43" s="21" t="s">
        <v>336</v>
      </c>
      <c r="C43" s="21" t="s">
        <v>337</v>
      </c>
      <c r="D43" s="21" t="s">
        <v>338</v>
      </c>
      <c r="E43" s="22" t="s">
        <v>339</v>
      </c>
      <c r="F43" s="23" t="s">
        <v>340</v>
      </c>
      <c r="G43" s="24" t="s">
        <v>341</v>
      </c>
      <c r="H43" s="25">
        <v>105037.4</v>
      </c>
      <c r="I43" s="26" t="s">
        <v>342</v>
      </c>
      <c r="J43" s="18">
        <v>104880.9</v>
      </c>
      <c r="K43" s="18" t="s">
        <v>3520</v>
      </c>
      <c r="L43" s="30">
        <v>715</v>
      </c>
      <c r="M43" s="27" t="s">
        <v>3520</v>
      </c>
      <c r="N43" s="18"/>
      <c r="O43" s="25">
        <v>105595.9</v>
      </c>
      <c r="P43" s="25">
        <v>42154.81</v>
      </c>
      <c r="Q43" s="28">
        <v>147750.71</v>
      </c>
    </row>
    <row r="44" spans="1:17" ht="12" customHeight="1" x14ac:dyDescent="0.2">
      <c r="A44" s="21" t="s">
        <v>343</v>
      </c>
      <c r="B44" s="21" t="s">
        <v>344</v>
      </c>
      <c r="C44" s="21" t="s">
        <v>345</v>
      </c>
      <c r="D44" s="21" t="s">
        <v>346</v>
      </c>
      <c r="E44" s="22" t="s">
        <v>347</v>
      </c>
      <c r="F44" s="23" t="s">
        <v>348</v>
      </c>
      <c r="G44" s="24" t="s">
        <v>349</v>
      </c>
      <c r="H44" s="25">
        <v>63415.56</v>
      </c>
      <c r="I44" s="26" t="s">
        <v>350</v>
      </c>
      <c r="J44" s="25">
        <v>66481.929999999993</v>
      </c>
      <c r="K44" s="18">
        <v>14275.09</v>
      </c>
      <c r="L44" s="31">
        <v>8645.82</v>
      </c>
      <c r="M44" s="27">
        <v>16533.599999999999</v>
      </c>
      <c r="N44" s="18"/>
      <c r="O44" s="25">
        <v>105936.44</v>
      </c>
      <c r="P44" s="25">
        <v>41208.79</v>
      </c>
      <c r="Q44" s="28">
        <v>147145.23000000001</v>
      </c>
    </row>
    <row r="45" spans="1:17" ht="12" customHeight="1" x14ac:dyDescent="0.2">
      <c r="A45" s="21" t="s">
        <v>351</v>
      </c>
      <c r="B45" s="21" t="s">
        <v>352</v>
      </c>
      <c r="C45" s="21" t="s">
        <v>353</v>
      </c>
      <c r="D45" s="21" t="s">
        <v>354</v>
      </c>
      <c r="E45" s="22" t="s">
        <v>355</v>
      </c>
      <c r="F45" s="23" t="s">
        <v>356</v>
      </c>
      <c r="G45" s="24" t="s">
        <v>357</v>
      </c>
      <c r="H45" s="25">
        <v>94504.28</v>
      </c>
      <c r="I45" s="26" t="s">
        <v>358</v>
      </c>
      <c r="J45" s="25">
        <v>95343.46</v>
      </c>
      <c r="K45" s="18" t="s">
        <v>3520</v>
      </c>
      <c r="L45" s="31">
        <v>6372.74</v>
      </c>
      <c r="M45" s="27" t="s">
        <v>3520</v>
      </c>
      <c r="N45" s="18"/>
      <c r="O45" s="25">
        <v>101716.2</v>
      </c>
      <c r="P45" s="25">
        <v>45039.41</v>
      </c>
      <c r="Q45" s="28">
        <v>146755.60999999999</v>
      </c>
    </row>
    <row r="46" spans="1:17" ht="12" customHeight="1" x14ac:dyDescent="0.2">
      <c r="A46" s="21" t="s">
        <v>359</v>
      </c>
      <c r="B46" s="21" t="s">
        <v>360</v>
      </c>
      <c r="C46" s="21" t="s">
        <v>361</v>
      </c>
      <c r="D46" s="21" t="s">
        <v>362</v>
      </c>
      <c r="E46" s="22" t="s">
        <v>363</v>
      </c>
      <c r="F46" s="23" t="s">
        <v>364</v>
      </c>
      <c r="G46" s="24" t="s">
        <v>365</v>
      </c>
      <c r="H46" s="25">
        <v>107939.52</v>
      </c>
      <c r="I46" s="26" t="s">
        <v>366</v>
      </c>
      <c r="J46" s="18">
        <v>107778.7</v>
      </c>
      <c r="K46" s="18" t="s">
        <v>3520</v>
      </c>
      <c r="L46" s="31">
        <v>1656</v>
      </c>
      <c r="M46" s="27" t="s">
        <v>3520</v>
      </c>
      <c r="N46" s="18"/>
      <c r="O46" s="25">
        <v>109434.7</v>
      </c>
      <c r="P46" s="25">
        <v>35286.730000000003</v>
      </c>
      <c r="Q46" s="28">
        <v>144721.43</v>
      </c>
    </row>
    <row r="47" spans="1:17" ht="12" customHeight="1" x14ac:dyDescent="0.2">
      <c r="A47" s="21" t="s">
        <v>367</v>
      </c>
      <c r="B47" s="21" t="s">
        <v>368</v>
      </c>
      <c r="C47" s="21" t="s">
        <v>369</v>
      </c>
      <c r="D47" s="21" t="s">
        <v>370</v>
      </c>
      <c r="E47" s="22" t="s">
        <v>371</v>
      </c>
      <c r="F47" s="23" t="s">
        <v>372</v>
      </c>
      <c r="G47" s="24" t="s">
        <v>373</v>
      </c>
      <c r="H47" s="25">
        <v>65482.559999999998</v>
      </c>
      <c r="I47" s="26" t="s">
        <v>374</v>
      </c>
      <c r="J47" s="25">
        <v>76282.2</v>
      </c>
      <c r="K47" s="18">
        <v>9642.8700000000008</v>
      </c>
      <c r="L47" s="31">
        <v>6629.75</v>
      </c>
      <c r="M47" s="27">
        <v>8877.2999999999993</v>
      </c>
      <c r="N47" s="18"/>
      <c r="O47" s="25">
        <v>101432.12</v>
      </c>
      <c r="P47" s="25">
        <v>41984.51</v>
      </c>
      <c r="Q47" s="28">
        <v>143416.63</v>
      </c>
    </row>
    <row r="48" spans="1:17" ht="12" customHeight="1" x14ac:dyDescent="0.2">
      <c r="A48" s="21" t="s">
        <v>375</v>
      </c>
      <c r="B48" s="21" t="s">
        <v>376</v>
      </c>
      <c r="C48" s="21" t="s">
        <v>377</v>
      </c>
      <c r="D48" s="21" t="s">
        <v>378</v>
      </c>
      <c r="E48" s="22" t="s">
        <v>379</v>
      </c>
      <c r="F48" s="23" t="s">
        <v>380</v>
      </c>
      <c r="G48" s="24" t="s">
        <v>381</v>
      </c>
      <c r="H48" s="25">
        <v>54497.78</v>
      </c>
      <c r="I48" s="26" t="s">
        <v>382</v>
      </c>
      <c r="J48" s="25">
        <v>55001.7</v>
      </c>
      <c r="K48" s="18">
        <v>47179.27</v>
      </c>
      <c r="L48" s="31">
        <v>4635.01</v>
      </c>
      <c r="M48" s="27" t="s">
        <v>3520</v>
      </c>
      <c r="N48" s="18"/>
      <c r="O48" s="25">
        <v>106815.98</v>
      </c>
      <c r="P48" s="25">
        <v>34891.39</v>
      </c>
      <c r="Q48" s="28">
        <v>141707.37</v>
      </c>
    </row>
    <row r="49" spans="1:17" ht="12" customHeight="1" x14ac:dyDescent="0.2">
      <c r="A49" s="21" t="s">
        <v>383</v>
      </c>
      <c r="B49" s="21" t="s">
        <v>384</v>
      </c>
      <c r="C49" s="21" t="s">
        <v>385</v>
      </c>
      <c r="D49" s="21" t="s">
        <v>386</v>
      </c>
      <c r="E49" s="22" t="s">
        <v>387</v>
      </c>
      <c r="F49" s="23" t="s">
        <v>388</v>
      </c>
      <c r="G49" s="24" t="s">
        <v>389</v>
      </c>
      <c r="H49" s="25">
        <v>102946.22</v>
      </c>
      <c r="I49" s="26" t="s">
        <v>390</v>
      </c>
      <c r="J49" s="18">
        <v>103860.21</v>
      </c>
      <c r="K49" s="18" t="s">
        <v>3520</v>
      </c>
      <c r="L49" s="31">
        <v>2635</v>
      </c>
      <c r="M49" s="27" t="s">
        <v>3520</v>
      </c>
      <c r="N49" s="18"/>
      <c r="O49" s="25">
        <v>106495.21</v>
      </c>
      <c r="P49" s="25">
        <v>35183.5</v>
      </c>
      <c r="Q49" s="28">
        <v>141678.71</v>
      </c>
    </row>
    <row r="50" spans="1:17" ht="12" customHeight="1" x14ac:dyDescent="0.2">
      <c r="A50" s="21" t="s">
        <v>391</v>
      </c>
      <c r="B50" s="21" t="s">
        <v>392</v>
      </c>
      <c r="C50" s="21" t="s">
        <v>393</v>
      </c>
      <c r="D50" s="21" t="s">
        <v>394</v>
      </c>
      <c r="E50" s="22" t="s">
        <v>395</v>
      </c>
      <c r="F50" s="23" t="s">
        <v>396</v>
      </c>
      <c r="G50" s="24" t="s">
        <v>397</v>
      </c>
      <c r="H50" s="25">
        <v>88212.800000000003</v>
      </c>
      <c r="I50" s="26" t="s">
        <v>398</v>
      </c>
      <c r="J50" s="25">
        <v>90714.99</v>
      </c>
      <c r="K50" s="18">
        <v>1929.71</v>
      </c>
      <c r="L50" s="31">
        <v>9273.7900000000009</v>
      </c>
      <c r="M50" s="27" t="s">
        <v>3520</v>
      </c>
      <c r="N50" s="18"/>
      <c r="O50" s="25">
        <v>101918.49</v>
      </c>
      <c r="P50" s="25">
        <v>39473.83</v>
      </c>
      <c r="Q50" s="28">
        <v>141392.32000000001</v>
      </c>
    </row>
    <row r="51" spans="1:17" ht="12" customHeight="1" x14ac:dyDescent="0.2">
      <c r="A51" s="21" t="s">
        <v>399</v>
      </c>
      <c r="B51" s="21" t="s">
        <v>400</v>
      </c>
      <c r="C51" s="21" t="s">
        <v>401</v>
      </c>
      <c r="D51" s="21" t="s">
        <v>402</v>
      </c>
      <c r="E51" s="22" t="s">
        <v>403</v>
      </c>
      <c r="F51" s="23" t="s">
        <v>404</v>
      </c>
      <c r="G51" s="24" t="s">
        <v>405</v>
      </c>
      <c r="H51" s="25">
        <v>84822.399999999994</v>
      </c>
      <c r="I51" s="26" t="s">
        <v>406</v>
      </c>
      <c r="J51" s="25">
        <v>87028.83</v>
      </c>
      <c r="K51" s="18">
        <v>10142.11</v>
      </c>
      <c r="L51" s="31">
        <v>7732.48</v>
      </c>
      <c r="M51" s="27" t="s">
        <v>3520</v>
      </c>
      <c r="N51" s="18"/>
      <c r="O51" s="25">
        <v>104903.42</v>
      </c>
      <c r="P51" s="25">
        <v>34335.83</v>
      </c>
      <c r="Q51" s="28">
        <v>139239.25</v>
      </c>
    </row>
    <row r="52" spans="1:17" ht="12" customHeight="1" x14ac:dyDescent="0.2">
      <c r="A52" s="21" t="s">
        <v>407</v>
      </c>
      <c r="B52" s="21" t="s">
        <v>408</v>
      </c>
      <c r="C52" s="21" t="s">
        <v>409</v>
      </c>
      <c r="D52" s="21" t="s">
        <v>410</v>
      </c>
      <c r="E52" s="22" t="s">
        <v>411</v>
      </c>
      <c r="F52" s="23" t="s">
        <v>412</v>
      </c>
      <c r="G52" s="24" t="s">
        <v>413</v>
      </c>
      <c r="H52" s="25">
        <v>80778.36</v>
      </c>
      <c r="I52" s="26" t="s">
        <v>414</v>
      </c>
      <c r="J52" s="25">
        <v>91736.95</v>
      </c>
      <c r="K52" s="18">
        <v>7859.78</v>
      </c>
      <c r="L52" s="31">
        <v>10920.44</v>
      </c>
      <c r="M52" s="27">
        <v>703.44</v>
      </c>
      <c r="N52" s="18"/>
      <c r="O52" s="25">
        <v>111220.61</v>
      </c>
      <c r="P52" s="25">
        <v>27354.57</v>
      </c>
      <c r="Q52" s="28">
        <v>138575.18</v>
      </c>
    </row>
    <row r="53" spans="1:17" ht="12" customHeight="1" x14ac:dyDescent="0.2">
      <c r="A53" s="21" t="s">
        <v>415</v>
      </c>
      <c r="B53" s="21" t="s">
        <v>416</v>
      </c>
      <c r="C53" s="21" t="s">
        <v>417</v>
      </c>
      <c r="D53" s="21" t="s">
        <v>418</v>
      </c>
      <c r="E53" s="22" t="s">
        <v>419</v>
      </c>
      <c r="F53" s="23" t="s">
        <v>420</v>
      </c>
      <c r="G53" s="24" t="s">
        <v>421</v>
      </c>
      <c r="H53" s="25">
        <v>90869.48</v>
      </c>
      <c r="I53" s="26" t="s">
        <v>422</v>
      </c>
      <c r="J53" s="25">
        <v>91676</v>
      </c>
      <c r="K53" s="18" t="s">
        <v>3520</v>
      </c>
      <c r="L53" s="31">
        <v>6298.6</v>
      </c>
      <c r="M53" s="27" t="s">
        <v>3520</v>
      </c>
      <c r="N53" s="18"/>
      <c r="O53" s="25">
        <v>97974.6</v>
      </c>
      <c r="P53" s="25">
        <v>39652.870000000003</v>
      </c>
      <c r="Q53" s="28">
        <v>137627.47</v>
      </c>
    </row>
    <row r="54" spans="1:17" ht="12" customHeight="1" x14ac:dyDescent="0.2">
      <c r="A54" s="21" t="s">
        <v>423</v>
      </c>
      <c r="B54" s="21" t="s">
        <v>424</v>
      </c>
      <c r="C54" s="21" t="s">
        <v>425</v>
      </c>
      <c r="D54" s="21" t="s">
        <v>426</v>
      </c>
      <c r="E54" s="22" t="s">
        <v>427</v>
      </c>
      <c r="F54" s="23" t="s">
        <v>428</v>
      </c>
      <c r="G54" s="24" t="s">
        <v>429</v>
      </c>
      <c r="H54" s="25">
        <v>99706.1</v>
      </c>
      <c r="I54" s="26" t="s">
        <v>430</v>
      </c>
      <c r="J54" s="25">
        <v>99114.6</v>
      </c>
      <c r="K54" s="18" t="s">
        <v>3520</v>
      </c>
      <c r="L54" s="31">
        <v>4012</v>
      </c>
      <c r="M54" s="27" t="s">
        <v>3520</v>
      </c>
      <c r="N54" s="18"/>
      <c r="O54" s="25">
        <v>103126.6</v>
      </c>
      <c r="P54" s="25">
        <v>33808.639999999999</v>
      </c>
      <c r="Q54" s="28">
        <v>136935.24</v>
      </c>
    </row>
    <row r="55" spans="1:17" ht="12" customHeight="1" x14ac:dyDescent="0.2">
      <c r="A55" s="21" t="s">
        <v>431</v>
      </c>
      <c r="B55" s="21" t="s">
        <v>432</v>
      </c>
      <c r="C55" s="21" t="s">
        <v>433</v>
      </c>
      <c r="D55" s="21" t="s">
        <v>434</v>
      </c>
      <c r="E55" s="22" t="s">
        <v>435</v>
      </c>
      <c r="F55" s="23" t="s">
        <v>436</v>
      </c>
      <c r="G55" s="24" t="s">
        <v>437</v>
      </c>
      <c r="H55" s="25">
        <v>78436.800000000003</v>
      </c>
      <c r="I55" s="26" t="s">
        <v>438</v>
      </c>
      <c r="J55" s="25">
        <v>77395.13</v>
      </c>
      <c r="K55" s="18">
        <v>9472.24</v>
      </c>
      <c r="L55" s="31">
        <v>6953.42</v>
      </c>
      <c r="M55" s="27" t="s">
        <v>3520</v>
      </c>
      <c r="N55" s="18"/>
      <c r="O55" s="25">
        <v>93820.79</v>
      </c>
      <c r="P55" s="25">
        <v>42948.480000000003</v>
      </c>
      <c r="Q55" s="28">
        <v>136769.26999999999</v>
      </c>
    </row>
    <row r="56" spans="1:17" ht="12" customHeight="1" x14ac:dyDescent="0.2">
      <c r="A56" s="21" t="s">
        <v>439</v>
      </c>
      <c r="B56" s="21" t="s">
        <v>440</v>
      </c>
      <c r="C56" s="21" t="s">
        <v>441</v>
      </c>
      <c r="D56" s="21" t="s">
        <v>442</v>
      </c>
      <c r="E56" s="22" t="s">
        <v>443</v>
      </c>
      <c r="F56" s="23" t="s">
        <v>444</v>
      </c>
      <c r="G56" s="24" t="s">
        <v>445</v>
      </c>
      <c r="H56" s="25">
        <v>74439.56</v>
      </c>
      <c r="I56" s="26" t="s">
        <v>446</v>
      </c>
      <c r="J56" s="25">
        <v>93328.15</v>
      </c>
      <c r="K56" s="18">
        <v>1726.45</v>
      </c>
      <c r="L56" s="31">
        <v>7698.69</v>
      </c>
      <c r="M56" s="27" t="s">
        <v>3520</v>
      </c>
      <c r="N56" s="18"/>
      <c r="O56" s="25">
        <v>102753.29</v>
      </c>
      <c r="P56" s="25">
        <v>33993.89</v>
      </c>
      <c r="Q56" s="28">
        <v>136747.18</v>
      </c>
    </row>
    <row r="57" spans="1:17" ht="11" customHeight="1" thickBot="1" x14ac:dyDescent="0.25">
      <c r="A57" s="21" t="s">
        <v>447</v>
      </c>
      <c r="B57" s="21" t="s">
        <v>448</v>
      </c>
      <c r="C57" s="21" t="s">
        <v>449</v>
      </c>
      <c r="D57" s="21" t="s">
        <v>450</v>
      </c>
      <c r="E57" s="22" t="s">
        <v>451</v>
      </c>
      <c r="F57" s="23" t="s">
        <v>452</v>
      </c>
      <c r="G57" s="24" t="s">
        <v>453</v>
      </c>
      <c r="H57" s="25">
        <v>61431.24</v>
      </c>
      <c r="I57" s="26" t="s">
        <v>454</v>
      </c>
      <c r="J57" s="25">
        <v>72347.87</v>
      </c>
      <c r="K57" s="18">
        <v>12389.42</v>
      </c>
      <c r="L57" s="31">
        <v>3342.82</v>
      </c>
      <c r="M57" s="27">
        <v>9138.84</v>
      </c>
      <c r="N57" s="18"/>
      <c r="O57" s="25">
        <v>97218.95</v>
      </c>
      <c r="P57" s="25">
        <v>39105.5</v>
      </c>
      <c r="Q57" s="28">
        <v>136324.45000000001</v>
      </c>
    </row>
    <row r="58" spans="1:17" ht="12" customHeight="1" x14ac:dyDescent="0.2">
      <c r="A58" s="10" t="s">
        <v>455</v>
      </c>
      <c r="B58" s="10" t="s">
        <v>456</v>
      </c>
      <c r="C58" s="10" t="s">
        <v>457</v>
      </c>
      <c r="D58" s="10" t="s">
        <v>458</v>
      </c>
      <c r="E58" s="11" t="s">
        <v>459</v>
      </c>
      <c r="F58" s="12" t="s">
        <v>460</v>
      </c>
      <c r="G58" s="32" t="s">
        <v>461</v>
      </c>
      <c r="H58" s="14">
        <v>107150.16</v>
      </c>
      <c r="I58" s="15" t="s">
        <v>462</v>
      </c>
      <c r="J58" s="14">
        <v>83548.17</v>
      </c>
      <c r="K58" s="16" t="s">
        <v>3520</v>
      </c>
      <c r="L58" s="14">
        <v>10481.86</v>
      </c>
      <c r="M58" s="17" t="s">
        <v>3520</v>
      </c>
      <c r="N58" s="18"/>
      <c r="O58" s="14">
        <v>94030.03</v>
      </c>
      <c r="P58" s="14">
        <v>42154.15</v>
      </c>
      <c r="Q58" s="20">
        <v>136184.18</v>
      </c>
    </row>
    <row r="59" spans="1:17" ht="12" customHeight="1" x14ac:dyDescent="0.2">
      <c r="A59" s="21" t="s">
        <v>463</v>
      </c>
      <c r="B59" s="21" t="s">
        <v>464</v>
      </c>
      <c r="C59" s="21" t="s">
        <v>465</v>
      </c>
      <c r="D59" s="21" t="s">
        <v>466</v>
      </c>
      <c r="E59" s="22" t="s">
        <v>467</v>
      </c>
      <c r="F59" s="23" t="s">
        <v>468</v>
      </c>
      <c r="G59" s="33" t="s">
        <v>469</v>
      </c>
      <c r="H59" s="25">
        <v>69809.48</v>
      </c>
      <c r="I59" s="26" t="s">
        <v>470</v>
      </c>
      <c r="J59" s="25">
        <v>83408.639999999999</v>
      </c>
      <c r="K59" s="18">
        <v>3601.05</v>
      </c>
      <c r="L59" s="18">
        <v>6109.72</v>
      </c>
      <c r="M59" s="27" t="s">
        <v>3520</v>
      </c>
      <c r="N59" s="18"/>
      <c r="O59" s="25">
        <v>93119.41</v>
      </c>
      <c r="P59" s="25">
        <v>42860.14</v>
      </c>
      <c r="Q59" s="28">
        <v>135979.54999999999</v>
      </c>
    </row>
    <row r="60" spans="1:17" ht="12" customHeight="1" x14ac:dyDescent="0.2">
      <c r="A60" s="21" t="s">
        <v>471</v>
      </c>
      <c r="B60" s="21" t="s">
        <v>472</v>
      </c>
      <c r="C60" s="21" t="s">
        <v>473</v>
      </c>
      <c r="D60" s="21" t="s">
        <v>474</v>
      </c>
      <c r="E60" s="22" t="s">
        <v>475</v>
      </c>
      <c r="F60" s="23" t="s">
        <v>476</v>
      </c>
      <c r="G60" s="33" t="s">
        <v>477</v>
      </c>
      <c r="H60" s="25">
        <v>80339.929999999993</v>
      </c>
      <c r="I60" s="26" t="s">
        <v>478</v>
      </c>
      <c r="J60" s="25">
        <v>72191.520000000004</v>
      </c>
      <c r="K60" s="18">
        <v>25914.38</v>
      </c>
      <c r="L60" s="18">
        <v>3940.51</v>
      </c>
      <c r="M60" s="27" t="s">
        <v>3520</v>
      </c>
      <c r="N60" s="18"/>
      <c r="O60" s="25">
        <v>102046.41</v>
      </c>
      <c r="P60" s="25">
        <v>33797.46</v>
      </c>
      <c r="Q60" s="28">
        <v>135843.87</v>
      </c>
    </row>
    <row r="61" spans="1:17" ht="12" customHeight="1" x14ac:dyDescent="0.2">
      <c r="A61" s="21" t="s">
        <v>479</v>
      </c>
      <c r="B61" s="21" t="s">
        <v>480</v>
      </c>
      <c r="C61" s="21" t="s">
        <v>481</v>
      </c>
      <c r="D61" s="21" t="s">
        <v>482</v>
      </c>
      <c r="E61" s="22" t="s">
        <v>483</v>
      </c>
      <c r="F61" s="23" t="s">
        <v>484</v>
      </c>
      <c r="G61" s="33" t="s">
        <v>485</v>
      </c>
      <c r="H61" s="25">
        <v>65417.11</v>
      </c>
      <c r="I61" s="26" t="s">
        <v>486</v>
      </c>
      <c r="J61" s="25">
        <v>50371.76</v>
      </c>
      <c r="K61" s="18">
        <v>34147.65</v>
      </c>
      <c r="L61" s="25">
        <v>11128.97</v>
      </c>
      <c r="M61" s="27" t="s">
        <v>3520</v>
      </c>
      <c r="N61" s="18"/>
      <c r="O61" s="25">
        <v>95648.38</v>
      </c>
      <c r="P61" s="25">
        <v>39477.949999999997</v>
      </c>
      <c r="Q61" s="28">
        <v>135126.32999999999</v>
      </c>
    </row>
    <row r="62" spans="1:17" ht="12" customHeight="1" x14ac:dyDescent="0.2">
      <c r="A62" s="21" t="s">
        <v>487</v>
      </c>
      <c r="B62" s="21" t="s">
        <v>488</v>
      </c>
      <c r="C62" s="21" t="s">
        <v>489</v>
      </c>
      <c r="D62" s="21" t="s">
        <v>490</v>
      </c>
      <c r="E62" s="22" t="s">
        <v>491</v>
      </c>
      <c r="F62" s="23" t="s">
        <v>492</v>
      </c>
      <c r="G62" s="33" t="s">
        <v>493</v>
      </c>
      <c r="H62" s="25">
        <v>96885.36</v>
      </c>
      <c r="I62" s="26" t="s">
        <v>494</v>
      </c>
      <c r="J62" s="25">
        <v>96741.01</v>
      </c>
      <c r="K62" s="18" t="s">
        <v>3520</v>
      </c>
      <c r="L62" s="18">
        <v>250</v>
      </c>
      <c r="M62" s="27" t="s">
        <v>3520</v>
      </c>
      <c r="N62" s="18"/>
      <c r="O62" s="18">
        <v>96991.01</v>
      </c>
      <c r="P62" s="25">
        <v>37306.85</v>
      </c>
      <c r="Q62" s="28">
        <v>134297.85999999999</v>
      </c>
    </row>
    <row r="63" spans="1:17" ht="12" customHeight="1" x14ac:dyDescent="0.2">
      <c r="A63" s="21" t="s">
        <v>495</v>
      </c>
      <c r="B63" s="21" t="s">
        <v>496</v>
      </c>
      <c r="C63" s="21" t="s">
        <v>497</v>
      </c>
      <c r="D63" s="21" t="s">
        <v>498</v>
      </c>
      <c r="E63" s="22" t="s">
        <v>499</v>
      </c>
      <c r="F63" s="23" t="s">
        <v>500</v>
      </c>
      <c r="G63" s="33" t="s">
        <v>501</v>
      </c>
      <c r="H63" s="25">
        <v>57820.88</v>
      </c>
      <c r="I63" s="26" t="s">
        <v>502</v>
      </c>
      <c r="J63" s="25">
        <v>69190.14</v>
      </c>
      <c r="K63" s="18">
        <v>9800.4699999999993</v>
      </c>
      <c r="L63" s="18">
        <v>3502.14</v>
      </c>
      <c r="M63" s="27">
        <v>14675.51</v>
      </c>
      <c r="N63" s="18"/>
      <c r="O63" s="25">
        <v>97168.26</v>
      </c>
      <c r="P63" s="25">
        <v>37105.550000000003</v>
      </c>
      <c r="Q63" s="28">
        <v>134273.81</v>
      </c>
    </row>
    <row r="64" spans="1:17" ht="12" customHeight="1" x14ac:dyDescent="0.2">
      <c r="A64" s="21" t="s">
        <v>503</v>
      </c>
      <c r="B64" s="21" t="s">
        <v>504</v>
      </c>
      <c r="C64" s="21" t="s">
        <v>505</v>
      </c>
      <c r="D64" s="21" t="s">
        <v>506</v>
      </c>
      <c r="E64" s="22" t="s">
        <v>507</v>
      </c>
      <c r="F64" s="23" t="s">
        <v>508</v>
      </c>
      <c r="G64" s="33" t="s">
        <v>509</v>
      </c>
      <c r="H64" s="25">
        <v>70521.36</v>
      </c>
      <c r="I64" s="26" t="s">
        <v>510</v>
      </c>
      <c r="J64" s="25">
        <v>70653.429999999993</v>
      </c>
      <c r="K64" s="18">
        <v>16931.3</v>
      </c>
      <c r="L64" s="18">
        <v>7481.41</v>
      </c>
      <c r="M64" s="27" t="s">
        <v>3520</v>
      </c>
      <c r="N64" s="18"/>
      <c r="O64" s="25">
        <v>95066.14</v>
      </c>
      <c r="P64" s="25">
        <v>37629.4</v>
      </c>
      <c r="Q64" s="28">
        <v>132695.54</v>
      </c>
    </row>
    <row r="65" spans="1:17" ht="12" customHeight="1" x14ac:dyDescent="0.2">
      <c r="A65" s="21" t="s">
        <v>511</v>
      </c>
      <c r="B65" s="21" t="s">
        <v>512</v>
      </c>
      <c r="C65" s="21" t="s">
        <v>513</v>
      </c>
      <c r="D65" s="21" t="s">
        <v>514</v>
      </c>
      <c r="E65" s="22" t="s">
        <v>515</v>
      </c>
      <c r="F65" s="23" t="s">
        <v>516</v>
      </c>
      <c r="G65" s="33" t="s">
        <v>517</v>
      </c>
      <c r="H65" s="25">
        <v>88425.74</v>
      </c>
      <c r="I65" s="26" t="s">
        <v>518</v>
      </c>
      <c r="J65" s="25">
        <v>90695.11</v>
      </c>
      <c r="K65" s="18" t="s">
        <v>3520</v>
      </c>
      <c r="L65" s="18">
        <v>7933.64</v>
      </c>
      <c r="M65" s="27" t="s">
        <v>3520</v>
      </c>
      <c r="N65" s="18"/>
      <c r="O65" s="25">
        <v>98628.75</v>
      </c>
      <c r="P65" s="25">
        <v>33033.26</v>
      </c>
      <c r="Q65" s="28">
        <v>131662.01</v>
      </c>
    </row>
    <row r="66" spans="1:17" ht="12" customHeight="1" x14ac:dyDescent="0.2">
      <c r="A66" s="21" t="s">
        <v>519</v>
      </c>
      <c r="B66" s="21" t="s">
        <v>520</v>
      </c>
      <c r="C66" s="21" t="s">
        <v>521</v>
      </c>
      <c r="D66" s="21" t="s">
        <v>522</v>
      </c>
      <c r="E66" s="22" t="s">
        <v>523</v>
      </c>
      <c r="F66" s="23" t="s">
        <v>524</v>
      </c>
      <c r="G66" s="33" t="s">
        <v>525</v>
      </c>
      <c r="H66" s="25">
        <v>75090.17</v>
      </c>
      <c r="I66" s="26" t="s">
        <v>526</v>
      </c>
      <c r="J66" s="25">
        <v>75386.25</v>
      </c>
      <c r="K66" s="18">
        <v>7759.16</v>
      </c>
      <c r="L66" s="18">
        <v>6255.87</v>
      </c>
      <c r="M66" s="27" t="s">
        <v>3520</v>
      </c>
      <c r="N66" s="18"/>
      <c r="O66" s="25">
        <v>89401.279999999999</v>
      </c>
      <c r="P66" s="25">
        <v>41911.25</v>
      </c>
      <c r="Q66" s="28">
        <v>131312.53</v>
      </c>
    </row>
    <row r="67" spans="1:17" ht="12" customHeight="1" x14ac:dyDescent="0.2">
      <c r="A67" s="21" t="s">
        <v>527</v>
      </c>
      <c r="B67" s="21" t="s">
        <v>528</v>
      </c>
      <c r="C67" s="21" t="s">
        <v>529</v>
      </c>
      <c r="D67" s="21" t="s">
        <v>530</v>
      </c>
      <c r="E67" s="22" t="s">
        <v>531</v>
      </c>
      <c r="F67" s="23" t="s">
        <v>532</v>
      </c>
      <c r="G67" s="33" t="s">
        <v>533</v>
      </c>
      <c r="H67" s="25">
        <v>92976</v>
      </c>
      <c r="I67" s="26" t="s">
        <v>534</v>
      </c>
      <c r="J67" s="25">
        <v>92976</v>
      </c>
      <c r="K67" s="18" t="s">
        <v>3520</v>
      </c>
      <c r="L67" s="18">
        <v>4086.76</v>
      </c>
      <c r="M67" s="27" t="s">
        <v>3520</v>
      </c>
      <c r="N67" s="18"/>
      <c r="O67" s="25">
        <v>97062.76</v>
      </c>
      <c r="P67" s="25">
        <v>32647.85</v>
      </c>
      <c r="Q67" s="28">
        <v>129710.61</v>
      </c>
    </row>
    <row r="68" spans="1:17" ht="12" customHeight="1" x14ac:dyDescent="0.2">
      <c r="A68" s="21" t="s">
        <v>535</v>
      </c>
      <c r="B68" s="21" t="s">
        <v>536</v>
      </c>
      <c r="C68" s="21" t="s">
        <v>537</v>
      </c>
      <c r="D68" s="21" t="s">
        <v>538</v>
      </c>
      <c r="E68" s="22" t="s">
        <v>539</v>
      </c>
      <c r="F68" s="23" t="s">
        <v>540</v>
      </c>
      <c r="G68" s="33" t="s">
        <v>541</v>
      </c>
      <c r="H68" s="25">
        <v>64876.24</v>
      </c>
      <c r="I68" s="26" t="s">
        <v>542</v>
      </c>
      <c r="J68" s="25">
        <v>73114.86</v>
      </c>
      <c r="K68" s="18">
        <v>4272.5</v>
      </c>
      <c r="L68" s="18">
        <v>8340.16</v>
      </c>
      <c r="M68" s="27">
        <v>4190.12</v>
      </c>
      <c r="N68" s="18"/>
      <c r="O68" s="25">
        <v>89917.64</v>
      </c>
      <c r="P68" s="25">
        <v>38561.599999999999</v>
      </c>
      <c r="Q68" s="28">
        <v>128479.24</v>
      </c>
    </row>
    <row r="69" spans="1:17" ht="12" customHeight="1" x14ac:dyDescent="0.2">
      <c r="A69" s="21" t="s">
        <v>543</v>
      </c>
      <c r="B69" s="21" t="s">
        <v>544</v>
      </c>
      <c r="C69" s="21" t="s">
        <v>545</v>
      </c>
      <c r="D69" s="21" t="s">
        <v>546</v>
      </c>
      <c r="E69" s="22" t="s">
        <v>547</v>
      </c>
      <c r="F69" s="23" t="s">
        <v>548</v>
      </c>
      <c r="G69" s="33" t="s">
        <v>549</v>
      </c>
      <c r="H69" s="25">
        <v>54238.080000000002</v>
      </c>
      <c r="I69" s="26" t="s">
        <v>550</v>
      </c>
      <c r="J69" s="25">
        <v>56393.16</v>
      </c>
      <c r="K69" s="18">
        <v>15929.97</v>
      </c>
      <c r="L69" s="18">
        <v>5626.32</v>
      </c>
      <c r="M69" s="27">
        <v>17721.400000000001</v>
      </c>
      <c r="N69" s="18"/>
      <c r="O69" s="25">
        <v>95670.85</v>
      </c>
      <c r="P69" s="25">
        <v>32147.279999999999</v>
      </c>
      <c r="Q69" s="28">
        <v>127818.13</v>
      </c>
    </row>
    <row r="70" spans="1:17" ht="12" customHeight="1" x14ac:dyDescent="0.2">
      <c r="A70" s="21" t="s">
        <v>551</v>
      </c>
      <c r="B70" s="21" t="s">
        <v>552</v>
      </c>
      <c r="C70" s="21" t="s">
        <v>553</v>
      </c>
      <c r="D70" s="21" t="s">
        <v>554</v>
      </c>
      <c r="E70" s="22" t="s">
        <v>555</v>
      </c>
      <c r="F70" s="23" t="s">
        <v>556</v>
      </c>
      <c r="G70" s="33" t="s">
        <v>557</v>
      </c>
      <c r="H70" s="25">
        <v>56001.919999999998</v>
      </c>
      <c r="I70" s="26" t="s">
        <v>558</v>
      </c>
      <c r="J70" s="25">
        <v>64663.95</v>
      </c>
      <c r="K70" s="18">
        <v>13812.89</v>
      </c>
      <c r="L70" s="18">
        <v>5425.61</v>
      </c>
      <c r="M70" s="27">
        <v>11681.6</v>
      </c>
      <c r="N70" s="18"/>
      <c r="O70" s="25">
        <v>95584.05</v>
      </c>
      <c r="P70" s="25">
        <v>32172.81</v>
      </c>
      <c r="Q70" s="28">
        <v>127756.86</v>
      </c>
    </row>
    <row r="71" spans="1:17" ht="12" customHeight="1" x14ac:dyDescent="0.2">
      <c r="A71" s="21" t="s">
        <v>559</v>
      </c>
      <c r="B71" s="21" t="s">
        <v>560</v>
      </c>
      <c r="C71" s="21" t="s">
        <v>561</v>
      </c>
      <c r="D71" s="21" t="s">
        <v>562</v>
      </c>
      <c r="E71" s="22" t="s">
        <v>563</v>
      </c>
      <c r="F71" s="23" t="s">
        <v>564</v>
      </c>
      <c r="G71" s="33" t="s">
        <v>565</v>
      </c>
      <c r="H71" s="25">
        <v>52543.17</v>
      </c>
      <c r="I71" s="26" t="s">
        <v>566</v>
      </c>
      <c r="J71" s="25">
        <v>48029.71</v>
      </c>
      <c r="K71" s="18">
        <v>43450.41</v>
      </c>
      <c r="L71" s="18">
        <v>3511.76</v>
      </c>
      <c r="M71" s="27" t="s">
        <v>3520</v>
      </c>
      <c r="N71" s="18"/>
      <c r="O71" s="25">
        <v>94991.88</v>
      </c>
      <c r="P71" s="25">
        <v>32238.639999999999</v>
      </c>
      <c r="Q71" s="28">
        <v>127230.52</v>
      </c>
    </row>
    <row r="72" spans="1:17" ht="12" customHeight="1" x14ac:dyDescent="0.2">
      <c r="A72" s="21" t="s">
        <v>567</v>
      </c>
      <c r="B72" s="21" t="s">
        <v>568</v>
      </c>
      <c r="C72" s="21" t="s">
        <v>569</v>
      </c>
      <c r="D72" s="21" t="s">
        <v>570</v>
      </c>
      <c r="E72" s="22" t="s">
        <v>571</v>
      </c>
      <c r="F72" s="23" t="s">
        <v>572</v>
      </c>
      <c r="G72" s="33" t="s">
        <v>573</v>
      </c>
      <c r="H72" s="25">
        <v>78436.800000000003</v>
      </c>
      <c r="I72" s="26" t="s">
        <v>574</v>
      </c>
      <c r="J72" s="25">
        <v>79750.33</v>
      </c>
      <c r="K72" s="18">
        <v>9786.9500000000007</v>
      </c>
      <c r="L72" s="18">
        <v>4807.34</v>
      </c>
      <c r="M72" s="27" t="s">
        <v>3520</v>
      </c>
      <c r="N72" s="18"/>
      <c r="O72" s="25">
        <v>94344.62</v>
      </c>
      <c r="P72" s="25">
        <v>32287.5</v>
      </c>
      <c r="Q72" s="28">
        <v>126632.12</v>
      </c>
    </row>
    <row r="73" spans="1:17" ht="12" customHeight="1" x14ac:dyDescent="0.2">
      <c r="A73" s="21" t="s">
        <v>575</v>
      </c>
      <c r="B73" s="21" t="s">
        <v>576</v>
      </c>
      <c r="C73" s="21" t="s">
        <v>577</v>
      </c>
      <c r="D73" s="21" t="s">
        <v>578</v>
      </c>
      <c r="E73" s="22" t="s">
        <v>579</v>
      </c>
      <c r="F73" s="23" t="s">
        <v>580</v>
      </c>
      <c r="G73" s="33" t="s">
        <v>581</v>
      </c>
      <c r="H73" s="25">
        <v>110000.02</v>
      </c>
      <c r="I73" s="26" t="s">
        <v>582</v>
      </c>
      <c r="J73" s="25">
        <v>84413.52</v>
      </c>
      <c r="K73" s="18" t="s">
        <v>3520</v>
      </c>
      <c r="L73" s="18">
        <v>5709.33</v>
      </c>
      <c r="M73" s="27" t="s">
        <v>3520</v>
      </c>
      <c r="N73" s="18"/>
      <c r="O73" s="25">
        <v>90122.85</v>
      </c>
      <c r="P73" s="25">
        <v>36465.53</v>
      </c>
      <c r="Q73" s="28">
        <v>126588.38</v>
      </c>
    </row>
    <row r="74" spans="1:17" ht="12" customHeight="1" x14ac:dyDescent="0.2">
      <c r="A74" s="21" t="s">
        <v>583</v>
      </c>
      <c r="B74" s="21" t="s">
        <v>584</v>
      </c>
      <c r="C74" s="21" t="s">
        <v>585</v>
      </c>
      <c r="D74" s="21" t="s">
        <v>586</v>
      </c>
      <c r="E74" s="22" t="s">
        <v>587</v>
      </c>
      <c r="F74" s="23" t="s">
        <v>588</v>
      </c>
      <c r="G74" s="33" t="s">
        <v>589</v>
      </c>
      <c r="H74" s="25">
        <v>66601.600000000006</v>
      </c>
      <c r="I74" s="26" t="s">
        <v>590</v>
      </c>
      <c r="J74" s="25">
        <v>67176.05</v>
      </c>
      <c r="K74" s="18">
        <v>12258.87</v>
      </c>
      <c r="L74" s="18">
        <v>5827.46</v>
      </c>
      <c r="M74" s="27" t="s">
        <v>3520</v>
      </c>
      <c r="N74" s="18"/>
      <c r="O74" s="25">
        <v>85262.38</v>
      </c>
      <c r="P74" s="25">
        <v>40998.47</v>
      </c>
      <c r="Q74" s="28">
        <v>126260.85</v>
      </c>
    </row>
    <row r="75" spans="1:17" ht="12" customHeight="1" x14ac:dyDescent="0.2">
      <c r="A75" s="21" t="s">
        <v>591</v>
      </c>
      <c r="B75" s="21" t="s">
        <v>592</v>
      </c>
      <c r="C75" s="21" t="s">
        <v>593</v>
      </c>
      <c r="D75" s="21" t="s">
        <v>594</v>
      </c>
      <c r="E75" s="22" t="s">
        <v>595</v>
      </c>
      <c r="F75" s="23" t="s">
        <v>596</v>
      </c>
      <c r="G75" s="33" t="s">
        <v>597</v>
      </c>
      <c r="H75" s="25">
        <v>78145.600000000006</v>
      </c>
      <c r="I75" s="26" t="s">
        <v>598</v>
      </c>
      <c r="J75" s="25">
        <v>79721.42</v>
      </c>
      <c r="K75" s="18">
        <v>5448.22</v>
      </c>
      <c r="L75" s="18">
        <v>3946.36</v>
      </c>
      <c r="M75" s="27" t="s">
        <v>3520</v>
      </c>
      <c r="N75" s="18"/>
      <c r="O75" s="25">
        <v>89116</v>
      </c>
      <c r="P75" s="25">
        <v>37032.89</v>
      </c>
      <c r="Q75" s="28">
        <v>126148.89</v>
      </c>
    </row>
    <row r="76" spans="1:17" ht="12" customHeight="1" x14ac:dyDescent="0.2">
      <c r="A76" s="21" t="s">
        <v>599</v>
      </c>
      <c r="B76" s="21" t="s">
        <v>600</v>
      </c>
      <c r="C76" s="21" t="s">
        <v>601</v>
      </c>
      <c r="D76" s="21" t="s">
        <v>602</v>
      </c>
      <c r="E76" s="22" t="s">
        <v>603</v>
      </c>
      <c r="F76" s="23" t="s">
        <v>604</v>
      </c>
      <c r="G76" s="33" t="s">
        <v>605</v>
      </c>
      <c r="H76" s="25">
        <v>70553.600000000006</v>
      </c>
      <c r="I76" s="26" t="s">
        <v>606</v>
      </c>
      <c r="J76" s="25">
        <v>71755.05</v>
      </c>
      <c r="K76" s="18">
        <v>8936.14</v>
      </c>
      <c r="L76" s="18">
        <v>5084.04</v>
      </c>
      <c r="M76" s="27" t="s">
        <v>3520</v>
      </c>
      <c r="N76" s="18"/>
      <c r="O76" s="25">
        <v>85775.23</v>
      </c>
      <c r="P76" s="25">
        <v>40320.89</v>
      </c>
      <c r="Q76" s="28">
        <v>126096.12</v>
      </c>
    </row>
    <row r="77" spans="1:17" ht="12" customHeight="1" x14ac:dyDescent="0.2">
      <c r="A77" s="21" t="s">
        <v>607</v>
      </c>
      <c r="B77" s="21" t="s">
        <v>608</v>
      </c>
      <c r="C77" s="21" t="s">
        <v>609</v>
      </c>
      <c r="D77" s="21" t="s">
        <v>610</v>
      </c>
      <c r="E77" s="22" t="s">
        <v>611</v>
      </c>
      <c r="F77" s="23" t="s">
        <v>612</v>
      </c>
      <c r="G77" s="33" t="s">
        <v>613</v>
      </c>
      <c r="H77" s="25">
        <v>59722.52</v>
      </c>
      <c r="I77" s="26" t="s">
        <v>614</v>
      </c>
      <c r="J77" s="25">
        <v>68995.22</v>
      </c>
      <c r="K77" s="18">
        <v>5107.26</v>
      </c>
      <c r="L77" s="25">
        <v>10765.16</v>
      </c>
      <c r="M77" s="27" t="s">
        <v>3520</v>
      </c>
      <c r="N77" s="18"/>
      <c r="O77" s="25">
        <v>84867.64</v>
      </c>
      <c r="P77" s="25">
        <v>39834.1</v>
      </c>
      <c r="Q77" s="28">
        <v>124701.74</v>
      </c>
    </row>
    <row r="78" spans="1:17" ht="12" customHeight="1" x14ac:dyDescent="0.2">
      <c r="A78" s="21" t="s">
        <v>615</v>
      </c>
      <c r="B78" s="21" t="s">
        <v>616</v>
      </c>
      <c r="C78" s="21" t="s">
        <v>617</v>
      </c>
      <c r="D78" s="21" t="s">
        <v>618</v>
      </c>
      <c r="E78" s="22" t="s">
        <v>619</v>
      </c>
      <c r="F78" s="23" t="s">
        <v>620</v>
      </c>
      <c r="G78" s="33" t="s">
        <v>621</v>
      </c>
      <c r="H78" s="25">
        <v>87385.22</v>
      </c>
      <c r="I78" s="26" t="s">
        <v>622</v>
      </c>
      <c r="J78" s="25">
        <v>87255.02</v>
      </c>
      <c r="K78" s="18" t="s">
        <v>3520</v>
      </c>
      <c r="L78" s="18">
        <v>908</v>
      </c>
      <c r="M78" s="27" t="s">
        <v>3520</v>
      </c>
      <c r="N78" s="18"/>
      <c r="O78" s="18">
        <v>88163.02</v>
      </c>
      <c r="P78" s="25">
        <v>36072.65</v>
      </c>
      <c r="Q78" s="28">
        <v>124235.67</v>
      </c>
    </row>
    <row r="79" spans="1:17" ht="12" customHeight="1" x14ac:dyDescent="0.2">
      <c r="A79" s="21" t="s">
        <v>623</v>
      </c>
      <c r="B79" s="21" t="s">
        <v>624</v>
      </c>
      <c r="C79" s="21" t="s">
        <v>625</v>
      </c>
      <c r="D79" s="21" t="s">
        <v>626</v>
      </c>
      <c r="E79" s="22" t="s">
        <v>627</v>
      </c>
      <c r="F79" s="23" t="s">
        <v>628</v>
      </c>
      <c r="G79" s="33" t="s">
        <v>629</v>
      </c>
      <c r="H79" s="25">
        <v>67604.679999999993</v>
      </c>
      <c r="I79" s="26" t="s">
        <v>630</v>
      </c>
      <c r="J79" s="25">
        <v>77834.81</v>
      </c>
      <c r="K79" s="18">
        <v>788.91</v>
      </c>
      <c r="L79" s="18">
        <v>8953.07</v>
      </c>
      <c r="M79" s="27" t="s">
        <v>3520</v>
      </c>
      <c r="N79" s="18"/>
      <c r="O79" s="25">
        <v>87576.79</v>
      </c>
      <c r="P79" s="25">
        <v>36415.42</v>
      </c>
      <c r="Q79" s="28">
        <v>123992.21</v>
      </c>
    </row>
    <row r="80" spans="1:17" ht="12" customHeight="1" x14ac:dyDescent="0.2">
      <c r="A80" s="21" t="s">
        <v>631</v>
      </c>
      <c r="B80" s="21" t="s">
        <v>632</v>
      </c>
      <c r="C80" s="21" t="s">
        <v>633</v>
      </c>
      <c r="D80" s="21" t="s">
        <v>634</v>
      </c>
      <c r="E80" s="22" t="s">
        <v>635</v>
      </c>
      <c r="F80" s="23" t="s">
        <v>636</v>
      </c>
      <c r="G80" s="33" t="s">
        <v>637</v>
      </c>
      <c r="H80" s="25">
        <v>57820.88</v>
      </c>
      <c r="I80" s="26" t="s">
        <v>638</v>
      </c>
      <c r="J80" s="25">
        <v>61031.45</v>
      </c>
      <c r="K80" s="18">
        <v>11985.57</v>
      </c>
      <c r="L80" s="18">
        <v>4346.8100000000004</v>
      </c>
      <c r="M80" s="27">
        <v>14895.8</v>
      </c>
      <c r="N80" s="18"/>
      <c r="O80" s="25">
        <v>92259.63</v>
      </c>
      <c r="P80" s="25">
        <v>31425.51</v>
      </c>
      <c r="Q80" s="28">
        <v>123685.14</v>
      </c>
    </row>
    <row r="81" spans="1:17" ht="12" customHeight="1" x14ac:dyDescent="0.2">
      <c r="A81" s="21" t="s">
        <v>639</v>
      </c>
      <c r="B81" s="21" t="s">
        <v>640</v>
      </c>
      <c r="C81" s="21" t="s">
        <v>641</v>
      </c>
      <c r="D81" s="21" t="s">
        <v>642</v>
      </c>
      <c r="E81" s="22" t="s">
        <v>643</v>
      </c>
      <c r="F81" s="23" t="s">
        <v>644</v>
      </c>
      <c r="G81" s="33" t="s">
        <v>645</v>
      </c>
      <c r="H81" s="25">
        <v>56001.919999999998</v>
      </c>
      <c r="I81" s="26" t="s">
        <v>646</v>
      </c>
      <c r="J81" s="25">
        <v>64316.160000000003</v>
      </c>
      <c r="K81" s="18">
        <v>11487.16</v>
      </c>
      <c r="L81" s="18">
        <v>5526.93</v>
      </c>
      <c r="M81" s="27">
        <v>10505.44</v>
      </c>
      <c r="N81" s="18"/>
      <c r="O81" s="25">
        <v>91835.69</v>
      </c>
      <c r="P81" s="25">
        <v>31453.86</v>
      </c>
      <c r="Q81" s="28">
        <v>123289.55</v>
      </c>
    </row>
    <row r="82" spans="1:17" ht="12" customHeight="1" x14ac:dyDescent="0.2">
      <c r="A82" s="21" t="s">
        <v>647</v>
      </c>
      <c r="B82" s="21" t="s">
        <v>648</v>
      </c>
      <c r="C82" s="21" t="s">
        <v>649</v>
      </c>
      <c r="D82" s="21" t="s">
        <v>650</v>
      </c>
      <c r="E82" s="22" t="s">
        <v>651</v>
      </c>
      <c r="F82" s="23" t="s">
        <v>652</v>
      </c>
      <c r="G82" s="33" t="s">
        <v>653</v>
      </c>
      <c r="H82" s="25">
        <v>58627.83</v>
      </c>
      <c r="I82" s="26" t="s">
        <v>654</v>
      </c>
      <c r="J82" s="25">
        <v>47721.8</v>
      </c>
      <c r="K82" s="18">
        <v>31387.13</v>
      </c>
      <c r="L82" s="18">
        <v>3654.24</v>
      </c>
      <c r="M82" s="27" t="s">
        <v>3520</v>
      </c>
      <c r="N82" s="18"/>
      <c r="O82" s="25">
        <v>82763.17</v>
      </c>
      <c r="P82" s="25">
        <v>40449.910000000003</v>
      </c>
      <c r="Q82" s="28">
        <v>123213.08</v>
      </c>
    </row>
    <row r="83" spans="1:17" ht="12" customHeight="1" x14ac:dyDescent="0.2">
      <c r="A83" s="21" t="s">
        <v>655</v>
      </c>
      <c r="B83" s="21" t="s">
        <v>656</v>
      </c>
      <c r="C83" s="21" t="s">
        <v>657</v>
      </c>
      <c r="D83" s="21" t="s">
        <v>658</v>
      </c>
      <c r="E83" s="22" t="s">
        <v>659</v>
      </c>
      <c r="F83" s="23" t="s">
        <v>660</v>
      </c>
      <c r="G83" s="33" t="s">
        <v>661</v>
      </c>
      <c r="H83" s="25">
        <v>60808.78</v>
      </c>
      <c r="I83" s="26" t="s">
        <v>662</v>
      </c>
      <c r="J83" s="25">
        <v>49529.64</v>
      </c>
      <c r="K83" s="18">
        <v>26661.11</v>
      </c>
      <c r="L83" s="18">
        <v>7480</v>
      </c>
      <c r="M83" s="27" t="s">
        <v>3520</v>
      </c>
      <c r="N83" s="18"/>
      <c r="O83" s="25">
        <v>83670.75</v>
      </c>
      <c r="P83" s="25">
        <v>39434.79</v>
      </c>
      <c r="Q83" s="28">
        <v>123105.54</v>
      </c>
    </row>
    <row r="84" spans="1:17" ht="12" customHeight="1" x14ac:dyDescent="0.2">
      <c r="A84" s="21" t="s">
        <v>663</v>
      </c>
      <c r="B84" s="21" t="s">
        <v>664</v>
      </c>
      <c r="C84" s="21" t="s">
        <v>665</v>
      </c>
      <c r="D84" s="21" t="s">
        <v>666</v>
      </c>
      <c r="E84" s="22" t="s">
        <v>667</v>
      </c>
      <c r="F84" s="23" t="s">
        <v>668</v>
      </c>
      <c r="G84" s="33" t="s">
        <v>669</v>
      </c>
      <c r="H84" s="25">
        <v>72550.880000000005</v>
      </c>
      <c r="I84" s="26" t="s">
        <v>670</v>
      </c>
      <c r="J84" s="25">
        <v>69488.31</v>
      </c>
      <c r="K84" s="18">
        <v>16214.61</v>
      </c>
      <c r="L84" s="18">
        <v>5677.87</v>
      </c>
      <c r="M84" s="27" t="s">
        <v>3520</v>
      </c>
      <c r="N84" s="18"/>
      <c r="O84" s="25">
        <v>91380.79</v>
      </c>
      <c r="P84" s="25">
        <v>31489.93</v>
      </c>
      <c r="Q84" s="28">
        <v>122870.72</v>
      </c>
    </row>
    <row r="85" spans="1:17" ht="12" customHeight="1" x14ac:dyDescent="0.2">
      <c r="A85" s="21" t="s">
        <v>671</v>
      </c>
      <c r="B85" s="21" t="s">
        <v>672</v>
      </c>
      <c r="C85" s="21" t="s">
        <v>673</v>
      </c>
      <c r="D85" s="21" t="s">
        <v>674</v>
      </c>
      <c r="E85" s="22" t="s">
        <v>675</v>
      </c>
      <c r="F85" s="23" t="s">
        <v>676</v>
      </c>
      <c r="G85" s="33" t="s">
        <v>677</v>
      </c>
      <c r="H85" s="25">
        <v>68764.800000000003</v>
      </c>
      <c r="I85" s="26" t="s">
        <v>678</v>
      </c>
      <c r="J85" s="25">
        <v>70864.679999999993</v>
      </c>
      <c r="K85" s="18">
        <v>4600.04</v>
      </c>
      <c r="L85" s="18">
        <v>7030.78</v>
      </c>
      <c r="M85" s="27" t="s">
        <v>3520</v>
      </c>
      <c r="N85" s="18"/>
      <c r="O85" s="25">
        <v>82495.5</v>
      </c>
      <c r="P85" s="25">
        <v>39526.07</v>
      </c>
      <c r="Q85" s="28">
        <v>122021.57</v>
      </c>
    </row>
    <row r="86" spans="1:17" ht="12" customHeight="1" x14ac:dyDescent="0.2">
      <c r="A86" s="21" t="s">
        <v>679</v>
      </c>
      <c r="B86" s="21" t="s">
        <v>680</v>
      </c>
      <c r="C86" s="21" t="s">
        <v>681</v>
      </c>
      <c r="D86" s="21" t="s">
        <v>682</v>
      </c>
      <c r="E86" s="22" t="s">
        <v>683</v>
      </c>
      <c r="F86" s="23" t="s">
        <v>684</v>
      </c>
      <c r="G86" s="33" t="s">
        <v>685</v>
      </c>
      <c r="H86" s="25">
        <v>72550.880000000005</v>
      </c>
      <c r="I86" s="26" t="s">
        <v>686</v>
      </c>
      <c r="J86" s="25">
        <v>68690.09</v>
      </c>
      <c r="K86" s="18">
        <v>19165.13</v>
      </c>
      <c r="L86" s="18">
        <v>2397.0500000000002</v>
      </c>
      <c r="M86" s="27" t="s">
        <v>3520</v>
      </c>
      <c r="N86" s="18"/>
      <c r="O86" s="25">
        <v>90252.27</v>
      </c>
      <c r="P86" s="25">
        <v>31168.31</v>
      </c>
      <c r="Q86" s="28">
        <v>121420.58</v>
      </c>
    </row>
    <row r="87" spans="1:17" ht="12" customHeight="1" x14ac:dyDescent="0.2">
      <c r="A87" s="21" t="s">
        <v>687</v>
      </c>
      <c r="B87" s="21" t="s">
        <v>688</v>
      </c>
      <c r="C87" s="21" t="s">
        <v>689</v>
      </c>
      <c r="D87" s="21" t="s">
        <v>690</v>
      </c>
      <c r="E87" s="22" t="s">
        <v>691</v>
      </c>
      <c r="F87" s="23" t="s">
        <v>692</v>
      </c>
      <c r="G87" s="33" t="s">
        <v>693</v>
      </c>
      <c r="H87" s="25">
        <v>73382.399999999994</v>
      </c>
      <c r="I87" s="26" t="s">
        <v>694</v>
      </c>
      <c r="J87" s="25">
        <v>74346.25</v>
      </c>
      <c r="K87" s="18">
        <v>1452.29</v>
      </c>
      <c r="L87" s="18">
        <v>5225.25</v>
      </c>
      <c r="M87" s="27" t="s">
        <v>3520</v>
      </c>
      <c r="N87" s="18"/>
      <c r="O87" s="25">
        <v>81023.789999999994</v>
      </c>
      <c r="P87" s="25">
        <v>39008.629999999997</v>
      </c>
      <c r="Q87" s="28">
        <v>120032.42</v>
      </c>
    </row>
    <row r="88" spans="1:17" ht="12" customHeight="1" x14ac:dyDescent="0.2">
      <c r="A88" s="21" t="s">
        <v>695</v>
      </c>
      <c r="B88" s="21" t="s">
        <v>696</v>
      </c>
      <c r="C88" s="21" t="s">
        <v>697</v>
      </c>
      <c r="D88" s="21" t="s">
        <v>698</v>
      </c>
      <c r="E88" s="22" t="s">
        <v>699</v>
      </c>
      <c r="F88" s="23" t="s">
        <v>700</v>
      </c>
      <c r="G88" s="33" t="s">
        <v>701</v>
      </c>
      <c r="H88" s="25">
        <v>86662.94</v>
      </c>
      <c r="I88" s="26" t="s">
        <v>702</v>
      </c>
      <c r="J88" s="25">
        <v>86533.82</v>
      </c>
      <c r="K88" s="18" t="s">
        <v>3520</v>
      </c>
      <c r="L88" s="18">
        <v>2379</v>
      </c>
      <c r="M88" s="27" t="s">
        <v>3520</v>
      </c>
      <c r="N88" s="18"/>
      <c r="O88" s="25">
        <v>88912.82</v>
      </c>
      <c r="P88" s="25">
        <v>30830.38</v>
      </c>
      <c r="Q88" s="28">
        <v>119743.2</v>
      </c>
    </row>
    <row r="89" spans="1:17" ht="12" customHeight="1" x14ac:dyDescent="0.2">
      <c r="A89" s="21" t="s">
        <v>703</v>
      </c>
      <c r="B89" s="21" t="s">
        <v>704</v>
      </c>
      <c r="C89" s="21" t="s">
        <v>705</v>
      </c>
      <c r="D89" s="21" t="s">
        <v>706</v>
      </c>
      <c r="E89" s="22" t="s">
        <v>707</v>
      </c>
      <c r="F89" s="23" t="s">
        <v>708</v>
      </c>
      <c r="G89" s="33" t="s">
        <v>709</v>
      </c>
      <c r="H89" s="25">
        <v>79747.98</v>
      </c>
      <c r="I89" s="26" t="s">
        <v>710</v>
      </c>
      <c r="J89" s="25">
        <v>79629.16</v>
      </c>
      <c r="K89" s="18" t="s">
        <v>3520</v>
      </c>
      <c r="L89" s="18">
        <v>4080.08</v>
      </c>
      <c r="M89" s="27" t="s">
        <v>3520</v>
      </c>
      <c r="N89" s="18"/>
      <c r="O89" s="25">
        <v>83709.240000000005</v>
      </c>
      <c r="P89" s="25">
        <v>35000.199999999997</v>
      </c>
      <c r="Q89" s="28">
        <v>118709.44</v>
      </c>
    </row>
    <row r="90" spans="1:17" ht="12" customHeight="1" x14ac:dyDescent="0.2">
      <c r="A90" s="21" t="s">
        <v>711</v>
      </c>
      <c r="B90" s="21" t="s">
        <v>712</v>
      </c>
      <c r="C90" s="21" t="s">
        <v>713</v>
      </c>
      <c r="D90" s="21" t="s">
        <v>714</v>
      </c>
      <c r="E90" s="22" t="s">
        <v>715</v>
      </c>
      <c r="F90" s="23" t="s">
        <v>716</v>
      </c>
      <c r="G90" s="33" t="s">
        <v>717</v>
      </c>
      <c r="H90" s="25">
        <v>65020.800000000003</v>
      </c>
      <c r="I90" s="26" t="s">
        <v>718</v>
      </c>
      <c r="J90" s="25">
        <v>67563.25</v>
      </c>
      <c r="K90" s="18">
        <v>19916.5</v>
      </c>
      <c r="L90" s="18">
        <v>781</v>
      </c>
      <c r="M90" s="27" t="s">
        <v>3520</v>
      </c>
      <c r="N90" s="18"/>
      <c r="O90" s="25">
        <v>88260.75</v>
      </c>
      <c r="P90" s="25">
        <v>30397.35</v>
      </c>
      <c r="Q90" s="28">
        <v>118658.1</v>
      </c>
    </row>
    <row r="91" spans="1:17" ht="12" customHeight="1" x14ac:dyDescent="0.2">
      <c r="A91" s="21" t="s">
        <v>719</v>
      </c>
      <c r="B91" s="21" t="s">
        <v>720</v>
      </c>
      <c r="C91" s="21" t="s">
        <v>721</v>
      </c>
      <c r="D91" s="21" t="s">
        <v>722</v>
      </c>
      <c r="E91" s="22" t="s">
        <v>723</v>
      </c>
      <c r="F91" s="23" t="s">
        <v>724</v>
      </c>
      <c r="G91" s="33" t="s">
        <v>725</v>
      </c>
      <c r="H91" s="25">
        <v>75691.199999999997</v>
      </c>
      <c r="I91" s="26" t="s">
        <v>726</v>
      </c>
      <c r="J91" s="25">
        <v>74460.23</v>
      </c>
      <c r="K91" s="18">
        <v>3723.67</v>
      </c>
      <c r="L91" s="18">
        <v>4699.18</v>
      </c>
      <c r="M91" s="27" t="s">
        <v>3520</v>
      </c>
      <c r="N91" s="18"/>
      <c r="O91" s="25">
        <v>82883.08</v>
      </c>
      <c r="P91" s="25">
        <v>35578.14</v>
      </c>
      <c r="Q91" s="28">
        <v>118461.22</v>
      </c>
    </row>
    <row r="92" spans="1:17" ht="12" customHeight="1" x14ac:dyDescent="0.2">
      <c r="A92" s="21" t="s">
        <v>727</v>
      </c>
      <c r="B92" s="21" t="s">
        <v>728</v>
      </c>
      <c r="C92" s="21" t="s">
        <v>729</v>
      </c>
      <c r="D92" s="21" t="s">
        <v>730</v>
      </c>
      <c r="E92" s="22" t="s">
        <v>731</v>
      </c>
      <c r="F92" s="23" t="s">
        <v>732</v>
      </c>
      <c r="G92" s="33" t="s">
        <v>733</v>
      </c>
      <c r="H92" s="25">
        <v>52543.17</v>
      </c>
      <c r="I92" s="26" t="s">
        <v>734</v>
      </c>
      <c r="J92" s="25">
        <v>49631.09</v>
      </c>
      <c r="K92" s="18">
        <v>31019.77</v>
      </c>
      <c r="L92" s="18">
        <v>2827.6</v>
      </c>
      <c r="M92" s="27" t="s">
        <v>3520</v>
      </c>
      <c r="N92" s="18"/>
      <c r="O92" s="25">
        <v>83478.460000000006</v>
      </c>
      <c r="P92" s="25">
        <v>34761.58</v>
      </c>
      <c r="Q92" s="28">
        <v>118240.04</v>
      </c>
    </row>
    <row r="93" spans="1:17" ht="12" customHeight="1" x14ac:dyDescent="0.2">
      <c r="A93" s="21" t="s">
        <v>735</v>
      </c>
      <c r="B93" s="21" t="s">
        <v>736</v>
      </c>
      <c r="C93" s="21" t="s">
        <v>737</v>
      </c>
      <c r="D93" s="21" t="s">
        <v>738</v>
      </c>
      <c r="E93" s="22" t="s">
        <v>739</v>
      </c>
      <c r="F93" s="23" t="s">
        <v>740</v>
      </c>
      <c r="G93" s="33" t="s">
        <v>741</v>
      </c>
      <c r="H93" s="25">
        <v>57820.88</v>
      </c>
      <c r="I93" s="26" t="s">
        <v>742</v>
      </c>
      <c r="J93" s="25">
        <v>69600.759999999995</v>
      </c>
      <c r="K93" s="18">
        <v>4598.6499999999996</v>
      </c>
      <c r="L93" s="18">
        <v>3696.74</v>
      </c>
      <c r="M93" s="27" t="s">
        <v>3520</v>
      </c>
      <c r="N93" s="18"/>
      <c r="O93" s="25">
        <v>77896.149999999994</v>
      </c>
      <c r="P93" s="25">
        <v>39053.49</v>
      </c>
      <c r="Q93" s="28">
        <v>116949.64</v>
      </c>
    </row>
    <row r="94" spans="1:17" ht="12" customHeight="1" x14ac:dyDescent="0.2">
      <c r="A94" s="21" t="s">
        <v>743</v>
      </c>
      <c r="B94" s="21" t="s">
        <v>744</v>
      </c>
      <c r="C94" s="21" t="s">
        <v>745</v>
      </c>
      <c r="D94" s="21" t="s">
        <v>746</v>
      </c>
      <c r="E94" s="22" t="s">
        <v>747</v>
      </c>
      <c r="F94" s="23" t="s">
        <v>748</v>
      </c>
      <c r="G94" s="33" t="s">
        <v>749</v>
      </c>
      <c r="H94" s="25">
        <v>54497.78</v>
      </c>
      <c r="I94" s="26" t="s">
        <v>750</v>
      </c>
      <c r="J94" s="25">
        <v>57175.63</v>
      </c>
      <c r="K94" s="18">
        <v>19770.490000000002</v>
      </c>
      <c r="L94" s="18">
        <v>9350.31</v>
      </c>
      <c r="M94" s="27" t="s">
        <v>3520</v>
      </c>
      <c r="N94" s="18"/>
      <c r="O94" s="25">
        <v>86296.43</v>
      </c>
      <c r="P94" s="25">
        <v>30128.53</v>
      </c>
      <c r="Q94" s="28">
        <v>116424.96000000001</v>
      </c>
    </row>
    <row r="95" spans="1:17" ht="12" customHeight="1" x14ac:dyDescent="0.2">
      <c r="A95" s="21" t="s">
        <v>751</v>
      </c>
      <c r="B95" s="21" t="s">
        <v>752</v>
      </c>
      <c r="C95" s="21" t="s">
        <v>753</v>
      </c>
      <c r="D95" s="21" t="s">
        <v>754</v>
      </c>
      <c r="E95" s="22" t="s">
        <v>755</v>
      </c>
      <c r="F95" s="23" t="s">
        <v>756</v>
      </c>
      <c r="G95" s="33" t="s">
        <v>757</v>
      </c>
      <c r="H95" s="25">
        <v>54497.78</v>
      </c>
      <c r="I95" s="26" t="s">
        <v>758</v>
      </c>
      <c r="J95" s="25">
        <v>54246.74</v>
      </c>
      <c r="K95" s="18">
        <v>17980.05</v>
      </c>
      <c r="L95" s="18">
        <v>4483.3500000000004</v>
      </c>
      <c r="M95" s="27" t="s">
        <v>3520</v>
      </c>
      <c r="N95" s="18"/>
      <c r="O95" s="25">
        <v>76710.14</v>
      </c>
      <c r="P95" s="25">
        <v>38998.339999999997</v>
      </c>
      <c r="Q95" s="28">
        <v>115708.48</v>
      </c>
    </row>
    <row r="96" spans="1:17" ht="12" customHeight="1" x14ac:dyDescent="0.2">
      <c r="A96" s="21" t="s">
        <v>759</v>
      </c>
      <c r="B96" s="21" t="s">
        <v>760</v>
      </c>
      <c r="C96" s="21" t="s">
        <v>761</v>
      </c>
      <c r="D96" s="21" t="s">
        <v>762</v>
      </c>
      <c r="E96" s="22" t="s">
        <v>763</v>
      </c>
      <c r="F96" s="23" t="s">
        <v>764</v>
      </c>
      <c r="G96" s="33" t="s">
        <v>765</v>
      </c>
      <c r="H96" s="25">
        <v>72550.399999999994</v>
      </c>
      <c r="I96" s="26" t="s">
        <v>766</v>
      </c>
      <c r="J96" s="25">
        <v>73347.09</v>
      </c>
      <c r="K96" s="18">
        <v>231.94</v>
      </c>
      <c r="L96" s="18">
        <v>2286.8200000000002</v>
      </c>
      <c r="M96" s="27" t="s">
        <v>3520</v>
      </c>
      <c r="N96" s="18"/>
      <c r="O96" s="25">
        <v>75865.850000000006</v>
      </c>
      <c r="P96" s="25">
        <v>38861.11</v>
      </c>
      <c r="Q96" s="28">
        <v>114726.96</v>
      </c>
    </row>
    <row r="97" spans="1:17" ht="12" customHeight="1" x14ac:dyDescent="0.2">
      <c r="A97" s="21" t="s">
        <v>767</v>
      </c>
      <c r="B97" s="21" t="s">
        <v>768</v>
      </c>
      <c r="C97" s="21" t="s">
        <v>769</v>
      </c>
      <c r="D97" s="21" t="s">
        <v>770</v>
      </c>
      <c r="E97" s="22" t="s">
        <v>771</v>
      </c>
      <c r="F97" s="23" t="s">
        <v>772</v>
      </c>
      <c r="G97" s="33" t="s">
        <v>773</v>
      </c>
      <c r="H97" s="25">
        <v>62963.96</v>
      </c>
      <c r="I97" s="26" t="s">
        <v>774</v>
      </c>
      <c r="J97" s="25">
        <v>65136.84</v>
      </c>
      <c r="K97" s="18">
        <v>15441.71</v>
      </c>
      <c r="L97" s="18">
        <v>5186.76</v>
      </c>
      <c r="M97" s="27" t="s">
        <v>3520</v>
      </c>
      <c r="N97" s="18"/>
      <c r="O97" s="25">
        <v>85765.31</v>
      </c>
      <c r="P97" s="25">
        <v>28770.07</v>
      </c>
      <c r="Q97" s="28">
        <v>114535.38</v>
      </c>
    </row>
    <row r="98" spans="1:17" ht="12" customHeight="1" x14ac:dyDescent="0.2">
      <c r="A98" s="21" t="s">
        <v>775</v>
      </c>
      <c r="B98" s="21" t="s">
        <v>776</v>
      </c>
      <c r="C98" s="21" t="s">
        <v>777</v>
      </c>
      <c r="D98" s="21" t="s">
        <v>778</v>
      </c>
      <c r="E98" s="22" t="s">
        <v>779</v>
      </c>
      <c r="F98" s="23" t="s">
        <v>780</v>
      </c>
      <c r="G98" s="33" t="s">
        <v>781</v>
      </c>
      <c r="H98" s="25">
        <v>66851.199999999997</v>
      </c>
      <c r="I98" s="26" t="s">
        <v>782</v>
      </c>
      <c r="J98" s="25">
        <v>68167.67</v>
      </c>
      <c r="K98" s="18">
        <v>8606.24</v>
      </c>
      <c r="L98" s="18">
        <v>7502.08</v>
      </c>
      <c r="M98" s="27" t="s">
        <v>3520</v>
      </c>
      <c r="N98" s="18"/>
      <c r="O98" s="25">
        <v>84275.99</v>
      </c>
      <c r="P98" s="25">
        <v>29637.95</v>
      </c>
      <c r="Q98" s="28">
        <v>113913.94</v>
      </c>
    </row>
    <row r="99" spans="1:17" ht="12" customHeight="1" x14ac:dyDescent="0.2">
      <c r="A99" s="21" t="s">
        <v>783</v>
      </c>
      <c r="B99" s="21" t="s">
        <v>784</v>
      </c>
      <c r="C99" s="21" t="s">
        <v>785</v>
      </c>
      <c r="D99" s="21" t="s">
        <v>786</v>
      </c>
      <c r="E99" s="22" t="s">
        <v>787</v>
      </c>
      <c r="F99" s="23" t="s">
        <v>788</v>
      </c>
      <c r="G99" s="33" t="s">
        <v>789</v>
      </c>
      <c r="H99" s="25">
        <v>68369.600000000006</v>
      </c>
      <c r="I99" s="26" t="s">
        <v>790</v>
      </c>
      <c r="J99" s="25">
        <v>70490.210000000006</v>
      </c>
      <c r="K99" s="18">
        <v>6853.65</v>
      </c>
      <c r="L99" s="18">
        <v>1155</v>
      </c>
      <c r="M99" s="27" t="s">
        <v>3520</v>
      </c>
      <c r="N99" s="18"/>
      <c r="O99" s="25">
        <v>78498.86</v>
      </c>
      <c r="P99" s="25">
        <v>35411.35</v>
      </c>
      <c r="Q99" s="28">
        <v>113910.21</v>
      </c>
    </row>
    <row r="100" spans="1:17" ht="12" customHeight="1" x14ac:dyDescent="0.2">
      <c r="A100" s="21" t="s">
        <v>791</v>
      </c>
      <c r="B100" s="21" t="s">
        <v>792</v>
      </c>
      <c r="C100" s="21" t="s">
        <v>793</v>
      </c>
      <c r="D100" s="21" t="s">
        <v>794</v>
      </c>
      <c r="E100" s="22" t="s">
        <v>795</v>
      </c>
      <c r="F100" s="23" t="s">
        <v>796</v>
      </c>
      <c r="G100" s="33" t="s">
        <v>797</v>
      </c>
      <c r="H100" s="25">
        <v>62963.96</v>
      </c>
      <c r="I100" s="26" t="s">
        <v>798</v>
      </c>
      <c r="J100" s="25">
        <v>58874.49</v>
      </c>
      <c r="K100" s="18">
        <v>15366.09</v>
      </c>
      <c r="L100" s="18">
        <v>1718.12</v>
      </c>
      <c r="M100" s="27" t="s">
        <v>3520</v>
      </c>
      <c r="N100" s="18"/>
      <c r="O100" s="25">
        <v>75958.7</v>
      </c>
      <c r="P100" s="25">
        <v>37752.82</v>
      </c>
      <c r="Q100" s="28">
        <v>113711.52</v>
      </c>
    </row>
    <row r="101" spans="1:17" ht="12" customHeight="1" x14ac:dyDescent="0.2">
      <c r="A101" s="21" t="s">
        <v>799</v>
      </c>
      <c r="B101" s="21" t="s">
        <v>800</v>
      </c>
      <c r="C101" s="21" t="s">
        <v>801</v>
      </c>
      <c r="D101" s="21" t="s">
        <v>802</v>
      </c>
      <c r="E101" s="22" t="s">
        <v>803</v>
      </c>
      <c r="F101" s="23" t="s">
        <v>804</v>
      </c>
      <c r="G101" s="34" t="s">
        <v>805</v>
      </c>
      <c r="H101" s="25">
        <v>150993.96</v>
      </c>
      <c r="I101" s="25">
        <v>320.12</v>
      </c>
      <c r="J101" s="18">
        <v>81135.289999999994</v>
      </c>
      <c r="K101" s="18" t="s">
        <v>3520</v>
      </c>
      <c r="L101" s="18">
        <v>4153.96</v>
      </c>
      <c r="M101" s="27" t="s">
        <v>3520</v>
      </c>
      <c r="N101" s="18"/>
      <c r="O101" s="25">
        <v>85609.37</v>
      </c>
      <c r="P101" s="25">
        <v>28021.51</v>
      </c>
      <c r="Q101" s="28">
        <v>113630.88</v>
      </c>
    </row>
    <row r="102" spans="1:17" ht="12" customHeight="1" x14ac:dyDescent="0.2">
      <c r="A102" s="21" t="s">
        <v>806</v>
      </c>
      <c r="B102" s="21" t="s">
        <v>807</v>
      </c>
      <c r="C102" s="21" t="s">
        <v>808</v>
      </c>
      <c r="D102" s="21" t="s">
        <v>809</v>
      </c>
      <c r="E102" s="22" t="s">
        <v>810</v>
      </c>
      <c r="F102" s="23" t="s">
        <v>811</v>
      </c>
      <c r="G102" s="33" t="s">
        <v>812</v>
      </c>
      <c r="H102" s="25">
        <v>65041.599999999999</v>
      </c>
      <c r="I102" s="26" t="s">
        <v>813</v>
      </c>
      <c r="J102" s="25">
        <v>67882.36</v>
      </c>
      <c r="K102" s="18">
        <v>7605.31</v>
      </c>
      <c r="L102" s="18">
        <v>3458.24</v>
      </c>
      <c r="M102" s="27" t="s">
        <v>3520</v>
      </c>
      <c r="N102" s="18"/>
      <c r="O102" s="25">
        <v>78945.91</v>
      </c>
      <c r="P102" s="25">
        <v>34461.94</v>
      </c>
      <c r="Q102" s="28">
        <v>113407.85</v>
      </c>
    </row>
    <row r="103" spans="1:17" ht="12" customHeight="1" x14ac:dyDescent="0.2">
      <c r="A103" s="21" t="s">
        <v>814</v>
      </c>
      <c r="B103" s="21" t="s">
        <v>815</v>
      </c>
      <c r="C103" s="21" t="s">
        <v>816</v>
      </c>
      <c r="D103" s="21" t="s">
        <v>817</v>
      </c>
      <c r="E103" s="22" t="s">
        <v>818</v>
      </c>
      <c r="F103" s="23" t="s">
        <v>819</v>
      </c>
      <c r="G103" s="33" t="s">
        <v>820</v>
      </c>
      <c r="H103" s="25">
        <v>66601.600000000006</v>
      </c>
      <c r="I103" s="26" t="s">
        <v>821</v>
      </c>
      <c r="J103" s="25">
        <v>69119.23</v>
      </c>
      <c r="K103" s="18">
        <v>2937.1</v>
      </c>
      <c r="L103" s="18">
        <v>4411.09</v>
      </c>
      <c r="M103" s="27" t="s">
        <v>3520</v>
      </c>
      <c r="N103" s="18"/>
      <c r="O103" s="25">
        <v>76467.42</v>
      </c>
      <c r="P103" s="25">
        <v>36931.050000000003</v>
      </c>
      <c r="Q103" s="28">
        <v>113398.47</v>
      </c>
    </row>
    <row r="104" spans="1:17" ht="12" customHeight="1" x14ac:dyDescent="0.2">
      <c r="A104" s="21" t="s">
        <v>822</v>
      </c>
      <c r="B104" s="21" t="s">
        <v>823</v>
      </c>
      <c r="C104" s="21" t="s">
        <v>824</v>
      </c>
      <c r="D104" s="21" t="s">
        <v>825</v>
      </c>
      <c r="E104" s="22" t="s">
        <v>826</v>
      </c>
      <c r="F104" s="23" t="s">
        <v>827</v>
      </c>
      <c r="G104" s="34" t="s">
        <v>828</v>
      </c>
      <c r="H104" s="25">
        <v>91407.42</v>
      </c>
      <c r="I104" s="25">
        <v>2689.74</v>
      </c>
      <c r="J104" s="25">
        <v>77208.55</v>
      </c>
      <c r="K104" s="18" t="s">
        <v>3520</v>
      </c>
      <c r="L104" s="18">
        <v>4539.0200000000004</v>
      </c>
      <c r="M104" s="27" t="s">
        <v>3520</v>
      </c>
      <c r="N104" s="18"/>
      <c r="O104" s="25">
        <v>84437.31</v>
      </c>
      <c r="P104" s="25">
        <v>28203.07</v>
      </c>
      <c r="Q104" s="28">
        <v>112640.38</v>
      </c>
    </row>
    <row r="105" spans="1:17" ht="12" customHeight="1" x14ac:dyDescent="0.2">
      <c r="A105" s="21" t="s">
        <v>829</v>
      </c>
      <c r="B105" s="21" t="s">
        <v>830</v>
      </c>
      <c r="C105" s="21" t="s">
        <v>831</v>
      </c>
      <c r="D105" s="21" t="s">
        <v>832</v>
      </c>
      <c r="E105" s="22" t="s">
        <v>833</v>
      </c>
      <c r="F105" s="23" t="s">
        <v>834</v>
      </c>
      <c r="G105" s="33" t="s">
        <v>835</v>
      </c>
      <c r="H105" s="25">
        <v>69644.12</v>
      </c>
      <c r="I105" s="26" t="s">
        <v>836</v>
      </c>
      <c r="J105" s="25">
        <v>58685.66</v>
      </c>
      <c r="K105" s="18">
        <v>9350.2800000000007</v>
      </c>
      <c r="L105" s="18">
        <v>3327.42</v>
      </c>
      <c r="M105" s="27">
        <v>3394.46</v>
      </c>
      <c r="N105" s="18"/>
      <c r="O105" s="25">
        <v>74757.820000000007</v>
      </c>
      <c r="P105" s="25">
        <v>37638.61</v>
      </c>
      <c r="Q105" s="28">
        <v>112396.43</v>
      </c>
    </row>
    <row r="106" spans="1:17" ht="12" customHeight="1" x14ac:dyDescent="0.2">
      <c r="A106" s="21" t="s">
        <v>837</v>
      </c>
      <c r="B106" s="21" t="s">
        <v>838</v>
      </c>
      <c r="C106" s="21" t="s">
        <v>839</v>
      </c>
      <c r="D106" s="21" t="s">
        <v>840</v>
      </c>
      <c r="E106" s="22" t="s">
        <v>841</v>
      </c>
      <c r="F106" s="23" t="s">
        <v>842</v>
      </c>
      <c r="G106" s="33" t="s">
        <v>843</v>
      </c>
      <c r="H106" s="25">
        <v>56001.919999999998</v>
      </c>
      <c r="I106" s="26" t="s">
        <v>844</v>
      </c>
      <c r="J106" s="25">
        <v>68776.460000000006</v>
      </c>
      <c r="K106" s="18">
        <v>4216.9799999999996</v>
      </c>
      <c r="L106" s="18">
        <v>4459.66</v>
      </c>
      <c r="M106" s="27">
        <v>1246.56</v>
      </c>
      <c r="N106" s="18"/>
      <c r="O106" s="25">
        <v>78699.66</v>
      </c>
      <c r="P106" s="25">
        <v>33531.440000000002</v>
      </c>
      <c r="Q106" s="28">
        <v>112231.1</v>
      </c>
    </row>
    <row r="107" spans="1:17" ht="12" customHeight="1" x14ac:dyDescent="0.2">
      <c r="A107" s="21" t="s">
        <v>845</v>
      </c>
      <c r="B107" s="21" t="s">
        <v>846</v>
      </c>
      <c r="C107" s="21" t="s">
        <v>847</v>
      </c>
      <c r="D107" s="21" t="s">
        <v>848</v>
      </c>
      <c r="E107" s="22" t="s">
        <v>849</v>
      </c>
      <c r="F107" s="23" t="s">
        <v>850</v>
      </c>
      <c r="G107" s="34" t="s">
        <v>851</v>
      </c>
      <c r="H107" s="25">
        <v>81667.820000000007</v>
      </c>
      <c r="I107" s="25">
        <v>2942</v>
      </c>
      <c r="J107" s="25">
        <v>72122.929999999993</v>
      </c>
      <c r="K107" s="18" t="s">
        <v>3520</v>
      </c>
      <c r="L107" s="18">
        <v>877.5</v>
      </c>
      <c r="M107" s="27" t="s">
        <v>3520</v>
      </c>
      <c r="N107" s="18"/>
      <c r="O107" s="25">
        <v>75942.429999999993</v>
      </c>
      <c r="P107" s="25">
        <v>36180.1</v>
      </c>
      <c r="Q107" s="28">
        <v>112122.53</v>
      </c>
    </row>
    <row r="108" spans="1:17" ht="12" customHeight="1" x14ac:dyDescent="0.2">
      <c r="A108" s="21" t="s">
        <v>852</v>
      </c>
      <c r="B108" s="21" t="s">
        <v>853</v>
      </c>
      <c r="C108" s="21" t="s">
        <v>854</v>
      </c>
      <c r="D108" s="21" t="s">
        <v>855</v>
      </c>
      <c r="E108" s="22" t="s">
        <v>856</v>
      </c>
      <c r="F108" s="23" t="s">
        <v>857</v>
      </c>
      <c r="G108" s="33" t="s">
        <v>858</v>
      </c>
      <c r="H108" s="25">
        <v>63415.56</v>
      </c>
      <c r="I108" s="26" t="s">
        <v>859</v>
      </c>
      <c r="J108" s="25">
        <v>69080.100000000006</v>
      </c>
      <c r="K108" s="18">
        <v>4902.55</v>
      </c>
      <c r="L108" s="18">
        <v>5412.08</v>
      </c>
      <c r="M108" s="27">
        <v>3967.62</v>
      </c>
      <c r="N108" s="18"/>
      <c r="O108" s="25">
        <v>83362.350000000006</v>
      </c>
      <c r="P108" s="25">
        <v>28746.34</v>
      </c>
      <c r="Q108" s="28">
        <v>112108.69</v>
      </c>
    </row>
    <row r="109" spans="1:17" ht="12" customHeight="1" x14ac:dyDescent="0.2">
      <c r="A109" s="21" t="s">
        <v>860</v>
      </c>
      <c r="B109" s="21" t="s">
        <v>861</v>
      </c>
      <c r="C109" s="21" t="s">
        <v>862</v>
      </c>
      <c r="D109" s="21" t="s">
        <v>863</v>
      </c>
      <c r="E109" s="22" t="s">
        <v>864</v>
      </c>
      <c r="F109" s="23" t="s">
        <v>865</v>
      </c>
      <c r="G109" s="33" t="s">
        <v>866</v>
      </c>
      <c r="H109" s="25">
        <v>62963.96</v>
      </c>
      <c r="I109" s="26" t="s">
        <v>867</v>
      </c>
      <c r="J109" s="25">
        <v>60433.97</v>
      </c>
      <c r="K109" s="18">
        <v>14106.59</v>
      </c>
      <c r="L109" s="18">
        <v>4181.41</v>
      </c>
      <c r="M109" s="27" t="s">
        <v>3520</v>
      </c>
      <c r="N109" s="18"/>
      <c r="O109" s="25">
        <v>78721.97</v>
      </c>
      <c r="P109" s="25">
        <v>33264.43</v>
      </c>
      <c r="Q109" s="28">
        <v>111986.4</v>
      </c>
    </row>
    <row r="110" spans="1:17" ht="12" customHeight="1" x14ac:dyDescent="0.2">
      <c r="A110" s="21" t="s">
        <v>868</v>
      </c>
      <c r="B110" s="21" t="s">
        <v>869</v>
      </c>
      <c r="C110" s="21" t="s">
        <v>870</v>
      </c>
      <c r="D110" s="21" t="s">
        <v>871</v>
      </c>
      <c r="E110" s="22" t="s">
        <v>872</v>
      </c>
      <c r="F110" s="23" t="s">
        <v>873</v>
      </c>
      <c r="G110" s="33" t="s">
        <v>874</v>
      </c>
      <c r="H110" s="25">
        <v>65482.559999999998</v>
      </c>
      <c r="I110" s="26" t="s">
        <v>875</v>
      </c>
      <c r="J110" s="25">
        <v>74584.25</v>
      </c>
      <c r="K110" s="18">
        <v>1946.18</v>
      </c>
      <c r="L110" s="18">
        <v>6392.81</v>
      </c>
      <c r="M110" s="27" t="s">
        <v>3520</v>
      </c>
      <c r="N110" s="18"/>
      <c r="O110" s="25">
        <v>82923.240000000005</v>
      </c>
      <c r="P110" s="25">
        <v>28710.94</v>
      </c>
      <c r="Q110" s="28">
        <v>111634.18</v>
      </c>
    </row>
    <row r="111" spans="1:17" ht="12" customHeight="1" x14ac:dyDescent="0.2">
      <c r="A111" s="21" t="s">
        <v>876</v>
      </c>
      <c r="B111" s="21" t="s">
        <v>877</v>
      </c>
      <c r="C111" s="21" t="s">
        <v>878</v>
      </c>
      <c r="D111" s="21" t="s">
        <v>879</v>
      </c>
      <c r="E111" s="22" t="s">
        <v>880</v>
      </c>
      <c r="F111" s="23" t="s">
        <v>881</v>
      </c>
      <c r="G111" s="33" t="s">
        <v>882</v>
      </c>
      <c r="H111" s="25">
        <v>56001.919999999998</v>
      </c>
      <c r="I111" s="26" t="s">
        <v>883</v>
      </c>
      <c r="J111" s="25">
        <v>65615.83</v>
      </c>
      <c r="K111" s="18">
        <v>7807.14</v>
      </c>
      <c r="L111" s="18">
        <v>8218.3799999999992</v>
      </c>
      <c r="M111" s="27">
        <v>618.49</v>
      </c>
      <c r="N111" s="18"/>
      <c r="O111" s="25">
        <v>82259.839999999997</v>
      </c>
      <c r="P111" s="25">
        <v>28964.560000000001</v>
      </c>
      <c r="Q111" s="28">
        <v>111224.4</v>
      </c>
    </row>
    <row r="112" spans="1:17" ht="12" customHeight="1" x14ac:dyDescent="0.2">
      <c r="A112" s="21" t="s">
        <v>884</v>
      </c>
      <c r="B112" s="21" t="s">
        <v>885</v>
      </c>
      <c r="C112" s="21" t="s">
        <v>886</v>
      </c>
      <c r="D112" s="21" t="s">
        <v>887</v>
      </c>
      <c r="E112" s="22" t="s">
        <v>888</v>
      </c>
      <c r="F112" s="23" t="s">
        <v>889</v>
      </c>
      <c r="G112" s="33" t="s">
        <v>890</v>
      </c>
      <c r="H112" s="25">
        <v>69139.199999999997</v>
      </c>
      <c r="I112" s="26" t="s">
        <v>891</v>
      </c>
      <c r="J112" s="25">
        <v>69489.919999999998</v>
      </c>
      <c r="K112" s="18">
        <v>1186.19</v>
      </c>
      <c r="L112" s="18">
        <v>1930</v>
      </c>
      <c r="M112" s="27" t="s">
        <v>3520</v>
      </c>
      <c r="N112" s="18"/>
      <c r="O112" s="25">
        <v>72606.11</v>
      </c>
      <c r="P112" s="25">
        <v>37957</v>
      </c>
      <c r="Q112" s="28">
        <v>110563.11</v>
      </c>
    </row>
    <row r="113" spans="1:17" ht="11" customHeight="1" thickBot="1" x14ac:dyDescent="0.25">
      <c r="A113" s="21" t="s">
        <v>892</v>
      </c>
      <c r="B113" s="21" t="s">
        <v>893</v>
      </c>
      <c r="C113" s="21" t="s">
        <v>894</v>
      </c>
      <c r="D113" s="21" t="s">
        <v>895</v>
      </c>
      <c r="E113" s="22" t="s">
        <v>896</v>
      </c>
      <c r="F113" s="23" t="s">
        <v>897</v>
      </c>
      <c r="G113" s="33" t="s">
        <v>898</v>
      </c>
      <c r="H113" s="25">
        <v>66851.199999999997</v>
      </c>
      <c r="I113" s="26" t="s">
        <v>899</v>
      </c>
      <c r="J113" s="25">
        <v>68276.3</v>
      </c>
      <c r="K113" s="18">
        <v>5658.54</v>
      </c>
      <c r="L113" s="18">
        <v>7619.91</v>
      </c>
      <c r="M113" s="27" t="s">
        <v>3520</v>
      </c>
      <c r="N113" s="18"/>
      <c r="O113" s="25">
        <v>81554.75</v>
      </c>
      <c r="P113" s="25">
        <v>28944.33</v>
      </c>
      <c r="Q113" s="28">
        <v>110499.08</v>
      </c>
    </row>
    <row r="114" spans="1:17" ht="12" customHeight="1" x14ac:dyDescent="0.2">
      <c r="A114" s="10" t="s">
        <v>900</v>
      </c>
      <c r="B114" s="10" t="s">
        <v>901</v>
      </c>
      <c r="C114" s="10" t="s">
        <v>902</v>
      </c>
      <c r="D114" s="10" t="s">
        <v>903</v>
      </c>
      <c r="E114" s="11" t="s">
        <v>904</v>
      </c>
      <c r="F114" s="12" t="s">
        <v>905</v>
      </c>
      <c r="G114" s="32" t="s">
        <v>906</v>
      </c>
      <c r="H114" s="14">
        <v>67270.84</v>
      </c>
      <c r="I114" s="15" t="s">
        <v>907</v>
      </c>
      <c r="J114" s="14">
        <v>68698.679999999993</v>
      </c>
      <c r="K114" s="16" t="s">
        <v>3520</v>
      </c>
      <c r="L114" s="16">
        <v>4178.08</v>
      </c>
      <c r="M114" s="17" t="s">
        <v>3520</v>
      </c>
      <c r="N114" s="18"/>
      <c r="O114" s="14">
        <v>72876.759999999995</v>
      </c>
      <c r="P114" s="14">
        <v>37128.92</v>
      </c>
      <c r="Q114" s="20">
        <v>110005.68</v>
      </c>
    </row>
    <row r="115" spans="1:17" ht="12" customHeight="1" x14ac:dyDescent="0.2">
      <c r="A115" s="21" t="s">
        <v>908</v>
      </c>
      <c r="B115" s="21" t="s">
        <v>909</v>
      </c>
      <c r="C115" s="21" t="s">
        <v>910</v>
      </c>
      <c r="D115" s="21" t="s">
        <v>911</v>
      </c>
      <c r="E115" s="22" t="s">
        <v>912</v>
      </c>
      <c r="F115" s="23" t="s">
        <v>913</v>
      </c>
      <c r="G115" s="33" t="s">
        <v>914</v>
      </c>
      <c r="H115" s="25">
        <v>75957.7</v>
      </c>
      <c r="I115" s="26" t="s">
        <v>915</v>
      </c>
      <c r="J115" s="25">
        <v>75817</v>
      </c>
      <c r="K115" s="18" t="s">
        <v>3520</v>
      </c>
      <c r="L115" s="18">
        <v>5164.12</v>
      </c>
      <c r="M115" s="27" t="s">
        <v>3520</v>
      </c>
      <c r="N115" s="18"/>
      <c r="O115" s="25">
        <v>80981.119999999995</v>
      </c>
      <c r="P115" s="25">
        <v>28891.39</v>
      </c>
      <c r="Q115" s="28">
        <v>109872.51</v>
      </c>
    </row>
    <row r="116" spans="1:17" ht="12" customHeight="1" x14ac:dyDescent="0.2">
      <c r="A116" s="21" t="s">
        <v>916</v>
      </c>
      <c r="B116" s="21" t="s">
        <v>917</v>
      </c>
      <c r="C116" s="21" t="s">
        <v>918</v>
      </c>
      <c r="D116" s="21" t="s">
        <v>919</v>
      </c>
      <c r="E116" s="22" t="s">
        <v>920</v>
      </c>
      <c r="F116" s="23" t="s">
        <v>921</v>
      </c>
      <c r="G116" s="33" t="s">
        <v>922</v>
      </c>
      <c r="H116" s="25">
        <v>66851.199999999997</v>
      </c>
      <c r="I116" s="26" t="s">
        <v>923</v>
      </c>
      <c r="J116" s="25">
        <v>68731.09</v>
      </c>
      <c r="K116" s="18">
        <v>4343.08</v>
      </c>
      <c r="L116" s="18">
        <v>3496.7</v>
      </c>
      <c r="M116" s="27" t="s">
        <v>3520</v>
      </c>
      <c r="N116" s="18"/>
      <c r="O116" s="25">
        <v>76570.87</v>
      </c>
      <c r="P116" s="25">
        <v>33203.120000000003</v>
      </c>
      <c r="Q116" s="28">
        <v>109773.99</v>
      </c>
    </row>
    <row r="117" spans="1:17" ht="12" customHeight="1" x14ac:dyDescent="0.2">
      <c r="A117" s="21" t="s">
        <v>924</v>
      </c>
      <c r="B117" s="21" t="s">
        <v>925</v>
      </c>
      <c r="C117" s="21" t="s">
        <v>926</v>
      </c>
      <c r="D117" s="21" t="s">
        <v>927</v>
      </c>
      <c r="E117" s="22" t="s">
        <v>928</v>
      </c>
      <c r="F117" s="23" t="s">
        <v>929</v>
      </c>
      <c r="G117" s="33" t="s">
        <v>930</v>
      </c>
      <c r="H117" s="25">
        <v>85588.1</v>
      </c>
      <c r="I117" s="26" t="s">
        <v>931</v>
      </c>
      <c r="J117" s="25">
        <v>79962.149999999994</v>
      </c>
      <c r="K117" s="18" t="s">
        <v>3520</v>
      </c>
      <c r="L117" s="18">
        <v>800.08</v>
      </c>
      <c r="M117" s="27" t="s">
        <v>3520</v>
      </c>
      <c r="N117" s="18"/>
      <c r="O117" s="18">
        <v>80762.23</v>
      </c>
      <c r="P117" s="25">
        <v>29000.93</v>
      </c>
      <c r="Q117" s="28">
        <v>109763.16</v>
      </c>
    </row>
    <row r="118" spans="1:17" ht="12" customHeight="1" x14ac:dyDescent="0.2">
      <c r="A118" s="21" t="s">
        <v>932</v>
      </c>
      <c r="B118" s="21" t="s">
        <v>933</v>
      </c>
      <c r="C118" s="21" t="s">
        <v>934</v>
      </c>
      <c r="D118" s="21" t="s">
        <v>935</v>
      </c>
      <c r="E118" s="22" t="s">
        <v>936</v>
      </c>
      <c r="F118" s="23" t="s">
        <v>937</v>
      </c>
      <c r="G118" s="33" t="s">
        <v>938</v>
      </c>
      <c r="H118" s="25">
        <v>73299.199999999997</v>
      </c>
      <c r="I118" s="26" t="s">
        <v>939</v>
      </c>
      <c r="J118" s="25">
        <v>74747.38</v>
      </c>
      <c r="K118" s="18">
        <v>2103.29</v>
      </c>
      <c r="L118" s="18">
        <v>3862.25</v>
      </c>
      <c r="M118" s="27" t="s">
        <v>3520</v>
      </c>
      <c r="N118" s="18"/>
      <c r="O118" s="25">
        <v>80712.92</v>
      </c>
      <c r="P118" s="25">
        <v>28802.85</v>
      </c>
      <c r="Q118" s="28">
        <v>109515.77</v>
      </c>
    </row>
    <row r="119" spans="1:17" ht="12" customHeight="1" x14ac:dyDescent="0.2">
      <c r="A119" s="21" t="s">
        <v>940</v>
      </c>
      <c r="B119" s="21" t="s">
        <v>941</v>
      </c>
      <c r="C119" s="21" t="s">
        <v>942</v>
      </c>
      <c r="D119" s="21" t="s">
        <v>943</v>
      </c>
      <c r="E119" s="22" t="s">
        <v>944</v>
      </c>
      <c r="F119" s="23" t="s">
        <v>945</v>
      </c>
      <c r="G119" s="33" t="s">
        <v>946</v>
      </c>
      <c r="H119" s="25">
        <v>56971.199999999997</v>
      </c>
      <c r="I119" s="26" t="s">
        <v>947</v>
      </c>
      <c r="J119" s="25">
        <v>58333.66</v>
      </c>
      <c r="K119" s="18">
        <v>9645.44</v>
      </c>
      <c r="L119" s="18">
        <v>2905.12</v>
      </c>
      <c r="M119" s="27" t="s">
        <v>3520</v>
      </c>
      <c r="N119" s="18"/>
      <c r="O119" s="25">
        <v>70884.22</v>
      </c>
      <c r="P119" s="25">
        <v>37678.93</v>
      </c>
      <c r="Q119" s="28">
        <v>108563.15</v>
      </c>
    </row>
    <row r="120" spans="1:17" ht="12" customHeight="1" x14ac:dyDescent="0.2">
      <c r="A120" s="21" t="s">
        <v>948</v>
      </c>
      <c r="B120" s="21" t="s">
        <v>949</v>
      </c>
      <c r="C120" s="21" t="s">
        <v>950</v>
      </c>
      <c r="D120" s="21" t="s">
        <v>951</v>
      </c>
      <c r="E120" s="22" t="s">
        <v>952</v>
      </c>
      <c r="F120" s="23" t="s">
        <v>953</v>
      </c>
      <c r="G120" s="33" t="s">
        <v>954</v>
      </c>
      <c r="H120" s="25">
        <v>54497.78</v>
      </c>
      <c r="I120" s="26" t="s">
        <v>955</v>
      </c>
      <c r="J120" s="25">
        <v>55299.77</v>
      </c>
      <c r="K120" s="18">
        <v>12202.37</v>
      </c>
      <c r="L120" s="18">
        <v>4173.82</v>
      </c>
      <c r="M120" s="27" t="s">
        <v>3520</v>
      </c>
      <c r="N120" s="18"/>
      <c r="O120" s="25">
        <v>71675.960000000006</v>
      </c>
      <c r="P120" s="25">
        <v>35587.22</v>
      </c>
      <c r="Q120" s="28">
        <v>107263.18</v>
      </c>
    </row>
    <row r="121" spans="1:17" ht="12" customHeight="1" x14ac:dyDescent="0.2">
      <c r="A121" s="21" t="s">
        <v>956</v>
      </c>
      <c r="B121" s="21" t="s">
        <v>957</v>
      </c>
      <c r="C121" s="21" t="s">
        <v>958</v>
      </c>
      <c r="D121" s="21" t="s">
        <v>959</v>
      </c>
      <c r="E121" s="22" t="s">
        <v>960</v>
      </c>
      <c r="F121" s="23" t="s">
        <v>961</v>
      </c>
      <c r="G121" s="33" t="s">
        <v>962</v>
      </c>
      <c r="H121" s="25">
        <v>66601.600000000006</v>
      </c>
      <c r="I121" s="26" t="s">
        <v>963</v>
      </c>
      <c r="J121" s="25">
        <v>67674.17</v>
      </c>
      <c r="K121" s="18">
        <v>4459.4799999999996</v>
      </c>
      <c r="L121" s="18">
        <v>2243.9899999999998</v>
      </c>
      <c r="M121" s="27" t="s">
        <v>3520</v>
      </c>
      <c r="N121" s="18"/>
      <c r="O121" s="25">
        <v>74377.64</v>
      </c>
      <c r="P121" s="25">
        <v>32833.51</v>
      </c>
      <c r="Q121" s="28">
        <v>107211.15</v>
      </c>
    </row>
    <row r="122" spans="1:17" ht="12" customHeight="1" x14ac:dyDescent="0.2">
      <c r="A122" s="21" t="s">
        <v>964</v>
      </c>
      <c r="B122" s="21" t="s">
        <v>965</v>
      </c>
      <c r="C122" s="21" t="s">
        <v>966</v>
      </c>
      <c r="D122" s="21" t="s">
        <v>967</v>
      </c>
      <c r="E122" s="22" t="s">
        <v>968</v>
      </c>
      <c r="F122" s="23" t="s">
        <v>969</v>
      </c>
      <c r="G122" s="33" t="s">
        <v>970</v>
      </c>
      <c r="H122" s="25">
        <v>69056</v>
      </c>
      <c r="I122" s="26" t="s">
        <v>971</v>
      </c>
      <c r="J122" s="25">
        <v>71317.42</v>
      </c>
      <c r="K122" s="18">
        <v>7446.91</v>
      </c>
      <c r="L122" s="25">
        <v>90</v>
      </c>
      <c r="M122" s="27" t="s">
        <v>3520</v>
      </c>
      <c r="N122" s="18"/>
      <c r="O122" s="25">
        <v>78854.33</v>
      </c>
      <c r="P122" s="25">
        <v>28192.240000000002</v>
      </c>
      <c r="Q122" s="28">
        <v>107046.57</v>
      </c>
    </row>
    <row r="123" spans="1:17" ht="12" customHeight="1" x14ac:dyDescent="0.2">
      <c r="A123" s="21" t="s">
        <v>972</v>
      </c>
      <c r="B123" s="21" t="s">
        <v>973</v>
      </c>
      <c r="C123" s="21" t="s">
        <v>974</v>
      </c>
      <c r="D123" s="21" t="s">
        <v>975</v>
      </c>
      <c r="E123" s="22" t="s">
        <v>976</v>
      </c>
      <c r="F123" s="23" t="s">
        <v>977</v>
      </c>
      <c r="G123" s="33" t="s">
        <v>978</v>
      </c>
      <c r="H123" s="25">
        <v>54497.78</v>
      </c>
      <c r="I123" s="26" t="s">
        <v>979</v>
      </c>
      <c r="J123" s="25">
        <v>55810.86</v>
      </c>
      <c r="K123" s="18">
        <v>11350.69</v>
      </c>
      <c r="L123" s="18">
        <v>2475.38</v>
      </c>
      <c r="M123" s="27" t="s">
        <v>3520</v>
      </c>
      <c r="N123" s="18"/>
      <c r="O123" s="25">
        <v>69636.929999999993</v>
      </c>
      <c r="P123" s="25">
        <v>36967.47</v>
      </c>
      <c r="Q123" s="28">
        <v>106604.4</v>
      </c>
    </row>
    <row r="124" spans="1:17" ht="12" customHeight="1" x14ac:dyDescent="0.2">
      <c r="A124" s="21" t="s">
        <v>980</v>
      </c>
      <c r="B124" s="21" t="s">
        <v>981</v>
      </c>
      <c r="C124" s="21" t="s">
        <v>982</v>
      </c>
      <c r="D124" s="21" t="s">
        <v>983</v>
      </c>
      <c r="E124" s="22" t="s">
        <v>984</v>
      </c>
      <c r="F124" s="23" t="s">
        <v>985</v>
      </c>
      <c r="G124" s="33" t="s">
        <v>986</v>
      </c>
      <c r="H124" s="25">
        <v>57820.88</v>
      </c>
      <c r="I124" s="26" t="s">
        <v>987</v>
      </c>
      <c r="J124" s="25">
        <v>71046.53</v>
      </c>
      <c r="K124" s="18">
        <v>4456.01</v>
      </c>
      <c r="L124" s="18">
        <v>3029.54</v>
      </c>
      <c r="M124" s="27" t="s">
        <v>3520</v>
      </c>
      <c r="N124" s="18"/>
      <c r="O124" s="25">
        <v>78532.08</v>
      </c>
      <c r="P124" s="25">
        <v>27684.52</v>
      </c>
      <c r="Q124" s="28">
        <v>106216.6</v>
      </c>
    </row>
    <row r="125" spans="1:17" ht="12" customHeight="1" x14ac:dyDescent="0.2">
      <c r="A125" s="21" t="s">
        <v>988</v>
      </c>
      <c r="B125" s="21" t="s">
        <v>989</v>
      </c>
      <c r="C125" s="21" t="s">
        <v>990</v>
      </c>
      <c r="D125" s="21" t="s">
        <v>991</v>
      </c>
      <c r="E125" s="22" t="s">
        <v>992</v>
      </c>
      <c r="F125" s="23" t="s">
        <v>993</v>
      </c>
      <c r="G125" s="33" t="s">
        <v>994</v>
      </c>
      <c r="H125" s="25">
        <v>78022.62</v>
      </c>
      <c r="I125" s="26" t="s">
        <v>995</v>
      </c>
      <c r="J125" s="25">
        <v>77906.37</v>
      </c>
      <c r="K125" s="18" t="s">
        <v>3520</v>
      </c>
      <c r="L125" s="18">
        <v>170</v>
      </c>
      <c r="M125" s="27" t="s">
        <v>3520</v>
      </c>
      <c r="N125" s="18"/>
      <c r="O125" s="18">
        <v>78076.37</v>
      </c>
      <c r="P125" s="25">
        <v>28068.31</v>
      </c>
      <c r="Q125" s="28">
        <v>106144.68</v>
      </c>
    </row>
    <row r="126" spans="1:17" ht="12" customHeight="1" x14ac:dyDescent="0.2">
      <c r="A126" s="21" t="s">
        <v>996</v>
      </c>
      <c r="B126" s="21" t="s">
        <v>997</v>
      </c>
      <c r="C126" s="21" t="s">
        <v>998</v>
      </c>
      <c r="D126" s="21" t="s">
        <v>999</v>
      </c>
      <c r="E126" s="22" t="s">
        <v>1000</v>
      </c>
      <c r="F126" s="23" t="s">
        <v>1001</v>
      </c>
      <c r="G126" s="33" t="s">
        <v>1002</v>
      </c>
      <c r="H126" s="25">
        <v>54497.78</v>
      </c>
      <c r="I126" s="26" t="s">
        <v>1003</v>
      </c>
      <c r="J126" s="25">
        <v>56509.06</v>
      </c>
      <c r="K126" s="18">
        <v>13558.67</v>
      </c>
      <c r="L126" s="18">
        <v>7538.15</v>
      </c>
      <c r="M126" s="27" t="s">
        <v>3520</v>
      </c>
      <c r="N126" s="18"/>
      <c r="O126" s="25">
        <v>77605.88</v>
      </c>
      <c r="P126" s="25">
        <v>27861.41</v>
      </c>
      <c r="Q126" s="28">
        <v>105467.29</v>
      </c>
    </row>
    <row r="127" spans="1:17" ht="12" customHeight="1" x14ac:dyDescent="0.2">
      <c r="A127" s="21" t="s">
        <v>1004</v>
      </c>
      <c r="B127" s="21" t="s">
        <v>1005</v>
      </c>
      <c r="C127" s="21" t="s">
        <v>1006</v>
      </c>
      <c r="D127" s="21" t="s">
        <v>1007</v>
      </c>
      <c r="E127" s="22" t="s">
        <v>1008</v>
      </c>
      <c r="F127" s="23" t="s">
        <v>1009</v>
      </c>
      <c r="G127" s="33" t="s">
        <v>1010</v>
      </c>
      <c r="H127" s="25">
        <v>54497.78</v>
      </c>
      <c r="I127" s="26" t="s">
        <v>1011</v>
      </c>
      <c r="J127" s="25">
        <v>41513.18</v>
      </c>
      <c r="K127" s="18">
        <v>32734.85</v>
      </c>
      <c r="L127" s="18">
        <v>2363.8200000000002</v>
      </c>
      <c r="M127" s="27" t="s">
        <v>3520</v>
      </c>
      <c r="N127" s="18"/>
      <c r="O127" s="25">
        <v>76611.850000000006</v>
      </c>
      <c r="P127" s="25">
        <v>27647.119999999999</v>
      </c>
      <c r="Q127" s="28">
        <v>104258.97</v>
      </c>
    </row>
    <row r="128" spans="1:17" ht="12" customHeight="1" x14ac:dyDescent="0.2">
      <c r="A128" s="21" t="s">
        <v>1012</v>
      </c>
      <c r="B128" s="21" t="s">
        <v>1013</v>
      </c>
      <c r="C128" s="21" t="s">
        <v>1014</v>
      </c>
      <c r="D128" s="21" t="s">
        <v>1015</v>
      </c>
      <c r="E128" s="22" t="s">
        <v>1016</v>
      </c>
      <c r="F128" s="23" t="s">
        <v>1017</v>
      </c>
      <c r="G128" s="33" t="s">
        <v>1018</v>
      </c>
      <c r="H128" s="25">
        <v>66851.199999999997</v>
      </c>
      <c r="I128" s="26" t="s">
        <v>1019</v>
      </c>
      <c r="J128" s="25">
        <v>66907.66</v>
      </c>
      <c r="K128" s="18">
        <v>5380.6</v>
      </c>
      <c r="L128" s="18">
        <v>4663.6099999999997</v>
      </c>
      <c r="M128" s="27" t="s">
        <v>3520</v>
      </c>
      <c r="N128" s="18"/>
      <c r="O128" s="25">
        <v>76951.87</v>
      </c>
      <c r="P128" s="25">
        <v>26996.16</v>
      </c>
      <c r="Q128" s="28">
        <v>103948.03</v>
      </c>
    </row>
    <row r="129" spans="1:17" ht="12" customHeight="1" x14ac:dyDescent="0.2">
      <c r="A129" s="21" t="s">
        <v>1020</v>
      </c>
      <c r="B129" s="21" t="s">
        <v>1021</v>
      </c>
      <c r="C129" s="21" t="s">
        <v>1022</v>
      </c>
      <c r="D129" s="21" t="s">
        <v>1023</v>
      </c>
      <c r="E129" s="22" t="s">
        <v>1024</v>
      </c>
      <c r="F129" s="23" t="s">
        <v>1025</v>
      </c>
      <c r="G129" s="33" t="s">
        <v>1026</v>
      </c>
      <c r="H129" s="25">
        <v>60736</v>
      </c>
      <c r="I129" s="26" t="s">
        <v>1027</v>
      </c>
      <c r="J129" s="25">
        <v>61495.82</v>
      </c>
      <c r="K129" s="18">
        <v>3585.93</v>
      </c>
      <c r="L129" s="18">
        <v>2985.84</v>
      </c>
      <c r="M129" s="27" t="s">
        <v>3520</v>
      </c>
      <c r="N129" s="18"/>
      <c r="O129" s="25">
        <v>68067.59</v>
      </c>
      <c r="P129" s="25">
        <v>35873.589999999997</v>
      </c>
      <c r="Q129" s="28">
        <v>103941.18</v>
      </c>
    </row>
    <row r="130" spans="1:17" ht="12" customHeight="1" x14ac:dyDescent="0.2">
      <c r="A130" s="21" t="s">
        <v>1028</v>
      </c>
      <c r="B130" s="21" t="s">
        <v>1029</v>
      </c>
      <c r="C130" s="21" t="s">
        <v>1030</v>
      </c>
      <c r="D130" s="21" t="s">
        <v>1031</v>
      </c>
      <c r="E130" s="22" t="s">
        <v>1032</v>
      </c>
      <c r="F130" s="23" t="s">
        <v>1033</v>
      </c>
      <c r="G130" s="33" t="s">
        <v>1034</v>
      </c>
      <c r="H130" s="25">
        <v>66851.199999999997</v>
      </c>
      <c r="I130" s="26" t="s">
        <v>1035</v>
      </c>
      <c r="J130" s="25">
        <v>59460.47</v>
      </c>
      <c r="K130" s="18">
        <v>2842.24</v>
      </c>
      <c r="L130" s="18">
        <v>4354.74</v>
      </c>
      <c r="M130" s="27" t="s">
        <v>3520</v>
      </c>
      <c r="N130" s="18"/>
      <c r="O130" s="25">
        <v>66657.45</v>
      </c>
      <c r="P130" s="25">
        <v>36608.03</v>
      </c>
      <c r="Q130" s="28">
        <v>103265.48</v>
      </c>
    </row>
    <row r="131" spans="1:17" ht="12" customHeight="1" x14ac:dyDescent="0.2">
      <c r="A131" s="21" t="s">
        <v>1036</v>
      </c>
      <c r="B131" s="21" t="s">
        <v>1037</v>
      </c>
      <c r="C131" s="21" t="s">
        <v>1038</v>
      </c>
      <c r="D131" s="21" t="s">
        <v>1039</v>
      </c>
      <c r="E131" s="22" t="s">
        <v>1040</v>
      </c>
      <c r="F131" s="23" t="s">
        <v>1041</v>
      </c>
      <c r="G131" s="33" t="s">
        <v>1042</v>
      </c>
      <c r="H131" s="25">
        <v>63144.12</v>
      </c>
      <c r="I131" s="26" t="s">
        <v>1043</v>
      </c>
      <c r="J131" s="25">
        <v>63027.15</v>
      </c>
      <c r="K131" s="18" t="s">
        <v>3520</v>
      </c>
      <c r="L131" s="18">
        <v>4418</v>
      </c>
      <c r="M131" s="27" t="s">
        <v>3520</v>
      </c>
      <c r="N131" s="18"/>
      <c r="O131" s="25">
        <v>67445.149999999994</v>
      </c>
      <c r="P131" s="25">
        <v>35694.75</v>
      </c>
      <c r="Q131" s="28">
        <v>103139.9</v>
      </c>
    </row>
    <row r="132" spans="1:17" ht="12" customHeight="1" x14ac:dyDescent="0.2">
      <c r="A132" s="21" t="s">
        <v>1044</v>
      </c>
      <c r="B132" s="21" t="s">
        <v>1045</v>
      </c>
      <c r="C132" s="21" t="s">
        <v>1046</v>
      </c>
      <c r="D132" s="21" t="s">
        <v>1047</v>
      </c>
      <c r="E132" s="22" t="s">
        <v>1048</v>
      </c>
      <c r="F132" s="23" t="s">
        <v>1049</v>
      </c>
      <c r="G132" s="34" t="s">
        <v>1050</v>
      </c>
      <c r="H132" s="25">
        <v>67683.199999999997</v>
      </c>
      <c r="I132" s="25">
        <v>6123.05</v>
      </c>
      <c r="J132" s="25">
        <v>58923.11</v>
      </c>
      <c r="K132" s="18">
        <v>4925.87</v>
      </c>
      <c r="L132" s="18">
        <v>6051</v>
      </c>
      <c r="M132" s="27" t="s">
        <v>3520</v>
      </c>
      <c r="N132" s="18"/>
      <c r="O132" s="25">
        <v>76023.03</v>
      </c>
      <c r="P132" s="25">
        <v>27020.6</v>
      </c>
      <c r="Q132" s="28">
        <v>103043.63</v>
      </c>
    </row>
    <row r="133" spans="1:17" ht="12" customHeight="1" x14ac:dyDescent="0.2">
      <c r="A133" s="21" t="s">
        <v>1051</v>
      </c>
      <c r="B133" s="21" t="s">
        <v>1052</v>
      </c>
      <c r="C133" s="21" t="s">
        <v>1053</v>
      </c>
      <c r="D133" s="21" t="s">
        <v>1054</v>
      </c>
      <c r="E133" s="22" t="s">
        <v>1055</v>
      </c>
      <c r="F133" s="23" t="s">
        <v>1056</v>
      </c>
      <c r="G133" s="33" t="s">
        <v>1057</v>
      </c>
      <c r="H133" s="25">
        <v>70414.240000000005</v>
      </c>
      <c r="I133" s="26" t="s">
        <v>1058</v>
      </c>
      <c r="J133" s="25">
        <v>65031.73</v>
      </c>
      <c r="K133" s="18">
        <v>702.87</v>
      </c>
      <c r="L133" s="18">
        <v>470</v>
      </c>
      <c r="M133" s="27" t="s">
        <v>3520</v>
      </c>
      <c r="N133" s="18"/>
      <c r="O133" s="25">
        <v>66204.600000000006</v>
      </c>
      <c r="P133" s="25">
        <v>35550.300000000003</v>
      </c>
      <c r="Q133" s="28">
        <v>101754.9</v>
      </c>
    </row>
    <row r="134" spans="1:17" ht="12" customHeight="1" x14ac:dyDescent="0.2">
      <c r="A134" s="21" t="s">
        <v>1059</v>
      </c>
      <c r="B134" s="21" t="s">
        <v>1060</v>
      </c>
      <c r="C134" s="21" t="s">
        <v>1061</v>
      </c>
      <c r="D134" s="21" t="s">
        <v>1062</v>
      </c>
      <c r="E134" s="22" t="s">
        <v>1063</v>
      </c>
      <c r="F134" s="23" t="s">
        <v>1064</v>
      </c>
      <c r="G134" s="33" t="s">
        <v>1065</v>
      </c>
      <c r="H134" s="25">
        <v>54497.78</v>
      </c>
      <c r="I134" s="26" t="s">
        <v>1066</v>
      </c>
      <c r="J134" s="25">
        <v>54890.67</v>
      </c>
      <c r="K134" s="18">
        <v>16879.3</v>
      </c>
      <c r="L134" s="18">
        <v>2832.74</v>
      </c>
      <c r="M134" s="27" t="s">
        <v>3520</v>
      </c>
      <c r="N134" s="18"/>
      <c r="O134" s="25">
        <v>74602.710000000006</v>
      </c>
      <c r="P134" s="25">
        <v>26816.43</v>
      </c>
      <c r="Q134" s="28">
        <v>101419.14</v>
      </c>
    </row>
    <row r="135" spans="1:17" ht="12" customHeight="1" x14ac:dyDescent="0.2">
      <c r="A135" s="21" t="s">
        <v>1067</v>
      </c>
      <c r="B135" s="21" t="s">
        <v>1068</v>
      </c>
      <c r="C135" s="21" t="s">
        <v>1069</v>
      </c>
      <c r="D135" s="21" t="s">
        <v>1070</v>
      </c>
      <c r="E135" s="22" t="s">
        <v>1071</v>
      </c>
      <c r="F135" s="23" t="s">
        <v>1072</v>
      </c>
      <c r="G135" s="33" t="s">
        <v>1073</v>
      </c>
      <c r="H135" s="25">
        <v>56001.919999999998</v>
      </c>
      <c r="I135" s="26" t="s">
        <v>1074</v>
      </c>
      <c r="J135" s="25">
        <v>67791.13</v>
      </c>
      <c r="K135" s="18">
        <v>3070.61</v>
      </c>
      <c r="L135" s="18">
        <v>2745.17</v>
      </c>
      <c r="M135" s="27">
        <v>609.6</v>
      </c>
      <c r="N135" s="18"/>
      <c r="O135" s="25">
        <v>74216.509999999995</v>
      </c>
      <c r="P135" s="25">
        <v>27037.25</v>
      </c>
      <c r="Q135" s="28">
        <v>101253.75999999999</v>
      </c>
    </row>
    <row r="136" spans="1:17" ht="12" customHeight="1" x14ac:dyDescent="0.2">
      <c r="A136" s="21" t="s">
        <v>1075</v>
      </c>
      <c r="B136" s="21" t="s">
        <v>1076</v>
      </c>
      <c r="C136" s="21" t="s">
        <v>1077</v>
      </c>
      <c r="D136" s="21" t="s">
        <v>1078</v>
      </c>
      <c r="E136" s="22" t="s">
        <v>1079</v>
      </c>
      <c r="F136" s="23" t="s">
        <v>1080</v>
      </c>
      <c r="G136" s="33" t="s">
        <v>1081</v>
      </c>
      <c r="H136" s="25">
        <v>56525.1</v>
      </c>
      <c r="I136" s="26" t="s">
        <v>1082</v>
      </c>
      <c r="J136" s="25">
        <v>44455.199999999997</v>
      </c>
      <c r="K136" s="18">
        <v>19551.259999999998</v>
      </c>
      <c r="L136" s="18">
        <v>2757.48</v>
      </c>
      <c r="M136" s="27" t="s">
        <v>3520</v>
      </c>
      <c r="N136" s="18"/>
      <c r="O136" s="25">
        <v>66763.94</v>
      </c>
      <c r="P136" s="25">
        <v>33878.78</v>
      </c>
      <c r="Q136" s="28">
        <v>100642.72</v>
      </c>
    </row>
    <row r="137" spans="1:17" ht="12" customHeight="1" x14ac:dyDescent="0.2">
      <c r="A137" s="21" t="s">
        <v>1083</v>
      </c>
      <c r="B137" s="21" t="s">
        <v>1084</v>
      </c>
      <c r="C137" s="21" t="s">
        <v>1085</v>
      </c>
      <c r="D137" s="21" t="s">
        <v>1086</v>
      </c>
      <c r="E137" s="22" t="s">
        <v>1087</v>
      </c>
      <c r="F137" s="23" t="s">
        <v>1088</v>
      </c>
      <c r="G137" s="33" t="s">
        <v>1089</v>
      </c>
      <c r="H137" s="25">
        <v>56971.199999999997</v>
      </c>
      <c r="I137" s="26" t="s">
        <v>1090</v>
      </c>
      <c r="J137" s="25">
        <v>56347.3</v>
      </c>
      <c r="K137" s="18">
        <v>3773.25</v>
      </c>
      <c r="L137" s="18">
        <v>4358.87</v>
      </c>
      <c r="M137" s="27" t="s">
        <v>3520</v>
      </c>
      <c r="N137" s="18"/>
      <c r="O137" s="25">
        <v>64479.42</v>
      </c>
      <c r="P137" s="25">
        <v>36067.03</v>
      </c>
      <c r="Q137" s="28">
        <v>100546.45</v>
      </c>
    </row>
    <row r="138" spans="1:17" ht="12" customHeight="1" x14ac:dyDescent="0.2">
      <c r="A138" s="21" t="s">
        <v>1091</v>
      </c>
      <c r="B138" s="21" t="s">
        <v>1092</v>
      </c>
      <c r="C138" s="21" t="s">
        <v>1093</v>
      </c>
      <c r="D138" s="21" t="s">
        <v>1094</v>
      </c>
      <c r="E138" s="22" t="s">
        <v>1095</v>
      </c>
      <c r="F138" s="23" t="s">
        <v>1096</v>
      </c>
      <c r="G138" s="33" t="s">
        <v>1097</v>
      </c>
      <c r="H138" s="25">
        <v>60736</v>
      </c>
      <c r="I138" s="26" t="s">
        <v>1098</v>
      </c>
      <c r="J138" s="25">
        <v>62067.68</v>
      </c>
      <c r="K138" s="18">
        <v>444.67</v>
      </c>
      <c r="L138" s="18">
        <v>2720.15</v>
      </c>
      <c r="M138" s="27" t="s">
        <v>3520</v>
      </c>
      <c r="N138" s="18"/>
      <c r="O138" s="25">
        <v>65232.5</v>
      </c>
      <c r="P138" s="25">
        <v>35159.9</v>
      </c>
      <c r="Q138" s="28">
        <v>100392.4</v>
      </c>
    </row>
    <row r="139" spans="1:17" ht="12" customHeight="1" x14ac:dyDescent="0.2">
      <c r="A139" s="21" t="s">
        <v>1099</v>
      </c>
      <c r="B139" s="21" t="s">
        <v>1100</v>
      </c>
      <c r="C139" s="21" t="s">
        <v>1101</v>
      </c>
      <c r="D139" s="21" t="s">
        <v>1102</v>
      </c>
      <c r="E139" s="22" t="s">
        <v>1103</v>
      </c>
      <c r="F139" s="23" t="s">
        <v>1104</v>
      </c>
      <c r="G139" s="33" t="s">
        <v>1105</v>
      </c>
      <c r="H139" s="25">
        <v>52543.17</v>
      </c>
      <c r="I139" s="26" t="s">
        <v>1106</v>
      </c>
      <c r="J139" s="25">
        <v>46069.72</v>
      </c>
      <c r="K139" s="18">
        <v>24262.42</v>
      </c>
      <c r="L139" s="18">
        <v>3271.15</v>
      </c>
      <c r="M139" s="27" t="s">
        <v>3520</v>
      </c>
      <c r="N139" s="18"/>
      <c r="O139" s="25">
        <v>73603.289999999994</v>
      </c>
      <c r="P139" s="25">
        <v>26567.64</v>
      </c>
      <c r="Q139" s="28">
        <v>100170.93</v>
      </c>
    </row>
    <row r="140" spans="1:17" ht="12" customHeight="1" x14ac:dyDescent="0.2">
      <c r="A140" s="21" t="s">
        <v>1107</v>
      </c>
      <c r="B140" s="21" t="s">
        <v>1108</v>
      </c>
      <c r="C140" s="21" t="s">
        <v>1109</v>
      </c>
      <c r="D140" s="21" t="s">
        <v>1110</v>
      </c>
      <c r="E140" s="22" t="s">
        <v>1111</v>
      </c>
      <c r="F140" s="23" t="s">
        <v>1112</v>
      </c>
      <c r="G140" s="33" t="s">
        <v>1113</v>
      </c>
      <c r="H140" s="25">
        <v>60736</v>
      </c>
      <c r="I140" s="26" t="s">
        <v>1114</v>
      </c>
      <c r="J140" s="25">
        <v>62331.82</v>
      </c>
      <c r="K140" s="18">
        <v>6859.47</v>
      </c>
      <c r="L140" s="18">
        <v>3886.46</v>
      </c>
      <c r="M140" s="27" t="s">
        <v>3520</v>
      </c>
      <c r="N140" s="18"/>
      <c r="O140" s="25">
        <v>73077.75</v>
      </c>
      <c r="P140" s="25">
        <v>26931.74</v>
      </c>
      <c r="Q140" s="28">
        <v>100009.49</v>
      </c>
    </row>
    <row r="141" spans="1:17" ht="12" customHeight="1" x14ac:dyDescent="0.2">
      <c r="A141" s="21" t="s">
        <v>1115</v>
      </c>
      <c r="B141" s="21" t="s">
        <v>1116</v>
      </c>
      <c r="C141" s="21" t="s">
        <v>1117</v>
      </c>
      <c r="D141" s="21" t="s">
        <v>1118</v>
      </c>
      <c r="E141" s="22" t="s">
        <v>1119</v>
      </c>
      <c r="F141" s="23" t="s">
        <v>1120</v>
      </c>
      <c r="G141" s="33" t="s">
        <v>1121</v>
      </c>
      <c r="H141" s="25">
        <v>64852.88</v>
      </c>
      <c r="I141" s="26" t="s">
        <v>1122</v>
      </c>
      <c r="J141" s="25">
        <v>65487.43</v>
      </c>
      <c r="K141" s="18">
        <v>5029</v>
      </c>
      <c r="L141" s="18">
        <v>2430.27</v>
      </c>
      <c r="M141" s="27" t="s">
        <v>3520</v>
      </c>
      <c r="N141" s="18"/>
      <c r="O141" s="25">
        <v>72946.7</v>
      </c>
      <c r="P141" s="25">
        <v>27037.91</v>
      </c>
      <c r="Q141" s="28">
        <v>99984.61</v>
      </c>
    </row>
    <row r="142" spans="1:17" ht="12" customHeight="1" x14ac:dyDescent="0.2">
      <c r="A142" s="21" t="s">
        <v>1123</v>
      </c>
      <c r="B142" s="21" t="s">
        <v>1124</v>
      </c>
      <c r="C142" s="21" t="s">
        <v>1125</v>
      </c>
      <c r="D142" s="21" t="s">
        <v>1126</v>
      </c>
      <c r="E142" s="22" t="s">
        <v>1127</v>
      </c>
      <c r="F142" s="23" t="s">
        <v>1128</v>
      </c>
      <c r="G142" s="33" t="s">
        <v>1129</v>
      </c>
      <c r="H142" s="25">
        <v>69172.479999999996</v>
      </c>
      <c r="I142" s="26" t="s">
        <v>1130</v>
      </c>
      <c r="J142" s="25">
        <v>69101.7</v>
      </c>
      <c r="K142" s="18" t="s">
        <v>3520</v>
      </c>
      <c r="L142" s="18">
        <v>3305.45</v>
      </c>
      <c r="M142" s="27" t="s">
        <v>3520</v>
      </c>
      <c r="N142" s="18"/>
      <c r="O142" s="25">
        <v>72407.149999999994</v>
      </c>
      <c r="P142" s="25">
        <v>26571.21</v>
      </c>
      <c r="Q142" s="28">
        <v>98978.36</v>
      </c>
    </row>
    <row r="143" spans="1:17" ht="12" customHeight="1" x14ac:dyDescent="0.2">
      <c r="A143" s="21" t="s">
        <v>1131</v>
      </c>
      <c r="B143" s="21" t="s">
        <v>1132</v>
      </c>
      <c r="C143" s="21" t="s">
        <v>1133</v>
      </c>
      <c r="D143" s="21" t="s">
        <v>1134</v>
      </c>
      <c r="E143" s="22" t="s">
        <v>1135</v>
      </c>
      <c r="F143" s="23" t="s">
        <v>1136</v>
      </c>
      <c r="G143" s="33" t="s">
        <v>1137</v>
      </c>
      <c r="H143" s="25">
        <v>68369.600000000006</v>
      </c>
      <c r="I143" s="26" t="s">
        <v>1138</v>
      </c>
      <c r="J143" s="25">
        <v>68195.58</v>
      </c>
      <c r="K143" s="18">
        <v>195.89</v>
      </c>
      <c r="L143" s="18">
        <v>3690</v>
      </c>
      <c r="M143" s="27" t="s">
        <v>3520</v>
      </c>
      <c r="N143" s="18"/>
      <c r="O143" s="25">
        <v>72081.47</v>
      </c>
      <c r="P143" s="25">
        <v>26869.03</v>
      </c>
      <c r="Q143" s="28">
        <v>98950.5</v>
      </c>
    </row>
    <row r="144" spans="1:17" ht="12" customHeight="1" x14ac:dyDescent="0.2">
      <c r="A144" s="21" t="s">
        <v>1139</v>
      </c>
      <c r="B144" s="21" t="s">
        <v>1140</v>
      </c>
      <c r="C144" s="21" t="s">
        <v>1141</v>
      </c>
      <c r="D144" s="21" t="s">
        <v>1142</v>
      </c>
      <c r="E144" s="22" t="s">
        <v>1143</v>
      </c>
      <c r="F144" s="23" t="s">
        <v>1144</v>
      </c>
      <c r="G144" s="33" t="s">
        <v>1145</v>
      </c>
      <c r="H144" s="25">
        <v>56971.199999999997</v>
      </c>
      <c r="I144" s="26" t="s">
        <v>1146</v>
      </c>
      <c r="J144" s="25">
        <v>58106.67</v>
      </c>
      <c r="K144" s="18">
        <v>2946.99</v>
      </c>
      <c r="L144" s="18">
        <v>2743.49</v>
      </c>
      <c r="M144" s="27" t="s">
        <v>3520</v>
      </c>
      <c r="N144" s="18"/>
      <c r="O144" s="25">
        <v>63797.15</v>
      </c>
      <c r="P144" s="25">
        <v>35104.86</v>
      </c>
      <c r="Q144" s="28">
        <v>98902.01</v>
      </c>
    </row>
    <row r="145" spans="1:17" ht="12" customHeight="1" x14ac:dyDescent="0.2">
      <c r="A145" s="21" t="s">
        <v>1147</v>
      </c>
      <c r="B145" s="21" t="s">
        <v>1148</v>
      </c>
      <c r="C145" s="21" t="s">
        <v>1149</v>
      </c>
      <c r="D145" s="21" t="s">
        <v>1150</v>
      </c>
      <c r="E145" s="22" t="s">
        <v>1151</v>
      </c>
      <c r="F145" s="23" t="s">
        <v>1152</v>
      </c>
      <c r="G145" s="34" t="s">
        <v>1153</v>
      </c>
      <c r="H145" s="25">
        <v>66601.600000000006</v>
      </c>
      <c r="I145" s="25">
        <v>8466.09</v>
      </c>
      <c r="J145" s="25">
        <v>44902.81</v>
      </c>
      <c r="K145" s="18">
        <v>16179.41</v>
      </c>
      <c r="L145" s="18">
        <v>5190.1899999999996</v>
      </c>
      <c r="M145" s="27" t="s">
        <v>3520</v>
      </c>
      <c r="N145" s="18"/>
      <c r="O145" s="25">
        <v>74738.5</v>
      </c>
      <c r="P145" s="25">
        <v>24147.5</v>
      </c>
      <c r="Q145" s="28">
        <v>98886</v>
      </c>
    </row>
    <row r="146" spans="1:17" ht="12" customHeight="1" x14ac:dyDescent="0.2">
      <c r="A146" s="21" t="s">
        <v>1154</v>
      </c>
      <c r="B146" s="21" t="s">
        <v>1155</v>
      </c>
      <c r="C146" s="21" t="s">
        <v>1156</v>
      </c>
      <c r="D146" s="21" t="s">
        <v>1157</v>
      </c>
      <c r="E146" s="22" t="s">
        <v>1158</v>
      </c>
      <c r="F146" s="23" t="s">
        <v>1159</v>
      </c>
      <c r="G146" s="33" t="s">
        <v>1160</v>
      </c>
      <c r="H146" s="25">
        <v>62670.400000000001</v>
      </c>
      <c r="I146" s="26" t="s">
        <v>1161</v>
      </c>
      <c r="J146" s="25">
        <v>63581.55</v>
      </c>
      <c r="K146" s="18">
        <v>2406.7600000000002</v>
      </c>
      <c r="L146" s="18">
        <v>6245.55</v>
      </c>
      <c r="M146" s="27" t="s">
        <v>3520</v>
      </c>
      <c r="N146" s="18"/>
      <c r="O146" s="25">
        <v>72233.86</v>
      </c>
      <c r="P146" s="25">
        <v>26635.200000000001</v>
      </c>
      <c r="Q146" s="28">
        <v>98869.06</v>
      </c>
    </row>
    <row r="147" spans="1:17" ht="12" customHeight="1" x14ac:dyDescent="0.2">
      <c r="A147" s="21" t="s">
        <v>1162</v>
      </c>
      <c r="B147" s="21" t="s">
        <v>1163</v>
      </c>
      <c r="C147" s="21" t="s">
        <v>1164</v>
      </c>
      <c r="D147" s="21" t="s">
        <v>1165</v>
      </c>
      <c r="E147" s="22" t="s">
        <v>1166</v>
      </c>
      <c r="F147" s="23" t="s">
        <v>1167</v>
      </c>
      <c r="G147" s="33" t="s">
        <v>1168</v>
      </c>
      <c r="H147" s="25">
        <v>60736</v>
      </c>
      <c r="I147" s="26" t="s">
        <v>1169</v>
      </c>
      <c r="J147" s="25">
        <v>61914.26</v>
      </c>
      <c r="K147" s="18">
        <v>2335.6999999999998</v>
      </c>
      <c r="L147" s="18">
        <v>2915.42</v>
      </c>
      <c r="M147" s="27" t="s">
        <v>3520</v>
      </c>
      <c r="N147" s="18"/>
      <c r="O147" s="25">
        <v>67165.38</v>
      </c>
      <c r="P147" s="25">
        <v>31690.12</v>
      </c>
      <c r="Q147" s="28">
        <v>98855.5</v>
      </c>
    </row>
    <row r="148" spans="1:17" ht="12" customHeight="1" x14ac:dyDescent="0.2">
      <c r="A148" s="21" t="s">
        <v>1170</v>
      </c>
      <c r="B148" s="21" t="s">
        <v>1171</v>
      </c>
      <c r="C148" s="21" t="s">
        <v>1172</v>
      </c>
      <c r="D148" s="21" t="s">
        <v>1173</v>
      </c>
      <c r="E148" s="22" t="s">
        <v>1174</v>
      </c>
      <c r="F148" s="23" t="s">
        <v>1175</v>
      </c>
      <c r="G148" s="33" t="s">
        <v>1176</v>
      </c>
      <c r="H148" s="25">
        <v>56971.199999999997</v>
      </c>
      <c r="I148" s="26" t="s">
        <v>1177</v>
      </c>
      <c r="J148" s="25">
        <v>57678.67</v>
      </c>
      <c r="K148" s="18">
        <v>7423.59</v>
      </c>
      <c r="L148" s="18">
        <v>2618.5300000000002</v>
      </c>
      <c r="M148" s="27" t="s">
        <v>3520</v>
      </c>
      <c r="N148" s="18"/>
      <c r="O148" s="25">
        <v>67720.789999999994</v>
      </c>
      <c r="P148" s="25">
        <v>30959.87</v>
      </c>
      <c r="Q148" s="28">
        <v>98680.66</v>
      </c>
    </row>
    <row r="149" spans="1:17" ht="12" customHeight="1" x14ac:dyDescent="0.2">
      <c r="A149" s="21" t="s">
        <v>1178</v>
      </c>
      <c r="B149" s="21" t="s">
        <v>1179</v>
      </c>
      <c r="C149" s="21" t="s">
        <v>1180</v>
      </c>
      <c r="D149" s="21" t="s">
        <v>1181</v>
      </c>
      <c r="E149" s="22" t="s">
        <v>1182</v>
      </c>
      <c r="F149" s="23" t="s">
        <v>1183</v>
      </c>
      <c r="G149" s="33" t="s">
        <v>1184</v>
      </c>
      <c r="H149" s="25">
        <v>58822.400000000001</v>
      </c>
      <c r="I149" s="26" t="s">
        <v>1185</v>
      </c>
      <c r="J149" s="25">
        <v>58989.07</v>
      </c>
      <c r="K149" s="18">
        <v>4665.9799999999996</v>
      </c>
      <c r="L149" s="18">
        <v>3037.54</v>
      </c>
      <c r="M149" s="27" t="s">
        <v>3520</v>
      </c>
      <c r="N149" s="18"/>
      <c r="O149" s="25">
        <v>66692.59</v>
      </c>
      <c r="P149" s="25">
        <v>31824.91</v>
      </c>
      <c r="Q149" s="28">
        <v>98517.5</v>
      </c>
    </row>
    <row r="150" spans="1:17" ht="12" customHeight="1" x14ac:dyDescent="0.2">
      <c r="A150" s="21" t="s">
        <v>1186</v>
      </c>
      <c r="B150" s="21" t="s">
        <v>1187</v>
      </c>
      <c r="C150" s="21" t="s">
        <v>1188</v>
      </c>
      <c r="D150" s="21" t="s">
        <v>1189</v>
      </c>
      <c r="E150" s="22" t="s">
        <v>1190</v>
      </c>
      <c r="F150" s="23" t="s">
        <v>1191</v>
      </c>
      <c r="G150" s="33" t="s">
        <v>1192</v>
      </c>
      <c r="H150" s="25">
        <v>62691.199999999997</v>
      </c>
      <c r="I150" s="26" t="s">
        <v>1193</v>
      </c>
      <c r="J150" s="25">
        <v>63545.919999999998</v>
      </c>
      <c r="K150" s="18">
        <v>3441.26</v>
      </c>
      <c r="L150" s="18">
        <v>4324.05</v>
      </c>
      <c r="M150" s="27" t="s">
        <v>3520</v>
      </c>
      <c r="N150" s="18"/>
      <c r="O150" s="25">
        <v>71311.23</v>
      </c>
      <c r="P150" s="25">
        <v>26512.28</v>
      </c>
      <c r="Q150" s="28">
        <v>97823.51</v>
      </c>
    </row>
    <row r="151" spans="1:17" ht="12" customHeight="1" x14ac:dyDescent="0.2">
      <c r="A151" s="21" t="s">
        <v>1194</v>
      </c>
      <c r="B151" s="21" t="s">
        <v>1195</v>
      </c>
      <c r="C151" s="21" t="s">
        <v>1196</v>
      </c>
      <c r="D151" s="21" t="s">
        <v>1197</v>
      </c>
      <c r="E151" s="22" t="s">
        <v>1198</v>
      </c>
      <c r="F151" s="23" t="s">
        <v>1199</v>
      </c>
      <c r="G151" s="33" t="s">
        <v>1200</v>
      </c>
      <c r="H151" s="25">
        <v>68588</v>
      </c>
      <c r="I151" s="26" t="s">
        <v>1201</v>
      </c>
      <c r="J151" s="25">
        <v>68460.94</v>
      </c>
      <c r="K151" s="18" t="s">
        <v>3520</v>
      </c>
      <c r="L151" s="18">
        <v>2844.16</v>
      </c>
      <c r="M151" s="27" t="s">
        <v>3520</v>
      </c>
      <c r="N151" s="18"/>
      <c r="O151" s="25">
        <v>71305.100000000006</v>
      </c>
      <c r="P151" s="25">
        <v>26406.98</v>
      </c>
      <c r="Q151" s="28">
        <v>97712.08</v>
      </c>
    </row>
    <row r="152" spans="1:17" ht="12" customHeight="1" x14ac:dyDescent="0.2">
      <c r="A152" s="21" t="s">
        <v>1202</v>
      </c>
      <c r="B152" s="21" t="s">
        <v>1203</v>
      </c>
      <c r="C152" s="21" t="s">
        <v>1204</v>
      </c>
      <c r="D152" s="21" t="s">
        <v>1205</v>
      </c>
      <c r="E152" s="22" t="s">
        <v>1206</v>
      </c>
      <c r="F152" s="23" t="s">
        <v>1207</v>
      </c>
      <c r="G152" s="33" t="s">
        <v>1208</v>
      </c>
      <c r="H152" s="25">
        <v>64852.88</v>
      </c>
      <c r="I152" s="26" t="s">
        <v>1209</v>
      </c>
      <c r="J152" s="25">
        <v>64921.79</v>
      </c>
      <c r="K152" s="18">
        <v>2403.6799999999998</v>
      </c>
      <c r="L152" s="18">
        <v>3810</v>
      </c>
      <c r="M152" s="27" t="s">
        <v>3520</v>
      </c>
      <c r="N152" s="18"/>
      <c r="O152" s="25">
        <v>71135.47</v>
      </c>
      <c r="P152" s="25">
        <v>26531.95</v>
      </c>
      <c r="Q152" s="28">
        <v>97667.42</v>
      </c>
    </row>
    <row r="153" spans="1:17" ht="12" customHeight="1" x14ac:dyDescent="0.2">
      <c r="A153" s="21" t="s">
        <v>1210</v>
      </c>
      <c r="B153" s="21" t="s">
        <v>1211</v>
      </c>
      <c r="C153" s="21" t="s">
        <v>1212</v>
      </c>
      <c r="D153" s="21" t="s">
        <v>1213</v>
      </c>
      <c r="E153" s="22" t="s">
        <v>1214</v>
      </c>
      <c r="F153" s="23" t="s">
        <v>1215</v>
      </c>
      <c r="G153" s="33" t="s">
        <v>1216</v>
      </c>
      <c r="H153" s="25">
        <v>41180.93</v>
      </c>
      <c r="I153" s="26" t="s">
        <v>1217</v>
      </c>
      <c r="J153" s="25">
        <v>32597.88</v>
      </c>
      <c r="K153" s="18">
        <v>27675.46</v>
      </c>
      <c r="L153" s="18">
        <v>2769.85</v>
      </c>
      <c r="M153" s="27" t="s">
        <v>3520</v>
      </c>
      <c r="N153" s="18"/>
      <c r="O153" s="25">
        <v>63043.19</v>
      </c>
      <c r="P153" s="25">
        <v>34436.660000000003</v>
      </c>
      <c r="Q153" s="28">
        <v>97479.85</v>
      </c>
    </row>
    <row r="154" spans="1:17" ht="12" customHeight="1" x14ac:dyDescent="0.2">
      <c r="A154" s="21" t="s">
        <v>1218</v>
      </c>
      <c r="B154" s="21" t="s">
        <v>1219</v>
      </c>
      <c r="C154" s="21" t="s">
        <v>1220</v>
      </c>
      <c r="D154" s="21" t="s">
        <v>1221</v>
      </c>
      <c r="E154" s="22" t="s">
        <v>1222</v>
      </c>
      <c r="F154" s="23" t="s">
        <v>1223</v>
      </c>
      <c r="G154" s="33" t="s">
        <v>1224</v>
      </c>
      <c r="H154" s="25">
        <v>60590.400000000001</v>
      </c>
      <c r="I154" s="26" t="s">
        <v>1225</v>
      </c>
      <c r="J154" s="25">
        <v>61879.4</v>
      </c>
      <c r="K154" s="18">
        <v>1709.08</v>
      </c>
      <c r="L154" s="18">
        <v>3197.37</v>
      </c>
      <c r="M154" s="27" t="s">
        <v>3520</v>
      </c>
      <c r="N154" s="18"/>
      <c r="O154" s="25">
        <v>66785.850000000006</v>
      </c>
      <c r="P154" s="25">
        <v>30683.17</v>
      </c>
      <c r="Q154" s="28">
        <v>97469.02</v>
      </c>
    </row>
    <row r="155" spans="1:17" ht="12" customHeight="1" x14ac:dyDescent="0.2">
      <c r="A155" s="21" t="s">
        <v>1226</v>
      </c>
      <c r="B155" s="21" t="s">
        <v>1227</v>
      </c>
      <c r="C155" s="21" t="s">
        <v>1228</v>
      </c>
      <c r="D155" s="21" t="s">
        <v>1229</v>
      </c>
      <c r="E155" s="22" t="s">
        <v>1230</v>
      </c>
      <c r="F155" s="23" t="s">
        <v>1231</v>
      </c>
      <c r="G155" s="33" t="s">
        <v>1232</v>
      </c>
      <c r="H155" s="25">
        <v>59009.599999999999</v>
      </c>
      <c r="I155" s="26" t="s">
        <v>1233</v>
      </c>
      <c r="J155" s="25">
        <v>59690.42</v>
      </c>
      <c r="K155" s="18">
        <v>2013</v>
      </c>
      <c r="L155" s="18">
        <v>1170</v>
      </c>
      <c r="M155" s="27" t="s">
        <v>3520</v>
      </c>
      <c r="N155" s="18"/>
      <c r="O155" s="25">
        <v>62873.42</v>
      </c>
      <c r="P155" s="25">
        <v>34543.26</v>
      </c>
      <c r="Q155" s="28">
        <v>97416.68</v>
      </c>
    </row>
    <row r="156" spans="1:17" ht="12" customHeight="1" x14ac:dyDescent="0.2">
      <c r="A156" s="21" t="s">
        <v>1234</v>
      </c>
      <c r="B156" s="21" t="s">
        <v>1235</v>
      </c>
      <c r="C156" s="21" t="s">
        <v>1236</v>
      </c>
      <c r="D156" s="21" t="s">
        <v>1237</v>
      </c>
      <c r="E156" s="22" t="s">
        <v>1238</v>
      </c>
      <c r="F156" s="23" t="s">
        <v>1239</v>
      </c>
      <c r="G156" s="33" t="s">
        <v>1240</v>
      </c>
      <c r="H156" s="25">
        <v>56971.199999999997</v>
      </c>
      <c r="I156" s="26" t="s">
        <v>1241</v>
      </c>
      <c r="J156" s="25">
        <v>57652.639999999999</v>
      </c>
      <c r="K156" s="18">
        <v>1570.46</v>
      </c>
      <c r="L156" s="18">
        <v>3432.77</v>
      </c>
      <c r="M156" s="27" t="s">
        <v>3520</v>
      </c>
      <c r="N156" s="18"/>
      <c r="O156" s="25">
        <v>62655.87</v>
      </c>
      <c r="P156" s="25">
        <v>34555.49</v>
      </c>
      <c r="Q156" s="28">
        <v>97211.36</v>
      </c>
    </row>
    <row r="157" spans="1:17" ht="12" customHeight="1" x14ac:dyDescent="0.2">
      <c r="A157" s="21" t="s">
        <v>1242</v>
      </c>
      <c r="B157" s="21" t="s">
        <v>1243</v>
      </c>
      <c r="C157" s="21" t="s">
        <v>1244</v>
      </c>
      <c r="D157" s="21" t="s">
        <v>1245</v>
      </c>
      <c r="E157" s="22" t="s">
        <v>1246</v>
      </c>
      <c r="F157" s="23" t="s">
        <v>1247</v>
      </c>
      <c r="G157" s="33" t="s">
        <v>1248</v>
      </c>
      <c r="H157" s="25">
        <v>64064</v>
      </c>
      <c r="I157" s="26" t="s">
        <v>1249</v>
      </c>
      <c r="J157" s="25">
        <v>64656.09</v>
      </c>
      <c r="K157" s="18">
        <v>3567.98</v>
      </c>
      <c r="L157" s="18">
        <v>2114</v>
      </c>
      <c r="M157" s="27" t="s">
        <v>3520</v>
      </c>
      <c r="N157" s="18"/>
      <c r="O157" s="25">
        <v>70338.070000000007</v>
      </c>
      <c r="P157" s="25">
        <v>26203.66</v>
      </c>
      <c r="Q157" s="28">
        <v>96541.73</v>
      </c>
    </row>
    <row r="158" spans="1:17" ht="12" customHeight="1" x14ac:dyDescent="0.2">
      <c r="A158" s="21" t="s">
        <v>1250</v>
      </c>
      <c r="B158" s="21" t="s">
        <v>1251</v>
      </c>
      <c r="C158" s="21" t="s">
        <v>1252</v>
      </c>
      <c r="D158" s="21" t="s">
        <v>1253</v>
      </c>
      <c r="E158" s="22" t="s">
        <v>1254</v>
      </c>
      <c r="F158" s="23" t="s">
        <v>1255</v>
      </c>
      <c r="G158" s="33" t="s">
        <v>1256</v>
      </c>
      <c r="H158" s="25">
        <v>60257.599999999999</v>
      </c>
      <c r="I158" s="26" t="s">
        <v>1257</v>
      </c>
      <c r="J158" s="25">
        <v>61211.43</v>
      </c>
      <c r="K158" s="18">
        <v>991.51</v>
      </c>
      <c r="L158" s="18">
        <v>5646.16</v>
      </c>
      <c r="M158" s="27" t="s">
        <v>3520</v>
      </c>
      <c r="N158" s="18"/>
      <c r="O158" s="25">
        <v>67849.100000000006</v>
      </c>
      <c r="P158" s="25">
        <v>27943.53</v>
      </c>
      <c r="Q158" s="28">
        <v>95792.63</v>
      </c>
    </row>
    <row r="159" spans="1:17" ht="12" customHeight="1" x14ac:dyDescent="0.2">
      <c r="A159" s="21" t="s">
        <v>1258</v>
      </c>
      <c r="B159" s="21" t="s">
        <v>1259</v>
      </c>
      <c r="C159" s="21" t="s">
        <v>1260</v>
      </c>
      <c r="D159" s="21" t="s">
        <v>1261</v>
      </c>
      <c r="E159" s="22" t="s">
        <v>1262</v>
      </c>
      <c r="F159" s="23" t="s">
        <v>1263</v>
      </c>
      <c r="G159" s="34" t="s">
        <v>1264</v>
      </c>
      <c r="H159" s="25">
        <v>142345.32</v>
      </c>
      <c r="I159" s="25">
        <v>15876.98</v>
      </c>
      <c r="J159" s="25">
        <v>54536.11</v>
      </c>
      <c r="K159" s="18" t="s">
        <v>3520</v>
      </c>
      <c r="L159" s="18">
        <v>442.5</v>
      </c>
      <c r="M159" s="27" t="s">
        <v>3520</v>
      </c>
      <c r="N159" s="18"/>
      <c r="O159" s="18">
        <v>70855.59</v>
      </c>
      <c r="P159" s="25">
        <v>24773.95</v>
      </c>
      <c r="Q159" s="28">
        <v>95629.54</v>
      </c>
    </row>
    <row r="160" spans="1:17" ht="12" customHeight="1" x14ac:dyDescent="0.2">
      <c r="A160" s="21" t="s">
        <v>1265</v>
      </c>
      <c r="B160" s="21" t="s">
        <v>1266</v>
      </c>
      <c r="C160" s="21" t="s">
        <v>1267</v>
      </c>
      <c r="D160" s="21" t="s">
        <v>1268</v>
      </c>
      <c r="E160" s="22" t="s">
        <v>1269</v>
      </c>
      <c r="F160" s="23" t="s">
        <v>1270</v>
      </c>
      <c r="G160" s="33" t="s">
        <v>1271</v>
      </c>
      <c r="H160" s="25">
        <v>67288</v>
      </c>
      <c r="I160" s="26" t="s">
        <v>1272</v>
      </c>
      <c r="J160" s="25">
        <v>67494.31</v>
      </c>
      <c r="K160" s="18">
        <v>621.82000000000005</v>
      </c>
      <c r="L160" s="18">
        <v>1227</v>
      </c>
      <c r="M160" s="27" t="s">
        <v>3520</v>
      </c>
      <c r="N160" s="18"/>
      <c r="O160" s="25">
        <v>69343.13</v>
      </c>
      <c r="P160" s="25">
        <v>26072.6</v>
      </c>
      <c r="Q160" s="28">
        <v>95415.73</v>
      </c>
    </row>
    <row r="161" spans="1:17" ht="12" customHeight="1" x14ac:dyDescent="0.2">
      <c r="A161" s="21" t="s">
        <v>1273</v>
      </c>
      <c r="B161" s="21" t="s">
        <v>1274</v>
      </c>
      <c r="C161" s="21" t="s">
        <v>1275</v>
      </c>
      <c r="D161" s="21" t="s">
        <v>1276</v>
      </c>
      <c r="E161" s="22" t="s">
        <v>1277</v>
      </c>
      <c r="F161" s="23" t="s">
        <v>1278</v>
      </c>
      <c r="G161" s="33" t="s">
        <v>1279</v>
      </c>
      <c r="H161" s="25">
        <v>67862.080000000002</v>
      </c>
      <c r="I161" s="26" t="s">
        <v>1280</v>
      </c>
      <c r="J161" s="25">
        <v>67736.37</v>
      </c>
      <c r="K161" s="18" t="s">
        <v>3520</v>
      </c>
      <c r="L161" s="18">
        <v>1886</v>
      </c>
      <c r="M161" s="27" t="s">
        <v>3520</v>
      </c>
      <c r="N161" s="18"/>
      <c r="O161" s="25">
        <v>69622.37</v>
      </c>
      <c r="P161" s="25">
        <v>25643.99</v>
      </c>
      <c r="Q161" s="28">
        <v>95266.36</v>
      </c>
    </row>
    <row r="162" spans="1:17" ht="12" customHeight="1" x14ac:dyDescent="0.2">
      <c r="A162" s="21" t="s">
        <v>1281</v>
      </c>
      <c r="B162" s="21" t="s">
        <v>1282</v>
      </c>
      <c r="C162" s="21" t="s">
        <v>1283</v>
      </c>
      <c r="D162" s="21" t="s">
        <v>1284</v>
      </c>
      <c r="E162" s="22" t="s">
        <v>1285</v>
      </c>
      <c r="F162" s="23" t="s">
        <v>1286</v>
      </c>
      <c r="G162" s="33" t="s">
        <v>1287</v>
      </c>
      <c r="H162" s="25">
        <v>66181.179999999993</v>
      </c>
      <c r="I162" s="26" t="s">
        <v>1288</v>
      </c>
      <c r="J162" s="25">
        <v>66058.58</v>
      </c>
      <c r="K162" s="18" t="s">
        <v>3520</v>
      </c>
      <c r="L162" s="18">
        <v>3055</v>
      </c>
      <c r="M162" s="27" t="s">
        <v>3520</v>
      </c>
      <c r="N162" s="18"/>
      <c r="O162" s="25">
        <v>69113.58</v>
      </c>
      <c r="P162" s="25">
        <v>26077.23</v>
      </c>
      <c r="Q162" s="28">
        <v>95190.81</v>
      </c>
    </row>
    <row r="163" spans="1:17" ht="12" customHeight="1" x14ac:dyDescent="0.2">
      <c r="A163" s="21" t="s">
        <v>1289</v>
      </c>
      <c r="B163" s="21" t="s">
        <v>1290</v>
      </c>
      <c r="C163" s="21" t="s">
        <v>1291</v>
      </c>
      <c r="D163" s="21" t="s">
        <v>1292</v>
      </c>
      <c r="E163" s="22" t="s">
        <v>1293</v>
      </c>
      <c r="F163" s="23" t="s">
        <v>1294</v>
      </c>
      <c r="G163" s="33" t="s">
        <v>1295</v>
      </c>
      <c r="H163" s="25">
        <v>63193.78</v>
      </c>
      <c r="I163" s="26" t="s">
        <v>1296</v>
      </c>
      <c r="J163" s="25">
        <v>63576.72</v>
      </c>
      <c r="K163" s="18" t="s">
        <v>3520</v>
      </c>
      <c r="L163" s="18">
        <v>1200</v>
      </c>
      <c r="M163" s="27" t="s">
        <v>3520</v>
      </c>
      <c r="N163" s="18"/>
      <c r="O163" s="25">
        <v>64776.72</v>
      </c>
      <c r="P163" s="25">
        <v>30094.32</v>
      </c>
      <c r="Q163" s="28">
        <v>94871.039999999994</v>
      </c>
    </row>
    <row r="164" spans="1:17" ht="12" customHeight="1" x14ac:dyDescent="0.2">
      <c r="A164" s="21" t="s">
        <v>1297</v>
      </c>
      <c r="B164" s="21" t="s">
        <v>1298</v>
      </c>
      <c r="C164" s="21" t="s">
        <v>1299</v>
      </c>
      <c r="D164" s="21" t="s">
        <v>1300</v>
      </c>
      <c r="E164" s="22" t="s">
        <v>1301</v>
      </c>
      <c r="F164" s="23" t="s">
        <v>1302</v>
      </c>
      <c r="G164" s="33" t="s">
        <v>1303</v>
      </c>
      <c r="H164" s="25">
        <v>56971.199999999997</v>
      </c>
      <c r="I164" s="26" t="s">
        <v>1304</v>
      </c>
      <c r="J164" s="25">
        <v>58108.31</v>
      </c>
      <c r="K164" s="18">
        <v>3984.46</v>
      </c>
      <c r="L164" s="18">
        <v>2129.3000000000002</v>
      </c>
      <c r="M164" s="27" t="s">
        <v>3520</v>
      </c>
      <c r="N164" s="18"/>
      <c r="O164" s="25">
        <v>64222.07</v>
      </c>
      <c r="P164" s="25">
        <v>30181.97</v>
      </c>
      <c r="Q164" s="28">
        <v>94404.04</v>
      </c>
    </row>
    <row r="165" spans="1:17" ht="12" customHeight="1" x14ac:dyDescent="0.2">
      <c r="A165" s="21" t="s">
        <v>1305</v>
      </c>
      <c r="B165" s="21" t="s">
        <v>1306</v>
      </c>
      <c r="C165" s="21" t="s">
        <v>1307</v>
      </c>
      <c r="D165" s="21" t="s">
        <v>1308</v>
      </c>
      <c r="E165" s="22" t="s">
        <v>1309</v>
      </c>
      <c r="F165" s="23" t="s">
        <v>1310</v>
      </c>
      <c r="G165" s="33" t="s">
        <v>1311</v>
      </c>
      <c r="H165" s="25">
        <v>58822.400000000001</v>
      </c>
      <c r="I165" s="26" t="s">
        <v>1312</v>
      </c>
      <c r="J165" s="25">
        <v>60004.41</v>
      </c>
      <c r="K165" s="18">
        <v>4830.8999999999996</v>
      </c>
      <c r="L165" s="18">
        <v>3718.98</v>
      </c>
      <c r="M165" s="27" t="s">
        <v>3520</v>
      </c>
      <c r="N165" s="18"/>
      <c r="O165" s="25">
        <v>68554.289999999994</v>
      </c>
      <c r="P165" s="25">
        <v>25629.61</v>
      </c>
      <c r="Q165" s="28">
        <v>94183.9</v>
      </c>
    </row>
    <row r="166" spans="1:17" ht="12" customHeight="1" x14ac:dyDescent="0.2">
      <c r="A166" s="21" t="s">
        <v>1313</v>
      </c>
      <c r="B166" s="21" t="s">
        <v>1314</v>
      </c>
      <c r="C166" s="21" t="s">
        <v>1315</v>
      </c>
      <c r="D166" s="21" t="s">
        <v>1316</v>
      </c>
      <c r="E166" s="22" t="s">
        <v>1317</v>
      </c>
      <c r="F166" s="23" t="s">
        <v>1318</v>
      </c>
      <c r="G166" s="33" t="s">
        <v>1319</v>
      </c>
      <c r="H166" s="25">
        <v>66713.14</v>
      </c>
      <c r="I166" s="26" t="s">
        <v>1320</v>
      </c>
      <c r="J166" s="25">
        <v>66589.56</v>
      </c>
      <c r="K166" s="18" t="s">
        <v>3520</v>
      </c>
      <c r="L166" s="18">
        <v>1282.08</v>
      </c>
      <c r="M166" s="27" t="s">
        <v>3520</v>
      </c>
      <c r="N166" s="18"/>
      <c r="O166" s="25">
        <v>67871.64</v>
      </c>
      <c r="P166" s="25">
        <v>25818.26</v>
      </c>
      <c r="Q166" s="28">
        <v>93689.9</v>
      </c>
    </row>
    <row r="167" spans="1:17" ht="12" customHeight="1" x14ac:dyDescent="0.2">
      <c r="A167" s="21" t="s">
        <v>1321</v>
      </c>
      <c r="B167" s="21" t="s">
        <v>1322</v>
      </c>
      <c r="C167" s="21" t="s">
        <v>1323</v>
      </c>
      <c r="D167" s="21" t="s">
        <v>1324</v>
      </c>
      <c r="E167" s="22" t="s">
        <v>1325</v>
      </c>
      <c r="F167" s="23" t="s">
        <v>1326</v>
      </c>
      <c r="G167" s="33" t="s">
        <v>1327</v>
      </c>
      <c r="H167" s="25">
        <v>57782.400000000001</v>
      </c>
      <c r="I167" s="26" t="s">
        <v>1328</v>
      </c>
      <c r="J167" s="25">
        <v>58018.29</v>
      </c>
      <c r="K167" s="18">
        <v>1462.91</v>
      </c>
      <c r="L167" s="18">
        <v>170</v>
      </c>
      <c r="M167" s="27" t="s">
        <v>3520</v>
      </c>
      <c r="N167" s="18"/>
      <c r="O167" s="25">
        <v>59651.199999999997</v>
      </c>
      <c r="P167" s="25">
        <v>33915.79</v>
      </c>
      <c r="Q167" s="28">
        <v>93566.99</v>
      </c>
    </row>
    <row r="168" spans="1:17" ht="12" customHeight="1" x14ac:dyDescent="0.2">
      <c r="A168" s="21" t="s">
        <v>1329</v>
      </c>
      <c r="B168" s="21" t="s">
        <v>1330</v>
      </c>
      <c r="C168" s="21" t="s">
        <v>1331</v>
      </c>
      <c r="D168" s="21" t="s">
        <v>1332</v>
      </c>
      <c r="E168" s="22" t="s">
        <v>1333</v>
      </c>
      <c r="F168" s="23" t="s">
        <v>1334</v>
      </c>
      <c r="G168" s="33" t="s">
        <v>1335</v>
      </c>
      <c r="H168" s="25">
        <v>54204.800000000003</v>
      </c>
      <c r="I168" s="26" t="s">
        <v>1336</v>
      </c>
      <c r="J168" s="25">
        <v>55381.79</v>
      </c>
      <c r="K168" s="18">
        <v>1504.3</v>
      </c>
      <c r="L168" s="18">
        <v>5158.1400000000003</v>
      </c>
      <c r="M168" s="27" t="s">
        <v>3520</v>
      </c>
      <c r="N168" s="18"/>
      <c r="O168" s="25">
        <v>62044.23</v>
      </c>
      <c r="P168" s="25">
        <v>31521.74</v>
      </c>
      <c r="Q168" s="28">
        <v>93565.97</v>
      </c>
    </row>
    <row r="169" spans="1:17" ht="11" customHeight="1" thickBot="1" x14ac:dyDescent="0.25">
      <c r="A169" s="21" t="s">
        <v>1337</v>
      </c>
      <c r="B169" s="21" t="s">
        <v>1338</v>
      </c>
      <c r="C169" s="21" t="s">
        <v>1339</v>
      </c>
      <c r="D169" s="21" t="s">
        <v>1340</v>
      </c>
      <c r="E169" s="22" t="s">
        <v>1341</v>
      </c>
      <c r="F169" s="23" t="s">
        <v>1342</v>
      </c>
      <c r="G169" s="33" t="s">
        <v>1343</v>
      </c>
      <c r="H169" s="25">
        <v>54497.78</v>
      </c>
      <c r="I169" s="26" t="s">
        <v>1344</v>
      </c>
      <c r="J169" s="25">
        <v>54880.71</v>
      </c>
      <c r="K169" s="18">
        <v>7091.76</v>
      </c>
      <c r="L169" s="18">
        <v>911.57</v>
      </c>
      <c r="M169" s="27" t="s">
        <v>3520</v>
      </c>
      <c r="N169" s="18"/>
      <c r="O169" s="25">
        <v>62884.04</v>
      </c>
      <c r="P169" s="25">
        <v>30558.66</v>
      </c>
      <c r="Q169" s="28">
        <v>93442.7</v>
      </c>
    </row>
    <row r="170" spans="1:17" ht="12" customHeight="1" x14ac:dyDescent="0.2">
      <c r="A170" s="10" t="s">
        <v>1345</v>
      </c>
      <c r="B170" s="10" t="s">
        <v>1346</v>
      </c>
      <c r="C170" s="10" t="s">
        <v>1347</v>
      </c>
      <c r="D170" s="10" t="s">
        <v>1348</v>
      </c>
      <c r="E170" s="11" t="s">
        <v>1349</v>
      </c>
      <c r="F170" s="12" t="s">
        <v>1350</v>
      </c>
      <c r="G170" s="32" t="s">
        <v>1351</v>
      </c>
      <c r="H170" s="14">
        <v>58822.400000000001</v>
      </c>
      <c r="I170" s="15" t="s">
        <v>1352</v>
      </c>
      <c r="J170" s="14">
        <v>60071.25</v>
      </c>
      <c r="K170" s="16">
        <v>4284.6499999999996</v>
      </c>
      <c r="L170" s="16">
        <v>3260.58</v>
      </c>
      <c r="M170" s="17" t="s">
        <v>3520</v>
      </c>
      <c r="N170" s="18"/>
      <c r="O170" s="14">
        <v>67616.479999999996</v>
      </c>
      <c r="P170" s="14">
        <v>25610.35</v>
      </c>
      <c r="Q170" s="20">
        <v>93226.83</v>
      </c>
    </row>
    <row r="171" spans="1:17" ht="12" customHeight="1" x14ac:dyDescent="0.2">
      <c r="A171" s="21" t="s">
        <v>1353</v>
      </c>
      <c r="B171" s="21" t="s">
        <v>1354</v>
      </c>
      <c r="C171" s="21" t="s">
        <v>1355</v>
      </c>
      <c r="D171" s="21" t="s">
        <v>1356</v>
      </c>
      <c r="E171" s="22" t="s">
        <v>1357</v>
      </c>
      <c r="F171" s="23" t="s">
        <v>1358</v>
      </c>
      <c r="G171" s="33" t="s">
        <v>1359</v>
      </c>
      <c r="H171" s="25">
        <v>57886.400000000001</v>
      </c>
      <c r="I171" s="26" t="s">
        <v>1360</v>
      </c>
      <c r="J171" s="25">
        <v>58308.42</v>
      </c>
      <c r="K171" s="18">
        <v>2666.51</v>
      </c>
      <c r="L171" s="18">
        <v>1633</v>
      </c>
      <c r="M171" s="27" t="s">
        <v>3520</v>
      </c>
      <c r="N171" s="18"/>
      <c r="O171" s="25">
        <v>62607.93</v>
      </c>
      <c r="P171" s="25">
        <v>30516.71</v>
      </c>
      <c r="Q171" s="28">
        <v>93124.64</v>
      </c>
    </row>
    <row r="172" spans="1:17" ht="12" customHeight="1" x14ac:dyDescent="0.2">
      <c r="A172" s="21" t="s">
        <v>1361</v>
      </c>
      <c r="B172" s="21" t="s">
        <v>1362</v>
      </c>
      <c r="C172" s="21" t="s">
        <v>1363</v>
      </c>
      <c r="D172" s="21" t="s">
        <v>1364</v>
      </c>
      <c r="E172" s="22" t="s">
        <v>1365</v>
      </c>
      <c r="F172" s="23" t="s">
        <v>1366</v>
      </c>
      <c r="G172" s="33" t="s">
        <v>1367</v>
      </c>
      <c r="H172" s="25">
        <v>52543.17</v>
      </c>
      <c r="I172" s="26" t="s">
        <v>1368</v>
      </c>
      <c r="J172" s="25">
        <v>53240.94</v>
      </c>
      <c r="K172" s="18">
        <v>10698.16</v>
      </c>
      <c r="L172" s="18">
        <v>3075.22</v>
      </c>
      <c r="M172" s="27" t="s">
        <v>3520</v>
      </c>
      <c r="N172" s="18"/>
      <c r="O172" s="25">
        <v>67014.320000000007</v>
      </c>
      <c r="P172" s="25">
        <v>25571.439999999999</v>
      </c>
      <c r="Q172" s="28">
        <v>92585.76</v>
      </c>
    </row>
    <row r="173" spans="1:17" ht="12" customHeight="1" x14ac:dyDescent="0.2">
      <c r="A173" s="21" t="s">
        <v>1369</v>
      </c>
      <c r="B173" s="21" t="s">
        <v>1370</v>
      </c>
      <c r="C173" s="21" t="s">
        <v>1371</v>
      </c>
      <c r="D173" s="21" t="s">
        <v>1372</v>
      </c>
      <c r="E173" s="22" t="s">
        <v>1373</v>
      </c>
      <c r="F173" s="23" t="s">
        <v>1374</v>
      </c>
      <c r="G173" s="34" t="s">
        <v>1375</v>
      </c>
      <c r="H173" s="25">
        <v>85720.960000000006</v>
      </c>
      <c r="I173" s="25">
        <v>974.66</v>
      </c>
      <c r="J173" s="18">
        <v>65811.48</v>
      </c>
      <c r="K173" s="18" t="s">
        <v>3520</v>
      </c>
      <c r="L173" s="18">
        <v>1852.08</v>
      </c>
      <c r="M173" s="27" t="s">
        <v>3520</v>
      </c>
      <c r="N173" s="18"/>
      <c r="O173" s="25">
        <v>68638.22</v>
      </c>
      <c r="P173" s="25">
        <v>23455.4</v>
      </c>
      <c r="Q173" s="28">
        <v>92093.62</v>
      </c>
    </row>
    <row r="174" spans="1:17" ht="12" customHeight="1" x14ac:dyDescent="0.2">
      <c r="A174" s="21" t="s">
        <v>1376</v>
      </c>
      <c r="B174" s="21" t="s">
        <v>1377</v>
      </c>
      <c r="C174" s="21" t="s">
        <v>1378</v>
      </c>
      <c r="D174" s="21" t="s">
        <v>1379</v>
      </c>
      <c r="E174" s="22" t="s">
        <v>1380</v>
      </c>
      <c r="F174" s="23" t="s">
        <v>1381</v>
      </c>
      <c r="G174" s="33" t="s">
        <v>1382</v>
      </c>
      <c r="H174" s="25">
        <v>62732.800000000003</v>
      </c>
      <c r="I174" s="26" t="s">
        <v>1383</v>
      </c>
      <c r="J174" s="25">
        <v>62634.83</v>
      </c>
      <c r="K174" s="18">
        <v>50.79</v>
      </c>
      <c r="L174" s="25">
        <v>3390.66</v>
      </c>
      <c r="M174" s="27" t="s">
        <v>3520</v>
      </c>
      <c r="N174" s="18"/>
      <c r="O174" s="25">
        <v>66076.28</v>
      </c>
      <c r="P174" s="25">
        <v>25356.54</v>
      </c>
      <c r="Q174" s="28">
        <v>91432.82</v>
      </c>
    </row>
    <row r="175" spans="1:17" ht="12" customHeight="1" x14ac:dyDescent="0.2">
      <c r="A175" s="21" t="s">
        <v>1384</v>
      </c>
      <c r="B175" s="21" t="s">
        <v>1385</v>
      </c>
      <c r="C175" s="21" t="s">
        <v>1386</v>
      </c>
      <c r="D175" s="21" t="s">
        <v>1387</v>
      </c>
      <c r="E175" s="22" t="s">
        <v>1388</v>
      </c>
      <c r="F175" s="23" t="s">
        <v>1389</v>
      </c>
      <c r="G175" s="33" t="s">
        <v>1390</v>
      </c>
      <c r="H175" s="25">
        <v>65137.279999999999</v>
      </c>
      <c r="I175" s="26" t="s">
        <v>1391</v>
      </c>
      <c r="J175" s="25">
        <v>65016.62</v>
      </c>
      <c r="K175" s="18" t="s">
        <v>3520</v>
      </c>
      <c r="L175" s="18">
        <v>120</v>
      </c>
      <c r="M175" s="27" t="s">
        <v>3520</v>
      </c>
      <c r="N175" s="18"/>
      <c r="O175" s="18">
        <v>65136.62</v>
      </c>
      <c r="P175" s="25">
        <v>24684.65</v>
      </c>
      <c r="Q175" s="28">
        <v>89821.27</v>
      </c>
    </row>
    <row r="176" spans="1:17" ht="12" customHeight="1" x14ac:dyDescent="0.2">
      <c r="A176" s="21" t="s">
        <v>1392</v>
      </c>
      <c r="B176" s="21" t="s">
        <v>1393</v>
      </c>
      <c r="C176" s="21" t="s">
        <v>1394</v>
      </c>
      <c r="D176" s="21" t="s">
        <v>1395</v>
      </c>
      <c r="E176" s="22" t="s">
        <v>1396</v>
      </c>
      <c r="F176" s="23" t="s">
        <v>1397</v>
      </c>
      <c r="G176" s="33" t="s">
        <v>1398</v>
      </c>
      <c r="H176" s="25">
        <v>56971.199999999997</v>
      </c>
      <c r="I176" s="26" t="s">
        <v>1399</v>
      </c>
      <c r="J176" s="25">
        <v>58432.69</v>
      </c>
      <c r="K176" s="18">
        <v>3390.63</v>
      </c>
      <c r="L176" s="18">
        <v>2896.27</v>
      </c>
      <c r="M176" s="27" t="s">
        <v>3520</v>
      </c>
      <c r="N176" s="18"/>
      <c r="O176" s="25">
        <v>64719.59</v>
      </c>
      <c r="P176" s="25">
        <v>24923.4</v>
      </c>
      <c r="Q176" s="28">
        <v>89642.99</v>
      </c>
    </row>
    <row r="177" spans="1:17" ht="12" customHeight="1" x14ac:dyDescent="0.2">
      <c r="A177" s="21" t="s">
        <v>1400</v>
      </c>
      <c r="B177" s="21" t="s">
        <v>1401</v>
      </c>
      <c r="C177" s="21" t="s">
        <v>1402</v>
      </c>
      <c r="D177" s="21" t="s">
        <v>1403</v>
      </c>
      <c r="E177" s="22" t="s">
        <v>1404</v>
      </c>
      <c r="F177" s="23" t="s">
        <v>1405</v>
      </c>
      <c r="G177" s="33" t="s">
        <v>1406</v>
      </c>
      <c r="H177" s="25">
        <v>55307.199999999997</v>
      </c>
      <c r="I177" s="26" t="s">
        <v>1407</v>
      </c>
      <c r="J177" s="25">
        <v>57226.47</v>
      </c>
      <c r="K177" s="18">
        <v>4304.91</v>
      </c>
      <c r="L177" s="18">
        <v>3033.92</v>
      </c>
      <c r="M177" s="27" t="s">
        <v>3520</v>
      </c>
      <c r="N177" s="18"/>
      <c r="O177" s="25">
        <v>64565.3</v>
      </c>
      <c r="P177" s="25">
        <v>24918.75</v>
      </c>
      <c r="Q177" s="28">
        <v>89484.05</v>
      </c>
    </row>
    <row r="178" spans="1:17" ht="12" customHeight="1" x14ac:dyDescent="0.2">
      <c r="A178" s="21" t="s">
        <v>1408</v>
      </c>
      <c r="B178" s="21" t="s">
        <v>1409</v>
      </c>
      <c r="C178" s="21" t="s">
        <v>1410</v>
      </c>
      <c r="D178" s="21" t="s">
        <v>1411</v>
      </c>
      <c r="E178" s="22" t="s">
        <v>1412</v>
      </c>
      <c r="F178" s="23" t="s">
        <v>1413</v>
      </c>
      <c r="G178" s="33" t="s">
        <v>1414</v>
      </c>
      <c r="H178" s="25">
        <v>53684.800000000003</v>
      </c>
      <c r="I178" s="26" t="s">
        <v>1415</v>
      </c>
      <c r="J178" s="25">
        <v>54240.87</v>
      </c>
      <c r="K178" s="18">
        <v>340.74</v>
      </c>
      <c r="L178" s="18">
        <v>4508</v>
      </c>
      <c r="M178" s="27" t="s">
        <v>3520</v>
      </c>
      <c r="N178" s="18"/>
      <c r="O178" s="25">
        <v>59089.61</v>
      </c>
      <c r="P178" s="25">
        <v>29982.61</v>
      </c>
      <c r="Q178" s="28">
        <v>89072.22</v>
      </c>
    </row>
    <row r="179" spans="1:17" ht="12" customHeight="1" x14ac:dyDescent="0.2">
      <c r="A179" s="21" t="s">
        <v>1416</v>
      </c>
      <c r="B179" s="21" t="s">
        <v>1417</v>
      </c>
      <c r="C179" s="21" t="s">
        <v>1418</v>
      </c>
      <c r="D179" s="21" t="s">
        <v>1419</v>
      </c>
      <c r="E179" s="22" t="s">
        <v>1420</v>
      </c>
      <c r="F179" s="23" t="s">
        <v>1421</v>
      </c>
      <c r="G179" s="33" t="s">
        <v>1422</v>
      </c>
      <c r="H179" s="25">
        <v>38294.699999999997</v>
      </c>
      <c r="I179" s="26" t="s">
        <v>1423</v>
      </c>
      <c r="J179" s="25">
        <v>39810.94</v>
      </c>
      <c r="K179" s="18">
        <v>20955.45</v>
      </c>
      <c r="L179" s="18">
        <v>3100.89</v>
      </c>
      <c r="M179" s="27" t="s">
        <v>3520</v>
      </c>
      <c r="N179" s="18"/>
      <c r="O179" s="25">
        <v>63867.28</v>
      </c>
      <c r="P179" s="25">
        <v>24764.33</v>
      </c>
      <c r="Q179" s="28">
        <v>88631.61</v>
      </c>
    </row>
    <row r="180" spans="1:17" ht="12" customHeight="1" x14ac:dyDescent="0.2">
      <c r="A180" s="21" t="s">
        <v>1424</v>
      </c>
      <c r="B180" s="21" t="s">
        <v>1425</v>
      </c>
      <c r="C180" s="21" t="s">
        <v>1426</v>
      </c>
      <c r="D180" s="21" t="s">
        <v>1427</v>
      </c>
      <c r="E180" s="22" t="s">
        <v>1428</v>
      </c>
      <c r="F180" s="23" t="s">
        <v>1429</v>
      </c>
      <c r="G180" s="33" t="s">
        <v>1430</v>
      </c>
      <c r="H180" s="25">
        <v>57824</v>
      </c>
      <c r="I180" s="26" t="s">
        <v>1431</v>
      </c>
      <c r="J180" s="25">
        <v>58030.55</v>
      </c>
      <c r="K180" s="18">
        <v>3012.79</v>
      </c>
      <c r="L180" s="18">
        <v>2612.73</v>
      </c>
      <c r="M180" s="27" t="s">
        <v>3520</v>
      </c>
      <c r="N180" s="18"/>
      <c r="O180" s="25">
        <v>63656.07</v>
      </c>
      <c r="P180" s="25">
        <v>24529.89</v>
      </c>
      <c r="Q180" s="28">
        <v>88185.96</v>
      </c>
    </row>
    <row r="181" spans="1:17" ht="12" customHeight="1" x14ac:dyDescent="0.2">
      <c r="A181" s="21" t="s">
        <v>1432</v>
      </c>
      <c r="B181" s="21" t="s">
        <v>1433</v>
      </c>
      <c r="C181" s="21" t="s">
        <v>1434</v>
      </c>
      <c r="D181" s="21" t="s">
        <v>1435</v>
      </c>
      <c r="E181" s="22" t="s">
        <v>1436</v>
      </c>
      <c r="F181" s="23" t="s">
        <v>1437</v>
      </c>
      <c r="G181" s="33" t="s">
        <v>1438</v>
      </c>
      <c r="H181" s="25">
        <v>51625.599999999999</v>
      </c>
      <c r="I181" s="26" t="s">
        <v>1439</v>
      </c>
      <c r="J181" s="25">
        <v>51853.78</v>
      </c>
      <c r="K181" s="18">
        <v>111.04</v>
      </c>
      <c r="L181" s="18">
        <v>5519.61</v>
      </c>
      <c r="M181" s="27" t="s">
        <v>3520</v>
      </c>
      <c r="N181" s="18"/>
      <c r="O181" s="25">
        <v>57484.43</v>
      </c>
      <c r="P181" s="25">
        <v>30296.84</v>
      </c>
      <c r="Q181" s="28">
        <v>87781.27</v>
      </c>
    </row>
    <row r="182" spans="1:17" ht="12" customHeight="1" x14ac:dyDescent="0.2">
      <c r="A182" s="21" t="s">
        <v>1440</v>
      </c>
      <c r="B182" s="21" t="s">
        <v>1441</v>
      </c>
      <c r="C182" s="21" t="s">
        <v>1442</v>
      </c>
      <c r="D182" s="21" t="s">
        <v>1443</v>
      </c>
      <c r="E182" s="22" t="s">
        <v>1444</v>
      </c>
      <c r="F182" s="23" t="s">
        <v>1445</v>
      </c>
      <c r="G182" s="33" t="s">
        <v>1446</v>
      </c>
      <c r="H182" s="25">
        <v>64402.52</v>
      </c>
      <c r="I182" s="26" t="s">
        <v>1447</v>
      </c>
      <c r="J182" s="25">
        <v>58347.68</v>
      </c>
      <c r="K182" s="18">
        <v>1878.77</v>
      </c>
      <c r="L182" s="18">
        <v>2902</v>
      </c>
      <c r="M182" s="27" t="s">
        <v>3520</v>
      </c>
      <c r="N182" s="18"/>
      <c r="O182" s="25">
        <v>63128.45</v>
      </c>
      <c r="P182" s="25">
        <v>24600.52</v>
      </c>
      <c r="Q182" s="28">
        <v>87728.97</v>
      </c>
    </row>
    <row r="183" spans="1:17" ht="12" customHeight="1" x14ac:dyDescent="0.2">
      <c r="A183" s="21" t="s">
        <v>1448</v>
      </c>
      <c r="B183" s="21" t="s">
        <v>1449</v>
      </c>
      <c r="C183" s="21" t="s">
        <v>1450</v>
      </c>
      <c r="D183" s="21" t="s">
        <v>1451</v>
      </c>
      <c r="E183" s="22" t="s">
        <v>1452</v>
      </c>
      <c r="F183" s="23" t="s">
        <v>1453</v>
      </c>
      <c r="G183" s="33" t="s">
        <v>1454</v>
      </c>
      <c r="H183" s="25">
        <v>63036.22</v>
      </c>
      <c r="I183" s="26" t="s">
        <v>1455</v>
      </c>
      <c r="J183" s="25">
        <v>62919.45</v>
      </c>
      <c r="K183" s="18" t="s">
        <v>3520</v>
      </c>
      <c r="L183" s="25">
        <v>30</v>
      </c>
      <c r="M183" s="27" t="s">
        <v>3520</v>
      </c>
      <c r="N183" s="18"/>
      <c r="O183" s="25">
        <v>62949.45</v>
      </c>
      <c r="P183" s="25">
        <v>24605.99</v>
      </c>
      <c r="Q183" s="28">
        <v>87555.44</v>
      </c>
    </row>
    <row r="184" spans="1:17" ht="12" customHeight="1" x14ac:dyDescent="0.2">
      <c r="A184" s="21" t="s">
        <v>1456</v>
      </c>
      <c r="B184" s="21" t="s">
        <v>1457</v>
      </c>
      <c r="C184" s="21" t="s">
        <v>1458</v>
      </c>
      <c r="D184" s="21" t="s">
        <v>1459</v>
      </c>
      <c r="E184" s="22" t="s">
        <v>1460</v>
      </c>
      <c r="F184" s="23" t="s">
        <v>1461</v>
      </c>
      <c r="G184" s="33" t="s">
        <v>1462</v>
      </c>
      <c r="H184" s="25">
        <v>64000.04</v>
      </c>
      <c r="I184" s="26" t="s">
        <v>1463</v>
      </c>
      <c r="J184" s="25">
        <v>61812.86</v>
      </c>
      <c r="K184" s="18">
        <v>514.4</v>
      </c>
      <c r="L184" s="18">
        <v>585</v>
      </c>
      <c r="M184" s="27" t="s">
        <v>3520</v>
      </c>
      <c r="N184" s="18"/>
      <c r="O184" s="25">
        <v>62912.26</v>
      </c>
      <c r="P184" s="25">
        <v>24585.97</v>
      </c>
      <c r="Q184" s="28">
        <v>87498.23</v>
      </c>
    </row>
    <row r="185" spans="1:17" ht="12" customHeight="1" x14ac:dyDescent="0.2">
      <c r="A185" s="21" t="s">
        <v>1464</v>
      </c>
      <c r="B185" s="21" t="s">
        <v>1465</v>
      </c>
      <c r="C185" s="21" t="s">
        <v>1466</v>
      </c>
      <c r="D185" s="21" t="s">
        <v>1467</v>
      </c>
      <c r="E185" s="22" t="s">
        <v>1468</v>
      </c>
      <c r="F185" s="23" t="s">
        <v>1469</v>
      </c>
      <c r="G185" s="33" t="s">
        <v>1470</v>
      </c>
      <c r="H185" s="25">
        <v>53976</v>
      </c>
      <c r="I185" s="26" t="s">
        <v>1471</v>
      </c>
      <c r="J185" s="25">
        <v>53611.37</v>
      </c>
      <c r="K185" s="18">
        <v>347.25</v>
      </c>
      <c r="L185" s="18">
        <v>3601.08</v>
      </c>
      <c r="M185" s="27" t="s">
        <v>3520</v>
      </c>
      <c r="N185" s="18"/>
      <c r="O185" s="25">
        <v>57559.7</v>
      </c>
      <c r="P185" s="25">
        <v>29741</v>
      </c>
      <c r="Q185" s="28">
        <v>87300.7</v>
      </c>
    </row>
    <row r="186" spans="1:17" ht="12" customHeight="1" x14ac:dyDescent="0.2">
      <c r="A186" s="21" t="s">
        <v>1472</v>
      </c>
      <c r="B186" s="21" t="s">
        <v>1473</v>
      </c>
      <c r="C186" s="21" t="s">
        <v>1474</v>
      </c>
      <c r="D186" s="21" t="s">
        <v>1475</v>
      </c>
      <c r="E186" s="22" t="s">
        <v>1476</v>
      </c>
      <c r="F186" s="23" t="s">
        <v>1477</v>
      </c>
      <c r="G186" s="33" t="s">
        <v>1478</v>
      </c>
      <c r="H186" s="25">
        <v>55682.12</v>
      </c>
      <c r="I186" s="26" t="s">
        <v>1479</v>
      </c>
      <c r="J186" s="25">
        <v>55578.97</v>
      </c>
      <c r="K186" s="18" t="s">
        <v>3520</v>
      </c>
      <c r="L186" s="18">
        <v>120</v>
      </c>
      <c r="M186" s="27" t="s">
        <v>3520</v>
      </c>
      <c r="N186" s="18"/>
      <c r="O186" s="18">
        <v>55698.97</v>
      </c>
      <c r="P186" s="25">
        <v>31501.24</v>
      </c>
      <c r="Q186" s="28">
        <v>87200.21</v>
      </c>
    </row>
    <row r="187" spans="1:17" ht="12" customHeight="1" x14ac:dyDescent="0.2">
      <c r="A187" s="21" t="s">
        <v>1480</v>
      </c>
      <c r="B187" s="21" t="s">
        <v>1481</v>
      </c>
      <c r="C187" s="21" t="s">
        <v>1482</v>
      </c>
      <c r="D187" s="21" t="s">
        <v>1483</v>
      </c>
      <c r="E187" s="22" t="s">
        <v>1484</v>
      </c>
      <c r="F187" s="23" t="s">
        <v>1485</v>
      </c>
      <c r="G187" s="33" t="s">
        <v>1486</v>
      </c>
      <c r="H187" s="25">
        <v>57065.84</v>
      </c>
      <c r="I187" s="26" t="s">
        <v>1487</v>
      </c>
      <c r="J187" s="25">
        <v>56960.13</v>
      </c>
      <c r="K187" s="18" t="s">
        <v>3520</v>
      </c>
      <c r="L187" s="18">
        <v>1442</v>
      </c>
      <c r="M187" s="27" t="s">
        <v>3520</v>
      </c>
      <c r="N187" s="18"/>
      <c r="O187" s="25">
        <v>58402.13</v>
      </c>
      <c r="P187" s="25">
        <v>28726.84</v>
      </c>
      <c r="Q187" s="28">
        <v>87128.97</v>
      </c>
    </row>
    <row r="188" spans="1:17" ht="12" customHeight="1" x14ac:dyDescent="0.2">
      <c r="A188" s="21" t="s">
        <v>1488</v>
      </c>
      <c r="B188" s="21" t="s">
        <v>1489</v>
      </c>
      <c r="C188" s="21" t="s">
        <v>1490</v>
      </c>
      <c r="D188" s="21" t="s">
        <v>1491</v>
      </c>
      <c r="E188" s="22" t="s">
        <v>1492</v>
      </c>
      <c r="F188" s="23" t="s">
        <v>1493</v>
      </c>
      <c r="G188" s="33" t="s">
        <v>1494</v>
      </c>
      <c r="H188" s="25">
        <v>53788.800000000003</v>
      </c>
      <c r="I188" s="26" t="s">
        <v>1495</v>
      </c>
      <c r="J188" s="25">
        <v>53589.13</v>
      </c>
      <c r="K188" s="18">
        <v>878.87</v>
      </c>
      <c r="L188" s="18">
        <v>4074.04</v>
      </c>
      <c r="M188" s="27" t="s">
        <v>3520</v>
      </c>
      <c r="N188" s="18"/>
      <c r="O188" s="25">
        <v>58542.04</v>
      </c>
      <c r="P188" s="25">
        <v>28362.400000000001</v>
      </c>
      <c r="Q188" s="28">
        <v>86904.44</v>
      </c>
    </row>
    <row r="189" spans="1:17" ht="12" customHeight="1" x14ac:dyDescent="0.2">
      <c r="A189" s="21" t="s">
        <v>1496</v>
      </c>
      <c r="B189" s="21" t="s">
        <v>1497</v>
      </c>
      <c r="C189" s="21" t="s">
        <v>1498</v>
      </c>
      <c r="D189" s="21" t="s">
        <v>1499</v>
      </c>
      <c r="E189" s="22" t="s">
        <v>1500</v>
      </c>
      <c r="F189" s="23" t="s">
        <v>1501</v>
      </c>
      <c r="G189" s="33" t="s">
        <v>1502</v>
      </c>
      <c r="H189" s="25">
        <v>52543.17</v>
      </c>
      <c r="I189" s="26" t="s">
        <v>1503</v>
      </c>
      <c r="J189" s="25">
        <v>48007.360000000001</v>
      </c>
      <c r="K189" s="18">
        <v>11751.16</v>
      </c>
      <c r="L189" s="18">
        <v>2422.9499999999998</v>
      </c>
      <c r="M189" s="27" t="s">
        <v>3520</v>
      </c>
      <c r="N189" s="18"/>
      <c r="O189" s="25">
        <v>62181.47</v>
      </c>
      <c r="P189" s="25">
        <v>24395.19</v>
      </c>
      <c r="Q189" s="28">
        <v>86576.66</v>
      </c>
    </row>
    <row r="190" spans="1:17" ht="12" customHeight="1" x14ac:dyDescent="0.2">
      <c r="A190" s="21" t="s">
        <v>1504</v>
      </c>
      <c r="B190" s="21" t="s">
        <v>1505</v>
      </c>
      <c r="C190" s="21" t="s">
        <v>1506</v>
      </c>
      <c r="D190" s="21" t="s">
        <v>1507</v>
      </c>
      <c r="E190" s="22" t="s">
        <v>1508</v>
      </c>
      <c r="F190" s="23" t="s">
        <v>1509</v>
      </c>
      <c r="G190" s="33" t="s">
        <v>1510</v>
      </c>
      <c r="H190" s="25">
        <v>55161.599999999999</v>
      </c>
      <c r="I190" s="26" t="s">
        <v>1511</v>
      </c>
      <c r="J190" s="25">
        <v>57822.86</v>
      </c>
      <c r="K190" s="18">
        <v>2459.15</v>
      </c>
      <c r="L190" s="18">
        <v>1959.84</v>
      </c>
      <c r="M190" s="27" t="s">
        <v>3520</v>
      </c>
      <c r="N190" s="18"/>
      <c r="O190" s="25">
        <v>62241.85</v>
      </c>
      <c r="P190" s="25">
        <v>24292.63</v>
      </c>
      <c r="Q190" s="28">
        <v>86534.48</v>
      </c>
    </row>
    <row r="191" spans="1:17" ht="12" customHeight="1" x14ac:dyDescent="0.2">
      <c r="A191" s="21" t="s">
        <v>1512</v>
      </c>
      <c r="B191" s="21" t="s">
        <v>1513</v>
      </c>
      <c r="C191" s="21" t="s">
        <v>1514</v>
      </c>
      <c r="D191" s="21" t="s">
        <v>1515</v>
      </c>
      <c r="E191" s="22" t="s">
        <v>1516</v>
      </c>
      <c r="F191" s="23" t="s">
        <v>1517</v>
      </c>
      <c r="G191" s="33" t="s">
        <v>1518</v>
      </c>
      <c r="H191" s="25">
        <v>46342.400000000001</v>
      </c>
      <c r="I191" s="26" t="s">
        <v>1519</v>
      </c>
      <c r="J191" s="25">
        <v>47393.06</v>
      </c>
      <c r="K191" s="18">
        <v>4493.1499999999996</v>
      </c>
      <c r="L191" s="18">
        <v>1257.04</v>
      </c>
      <c r="M191" s="27" t="s">
        <v>3520</v>
      </c>
      <c r="N191" s="18"/>
      <c r="O191" s="25">
        <v>53143.25</v>
      </c>
      <c r="P191" s="25">
        <v>33131.57</v>
      </c>
      <c r="Q191" s="28">
        <v>86274.82</v>
      </c>
    </row>
    <row r="192" spans="1:17" ht="12" customHeight="1" x14ac:dyDescent="0.2">
      <c r="A192" s="21" t="s">
        <v>1520</v>
      </c>
      <c r="B192" s="21" t="s">
        <v>1521</v>
      </c>
      <c r="C192" s="21" t="s">
        <v>1522</v>
      </c>
      <c r="D192" s="21" t="s">
        <v>1523</v>
      </c>
      <c r="E192" s="22" t="s">
        <v>1524</v>
      </c>
      <c r="F192" s="23" t="s">
        <v>1525</v>
      </c>
      <c r="G192" s="33" t="s">
        <v>1526</v>
      </c>
      <c r="H192" s="25">
        <v>50441.04</v>
      </c>
      <c r="I192" s="26" t="s">
        <v>1527</v>
      </c>
      <c r="J192" s="25">
        <v>50704.13</v>
      </c>
      <c r="K192" s="18">
        <v>1901.11</v>
      </c>
      <c r="L192" s="18">
        <v>4342.6400000000003</v>
      </c>
      <c r="M192" s="27" t="s">
        <v>3520</v>
      </c>
      <c r="N192" s="18"/>
      <c r="O192" s="25">
        <v>56947.88</v>
      </c>
      <c r="P192" s="25">
        <v>29129.599999999999</v>
      </c>
      <c r="Q192" s="28">
        <v>86077.48</v>
      </c>
    </row>
    <row r="193" spans="1:17" ht="12" customHeight="1" x14ac:dyDescent="0.2">
      <c r="A193" s="21" t="s">
        <v>1528</v>
      </c>
      <c r="B193" s="21" t="s">
        <v>1529</v>
      </c>
      <c r="C193" s="21" t="s">
        <v>1530</v>
      </c>
      <c r="D193" s="21" t="s">
        <v>1531</v>
      </c>
      <c r="E193" s="22" t="s">
        <v>1532</v>
      </c>
      <c r="F193" s="23" t="s">
        <v>1533</v>
      </c>
      <c r="G193" s="33" t="s">
        <v>1534</v>
      </c>
      <c r="H193" s="25">
        <v>61193.599999999999</v>
      </c>
      <c r="I193" s="26" t="s">
        <v>1535</v>
      </c>
      <c r="J193" s="25">
        <v>60843.77</v>
      </c>
      <c r="K193" s="18">
        <v>876.48</v>
      </c>
      <c r="L193" s="18">
        <v>100</v>
      </c>
      <c r="M193" s="27" t="s">
        <v>3520</v>
      </c>
      <c r="N193" s="18"/>
      <c r="O193" s="25">
        <v>61820.25</v>
      </c>
      <c r="P193" s="25">
        <v>24255.1</v>
      </c>
      <c r="Q193" s="28">
        <v>86075.35</v>
      </c>
    </row>
    <row r="194" spans="1:17" ht="12" customHeight="1" x14ac:dyDescent="0.2">
      <c r="A194" s="21" t="s">
        <v>1536</v>
      </c>
      <c r="B194" s="21" t="s">
        <v>1537</v>
      </c>
      <c r="C194" s="21" t="s">
        <v>1538</v>
      </c>
      <c r="D194" s="21" t="s">
        <v>1539</v>
      </c>
      <c r="E194" s="22" t="s">
        <v>1540</v>
      </c>
      <c r="F194" s="23" t="s">
        <v>1541</v>
      </c>
      <c r="G194" s="33" t="s">
        <v>1542</v>
      </c>
      <c r="H194" s="25">
        <v>56766.32</v>
      </c>
      <c r="I194" s="26" t="s">
        <v>1543</v>
      </c>
      <c r="J194" s="25">
        <v>56661.16</v>
      </c>
      <c r="K194" s="18" t="s">
        <v>3520</v>
      </c>
      <c r="L194" s="18">
        <v>737</v>
      </c>
      <c r="M194" s="27" t="s">
        <v>3520</v>
      </c>
      <c r="N194" s="18"/>
      <c r="O194" s="25">
        <v>57398.16</v>
      </c>
      <c r="P194" s="25">
        <v>28478.05</v>
      </c>
      <c r="Q194" s="28">
        <v>85876.21</v>
      </c>
    </row>
    <row r="195" spans="1:17" ht="12" customHeight="1" x14ac:dyDescent="0.2">
      <c r="A195" s="21" t="s">
        <v>1544</v>
      </c>
      <c r="B195" s="21" t="s">
        <v>1545</v>
      </c>
      <c r="C195" s="21" t="s">
        <v>1546</v>
      </c>
      <c r="D195" s="21" t="s">
        <v>1547</v>
      </c>
      <c r="E195" s="22" t="s">
        <v>1548</v>
      </c>
      <c r="F195" s="23" t="s">
        <v>1549</v>
      </c>
      <c r="G195" s="33" t="s">
        <v>1550</v>
      </c>
      <c r="H195" s="25">
        <v>73935.16</v>
      </c>
      <c r="I195" s="26" t="s">
        <v>1551</v>
      </c>
      <c r="J195" s="25">
        <v>55431.63</v>
      </c>
      <c r="K195" s="18">
        <v>1159.56</v>
      </c>
      <c r="L195" s="18">
        <v>600</v>
      </c>
      <c r="M195" s="27" t="s">
        <v>3520</v>
      </c>
      <c r="N195" s="18"/>
      <c r="O195" s="25">
        <v>57191.19</v>
      </c>
      <c r="P195" s="25">
        <v>28479.43</v>
      </c>
      <c r="Q195" s="28">
        <v>85670.62</v>
      </c>
    </row>
    <row r="196" spans="1:17" ht="12" customHeight="1" x14ac:dyDescent="0.2">
      <c r="A196" s="21" t="s">
        <v>1552</v>
      </c>
      <c r="B196" s="21" t="s">
        <v>1553</v>
      </c>
      <c r="C196" s="21" t="s">
        <v>1554</v>
      </c>
      <c r="D196" s="21" t="s">
        <v>1555</v>
      </c>
      <c r="E196" s="22" t="s">
        <v>1556</v>
      </c>
      <c r="F196" s="23" t="s">
        <v>1557</v>
      </c>
      <c r="G196" s="33" t="s">
        <v>1558</v>
      </c>
      <c r="H196" s="25">
        <v>60736</v>
      </c>
      <c r="I196" s="26" t="s">
        <v>1559</v>
      </c>
      <c r="J196" s="25">
        <v>59929.120000000003</v>
      </c>
      <c r="K196" s="18">
        <v>5383.93</v>
      </c>
      <c r="L196" s="18">
        <v>2299.0700000000002</v>
      </c>
      <c r="M196" s="27" t="s">
        <v>3520</v>
      </c>
      <c r="N196" s="18"/>
      <c r="O196" s="25">
        <v>67612.12</v>
      </c>
      <c r="P196" s="25">
        <v>17056.47</v>
      </c>
      <c r="Q196" s="28">
        <v>84668.59</v>
      </c>
    </row>
    <row r="197" spans="1:17" ht="12" customHeight="1" x14ac:dyDescent="0.2">
      <c r="A197" s="21" t="s">
        <v>1560</v>
      </c>
      <c r="B197" s="21" t="s">
        <v>1561</v>
      </c>
      <c r="C197" s="21" t="s">
        <v>1562</v>
      </c>
      <c r="D197" s="21" t="s">
        <v>1563</v>
      </c>
      <c r="E197" s="22" t="s">
        <v>1564</v>
      </c>
      <c r="F197" s="23" t="s">
        <v>1565</v>
      </c>
      <c r="G197" s="33" t="s">
        <v>1566</v>
      </c>
      <c r="H197" s="25">
        <v>49587.199999999997</v>
      </c>
      <c r="I197" s="26" t="s">
        <v>1567</v>
      </c>
      <c r="J197" s="25">
        <v>51805.95</v>
      </c>
      <c r="K197" s="18">
        <v>6627.13</v>
      </c>
      <c r="L197" s="18">
        <v>2174.16</v>
      </c>
      <c r="M197" s="27" t="s">
        <v>3520</v>
      </c>
      <c r="N197" s="18"/>
      <c r="O197" s="25">
        <v>60607.24</v>
      </c>
      <c r="P197" s="25">
        <v>23804.98</v>
      </c>
      <c r="Q197" s="28">
        <v>84412.22</v>
      </c>
    </row>
    <row r="198" spans="1:17" ht="12" customHeight="1" x14ac:dyDescent="0.2">
      <c r="A198" s="21" t="s">
        <v>1568</v>
      </c>
      <c r="B198" s="21" t="s">
        <v>1569</v>
      </c>
      <c r="C198" s="21" t="s">
        <v>1570</v>
      </c>
      <c r="D198" s="21" t="s">
        <v>1571</v>
      </c>
      <c r="E198" s="22" t="s">
        <v>1572</v>
      </c>
      <c r="F198" s="23" t="s">
        <v>1573</v>
      </c>
      <c r="G198" s="33" t="s">
        <v>1574</v>
      </c>
      <c r="H198" s="25">
        <v>55161.599999999999</v>
      </c>
      <c r="I198" s="26" t="s">
        <v>1575</v>
      </c>
      <c r="J198" s="25">
        <v>52535.6</v>
      </c>
      <c r="K198" s="18">
        <v>5652.88</v>
      </c>
      <c r="L198" s="18">
        <v>2044.35</v>
      </c>
      <c r="M198" s="27" t="s">
        <v>3520</v>
      </c>
      <c r="N198" s="18"/>
      <c r="O198" s="25">
        <v>60232.83</v>
      </c>
      <c r="P198" s="25">
        <v>23915.13</v>
      </c>
      <c r="Q198" s="28">
        <v>84147.96</v>
      </c>
    </row>
    <row r="199" spans="1:17" ht="12" customHeight="1" x14ac:dyDescent="0.2">
      <c r="A199" s="21" t="s">
        <v>1576</v>
      </c>
      <c r="B199" s="21" t="s">
        <v>1577</v>
      </c>
      <c r="C199" s="21" t="s">
        <v>1578</v>
      </c>
      <c r="D199" s="21" t="s">
        <v>1579</v>
      </c>
      <c r="E199" s="22" t="s">
        <v>1580</v>
      </c>
      <c r="F199" s="23" t="s">
        <v>1581</v>
      </c>
      <c r="G199" s="33" t="s">
        <v>1582</v>
      </c>
      <c r="H199" s="25">
        <v>65609.440000000002</v>
      </c>
      <c r="I199" s="26" t="s">
        <v>1583</v>
      </c>
      <c r="J199" s="25">
        <v>65487.91</v>
      </c>
      <c r="K199" s="18" t="s">
        <v>3520</v>
      </c>
      <c r="L199" s="18">
        <v>1500</v>
      </c>
      <c r="M199" s="27" t="s">
        <v>3520</v>
      </c>
      <c r="N199" s="18"/>
      <c r="O199" s="25">
        <v>66987.91</v>
      </c>
      <c r="P199" s="25">
        <v>16937.36</v>
      </c>
      <c r="Q199" s="28">
        <v>83925.27</v>
      </c>
    </row>
    <row r="200" spans="1:17" ht="12" customHeight="1" x14ac:dyDescent="0.2">
      <c r="A200" s="21" t="s">
        <v>1584</v>
      </c>
      <c r="B200" s="21" t="s">
        <v>1585</v>
      </c>
      <c r="C200" s="21" t="s">
        <v>1586</v>
      </c>
      <c r="D200" s="21" t="s">
        <v>1587</v>
      </c>
      <c r="E200" s="22" t="s">
        <v>1588</v>
      </c>
      <c r="F200" s="23" t="s">
        <v>1589</v>
      </c>
      <c r="G200" s="33" t="s">
        <v>1590</v>
      </c>
      <c r="H200" s="25">
        <v>57844.800000000003</v>
      </c>
      <c r="I200" s="26" t="s">
        <v>1591</v>
      </c>
      <c r="J200" s="25">
        <v>57768.94</v>
      </c>
      <c r="K200" s="18">
        <v>94.48</v>
      </c>
      <c r="L200" s="25">
        <v>1891</v>
      </c>
      <c r="M200" s="27" t="s">
        <v>3520</v>
      </c>
      <c r="N200" s="18"/>
      <c r="O200" s="25">
        <v>59754.42</v>
      </c>
      <c r="P200" s="25">
        <v>23638.99</v>
      </c>
      <c r="Q200" s="28">
        <v>83393.41</v>
      </c>
    </row>
    <row r="201" spans="1:17" ht="12" customHeight="1" x14ac:dyDescent="0.2">
      <c r="A201" s="21" t="s">
        <v>1592</v>
      </c>
      <c r="B201" s="21" t="s">
        <v>1593</v>
      </c>
      <c r="C201" s="21" t="s">
        <v>1594</v>
      </c>
      <c r="D201" s="21" t="s">
        <v>1595</v>
      </c>
      <c r="E201" s="22" t="s">
        <v>1596</v>
      </c>
      <c r="F201" s="23" t="s">
        <v>1597</v>
      </c>
      <c r="G201" s="33" t="s">
        <v>1598</v>
      </c>
      <c r="H201" s="25">
        <v>53476.800000000003</v>
      </c>
      <c r="I201" s="26" t="s">
        <v>1599</v>
      </c>
      <c r="J201" s="25">
        <v>54161.74</v>
      </c>
      <c r="K201" s="18">
        <v>3360.61</v>
      </c>
      <c r="L201" s="18">
        <v>2203</v>
      </c>
      <c r="M201" s="27" t="s">
        <v>3520</v>
      </c>
      <c r="N201" s="18"/>
      <c r="O201" s="25">
        <v>59725.35</v>
      </c>
      <c r="P201" s="25">
        <v>23290.17</v>
      </c>
      <c r="Q201" s="28">
        <v>83015.520000000004</v>
      </c>
    </row>
    <row r="202" spans="1:17" ht="12" customHeight="1" x14ac:dyDescent="0.2">
      <c r="A202" s="21" t="s">
        <v>1600</v>
      </c>
      <c r="B202" s="21" t="s">
        <v>1601</v>
      </c>
      <c r="C202" s="21" t="s">
        <v>1602</v>
      </c>
      <c r="D202" s="21" t="s">
        <v>1603</v>
      </c>
      <c r="E202" s="22" t="s">
        <v>1604</v>
      </c>
      <c r="F202" s="23" t="s">
        <v>1605</v>
      </c>
      <c r="G202" s="33" t="s">
        <v>1606</v>
      </c>
      <c r="H202" s="25">
        <v>47507.199999999997</v>
      </c>
      <c r="I202" s="26" t="s">
        <v>1607</v>
      </c>
      <c r="J202" s="25">
        <v>48638.35</v>
      </c>
      <c r="K202" s="18">
        <v>3311.69</v>
      </c>
      <c r="L202" s="18">
        <v>2434.16</v>
      </c>
      <c r="M202" s="27" t="s">
        <v>3520</v>
      </c>
      <c r="N202" s="18"/>
      <c r="O202" s="25">
        <v>54384.2</v>
      </c>
      <c r="P202" s="25">
        <v>28348.81</v>
      </c>
      <c r="Q202" s="28">
        <v>82733.009999999995</v>
      </c>
    </row>
    <row r="203" spans="1:17" ht="12" customHeight="1" x14ac:dyDescent="0.2">
      <c r="A203" s="21" t="s">
        <v>1608</v>
      </c>
      <c r="B203" s="21" t="s">
        <v>1609</v>
      </c>
      <c r="C203" s="21" t="s">
        <v>1610</v>
      </c>
      <c r="D203" s="21" t="s">
        <v>1611</v>
      </c>
      <c r="E203" s="22" t="s">
        <v>1612</v>
      </c>
      <c r="F203" s="23" t="s">
        <v>1613</v>
      </c>
      <c r="G203" s="33" t="s">
        <v>1614</v>
      </c>
      <c r="H203" s="25">
        <v>46800</v>
      </c>
      <c r="I203" s="26" t="s">
        <v>1615</v>
      </c>
      <c r="J203" s="25">
        <v>47337.1</v>
      </c>
      <c r="K203" s="18">
        <v>3419.35</v>
      </c>
      <c r="L203" s="18">
        <v>160</v>
      </c>
      <c r="M203" s="27" t="s">
        <v>3520</v>
      </c>
      <c r="N203" s="18"/>
      <c r="O203" s="25">
        <v>50916.45</v>
      </c>
      <c r="P203" s="25">
        <v>31776.959999999999</v>
      </c>
      <c r="Q203" s="28">
        <v>82693.41</v>
      </c>
    </row>
    <row r="204" spans="1:17" ht="12" customHeight="1" x14ac:dyDescent="0.2">
      <c r="A204" s="21" t="s">
        <v>1616</v>
      </c>
      <c r="B204" s="21" t="s">
        <v>1617</v>
      </c>
      <c r="C204" s="21" t="s">
        <v>1618</v>
      </c>
      <c r="D204" s="21" t="s">
        <v>1619</v>
      </c>
      <c r="E204" s="22" t="s">
        <v>1620</v>
      </c>
      <c r="F204" s="23" t="s">
        <v>1621</v>
      </c>
      <c r="G204" s="33" t="s">
        <v>1622</v>
      </c>
      <c r="H204" s="25">
        <v>58822.400000000001</v>
      </c>
      <c r="I204" s="26" t="s">
        <v>1623</v>
      </c>
      <c r="J204" s="25">
        <v>60387.35</v>
      </c>
      <c r="K204" s="18">
        <v>2019.99</v>
      </c>
      <c r="L204" s="18">
        <v>3311.5</v>
      </c>
      <c r="M204" s="27" t="s">
        <v>3520</v>
      </c>
      <c r="N204" s="18"/>
      <c r="O204" s="25">
        <v>65718.84</v>
      </c>
      <c r="P204" s="25">
        <v>16596.240000000002</v>
      </c>
      <c r="Q204" s="28">
        <v>82315.08</v>
      </c>
    </row>
    <row r="205" spans="1:17" ht="12" customHeight="1" x14ac:dyDescent="0.2">
      <c r="A205" s="21" t="s">
        <v>1624</v>
      </c>
      <c r="B205" s="21" t="s">
        <v>1625</v>
      </c>
      <c r="C205" s="21" t="s">
        <v>1626</v>
      </c>
      <c r="D205" s="21" t="s">
        <v>1627</v>
      </c>
      <c r="E205" s="22" t="s">
        <v>1628</v>
      </c>
      <c r="F205" s="23" t="s">
        <v>1629</v>
      </c>
      <c r="G205" s="33" t="s">
        <v>1630</v>
      </c>
      <c r="H205" s="25">
        <v>57803.199999999997</v>
      </c>
      <c r="I205" s="26" t="s">
        <v>1631</v>
      </c>
      <c r="J205" s="25">
        <v>57812.05</v>
      </c>
      <c r="K205" s="18">
        <v>697.66</v>
      </c>
      <c r="L205" s="18">
        <v>530</v>
      </c>
      <c r="M205" s="27" t="s">
        <v>3520</v>
      </c>
      <c r="N205" s="18"/>
      <c r="O205" s="25">
        <v>59039.71</v>
      </c>
      <c r="P205" s="25">
        <v>23080.13</v>
      </c>
      <c r="Q205" s="28">
        <v>82119.839999999997</v>
      </c>
    </row>
    <row r="206" spans="1:17" ht="12" customHeight="1" x14ac:dyDescent="0.2">
      <c r="A206" s="21" t="s">
        <v>1632</v>
      </c>
      <c r="B206" s="21" t="s">
        <v>1633</v>
      </c>
      <c r="C206" s="21" t="s">
        <v>1634</v>
      </c>
      <c r="D206" s="21" t="s">
        <v>1635</v>
      </c>
      <c r="E206" s="22" t="s">
        <v>1636</v>
      </c>
      <c r="F206" s="23" t="s">
        <v>1637</v>
      </c>
      <c r="G206" s="33" t="s">
        <v>1638</v>
      </c>
      <c r="H206" s="25">
        <v>63190.400000000001</v>
      </c>
      <c r="I206" s="26" t="s">
        <v>1639</v>
      </c>
      <c r="J206" s="25">
        <v>63358.57</v>
      </c>
      <c r="K206" s="18">
        <v>1633.19</v>
      </c>
      <c r="L206" s="18">
        <v>830</v>
      </c>
      <c r="M206" s="27" t="s">
        <v>3520</v>
      </c>
      <c r="N206" s="18"/>
      <c r="O206" s="25">
        <v>65821.759999999995</v>
      </c>
      <c r="P206" s="25">
        <v>16175.52</v>
      </c>
      <c r="Q206" s="28">
        <v>81997.279999999999</v>
      </c>
    </row>
    <row r="207" spans="1:17" ht="12" customHeight="1" x14ac:dyDescent="0.2">
      <c r="A207" s="21" t="s">
        <v>1640</v>
      </c>
      <c r="B207" s="21" t="s">
        <v>1641</v>
      </c>
      <c r="C207" s="21" t="s">
        <v>1642</v>
      </c>
      <c r="D207" s="21" t="s">
        <v>1643</v>
      </c>
      <c r="E207" s="22" t="s">
        <v>1644</v>
      </c>
      <c r="F207" s="23" t="s">
        <v>1645</v>
      </c>
      <c r="G207" s="34" t="s">
        <v>1646</v>
      </c>
      <c r="H207" s="25">
        <v>80876.12</v>
      </c>
      <c r="I207" s="25">
        <v>1271.47</v>
      </c>
      <c r="J207" s="25">
        <v>55870.66</v>
      </c>
      <c r="K207" s="18" t="s">
        <v>3520</v>
      </c>
      <c r="L207" s="18">
        <v>3724.5</v>
      </c>
      <c r="M207" s="27" t="s">
        <v>3520</v>
      </c>
      <c r="N207" s="18"/>
      <c r="O207" s="25">
        <v>60866.63</v>
      </c>
      <c r="P207" s="25">
        <v>20918.41</v>
      </c>
      <c r="Q207" s="28">
        <v>81785.039999999994</v>
      </c>
    </row>
    <row r="208" spans="1:17" ht="12" customHeight="1" x14ac:dyDescent="0.2">
      <c r="A208" s="21" t="s">
        <v>1647</v>
      </c>
      <c r="B208" s="21" t="s">
        <v>1648</v>
      </c>
      <c r="C208" s="21" t="s">
        <v>1649</v>
      </c>
      <c r="D208" s="21" t="s">
        <v>1650</v>
      </c>
      <c r="E208" s="22" t="s">
        <v>1651</v>
      </c>
      <c r="F208" s="23" t="s">
        <v>1652</v>
      </c>
      <c r="G208" s="33" t="s">
        <v>1653</v>
      </c>
      <c r="H208" s="25">
        <v>52543.17</v>
      </c>
      <c r="I208" s="26" t="s">
        <v>1654</v>
      </c>
      <c r="J208" s="25">
        <v>49435.53</v>
      </c>
      <c r="K208" s="18">
        <v>11590.61</v>
      </c>
      <c r="L208" s="18">
        <v>3766.52</v>
      </c>
      <c r="M208" s="27" t="s">
        <v>3520</v>
      </c>
      <c r="N208" s="18"/>
      <c r="O208" s="25">
        <v>64792.66</v>
      </c>
      <c r="P208" s="25">
        <v>16389.62</v>
      </c>
      <c r="Q208" s="28">
        <v>81182.28</v>
      </c>
    </row>
    <row r="209" spans="1:17" ht="12" customHeight="1" x14ac:dyDescent="0.2">
      <c r="A209" s="21" t="s">
        <v>1655</v>
      </c>
      <c r="B209" s="21" t="s">
        <v>1656</v>
      </c>
      <c r="C209" s="21" t="s">
        <v>1657</v>
      </c>
      <c r="D209" s="21" t="s">
        <v>1658</v>
      </c>
      <c r="E209" s="22" t="s">
        <v>1659</v>
      </c>
      <c r="F209" s="23" t="s">
        <v>1660</v>
      </c>
      <c r="G209" s="33" t="s">
        <v>1661</v>
      </c>
      <c r="H209" s="25">
        <v>57783.18</v>
      </c>
      <c r="I209" s="26" t="s">
        <v>1662</v>
      </c>
      <c r="J209" s="25">
        <v>57676.14</v>
      </c>
      <c r="K209" s="18" t="s">
        <v>3520</v>
      </c>
      <c r="L209" s="25">
        <v>70</v>
      </c>
      <c r="M209" s="27" t="s">
        <v>3520</v>
      </c>
      <c r="N209" s="18"/>
      <c r="O209" s="25">
        <v>57746.14</v>
      </c>
      <c r="P209" s="25">
        <v>23338.1</v>
      </c>
      <c r="Q209" s="28">
        <v>81084.240000000005</v>
      </c>
    </row>
    <row r="210" spans="1:17" ht="12" customHeight="1" x14ac:dyDescent="0.2">
      <c r="A210" s="21" t="s">
        <v>1663</v>
      </c>
      <c r="B210" s="21" t="s">
        <v>1664</v>
      </c>
      <c r="C210" s="21" t="s">
        <v>1665</v>
      </c>
      <c r="D210" s="21" t="s">
        <v>1666</v>
      </c>
      <c r="E210" s="22" t="s">
        <v>1667</v>
      </c>
      <c r="F210" s="23" t="s">
        <v>1668</v>
      </c>
      <c r="G210" s="33" t="s">
        <v>1669</v>
      </c>
      <c r="H210" s="25">
        <v>57782.400000000001</v>
      </c>
      <c r="I210" s="26" t="s">
        <v>1670</v>
      </c>
      <c r="J210" s="25">
        <v>57726.73</v>
      </c>
      <c r="K210" s="18">
        <v>193.22</v>
      </c>
      <c r="L210" s="25">
        <v>90</v>
      </c>
      <c r="M210" s="27" t="s">
        <v>3520</v>
      </c>
      <c r="N210" s="18"/>
      <c r="O210" s="25">
        <v>58009.95</v>
      </c>
      <c r="P210" s="25">
        <v>22392.639999999999</v>
      </c>
      <c r="Q210" s="28">
        <v>80402.59</v>
      </c>
    </row>
    <row r="211" spans="1:17" ht="12" customHeight="1" x14ac:dyDescent="0.2">
      <c r="A211" s="21" t="s">
        <v>1671</v>
      </c>
      <c r="B211" s="21" t="s">
        <v>1672</v>
      </c>
      <c r="C211" s="21" t="s">
        <v>1673</v>
      </c>
      <c r="D211" s="21" t="s">
        <v>1674</v>
      </c>
      <c r="E211" s="22" t="s">
        <v>1675</v>
      </c>
      <c r="F211" s="23" t="s">
        <v>1676</v>
      </c>
      <c r="G211" s="33" t="s">
        <v>1677</v>
      </c>
      <c r="H211" s="25">
        <v>50585.599999999999</v>
      </c>
      <c r="I211" s="26" t="s">
        <v>1678</v>
      </c>
      <c r="J211" s="25">
        <v>50428.59</v>
      </c>
      <c r="K211" s="18">
        <v>204.02</v>
      </c>
      <c r="L211" s="18">
        <v>1610</v>
      </c>
      <c r="M211" s="27" t="s">
        <v>3520</v>
      </c>
      <c r="N211" s="18"/>
      <c r="O211" s="25">
        <v>52242.61</v>
      </c>
      <c r="P211" s="25">
        <v>28032.62</v>
      </c>
      <c r="Q211" s="28">
        <v>80275.23</v>
      </c>
    </row>
    <row r="212" spans="1:17" ht="12" customHeight="1" x14ac:dyDescent="0.2">
      <c r="A212" s="21" t="s">
        <v>1679</v>
      </c>
      <c r="B212" s="21" t="s">
        <v>1680</v>
      </c>
      <c r="C212" s="21" t="s">
        <v>1681</v>
      </c>
      <c r="D212" s="21" t="s">
        <v>1682</v>
      </c>
      <c r="E212" s="22" t="s">
        <v>1683</v>
      </c>
      <c r="F212" s="23" t="s">
        <v>1684</v>
      </c>
      <c r="G212" s="33" t="s">
        <v>1685</v>
      </c>
      <c r="H212" s="25">
        <v>47507.199999999997</v>
      </c>
      <c r="I212" s="26" t="s">
        <v>1686</v>
      </c>
      <c r="J212" s="25">
        <v>48468.01</v>
      </c>
      <c r="K212" s="18">
        <v>6418.78</v>
      </c>
      <c r="L212" s="18">
        <v>2250.1999999999998</v>
      </c>
      <c r="M212" s="27" t="s">
        <v>3520</v>
      </c>
      <c r="N212" s="18"/>
      <c r="O212" s="25">
        <v>57136.99</v>
      </c>
      <c r="P212" s="25">
        <v>23061.02</v>
      </c>
      <c r="Q212" s="28">
        <v>80198.009999999995</v>
      </c>
    </row>
    <row r="213" spans="1:17" ht="12" customHeight="1" x14ac:dyDescent="0.2">
      <c r="A213" s="21" t="s">
        <v>1687</v>
      </c>
      <c r="B213" s="21" t="s">
        <v>1688</v>
      </c>
      <c r="C213" s="21" t="s">
        <v>1689</v>
      </c>
      <c r="D213" s="21" t="s">
        <v>1690</v>
      </c>
      <c r="E213" s="22" t="s">
        <v>1691</v>
      </c>
      <c r="F213" s="23" t="s">
        <v>1692</v>
      </c>
      <c r="G213" s="33" t="s">
        <v>1693</v>
      </c>
      <c r="H213" s="25">
        <v>49192</v>
      </c>
      <c r="I213" s="26" t="s">
        <v>1694</v>
      </c>
      <c r="J213" s="25">
        <v>49927.14</v>
      </c>
      <c r="K213" s="18">
        <v>2331.6799999999998</v>
      </c>
      <c r="L213" s="18">
        <v>4804.3999999999996</v>
      </c>
      <c r="M213" s="27" t="s">
        <v>3520</v>
      </c>
      <c r="N213" s="18"/>
      <c r="O213" s="25">
        <v>57063.22</v>
      </c>
      <c r="P213" s="25">
        <v>22991.41</v>
      </c>
      <c r="Q213" s="28">
        <v>80054.63</v>
      </c>
    </row>
    <row r="214" spans="1:17" ht="12" customHeight="1" x14ac:dyDescent="0.2">
      <c r="A214" s="21" t="s">
        <v>1695</v>
      </c>
      <c r="B214" s="21" t="s">
        <v>1696</v>
      </c>
      <c r="C214" s="21" t="s">
        <v>1697</v>
      </c>
      <c r="D214" s="21" t="s">
        <v>1698</v>
      </c>
      <c r="E214" s="22" t="s">
        <v>1699</v>
      </c>
      <c r="F214" s="23" t="s">
        <v>1700</v>
      </c>
      <c r="G214" s="34" t="s">
        <v>1701</v>
      </c>
      <c r="H214" s="25">
        <v>52543.17</v>
      </c>
      <c r="I214" s="25">
        <v>178.59</v>
      </c>
      <c r="J214" s="25">
        <v>45235.73</v>
      </c>
      <c r="K214" s="18">
        <v>9128.3799999999992</v>
      </c>
      <c r="L214" s="18">
        <v>3386.01</v>
      </c>
      <c r="M214" s="27" t="s">
        <v>3520</v>
      </c>
      <c r="N214" s="18"/>
      <c r="O214" s="18">
        <v>57928.71</v>
      </c>
      <c r="P214" s="25">
        <v>21663.119999999999</v>
      </c>
      <c r="Q214" s="28">
        <v>79591.83</v>
      </c>
    </row>
    <row r="215" spans="1:17" ht="12" customHeight="1" x14ac:dyDescent="0.2">
      <c r="A215" s="21" t="s">
        <v>1702</v>
      </c>
      <c r="B215" s="21" t="s">
        <v>1703</v>
      </c>
      <c r="C215" s="21" t="s">
        <v>1704</v>
      </c>
      <c r="D215" s="21" t="s">
        <v>1705</v>
      </c>
      <c r="E215" s="22" t="s">
        <v>1706</v>
      </c>
      <c r="F215" s="23" t="s">
        <v>1707</v>
      </c>
      <c r="G215" s="34" t="s">
        <v>1708</v>
      </c>
      <c r="H215" s="25">
        <v>64105.599999999999</v>
      </c>
      <c r="I215" s="25">
        <v>5426.79</v>
      </c>
      <c r="J215" s="25">
        <v>43237.07</v>
      </c>
      <c r="K215" s="18">
        <v>4379.7299999999996</v>
      </c>
      <c r="L215" s="18">
        <v>2639.7</v>
      </c>
      <c r="M215" s="27" t="s">
        <v>3520</v>
      </c>
      <c r="N215" s="18"/>
      <c r="O215" s="25">
        <v>55683.29</v>
      </c>
      <c r="P215" s="25">
        <v>23685.83</v>
      </c>
      <c r="Q215" s="28">
        <v>79369.119999999995</v>
      </c>
    </row>
    <row r="216" spans="1:17" ht="12" customHeight="1" x14ac:dyDescent="0.2">
      <c r="A216" s="21" t="s">
        <v>1709</v>
      </c>
      <c r="B216" s="21" t="s">
        <v>1710</v>
      </c>
      <c r="C216" s="21" t="s">
        <v>1711</v>
      </c>
      <c r="D216" s="21" t="s">
        <v>1712</v>
      </c>
      <c r="E216" s="22" t="s">
        <v>1713</v>
      </c>
      <c r="F216" s="23" t="s">
        <v>1714</v>
      </c>
      <c r="G216" s="33" t="s">
        <v>1715</v>
      </c>
      <c r="H216" s="25">
        <v>55203.199999999997</v>
      </c>
      <c r="I216" s="26" t="s">
        <v>1716</v>
      </c>
      <c r="J216" s="25">
        <v>51791.69</v>
      </c>
      <c r="K216" s="18">
        <v>2202.4499999999998</v>
      </c>
      <c r="L216" s="18">
        <v>2388.39</v>
      </c>
      <c r="M216" s="27" t="s">
        <v>3520</v>
      </c>
      <c r="N216" s="18"/>
      <c r="O216" s="25">
        <v>56382.53</v>
      </c>
      <c r="P216" s="25">
        <v>22862.81</v>
      </c>
      <c r="Q216" s="28">
        <v>79245.34</v>
      </c>
    </row>
    <row r="217" spans="1:17" ht="12" customHeight="1" x14ac:dyDescent="0.2">
      <c r="A217" s="21" t="s">
        <v>1717</v>
      </c>
      <c r="B217" s="21" t="s">
        <v>1718</v>
      </c>
      <c r="C217" s="21" t="s">
        <v>1719</v>
      </c>
      <c r="D217" s="21" t="s">
        <v>1720</v>
      </c>
      <c r="E217" s="22" t="s">
        <v>1721</v>
      </c>
      <c r="F217" s="23" t="s">
        <v>1722</v>
      </c>
      <c r="G217" s="33" t="s">
        <v>1723</v>
      </c>
      <c r="H217" s="25">
        <v>46342.400000000001</v>
      </c>
      <c r="I217" s="26" t="s">
        <v>1724</v>
      </c>
      <c r="J217" s="25">
        <v>48202.27</v>
      </c>
      <c r="K217" s="18">
        <v>1216.81</v>
      </c>
      <c r="L217" s="18">
        <v>2000.16</v>
      </c>
      <c r="M217" s="27" t="s">
        <v>3520</v>
      </c>
      <c r="N217" s="18"/>
      <c r="O217" s="25">
        <v>51419.24</v>
      </c>
      <c r="P217" s="25">
        <v>27682.67</v>
      </c>
      <c r="Q217" s="28">
        <v>79101.91</v>
      </c>
    </row>
    <row r="218" spans="1:17" ht="12" customHeight="1" x14ac:dyDescent="0.2">
      <c r="A218" s="21" t="s">
        <v>1725</v>
      </c>
      <c r="B218" s="21" t="s">
        <v>1726</v>
      </c>
      <c r="C218" s="21" t="s">
        <v>1727</v>
      </c>
      <c r="D218" s="21" t="s">
        <v>1728</v>
      </c>
      <c r="E218" s="22" t="s">
        <v>1729</v>
      </c>
      <c r="F218" s="23" t="s">
        <v>1730</v>
      </c>
      <c r="G218" s="33" t="s">
        <v>1731</v>
      </c>
      <c r="H218" s="25">
        <v>47902.400000000001</v>
      </c>
      <c r="I218" s="26" t="s">
        <v>1732</v>
      </c>
      <c r="J218" s="25">
        <v>48408.76</v>
      </c>
      <c r="K218" s="18">
        <v>242.25</v>
      </c>
      <c r="L218" s="18">
        <v>2813.86</v>
      </c>
      <c r="M218" s="27" t="s">
        <v>3520</v>
      </c>
      <c r="N218" s="18"/>
      <c r="O218" s="25">
        <v>51464.87</v>
      </c>
      <c r="P218" s="25">
        <v>27633.63</v>
      </c>
      <c r="Q218" s="28">
        <v>79098.5</v>
      </c>
    </row>
    <row r="219" spans="1:17" ht="12" customHeight="1" x14ac:dyDescent="0.2">
      <c r="A219" s="21" t="s">
        <v>1733</v>
      </c>
      <c r="B219" s="21" t="s">
        <v>1734</v>
      </c>
      <c r="C219" s="21" t="s">
        <v>1735</v>
      </c>
      <c r="D219" s="21" t="s">
        <v>1736</v>
      </c>
      <c r="E219" s="22" t="s">
        <v>1737</v>
      </c>
      <c r="F219" s="23" t="s">
        <v>1738</v>
      </c>
      <c r="G219" s="33" t="s">
        <v>1739</v>
      </c>
      <c r="H219" s="25">
        <v>43409.599999999999</v>
      </c>
      <c r="I219" s="26" t="s">
        <v>1740</v>
      </c>
      <c r="J219" s="25">
        <v>43070.76</v>
      </c>
      <c r="K219" s="18">
        <v>344.36</v>
      </c>
      <c r="L219" s="18">
        <v>3696</v>
      </c>
      <c r="M219" s="27" t="s">
        <v>3520</v>
      </c>
      <c r="N219" s="18"/>
      <c r="O219" s="25">
        <v>47111.12</v>
      </c>
      <c r="P219" s="25">
        <v>31929.88</v>
      </c>
      <c r="Q219" s="28">
        <v>79041</v>
      </c>
    </row>
    <row r="220" spans="1:17" ht="12" customHeight="1" x14ac:dyDescent="0.2">
      <c r="A220" s="21" t="s">
        <v>1741</v>
      </c>
      <c r="B220" s="21" t="s">
        <v>1742</v>
      </c>
      <c r="C220" s="21" t="s">
        <v>1743</v>
      </c>
      <c r="D220" s="21" t="s">
        <v>1744</v>
      </c>
      <c r="E220" s="22" t="s">
        <v>1745</v>
      </c>
      <c r="F220" s="23" t="s">
        <v>1746</v>
      </c>
      <c r="G220" s="33" t="s">
        <v>1747</v>
      </c>
      <c r="H220" s="25">
        <v>51812.800000000003</v>
      </c>
      <c r="I220" s="26" t="s">
        <v>1748</v>
      </c>
      <c r="J220" s="25">
        <v>52821.9</v>
      </c>
      <c r="K220" s="18">
        <v>2034.24</v>
      </c>
      <c r="L220" s="18">
        <v>1470</v>
      </c>
      <c r="M220" s="27" t="s">
        <v>3520</v>
      </c>
      <c r="N220" s="18"/>
      <c r="O220" s="25">
        <v>56326.14</v>
      </c>
      <c r="P220" s="25">
        <v>22685.61</v>
      </c>
      <c r="Q220" s="28">
        <v>79011.75</v>
      </c>
    </row>
    <row r="221" spans="1:17" ht="12" customHeight="1" x14ac:dyDescent="0.2">
      <c r="A221" s="21" t="s">
        <v>1749</v>
      </c>
      <c r="B221" s="21" t="s">
        <v>1750</v>
      </c>
      <c r="C221" s="21" t="s">
        <v>1751</v>
      </c>
      <c r="D221" s="21" t="s">
        <v>1752</v>
      </c>
      <c r="E221" s="22" t="s">
        <v>1753</v>
      </c>
      <c r="F221" s="23" t="s">
        <v>1754</v>
      </c>
      <c r="G221" s="34" t="s">
        <v>1755</v>
      </c>
      <c r="H221" s="25">
        <v>56971.199999999997</v>
      </c>
      <c r="I221" s="25">
        <v>4947.46</v>
      </c>
      <c r="J221" s="25">
        <v>42797.22</v>
      </c>
      <c r="K221" s="18">
        <v>3784.86</v>
      </c>
      <c r="L221" s="18">
        <v>3223.84</v>
      </c>
      <c r="M221" s="27" t="s">
        <v>3520</v>
      </c>
      <c r="N221" s="18"/>
      <c r="O221" s="25">
        <v>54753.38</v>
      </c>
      <c r="P221" s="25">
        <v>23701.43</v>
      </c>
      <c r="Q221" s="28">
        <v>78454.81</v>
      </c>
    </row>
    <row r="222" spans="1:17" ht="12" customHeight="1" x14ac:dyDescent="0.2">
      <c r="A222" s="21" t="s">
        <v>1756</v>
      </c>
      <c r="B222" s="21" t="s">
        <v>1757</v>
      </c>
      <c r="C222" s="21" t="s">
        <v>1758</v>
      </c>
      <c r="D222" s="21" t="s">
        <v>1759</v>
      </c>
      <c r="E222" s="22" t="s">
        <v>1760</v>
      </c>
      <c r="F222" s="23" t="s">
        <v>1761</v>
      </c>
      <c r="G222" s="33" t="s">
        <v>1762</v>
      </c>
      <c r="H222" s="25">
        <v>39711.61</v>
      </c>
      <c r="I222" s="26" t="s">
        <v>1763</v>
      </c>
      <c r="J222" s="25">
        <v>39587.64</v>
      </c>
      <c r="K222" s="18">
        <v>13629.65</v>
      </c>
      <c r="L222" s="18">
        <v>2319.23</v>
      </c>
      <c r="M222" s="27" t="s">
        <v>3520</v>
      </c>
      <c r="N222" s="18"/>
      <c r="O222" s="25">
        <v>55536.52</v>
      </c>
      <c r="P222" s="25">
        <v>22763.96</v>
      </c>
      <c r="Q222" s="28">
        <v>78300.479999999996</v>
      </c>
    </row>
    <row r="223" spans="1:17" ht="12" customHeight="1" x14ac:dyDescent="0.2">
      <c r="A223" s="21" t="s">
        <v>1764</v>
      </c>
      <c r="B223" s="21" t="s">
        <v>1765</v>
      </c>
      <c r="C223" s="21" t="s">
        <v>1766</v>
      </c>
      <c r="D223" s="21" t="s">
        <v>1767</v>
      </c>
      <c r="E223" s="22" t="s">
        <v>1768</v>
      </c>
      <c r="F223" s="23" t="s">
        <v>1769</v>
      </c>
      <c r="G223" s="33" t="s">
        <v>1770</v>
      </c>
      <c r="H223" s="25">
        <v>49150.400000000001</v>
      </c>
      <c r="I223" s="26" t="s">
        <v>1771</v>
      </c>
      <c r="J223" s="25">
        <v>49365.71</v>
      </c>
      <c r="K223" s="18">
        <v>1789.01</v>
      </c>
      <c r="L223" s="18">
        <v>4330.62</v>
      </c>
      <c r="M223" s="27" t="s">
        <v>3520</v>
      </c>
      <c r="N223" s="18"/>
      <c r="O223" s="25">
        <v>55485.34</v>
      </c>
      <c r="P223" s="25">
        <v>22794.05</v>
      </c>
      <c r="Q223" s="28">
        <v>78279.39</v>
      </c>
    </row>
    <row r="224" spans="1:17" ht="12" customHeight="1" x14ac:dyDescent="0.2">
      <c r="A224" s="21" t="s">
        <v>1772</v>
      </c>
      <c r="B224" s="21" t="s">
        <v>1773</v>
      </c>
      <c r="C224" s="21" t="s">
        <v>1774</v>
      </c>
      <c r="D224" s="21" t="s">
        <v>1775</v>
      </c>
      <c r="E224" s="22" t="s">
        <v>1776</v>
      </c>
      <c r="F224" s="23" t="s">
        <v>1777</v>
      </c>
      <c r="G224" s="33" t="s">
        <v>1778</v>
      </c>
      <c r="H224" s="25">
        <v>49628.800000000003</v>
      </c>
      <c r="I224" s="26" t="s">
        <v>1779</v>
      </c>
      <c r="J224" s="25">
        <v>50566.65</v>
      </c>
      <c r="K224" s="18">
        <v>1617.73</v>
      </c>
      <c r="L224" s="18">
        <v>3275.96</v>
      </c>
      <c r="M224" s="27" t="s">
        <v>3520</v>
      </c>
      <c r="N224" s="18"/>
      <c r="O224" s="25">
        <v>55460.34</v>
      </c>
      <c r="P224" s="25">
        <v>22734.05</v>
      </c>
      <c r="Q224" s="28">
        <v>78194.39</v>
      </c>
    </row>
    <row r="225" spans="1:17" ht="17" thickBot="1" x14ac:dyDescent="0.25">
      <c r="A225" s="21" t="s">
        <v>1780</v>
      </c>
      <c r="B225" s="21" t="s">
        <v>1781</v>
      </c>
      <c r="C225" s="21" t="s">
        <v>1782</v>
      </c>
      <c r="D225" s="21" t="s">
        <v>1783</v>
      </c>
      <c r="E225" s="22" t="s">
        <v>1784</v>
      </c>
      <c r="F225" s="23" t="s">
        <v>1785</v>
      </c>
      <c r="G225" s="34" t="s">
        <v>1786</v>
      </c>
      <c r="H225" s="25">
        <v>72550.880000000005</v>
      </c>
      <c r="I225" s="25">
        <v>952.92</v>
      </c>
      <c r="J225" s="25">
        <v>46925.35</v>
      </c>
      <c r="K225" s="18">
        <v>6887.62</v>
      </c>
      <c r="L225" s="18">
        <v>2962.75</v>
      </c>
      <c r="M225" s="27" t="s">
        <v>3520</v>
      </c>
      <c r="N225" s="18"/>
      <c r="O225" s="18">
        <v>57728.639999999999</v>
      </c>
      <c r="P225" s="25">
        <v>20012.98</v>
      </c>
      <c r="Q225" s="28">
        <v>77741.62</v>
      </c>
    </row>
    <row r="226" spans="1:17" ht="12" customHeight="1" x14ac:dyDescent="0.2">
      <c r="A226" s="10" t="s">
        <v>1787</v>
      </c>
      <c r="B226" s="10" t="s">
        <v>1788</v>
      </c>
      <c r="C226" s="10" t="s">
        <v>1789</v>
      </c>
      <c r="D226" s="10" t="s">
        <v>1790</v>
      </c>
      <c r="E226" s="11" t="s">
        <v>1791</v>
      </c>
      <c r="F226" s="12" t="s">
        <v>1792</v>
      </c>
      <c r="G226" s="32" t="s">
        <v>1793</v>
      </c>
      <c r="H226" s="14">
        <v>51064</v>
      </c>
      <c r="I226" s="15" t="s">
        <v>1794</v>
      </c>
      <c r="J226" s="14">
        <v>51036.85</v>
      </c>
      <c r="K226" s="16">
        <v>884.8</v>
      </c>
      <c r="L226" s="16">
        <v>3131</v>
      </c>
      <c r="M226" s="17" t="s">
        <v>3520</v>
      </c>
      <c r="N226" s="18"/>
      <c r="O226" s="14">
        <v>55052.65</v>
      </c>
      <c r="P226" s="14">
        <v>22542.27</v>
      </c>
      <c r="Q226" s="20">
        <v>77594.92</v>
      </c>
    </row>
    <row r="227" spans="1:17" ht="12" customHeight="1" x14ac:dyDescent="0.2">
      <c r="A227" s="21" t="s">
        <v>1795</v>
      </c>
      <c r="B227" s="21" t="s">
        <v>1796</v>
      </c>
      <c r="C227" s="21" t="s">
        <v>1797</v>
      </c>
      <c r="D227" s="21" t="s">
        <v>1798</v>
      </c>
      <c r="E227" s="22" t="s">
        <v>1799</v>
      </c>
      <c r="F227" s="23" t="s">
        <v>1800</v>
      </c>
      <c r="G227" s="33" t="s">
        <v>1801</v>
      </c>
      <c r="H227" s="25">
        <v>44220.800000000003</v>
      </c>
      <c r="I227" s="26" t="s">
        <v>1802</v>
      </c>
      <c r="J227" s="25">
        <v>44583.07</v>
      </c>
      <c r="K227" s="18">
        <v>2994.56</v>
      </c>
      <c r="L227" s="18">
        <v>1646</v>
      </c>
      <c r="M227" s="27" t="s">
        <v>3520</v>
      </c>
      <c r="N227" s="18"/>
      <c r="O227" s="25">
        <v>49223.63</v>
      </c>
      <c r="P227" s="25">
        <v>28313.59</v>
      </c>
      <c r="Q227" s="28">
        <v>77537.22</v>
      </c>
    </row>
    <row r="228" spans="1:17" ht="12" customHeight="1" x14ac:dyDescent="0.2">
      <c r="A228" s="21" t="s">
        <v>1803</v>
      </c>
      <c r="B228" s="21" t="s">
        <v>1804</v>
      </c>
      <c r="C228" s="21" t="s">
        <v>1805</v>
      </c>
      <c r="D228" s="21" t="s">
        <v>1806</v>
      </c>
      <c r="E228" s="22" t="s">
        <v>1807</v>
      </c>
      <c r="F228" s="23" t="s">
        <v>1808</v>
      </c>
      <c r="G228" s="33" t="s">
        <v>1809</v>
      </c>
      <c r="H228" s="25">
        <v>38294.699999999997</v>
      </c>
      <c r="I228" s="26" t="s">
        <v>1810</v>
      </c>
      <c r="J228" s="25">
        <v>40843.74</v>
      </c>
      <c r="K228" s="18">
        <v>8319.18</v>
      </c>
      <c r="L228" s="18">
        <v>1535.31</v>
      </c>
      <c r="M228" s="27" t="s">
        <v>3520</v>
      </c>
      <c r="N228" s="18"/>
      <c r="O228" s="25">
        <v>50698.23</v>
      </c>
      <c r="P228" s="25">
        <v>26832.12</v>
      </c>
      <c r="Q228" s="28">
        <v>77530.350000000006</v>
      </c>
    </row>
    <row r="229" spans="1:17" ht="12" customHeight="1" x14ac:dyDescent="0.2">
      <c r="A229" s="21" t="s">
        <v>1811</v>
      </c>
      <c r="B229" s="21" t="s">
        <v>1812</v>
      </c>
      <c r="C229" s="21" t="s">
        <v>1813</v>
      </c>
      <c r="D229" s="21" t="s">
        <v>1814</v>
      </c>
      <c r="E229" s="22" t="s">
        <v>1815</v>
      </c>
      <c r="F229" s="23" t="s">
        <v>1816</v>
      </c>
      <c r="G229" s="33" t="s">
        <v>1817</v>
      </c>
      <c r="H229" s="25">
        <v>39711.61</v>
      </c>
      <c r="I229" s="26" t="s">
        <v>1818</v>
      </c>
      <c r="J229" s="25">
        <v>39317.699999999997</v>
      </c>
      <c r="K229" s="18">
        <v>7957.71</v>
      </c>
      <c r="L229" s="18">
        <v>1501.92</v>
      </c>
      <c r="M229" s="27" t="s">
        <v>3520</v>
      </c>
      <c r="N229" s="18"/>
      <c r="O229" s="25">
        <v>48777.33</v>
      </c>
      <c r="P229" s="25">
        <v>28184</v>
      </c>
      <c r="Q229" s="28">
        <v>76961.33</v>
      </c>
    </row>
    <row r="230" spans="1:17" ht="12" customHeight="1" x14ac:dyDescent="0.2">
      <c r="A230" s="21" t="s">
        <v>1819</v>
      </c>
      <c r="B230" s="21" t="s">
        <v>1820</v>
      </c>
      <c r="C230" s="21" t="s">
        <v>1821</v>
      </c>
      <c r="D230" s="21" t="s">
        <v>1822</v>
      </c>
      <c r="E230" s="22" t="s">
        <v>1823</v>
      </c>
      <c r="F230" s="23" t="s">
        <v>1824</v>
      </c>
      <c r="G230" s="33" t="s">
        <v>1825</v>
      </c>
      <c r="H230" s="25">
        <v>51812.800000000003</v>
      </c>
      <c r="I230" s="26" t="s">
        <v>1826</v>
      </c>
      <c r="J230" s="25">
        <v>52110.26</v>
      </c>
      <c r="K230" s="18">
        <v>948.07</v>
      </c>
      <c r="L230" s="18">
        <v>990</v>
      </c>
      <c r="M230" s="27" t="s">
        <v>3520</v>
      </c>
      <c r="N230" s="18"/>
      <c r="O230" s="25">
        <v>54048.33</v>
      </c>
      <c r="P230" s="25">
        <v>21853.51</v>
      </c>
      <c r="Q230" s="28">
        <v>75901.84</v>
      </c>
    </row>
    <row r="231" spans="1:17" ht="12" customHeight="1" x14ac:dyDescent="0.2">
      <c r="A231" s="21" t="s">
        <v>1827</v>
      </c>
      <c r="B231" s="21" t="s">
        <v>1828</v>
      </c>
      <c r="C231" s="21" t="s">
        <v>1829</v>
      </c>
      <c r="D231" s="21" t="s">
        <v>1830</v>
      </c>
      <c r="E231" s="22" t="s">
        <v>1831</v>
      </c>
      <c r="F231" s="23" t="s">
        <v>1832</v>
      </c>
      <c r="G231" s="33" t="s">
        <v>1833</v>
      </c>
      <c r="H231" s="25">
        <v>38294.699999999997</v>
      </c>
      <c r="I231" s="26" t="s">
        <v>1834</v>
      </c>
      <c r="J231" s="25">
        <v>30104.75</v>
      </c>
      <c r="K231" s="18">
        <v>22703.18</v>
      </c>
      <c r="L231" s="18">
        <v>973.42</v>
      </c>
      <c r="M231" s="27" t="s">
        <v>3520</v>
      </c>
      <c r="N231" s="18"/>
      <c r="O231" s="25">
        <v>53781.35</v>
      </c>
      <c r="P231" s="25">
        <v>22024.639999999999</v>
      </c>
      <c r="Q231" s="28">
        <v>75805.990000000005</v>
      </c>
    </row>
    <row r="232" spans="1:17" ht="12" customHeight="1" x14ac:dyDescent="0.2">
      <c r="A232" s="21" t="s">
        <v>1835</v>
      </c>
      <c r="B232" s="21" t="s">
        <v>1836</v>
      </c>
      <c r="C232" s="21" t="s">
        <v>1837</v>
      </c>
      <c r="D232" s="21" t="s">
        <v>1838</v>
      </c>
      <c r="E232" s="22" t="s">
        <v>1839</v>
      </c>
      <c r="F232" s="23" t="s">
        <v>1840</v>
      </c>
      <c r="G232" s="33" t="s">
        <v>1841</v>
      </c>
      <c r="H232" s="25">
        <v>48796.800000000003</v>
      </c>
      <c r="I232" s="26" t="s">
        <v>1842</v>
      </c>
      <c r="J232" s="25">
        <v>49193.85</v>
      </c>
      <c r="K232" s="18">
        <v>1716.58</v>
      </c>
      <c r="L232" s="18">
        <v>2346.87</v>
      </c>
      <c r="M232" s="27" t="s">
        <v>3520</v>
      </c>
      <c r="N232" s="18"/>
      <c r="O232" s="25">
        <v>53257.3</v>
      </c>
      <c r="P232" s="25">
        <v>22043.19</v>
      </c>
      <c r="Q232" s="28">
        <v>75300.490000000005</v>
      </c>
    </row>
    <row r="233" spans="1:17" ht="12" customHeight="1" x14ac:dyDescent="0.2">
      <c r="A233" s="21" t="s">
        <v>1843</v>
      </c>
      <c r="B233" s="21" t="s">
        <v>1844</v>
      </c>
      <c r="C233" s="21" t="s">
        <v>1845</v>
      </c>
      <c r="D233" s="21" t="s">
        <v>1846</v>
      </c>
      <c r="E233" s="22" t="s">
        <v>1847</v>
      </c>
      <c r="F233" s="23" t="s">
        <v>1848</v>
      </c>
      <c r="G233" s="34" t="s">
        <v>1849</v>
      </c>
      <c r="H233" s="25">
        <v>45115.199999999997</v>
      </c>
      <c r="I233" s="25">
        <v>160.51</v>
      </c>
      <c r="J233" s="25">
        <v>44271.01</v>
      </c>
      <c r="K233" s="18">
        <v>1177.76</v>
      </c>
      <c r="L233" s="18">
        <v>2445.09</v>
      </c>
      <c r="M233" s="27" t="s">
        <v>3520</v>
      </c>
      <c r="N233" s="18"/>
      <c r="O233" s="18">
        <v>48054.37</v>
      </c>
      <c r="P233" s="25">
        <v>26960.27</v>
      </c>
      <c r="Q233" s="28">
        <v>75014.64</v>
      </c>
    </row>
    <row r="234" spans="1:17" ht="12" customHeight="1" x14ac:dyDescent="0.2">
      <c r="A234" s="21" t="s">
        <v>1850</v>
      </c>
      <c r="B234" s="21" t="s">
        <v>1851</v>
      </c>
      <c r="C234" s="21" t="s">
        <v>1852</v>
      </c>
      <c r="D234" s="21" t="s">
        <v>1853</v>
      </c>
      <c r="E234" s="22" t="s">
        <v>1854</v>
      </c>
      <c r="F234" s="23" t="s">
        <v>1855</v>
      </c>
      <c r="G234" s="33" t="s">
        <v>1856</v>
      </c>
      <c r="H234" s="25">
        <v>38294.699999999997</v>
      </c>
      <c r="I234" s="26" t="s">
        <v>1857</v>
      </c>
      <c r="J234" s="25">
        <v>39761.24</v>
      </c>
      <c r="K234" s="18">
        <v>10253.43</v>
      </c>
      <c r="L234" s="18">
        <v>2918.56</v>
      </c>
      <c r="M234" s="27" t="s">
        <v>3520</v>
      </c>
      <c r="N234" s="18"/>
      <c r="O234" s="25">
        <v>52933.23</v>
      </c>
      <c r="P234" s="25">
        <v>22020.22</v>
      </c>
      <c r="Q234" s="28">
        <v>74953.45</v>
      </c>
    </row>
    <row r="235" spans="1:17" ht="12" customHeight="1" x14ac:dyDescent="0.2">
      <c r="A235" s="21" t="s">
        <v>1858</v>
      </c>
      <c r="B235" s="21" t="s">
        <v>1859</v>
      </c>
      <c r="C235" s="21" t="s">
        <v>1860</v>
      </c>
      <c r="D235" s="21" t="s">
        <v>1861</v>
      </c>
      <c r="E235" s="22" t="s">
        <v>1862</v>
      </c>
      <c r="F235" s="23" t="s">
        <v>1863</v>
      </c>
      <c r="G235" s="33" t="s">
        <v>1864</v>
      </c>
      <c r="H235" s="25">
        <v>53560</v>
      </c>
      <c r="I235" s="26" t="s">
        <v>1865</v>
      </c>
      <c r="J235" s="25">
        <v>53423.08</v>
      </c>
      <c r="K235" s="18" t="s">
        <v>3520</v>
      </c>
      <c r="L235" s="25">
        <v>30</v>
      </c>
      <c r="M235" s="27" t="s">
        <v>3520</v>
      </c>
      <c r="N235" s="18"/>
      <c r="O235" s="25">
        <v>53453.08</v>
      </c>
      <c r="P235" s="25">
        <v>21189.03</v>
      </c>
      <c r="Q235" s="28">
        <v>74642.11</v>
      </c>
    </row>
    <row r="236" spans="1:17" ht="12" customHeight="1" x14ac:dyDescent="0.2">
      <c r="A236" s="21" t="s">
        <v>1866</v>
      </c>
      <c r="B236" s="21" t="s">
        <v>1867</v>
      </c>
      <c r="C236" s="21" t="s">
        <v>1868</v>
      </c>
      <c r="D236" s="21" t="s">
        <v>1869</v>
      </c>
      <c r="E236" s="22" t="s">
        <v>1870</v>
      </c>
      <c r="F236" s="23" t="s">
        <v>1871</v>
      </c>
      <c r="G236" s="33" t="s">
        <v>1872</v>
      </c>
      <c r="H236" s="25">
        <v>140000.12</v>
      </c>
      <c r="I236" s="26" t="s">
        <v>1873</v>
      </c>
      <c r="J236" s="25">
        <v>53846.2</v>
      </c>
      <c r="K236" s="18" t="s">
        <v>3520</v>
      </c>
      <c r="L236" s="25">
        <v>50</v>
      </c>
      <c r="M236" s="27" t="s">
        <v>3520</v>
      </c>
      <c r="N236" s="18"/>
      <c r="O236" s="18">
        <v>53896.2</v>
      </c>
      <c r="P236" s="25">
        <v>20182.240000000002</v>
      </c>
      <c r="Q236" s="28">
        <v>74078.44</v>
      </c>
    </row>
    <row r="237" spans="1:17" ht="12" customHeight="1" x14ac:dyDescent="0.2">
      <c r="A237" s="21" t="s">
        <v>1874</v>
      </c>
      <c r="B237" s="21" t="s">
        <v>1875</v>
      </c>
      <c r="C237" s="21" t="s">
        <v>1876</v>
      </c>
      <c r="D237" s="21" t="s">
        <v>1877</v>
      </c>
      <c r="E237" s="22" t="s">
        <v>1878</v>
      </c>
      <c r="F237" s="23" t="s">
        <v>1879</v>
      </c>
      <c r="G237" s="33" t="s">
        <v>1880</v>
      </c>
      <c r="H237" s="25">
        <v>39711.61</v>
      </c>
      <c r="I237" s="26" t="s">
        <v>1881</v>
      </c>
      <c r="J237" s="25">
        <v>39018.42</v>
      </c>
      <c r="K237" s="18">
        <v>9961.15</v>
      </c>
      <c r="L237" s="18">
        <v>2724.53</v>
      </c>
      <c r="M237" s="27" t="s">
        <v>3520</v>
      </c>
      <c r="N237" s="18"/>
      <c r="O237" s="25">
        <v>51704.1</v>
      </c>
      <c r="P237" s="25">
        <v>22357.99</v>
      </c>
      <c r="Q237" s="28">
        <v>74062.09</v>
      </c>
    </row>
    <row r="238" spans="1:17" ht="12" customHeight="1" x14ac:dyDescent="0.2">
      <c r="A238" s="21" t="s">
        <v>1882</v>
      </c>
      <c r="B238" s="21" t="s">
        <v>1883</v>
      </c>
      <c r="C238" s="21" t="s">
        <v>1884</v>
      </c>
      <c r="D238" s="21" t="s">
        <v>1885</v>
      </c>
      <c r="E238" s="22" t="s">
        <v>1886</v>
      </c>
      <c r="F238" s="23" t="s">
        <v>1887</v>
      </c>
      <c r="G238" s="33" t="s">
        <v>1888</v>
      </c>
      <c r="H238" s="25">
        <v>46529.599999999999</v>
      </c>
      <c r="I238" s="26" t="s">
        <v>1889</v>
      </c>
      <c r="J238" s="25">
        <v>47179.64</v>
      </c>
      <c r="K238" s="18">
        <v>2174.7199999999998</v>
      </c>
      <c r="L238" s="18">
        <v>2651.49</v>
      </c>
      <c r="M238" s="27" t="s">
        <v>3520</v>
      </c>
      <c r="N238" s="18"/>
      <c r="O238" s="25">
        <v>52005.85</v>
      </c>
      <c r="P238" s="25">
        <v>21840.86</v>
      </c>
      <c r="Q238" s="28">
        <v>73846.710000000006</v>
      </c>
    </row>
    <row r="239" spans="1:17" ht="12" customHeight="1" x14ac:dyDescent="0.2">
      <c r="A239" s="21" t="s">
        <v>1890</v>
      </c>
      <c r="B239" s="21" t="s">
        <v>1891</v>
      </c>
      <c r="C239" s="21" t="s">
        <v>1892</v>
      </c>
      <c r="D239" s="21" t="s">
        <v>1893</v>
      </c>
      <c r="E239" s="22" t="s">
        <v>1894</v>
      </c>
      <c r="F239" s="23" t="s">
        <v>1895</v>
      </c>
      <c r="G239" s="33" t="s">
        <v>1896</v>
      </c>
      <c r="H239" s="25">
        <v>42328</v>
      </c>
      <c r="I239" s="26" t="s">
        <v>1897</v>
      </c>
      <c r="J239" s="25">
        <v>43189.17</v>
      </c>
      <c r="K239" s="18">
        <v>4185.1499999999996</v>
      </c>
      <c r="L239" s="18">
        <v>340</v>
      </c>
      <c r="M239" s="27" t="s">
        <v>3520</v>
      </c>
      <c r="N239" s="18"/>
      <c r="O239" s="25">
        <v>47714.32</v>
      </c>
      <c r="P239" s="25">
        <v>26099.360000000001</v>
      </c>
      <c r="Q239" s="28">
        <v>73813.679999999993</v>
      </c>
    </row>
    <row r="240" spans="1:17" ht="12" customHeight="1" x14ac:dyDescent="0.2">
      <c r="A240" s="21" t="s">
        <v>1898</v>
      </c>
      <c r="B240" s="21" t="s">
        <v>1899</v>
      </c>
      <c r="C240" s="21" t="s">
        <v>1900</v>
      </c>
      <c r="D240" s="21" t="s">
        <v>1901</v>
      </c>
      <c r="E240" s="22" t="s">
        <v>1902</v>
      </c>
      <c r="F240" s="23" t="s">
        <v>1903</v>
      </c>
      <c r="G240" s="33" t="s">
        <v>1904</v>
      </c>
      <c r="H240" s="25">
        <v>45032</v>
      </c>
      <c r="I240" s="26" t="s">
        <v>1905</v>
      </c>
      <c r="J240" s="25">
        <v>46808.05</v>
      </c>
      <c r="K240" s="18">
        <v>3476.31</v>
      </c>
      <c r="L240" s="18">
        <v>1457.04</v>
      </c>
      <c r="M240" s="27" t="s">
        <v>3520</v>
      </c>
      <c r="N240" s="18"/>
      <c r="O240" s="25">
        <v>51741.4</v>
      </c>
      <c r="P240" s="25">
        <v>21755.14</v>
      </c>
      <c r="Q240" s="28">
        <v>73496.539999999994</v>
      </c>
    </row>
    <row r="241" spans="1:17" ht="12" customHeight="1" x14ac:dyDescent="0.2">
      <c r="A241" s="21" t="s">
        <v>1906</v>
      </c>
      <c r="B241" s="21" t="s">
        <v>1907</v>
      </c>
      <c r="C241" s="21" t="s">
        <v>1908</v>
      </c>
      <c r="D241" s="21" t="s">
        <v>1909</v>
      </c>
      <c r="E241" s="22" t="s">
        <v>1910</v>
      </c>
      <c r="F241" s="23" t="s">
        <v>1911</v>
      </c>
      <c r="G241" s="33" t="s">
        <v>1912</v>
      </c>
      <c r="H241" s="25">
        <v>40664</v>
      </c>
      <c r="I241" s="26" t="s">
        <v>1913</v>
      </c>
      <c r="J241" s="25">
        <v>40560.74</v>
      </c>
      <c r="K241" s="18">
        <v>62.4</v>
      </c>
      <c r="L241" s="25">
        <v>1880</v>
      </c>
      <c r="M241" s="27" t="s">
        <v>3520</v>
      </c>
      <c r="N241" s="18"/>
      <c r="O241" s="25">
        <v>42503.14</v>
      </c>
      <c r="P241" s="25">
        <v>30641.01</v>
      </c>
      <c r="Q241" s="28">
        <v>73144.149999999994</v>
      </c>
    </row>
    <row r="242" spans="1:17" ht="12" customHeight="1" x14ac:dyDescent="0.2">
      <c r="A242" s="21" t="s">
        <v>1914</v>
      </c>
      <c r="B242" s="21" t="s">
        <v>1915</v>
      </c>
      <c r="C242" s="21" t="s">
        <v>1916</v>
      </c>
      <c r="D242" s="21" t="s">
        <v>1917</v>
      </c>
      <c r="E242" s="22" t="s">
        <v>1918</v>
      </c>
      <c r="F242" s="23" t="s">
        <v>1919</v>
      </c>
      <c r="G242" s="33" t="s">
        <v>1920</v>
      </c>
      <c r="H242" s="25">
        <v>44969.599999999999</v>
      </c>
      <c r="I242" s="26" t="s">
        <v>1921</v>
      </c>
      <c r="J242" s="25">
        <v>45373.279999999999</v>
      </c>
      <c r="K242" s="18">
        <v>6012.64</v>
      </c>
      <c r="L242" s="25">
        <v>30</v>
      </c>
      <c r="M242" s="27" t="s">
        <v>3520</v>
      </c>
      <c r="N242" s="18"/>
      <c r="O242" s="25">
        <v>51415.92</v>
      </c>
      <c r="P242" s="25">
        <v>21541.69</v>
      </c>
      <c r="Q242" s="28">
        <v>72957.61</v>
      </c>
    </row>
    <row r="243" spans="1:17" ht="12" customHeight="1" x14ac:dyDescent="0.2">
      <c r="A243" s="21" t="s">
        <v>1922</v>
      </c>
      <c r="B243" s="21" t="s">
        <v>1923</v>
      </c>
      <c r="C243" s="21" t="s">
        <v>1924</v>
      </c>
      <c r="D243" s="21" t="s">
        <v>1925</v>
      </c>
      <c r="E243" s="22" t="s">
        <v>1926</v>
      </c>
      <c r="F243" s="23" t="s">
        <v>1927</v>
      </c>
      <c r="G243" s="33" t="s">
        <v>1928</v>
      </c>
      <c r="H243" s="25">
        <v>39711.61</v>
      </c>
      <c r="I243" s="26" t="s">
        <v>1929</v>
      </c>
      <c r="J243" s="25">
        <v>29998.67</v>
      </c>
      <c r="K243" s="18">
        <v>19289.68</v>
      </c>
      <c r="L243" s="18">
        <v>1955.35</v>
      </c>
      <c r="M243" s="27" t="s">
        <v>3520</v>
      </c>
      <c r="N243" s="18"/>
      <c r="O243" s="25">
        <v>51243.7</v>
      </c>
      <c r="P243" s="25">
        <v>21693.46</v>
      </c>
      <c r="Q243" s="28">
        <v>72937.16</v>
      </c>
    </row>
    <row r="244" spans="1:17" ht="12" customHeight="1" x14ac:dyDescent="0.2">
      <c r="A244" s="21" t="s">
        <v>1930</v>
      </c>
      <c r="B244" s="21" t="s">
        <v>1931</v>
      </c>
      <c r="C244" s="21" t="s">
        <v>1932</v>
      </c>
      <c r="D244" s="21" t="s">
        <v>1933</v>
      </c>
      <c r="E244" s="22" t="s">
        <v>1934</v>
      </c>
      <c r="F244" s="23" t="s">
        <v>1935</v>
      </c>
      <c r="G244" s="33" t="s">
        <v>1936</v>
      </c>
      <c r="H244" s="25">
        <v>48380.800000000003</v>
      </c>
      <c r="I244" s="26" t="s">
        <v>1937</v>
      </c>
      <c r="J244" s="25">
        <v>48116.43</v>
      </c>
      <c r="K244" s="18">
        <v>418.55</v>
      </c>
      <c r="L244" s="18">
        <v>2761.02</v>
      </c>
      <c r="M244" s="27" t="s">
        <v>3520</v>
      </c>
      <c r="N244" s="18"/>
      <c r="O244" s="25">
        <v>51296</v>
      </c>
      <c r="P244" s="25">
        <v>21590.73</v>
      </c>
      <c r="Q244" s="28">
        <v>72886.73</v>
      </c>
    </row>
    <row r="245" spans="1:17" ht="12" customHeight="1" x14ac:dyDescent="0.2">
      <c r="A245" s="21" t="s">
        <v>1938</v>
      </c>
      <c r="B245" s="21" t="s">
        <v>1939</v>
      </c>
      <c r="C245" s="21" t="s">
        <v>1940</v>
      </c>
      <c r="D245" s="21" t="s">
        <v>1941</v>
      </c>
      <c r="E245" s="22" t="s">
        <v>1942</v>
      </c>
      <c r="F245" s="23" t="s">
        <v>1943</v>
      </c>
      <c r="G245" s="33" t="s">
        <v>1944</v>
      </c>
      <c r="H245" s="25">
        <v>45448</v>
      </c>
      <c r="I245" s="26" t="s">
        <v>1945</v>
      </c>
      <c r="J245" s="25">
        <v>45670.66</v>
      </c>
      <c r="K245" s="18">
        <v>370.03</v>
      </c>
      <c r="L245" s="18">
        <v>4752.08</v>
      </c>
      <c r="M245" s="27" t="s">
        <v>3520</v>
      </c>
      <c r="N245" s="18"/>
      <c r="O245" s="25">
        <v>50792.77</v>
      </c>
      <c r="P245" s="25">
        <v>21792.53</v>
      </c>
      <c r="Q245" s="28">
        <v>72585.3</v>
      </c>
    </row>
    <row r="246" spans="1:17" ht="12" customHeight="1" x14ac:dyDescent="0.2">
      <c r="A246" s="21" t="s">
        <v>1946</v>
      </c>
      <c r="B246" s="21" t="s">
        <v>1947</v>
      </c>
      <c r="C246" s="21" t="s">
        <v>1948</v>
      </c>
      <c r="D246" s="21" t="s">
        <v>1949</v>
      </c>
      <c r="E246" s="22" t="s">
        <v>1950</v>
      </c>
      <c r="F246" s="23" t="s">
        <v>1951</v>
      </c>
      <c r="G246" s="33" t="s">
        <v>1952</v>
      </c>
      <c r="H246" s="25">
        <v>41787.199999999997</v>
      </c>
      <c r="I246" s="26" t="s">
        <v>1953</v>
      </c>
      <c r="J246" s="25">
        <v>42293.56</v>
      </c>
      <c r="K246" s="18">
        <v>839.93</v>
      </c>
      <c r="L246" s="18">
        <v>2654.52</v>
      </c>
      <c r="M246" s="27" t="s">
        <v>3520</v>
      </c>
      <c r="N246" s="18"/>
      <c r="O246" s="25">
        <v>45788.01</v>
      </c>
      <c r="P246" s="25">
        <v>26463.29</v>
      </c>
      <c r="Q246" s="28">
        <v>72251.3</v>
      </c>
    </row>
    <row r="247" spans="1:17" ht="12" customHeight="1" x14ac:dyDescent="0.2">
      <c r="A247" s="21" t="s">
        <v>1954</v>
      </c>
      <c r="B247" s="21" t="s">
        <v>1955</v>
      </c>
      <c r="C247" s="21" t="s">
        <v>1956</v>
      </c>
      <c r="D247" s="21" t="s">
        <v>1957</v>
      </c>
      <c r="E247" s="22" t="s">
        <v>1958</v>
      </c>
      <c r="F247" s="23" t="s">
        <v>1959</v>
      </c>
      <c r="G247" s="33" t="s">
        <v>1960</v>
      </c>
      <c r="H247" s="25">
        <v>40664</v>
      </c>
      <c r="I247" s="26" t="s">
        <v>1961</v>
      </c>
      <c r="J247" s="25">
        <v>42009.07</v>
      </c>
      <c r="K247" s="18">
        <v>1101</v>
      </c>
      <c r="L247" s="18">
        <v>170</v>
      </c>
      <c r="M247" s="27" t="s">
        <v>3520</v>
      </c>
      <c r="N247" s="18"/>
      <c r="O247" s="25">
        <v>43280.07</v>
      </c>
      <c r="P247" s="25">
        <v>28930.25</v>
      </c>
      <c r="Q247" s="28">
        <v>72210.320000000007</v>
      </c>
    </row>
    <row r="248" spans="1:17" ht="12" customHeight="1" x14ac:dyDescent="0.2">
      <c r="A248" s="21" t="s">
        <v>1962</v>
      </c>
      <c r="B248" s="21" t="s">
        <v>1963</v>
      </c>
      <c r="C248" s="21" t="s">
        <v>1964</v>
      </c>
      <c r="D248" s="21" t="s">
        <v>1965</v>
      </c>
      <c r="E248" s="22" t="s">
        <v>1966</v>
      </c>
      <c r="F248" s="23" t="s">
        <v>1967</v>
      </c>
      <c r="G248" s="33" t="s">
        <v>1968</v>
      </c>
      <c r="H248" s="25">
        <v>44782.400000000001</v>
      </c>
      <c r="I248" s="26" t="s">
        <v>1969</v>
      </c>
      <c r="J248" s="25">
        <v>45421.919999999998</v>
      </c>
      <c r="K248" s="18">
        <v>778.14</v>
      </c>
      <c r="L248" s="18">
        <v>4196.5200000000004</v>
      </c>
      <c r="M248" s="27" t="s">
        <v>3520</v>
      </c>
      <c r="N248" s="18"/>
      <c r="O248" s="25">
        <v>50396.58</v>
      </c>
      <c r="P248" s="25">
        <v>21327.84</v>
      </c>
      <c r="Q248" s="28">
        <v>71724.42</v>
      </c>
    </row>
    <row r="249" spans="1:17" ht="12" customHeight="1" x14ac:dyDescent="0.2">
      <c r="A249" s="21" t="s">
        <v>1970</v>
      </c>
      <c r="B249" s="21" t="s">
        <v>1971</v>
      </c>
      <c r="C249" s="21" t="s">
        <v>1972</v>
      </c>
      <c r="D249" s="21" t="s">
        <v>1973</v>
      </c>
      <c r="E249" s="22" t="s">
        <v>1974</v>
      </c>
      <c r="F249" s="23" t="s">
        <v>1975</v>
      </c>
      <c r="G249" s="33" t="s">
        <v>1976</v>
      </c>
      <c r="H249" s="25">
        <v>48880</v>
      </c>
      <c r="I249" s="26" t="s">
        <v>1977</v>
      </c>
      <c r="J249" s="25">
        <v>48058.79</v>
      </c>
      <c r="K249" s="18">
        <v>1187.0899999999999</v>
      </c>
      <c r="L249" s="18">
        <v>560</v>
      </c>
      <c r="M249" s="27" t="s">
        <v>3520</v>
      </c>
      <c r="N249" s="18"/>
      <c r="O249" s="25">
        <v>49805.88</v>
      </c>
      <c r="P249" s="25">
        <v>21818.66</v>
      </c>
      <c r="Q249" s="28">
        <v>71624.539999999994</v>
      </c>
    </row>
    <row r="250" spans="1:17" ht="12" customHeight="1" x14ac:dyDescent="0.2">
      <c r="A250" s="21" t="s">
        <v>1978</v>
      </c>
      <c r="B250" s="21" t="s">
        <v>1979</v>
      </c>
      <c r="C250" s="21" t="s">
        <v>1980</v>
      </c>
      <c r="D250" s="21" t="s">
        <v>1981</v>
      </c>
      <c r="E250" s="22" t="s">
        <v>1982</v>
      </c>
      <c r="F250" s="23" t="s">
        <v>1983</v>
      </c>
      <c r="G250" s="33" t="s">
        <v>1984</v>
      </c>
      <c r="H250" s="25">
        <v>45448</v>
      </c>
      <c r="I250" s="26" t="s">
        <v>1985</v>
      </c>
      <c r="J250" s="25">
        <v>45333.1</v>
      </c>
      <c r="K250" s="18">
        <v>62.5</v>
      </c>
      <c r="L250" s="25">
        <v>4542.08</v>
      </c>
      <c r="M250" s="27" t="s">
        <v>3520</v>
      </c>
      <c r="N250" s="18"/>
      <c r="O250" s="25">
        <v>49937.68</v>
      </c>
      <c r="P250" s="25">
        <v>21415.4</v>
      </c>
      <c r="Q250" s="28">
        <v>71353.08</v>
      </c>
    </row>
    <row r="251" spans="1:17" ht="12" customHeight="1" x14ac:dyDescent="0.2">
      <c r="A251" s="21" t="s">
        <v>1986</v>
      </c>
      <c r="B251" s="21" t="s">
        <v>1987</v>
      </c>
      <c r="C251" s="21" t="s">
        <v>1988</v>
      </c>
      <c r="D251" s="21" t="s">
        <v>1989</v>
      </c>
      <c r="E251" s="22" t="s">
        <v>1990</v>
      </c>
      <c r="F251" s="23" t="s">
        <v>1991</v>
      </c>
      <c r="G251" s="33" t="s">
        <v>1992</v>
      </c>
      <c r="H251" s="25">
        <v>37398.400000000001</v>
      </c>
      <c r="I251" s="26" t="s">
        <v>1993</v>
      </c>
      <c r="J251" s="25">
        <v>38040.89</v>
      </c>
      <c r="K251" s="18">
        <v>1132.99</v>
      </c>
      <c r="L251" s="18">
        <v>1760</v>
      </c>
      <c r="M251" s="27" t="s">
        <v>3520</v>
      </c>
      <c r="N251" s="18"/>
      <c r="O251" s="25">
        <v>40933.879999999997</v>
      </c>
      <c r="P251" s="25">
        <v>30314.94</v>
      </c>
      <c r="Q251" s="28">
        <v>71248.820000000007</v>
      </c>
    </row>
    <row r="252" spans="1:17" ht="12" customHeight="1" x14ac:dyDescent="0.2">
      <c r="A252" s="21" t="s">
        <v>1994</v>
      </c>
      <c r="B252" s="21" t="s">
        <v>1995</v>
      </c>
      <c r="C252" s="21" t="s">
        <v>1996</v>
      </c>
      <c r="D252" s="21" t="s">
        <v>1997</v>
      </c>
      <c r="E252" s="22" t="s">
        <v>1998</v>
      </c>
      <c r="F252" s="23" t="s">
        <v>1999</v>
      </c>
      <c r="G252" s="33" t="s">
        <v>2000</v>
      </c>
      <c r="H252" s="25">
        <v>36670.400000000001</v>
      </c>
      <c r="I252" s="26" t="s">
        <v>2001</v>
      </c>
      <c r="J252" s="25">
        <v>37637.440000000002</v>
      </c>
      <c r="K252" s="18">
        <v>2527.9699999999998</v>
      </c>
      <c r="L252" s="18">
        <v>836</v>
      </c>
      <c r="M252" s="27" t="s">
        <v>3520</v>
      </c>
      <c r="N252" s="18"/>
      <c r="O252" s="25">
        <v>41001.410000000003</v>
      </c>
      <c r="P252" s="25">
        <v>30211.89</v>
      </c>
      <c r="Q252" s="28">
        <v>71213.3</v>
      </c>
    </row>
    <row r="253" spans="1:17" ht="12" customHeight="1" x14ac:dyDescent="0.2">
      <c r="A253" s="21" t="s">
        <v>2002</v>
      </c>
      <c r="B253" s="21" t="s">
        <v>2003</v>
      </c>
      <c r="C253" s="21" t="s">
        <v>2004</v>
      </c>
      <c r="D253" s="21" t="s">
        <v>2005</v>
      </c>
      <c r="E253" s="22" t="s">
        <v>2006</v>
      </c>
      <c r="F253" s="23" t="s">
        <v>2007</v>
      </c>
      <c r="G253" s="33" t="s">
        <v>2008</v>
      </c>
      <c r="H253" s="25">
        <v>41225.599999999999</v>
      </c>
      <c r="I253" s="26" t="s">
        <v>2009</v>
      </c>
      <c r="J253" s="25">
        <v>41162.910000000003</v>
      </c>
      <c r="K253" s="18">
        <v>223.52</v>
      </c>
      <c r="L253" s="18">
        <v>3157</v>
      </c>
      <c r="M253" s="27" t="s">
        <v>3520</v>
      </c>
      <c r="N253" s="18"/>
      <c r="O253" s="25">
        <v>44543.43</v>
      </c>
      <c r="P253" s="25">
        <v>26197.54</v>
      </c>
      <c r="Q253" s="28">
        <v>70740.97</v>
      </c>
    </row>
    <row r="254" spans="1:17" ht="12" customHeight="1" x14ac:dyDescent="0.2">
      <c r="A254" s="21" t="s">
        <v>2010</v>
      </c>
      <c r="B254" s="21" t="s">
        <v>2011</v>
      </c>
      <c r="C254" s="21" t="s">
        <v>2012</v>
      </c>
      <c r="D254" s="21" t="s">
        <v>2013</v>
      </c>
      <c r="E254" s="22" t="s">
        <v>2014</v>
      </c>
      <c r="F254" s="23" t="s">
        <v>2015</v>
      </c>
      <c r="G254" s="33" t="s">
        <v>2016</v>
      </c>
      <c r="H254" s="25">
        <v>44553.599999999999</v>
      </c>
      <c r="I254" s="26" t="s">
        <v>2017</v>
      </c>
      <c r="J254" s="25">
        <v>45242.63</v>
      </c>
      <c r="K254" s="18">
        <v>2998.89</v>
      </c>
      <c r="L254" s="18">
        <v>1672.94</v>
      </c>
      <c r="M254" s="27" t="s">
        <v>3520</v>
      </c>
      <c r="N254" s="18"/>
      <c r="O254" s="25">
        <v>49914.46</v>
      </c>
      <c r="P254" s="25">
        <v>20776.97</v>
      </c>
      <c r="Q254" s="28">
        <v>70691.429999999993</v>
      </c>
    </row>
    <row r="255" spans="1:17" ht="12" customHeight="1" x14ac:dyDescent="0.2">
      <c r="A255" s="21" t="s">
        <v>2018</v>
      </c>
      <c r="B255" s="21" t="s">
        <v>2019</v>
      </c>
      <c r="C255" s="21" t="s">
        <v>2020</v>
      </c>
      <c r="D255" s="21" t="s">
        <v>2021</v>
      </c>
      <c r="E255" s="22" t="s">
        <v>2022</v>
      </c>
      <c r="F255" s="23" t="s">
        <v>2023</v>
      </c>
      <c r="G255" s="34" t="s">
        <v>2024</v>
      </c>
      <c r="H255" s="25">
        <v>190841.04</v>
      </c>
      <c r="I255" s="25">
        <v>6026.1</v>
      </c>
      <c r="J255" s="25">
        <v>52114.32</v>
      </c>
      <c r="K255" s="18" t="s">
        <v>3520</v>
      </c>
      <c r="L255" s="18">
        <v>545</v>
      </c>
      <c r="M255" s="27" t="s">
        <v>3520</v>
      </c>
      <c r="N255" s="18"/>
      <c r="O255" s="25">
        <v>58685.42</v>
      </c>
      <c r="P255" s="25">
        <v>11684.67</v>
      </c>
      <c r="Q255" s="28">
        <v>70370.09</v>
      </c>
    </row>
    <row r="256" spans="1:17" ht="12" customHeight="1" x14ac:dyDescent="0.2">
      <c r="A256" s="21" t="s">
        <v>2025</v>
      </c>
      <c r="B256" s="21" t="s">
        <v>2026</v>
      </c>
      <c r="C256" s="21" t="s">
        <v>2027</v>
      </c>
      <c r="D256" s="21" t="s">
        <v>2028</v>
      </c>
      <c r="E256" s="22" t="s">
        <v>2029</v>
      </c>
      <c r="F256" s="23" t="s">
        <v>2030</v>
      </c>
      <c r="G256" s="33" t="s">
        <v>2031</v>
      </c>
      <c r="H256" s="25">
        <v>48984</v>
      </c>
      <c r="I256" s="26" t="s">
        <v>2032</v>
      </c>
      <c r="J256" s="25">
        <v>49313.24</v>
      </c>
      <c r="K256" s="18">
        <v>6139.82</v>
      </c>
      <c r="L256" s="18">
        <v>530</v>
      </c>
      <c r="M256" s="27" t="s">
        <v>3520</v>
      </c>
      <c r="N256" s="18"/>
      <c r="O256" s="25">
        <v>55983.06</v>
      </c>
      <c r="P256" s="25">
        <v>14144.02</v>
      </c>
      <c r="Q256" s="28">
        <v>70127.08</v>
      </c>
    </row>
    <row r="257" spans="1:17" ht="12" customHeight="1" x14ac:dyDescent="0.2">
      <c r="A257" s="21" t="s">
        <v>2033</v>
      </c>
      <c r="B257" s="21" t="s">
        <v>2034</v>
      </c>
      <c r="C257" s="21" t="s">
        <v>2035</v>
      </c>
      <c r="D257" s="21" t="s">
        <v>2036</v>
      </c>
      <c r="E257" s="22" t="s">
        <v>2037</v>
      </c>
      <c r="F257" s="23" t="s">
        <v>2038</v>
      </c>
      <c r="G257" s="33" t="s">
        <v>2039</v>
      </c>
      <c r="H257" s="25">
        <v>39956.800000000003</v>
      </c>
      <c r="I257" s="26" t="s">
        <v>2040</v>
      </c>
      <c r="J257" s="25">
        <v>40602.410000000003</v>
      </c>
      <c r="K257" s="18">
        <v>3513.95</v>
      </c>
      <c r="L257" s="18">
        <v>300</v>
      </c>
      <c r="M257" s="27" t="s">
        <v>3520</v>
      </c>
      <c r="N257" s="18"/>
      <c r="O257" s="25">
        <v>44416.36</v>
      </c>
      <c r="P257" s="25">
        <v>25646.47</v>
      </c>
      <c r="Q257" s="28">
        <v>70062.83</v>
      </c>
    </row>
    <row r="258" spans="1:17" ht="12" customHeight="1" x14ac:dyDescent="0.2">
      <c r="A258" s="21" t="s">
        <v>2041</v>
      </c>
      <c r="B258" s="21" t="s">
        <v>2042</v>
      </c>
      <c r="C258" s="21" t="s">
        <v>2043</v>
      </c>
      <c r="D258" s="21" t="s">
        <v>2044</v>
      </c>
      <c r="E258" s="22" t="s">
        <v>2045</v>
      </c>
      <c r="F258" s="23" t="s">
        <v>2046</v>
      </c>
      <c r="G258" s="33" t="s">
        <v>2047</v>
      </c>
      <c r="H258" s="25">
        <v>46904</v>
      </c>
      <c r="I258" s="26" t="s">
        <v>2048</v>
      </c>
      <c r="J258" s="25">
        <v>47058.12</v>
      </c>
      <c r="K258" s="18">
        <v>534.08000000000004</v>
      </c>
      <c r="L258" s="18">
        <v>1330</v>
      </c>
      <c r="M258" s="27" t="s">
        <v>3520</v>
      </c>
      <c r="N258" s="18"/>
      <c r="O258" s="25">
        <v>48922.2</v>
      </c>
      <c r="P258" s="25">
        <v>21131.23</v>
      </c>
      <c r="Q258" s="28">
        <v>70053.429999999993</v>
      </c>
    </row>
    <row r="259" spans="1:17" ht="12" customHeight="1" x14ac:dyDescent="0.2">
      <c r="A259" s="21" t="s">
        <v>2049</v>
      </c>
      <c r="B259" s="21" t="s">
        <v>2050</v>
      </c>
      <c r="C259" s="21" t="s">
        <v>2051</v>
      </c>
      <c r="D259" s="21" t="s">
        <v>1611</v>
      </c>
      <c r="E259" s="22" t="s">
        <v>2052</v>
      </c>
      <c r="F259" s="23" t="s">
        <v>2053</v>
      </c>
      <c r="G259" s="33" t="s">
        <v>2054</v>
      </c>
      <c r="H259" s="25">
        <v>43243.199999999997</v>
      </c>
      <c r="I259" s="26" t="s">
        <v>2055</v>
      </c>
      <c r="J259" s="25">
        <v>43679.4</v>
      </c>
      <c r="K259" s="18">
        <v>1489.77</v>
      </c>
      <c r="L259" s="18">
        <v>3407.08</v>
      </c>
      <c r="M259" s="27" t="s">
        <v>3520</v>
      </c>
      <c r="N259" s="18"/>
      <c r="O259" s="25">
        <v>48576.25</v>
      </c>
      <c r="P259" s="25">
        <v>20852.98</v>
      </c>
      <c r="Q259" s="28">
        <v>69429.23</v>
      </c>
    </row>
    <row r="260" spans="1:17" ht="12" customHeight="1" x14ac:dyDescent="0.2">
      <c r="A260" s="21" t="s">
        <v>2056</v>
      </c>
      <c r="B260" s="21" t="s">
        <v>2057</v>
      </c>
      <c r="C260" s="21" t="s">
        <v>2058</v>
      </c>
      <c r="D260" s="21" t="s">
        <v>2059</v>
      </c>
      <c r="E260" s="22" t="s">
        <v>2060</v>
      </c>
      <c r="F260" s="23" t="s">
        <v>2061</v>
      </c>
      <c r="G260" s="33" t="s">
        <v>2062</v>
      </c>
      <c r="H260" s="25">
        <v>60736</v>
      </c>
      <c r="I260" s="26" t="s">
        <v>2063</v>
      </c>
      <c r="J260" s="25">
        <v>40099.699999999997</v>
      </c>
      <c r="K260" s="18">
        <v>2682.21</v>
      </c>
      <c r="L260" s="18">
        <v>213.82</v>
      </c>
      <c r="M260" s="27" t="s">
        <v>3520</v>
      </c>
      <c r="N260" s="18"/>
      <c r="O260" s="25">
        <v>42995.73</v>
      </c>
      <c r="P260" s="25">
        <v>26332.23</v>
      </c>
      <c r="Q260" s="28">
        <v>69327.960000000006</v>
      </c>
    </row>
    <row r="261" spans="1:17" ht="12" customHeight="1" x14ac:dyDescent="0.2">
      <c r="A261" s="21" t="s">
        <v>2064</v>
      </c>
      <c r="B261" s="21" t="s">
        <v>2065</v>
      </c>
      <c r="C261" s="21" t="s">
        <v>2066</v>
      </c>
      <c r="D261" s="21" t="s">
        <v>2067</v>
      </c>
      <c r="E261" s="22" t="s">
        <v>2068</v>
      </c>
      <c r="F261" s="23" t="s">
        <v>2069</v>
      </c>
      <c r="G261" s="33" t="s">
        <v>2070</v>
      </c>
      <c r="H261" s="25">
        <v>47132.800000000003</v>
      </c>
      <c r="I261" s="26" t="s">
        <v>2071</v>
      </c>
      <c r="J261" s="25">
        <v>46997.279999999999</v>
      </c>
      <c r="K261" s="18">
        <v>139.94999999999999</v>
      </c>
      <c r="L261" s="18">
        <v>1070</v>
      </c>
      <c r="M261" s="27" t="s">
        <v>3520</v>
      </c>
      <c r="N261" s="18"/>
      <c r="O261" s="25">
        <v>48207.23</v>
      </c>
      <c r="P261" s="25">
        <v>20825.04</v>
      </c>
      <c r="Q261" s="28">
        <v>69032.27</v>
      </c>
    </row>
    <row r="262" spans="1:17" ht="12" customHeight="1" x14ac:dyDescent="0.2">
      <c r="A262" s="21" t="s">
        <v>2072</v>
      </c>
      <c r="B262" s="21" t="s">
        <v>2073</v>
      </c>
      <c r="C262" s="21" t="s">
        <v>2074</v>
      </c>
      <c r="D262" s="21" t="s">
        <v>2075</v>
      </c>
      <c r="E262" s="22" t="s">
        <v>2076</v>
      </c>
      <c r="F262" s="23" t="s">
        <v>2077</v>
      </c>
      <c r="G262" s="33" t="s">
        <v>2078</v>
      </c>
      <c r="H262" s="25">
        <v>40664</v>
      </c>
      <c r="I262" s="26" t="s">
        <v>2079</v>
      </c>
      <c r="J262" s="25">
        <v>41486.5</v>
      </c>
      <c r="K262" s="18">
        <v>4576.55</v>
      </c>
      <c r="L262" s="18">
        <v>1960.08</v>
      </c>
      <c r="M262" s="27" t="s">
        <v>3520</v>
      </c>
      <c r="N262" s="18"/>
      <c r="O262" s="25">
        <v>48023.13</v>
      </c>
      <c r="P262" s="25">
        <v>20721.68</v>
      </c>
      <c r="Q262" s="28">
        <v>68744.81</v>
      </c>
    </row>
    <row r="263" spans="1:17" ht="12" customHeight="1" x14ac:dyDescent="0.2">
      <c r="A263" s="21" t="s">
        <v>2080</v>
      </c>
      <c r="B263" s="21" t="s">
        <v>2081</v>
      </c>
      <c r="C263" s="21" t="s">
        <v>2082</v>
      </c>
      <c r="D263" s="21" t="s">
        <v>2083</v>
      </c>
      <c r="E263" s="22" t="s">
        <v>2084</v>
      </c>
      <c r="F263" s="23" t="s">
        <v>2085</v>
      </c>
      <c r="G263" s="33" t="s">
        <v>2086</v>
      </c>
      <c r="H263" s="25">
        <v>41184</v>
      </c>
      <c r="I263" s="26" t="s">
        <v>2087</v>
      </c>
      <c r="J263" s="25">
        <v>41273.449999999997</v>
      </c>
      <c r="K263" s="18">
        <v>932.45</v>
      </c>
      <c r="L263" s="18">
        <v>350</v>
      </c>
      <c r="M263" s="27" t="s">
        <v>3520</v>
      </c>
      <c r="N263" s="18"/>
      <c r="O263" s="25">
        <v>42555.9</v>
      </c>
      <c r="P263" s="25">
        <v>26031.3</v>
      </c>
      <c r="Q263" s="28">
        <v>68587.199999999997</v>
      </c>
    </row>
    <row r="264" spans="1:17" ht="12" customHeight="1" x14ac:dyDescent="0.2">
      <c r="A264" s="21" t="s">
        <v>2088</v>
      </c>
      <c r="B264" s="21" t="s">
        <v>2089</v>
      </c>
      <c r="C264" s="21" t="s">
        <v>2090</v>
      </c>
      <c r="D264" s="21" t="s">
        <v>2091</v>
      </c>
      <c r="E264" s="22" t="s">
        <v>2092</v>
      </c>
      <c r="F264" s="23" t="s">
        <v>2093</v>
      </c>
      <c r="G264" s="33" t="s">
        <v>2094</v>
      </c>
      <c r="H264" s="25">
        <v>40913.599999999999</v>
      </c>
      <c r="I264" s="26" t="s">
        <v>2095</v>
      </c>
      <c r="J264" s="25">
        <v>41169.14</v>
      </c>
      <c r="K264" s="18">
        <v>1106.46</v>
      </c>
      <c r="L264" s="18">
        <v>999.34</v>
      </c>
      <c r="M264" s="27" t="s">
        <v>3520</v>
      </c>
      <c r="N264" s="18"/>
      <c r="O264" s="25">
        <v>43274.94</v>
      </c>
      <c r="P264" s="25">
        <v>25027.119999999999</v>
      </c>
      <c r="Q264" s="28">
        <v>68302.06</v>
      </c>
    </row>
    <row r="265" spans="1:17" ht="12" customHeight="1" x14ac:dyDescent="0.2">
      <c r="A265" s="21" t="s">
        <v>2096</v>
      </c>
      <c r="B265" s="21" t="s">
        <v>2097</v>
      </c>
      <c r="C265" s="21" t="s">
        <v>2098</v>
      </c>
      <c r="D265" s="21" t="s">
        <v>2099</v>
      </c>
      <c r="E265" s="22" t="s">
        <v>2100</v>
      </c>
      <c r="F265" s="23" t="s">
        <v>2101</v>
      </c>
      <c r="G265" s="33" t="s">
        <v>2102</v>
      </c>
      <c r="H265" s="25">
        <v>43201.599999999999</v>
      </c>
      <c r="I265" s="26" t="s">
        <v>2103</v>
      </c>
      <c r="J265" s="25">
        <v>43721.36</v>
      </c>
      <c r="K265" s="18">
        <v>1230.55</v>
      </c>
      <c r="L265" s="18">
        <v>2548</v>
      </c>
      <c r="M265" s="27" t="s">
        <v>3520</v>
      </c>
      <c r="N265" s="18"/>
      <c r="O265" s="25">
        <v>47499.91</v>
      </c>
      <c r="P265" s="25">
        <v>20594.04</v>
      </c>
      <c r="Q265" s="28">
        <v>68093.95</v>
      </c>
    </row>
    <row r="266" spans="1:17" ht="12" customHeight="1" x14ac:dyDescent="0.2">
      <c r="A266" s="21" t="s">
        <v>2104</v>
      </c>
      <c r="B266" s="21" t="s">
        <v>2105</v>
      </c>
      <c r="C266" s="21" t="s">
        <v>2106</v>
      </c>
      <c r="D266" s="21" t="s">
        <v>2107</v>
      </c>
      <c r="E266" s="22" t="s">
        <v>2108</v>
      </c>
      <c r="F266" s="23" t="s">
        <v>2109</v>
      </c>
      <c r="G266" s="33" t="s">
        <v>2110</v>
      </c>
      <c r="H266" s="25">
        <v>42390.400000000001</v>
      </c>
      <c r="I266" s="26" t="s">
        <v>2111</v>
      </c>
      <c r="J266" s="25">
        <v>43076.22</v>
      </c>
      <c r="K266" s="18">
        <v>2105.11</v>
      </c>
      <c r="L266" s="18">
        <v>2004</v>
      </c>
      <c r="M266" s="27" t="s">
        <v>3520</v>
      </c>
      <c r="N266" s="18"/>
      <c r="O266" s="25">
        <v>47185.33</v>
      </c>
      <c r="P266" s="25">
        <v>20832.59</v>
      </c>
      <c r="Q266" s="28">
        <v>68017.919999999998</v>
      </c>
    </row>
    <row r="267" spans="1:17" ht="12" customHeight="1" x14ac:dyDescent="0.2">
      <c r="A267" s="21" t="s">
        <v>2112</v>
      </c>
      <c r="B267" s="21" t="s">
        <v>2113</v>
      </c>
      <c r="C267" s="21" t="s">
        <v>2114</v>
      </c>
      <c r="D267" s="21" t="s">
        <v>2115</v>
      </c>
      <c r="E267" s="22" t="s">
        <v>2116</v>
      </c>
      <c r="F267" s="23" t="s">
        <v>2117</v>
      </c>
      <c r="G267" s="33" t="s">
        <v>2118</v>
      </c>
      <c r="H267" s="25">
        <v>107153.28</v>
      </c>
      <c r="I267" s="26" t="s">
        <v>2119</v>
      </c>
      <c r="J267" s="25">
        <v>40444.49</v>
      </c>
      <c r="K267" s="18">
        <v>4106.2700000000004</v>
      </c>
      <c r="L267" s="25">
        <v>29.44</v>
      </c>
      <c r="M267" s="27" t="s">
        <v>3520</v>
      </c>
      <c r="N267" s="18"/>
      <c r="O267" s="25">
        <v>44580.2</v>
      </c>
      <c r="P267" s="25">
        <v>23075.34</v>
      </c>
      <c r="Q267" s="28">
        <v>67655.539999999994</v>
      </c>
    </row>
    <row r="268" spans="1:17" ht="12" customHeight="1" x14ac:dyDescent="0.2">
      <c r="A268" s="21" t="s">
        <v>2120</v>
      </c>
      <c r="B268" s="21" t="s">
        <v>2121</v>
      </c>
      <c r="C268" s="21" t="s">
        <v>2122</v>
      </c>
      <c r="D268" s="21" t="s">
        <v>2123</v>
      </c>
      <c r="E268" s="22" t="s">
        <v>2124</v>
      </c>
      <c r="F268" s="23" t="s">
        <v>2125</v>
      </c>
      <c r="G268" s="33" t="s">
        <v>2126</v>
      </c>
      <c r="H268" s="25">
        <v>42889.599999999999</v>
      </c>
      <c r="I268" s="26" t="s">
        <v>2127</v>
      </c>
      <c r="J268" s="25">
        <v>43930.63</v>
      </c>
      <c r="K268" s="18">
        <v>1262.99</v>
      </c>
      <c r="L268" s="18">
        <v>1897.49</v>
      </c>
      <c r="M268" s="27" t="s">
        <v>3520</v>
      </c>
      <c r="N268" s="18"/>
      <c r="O268" s="25">
        <v>47091.11</v>
      </c>
      <c r="P268" s="25">
        <v>20534.82</v>
      </c>
      <c r="Q268" s="28">
        <v>67625.929999999993</v>
      </c>
    </row>
    <row r="269" spans="1:17" ht="12" customHeight="1" x14ac:dyDescent="0.2">
      <c r="A269" s="21" t="s">
        <v>2128</v>
      </c>
      <c r="B269" s="21" t="s">
        <v>2129</v>
      </c>
      <c r="C269" s="21" t="s">
        <v>2130</v>
      </c>
      <c r="D269" s="21" t="s">
        <v>2131</v>
      </c>
      <c r="E269" s="22" t="s">
        <v>2132</v>
      </c>
      <c r="F269" s="23" t="s">
        <v>2133</v>
      </c>
      <c r="G269" s="33" t="s">
        <v>2134</v>
      </c>
      <c r="H269" s="25">
        <v>44969.599999999999</v>
      </c>
      <c r="I269" s="26" t="s">
        <v>2135</v>
      </c>
      <c r="J269" s="25">
        <v>45759.11</v>
      </c>
      <c r="K269" s="18">
        <v>1020.56</v>
      </c>
      <c r="L269" s="25">
        <v>30</v>
      </c>
      <c r="M269" s="27" t="s">
        <v>3520</v>
      </c>
      <c r="N269" s="18"/>
      <c r="O269" s="25">
        <v>46809.67</v>
      </c>
      <c r="P269" s="25">
        <v>20811.25</v>
      </c>
      <c r="Q269" s="28">
        <v>67620.92</v>
      </c>
    </row>
    <row r="270" spans="1:17" ht="12" customHeight="1" x14ac:dyDescent="0.2">
      <c r="A270" s="21" t="s">
        <v>2136</v>
      </c>
      <c r="B270" s="21" t="s">
        <v>2137</v>
      </c>
      <c r="C270" s="21" t="s">
        <v>2138</v>
      </c>
      <c r="D270" s="21" t="s">
        <v>2139</v>
      </c>
      <c r="E270" s="22" t="s">
        <v>2140</v>
      </c>
      <c r="F270" s="23" t="s">
        <v>2141</v>
      </c>
      <c r="G270" s="33" t="s">
        <v>2142</v>
      </c>
      <c r="H270" s="25">
        <v>39956.800000000003</v>
      </c>
      <c r="I270" s="26" t="s">
        <v>2143</v>
      </c>
      <c r="J270" s="25">
        <v>40831.11</v>
      </c>
      <c r="K270" s="18">
        <v>3522.38</v>
      </c>
      <c r="L270" s="18">
        <v>440</v>
      </c>
      <c r="M270" s="27" t="s">
        <v>3520</v>
      </c>
      <c r="N270" s="18"/>
      <c r="O270" s="25">
        <v>44793.49</v>
      </c>
      <c r="P270" s="25">
        <v>22219.01</v>
      </c>
      <c r="Q270" s="28">
        <v>67012.5</v>
      </c>
    </row>
    <row r="271" spans="1:17" ht="12" customHeight="1" x14ac:dyDescent="0.2">
      <c r="A271" s="21" t="s">
        <v>2144</v>
      </c>
      <c r="B271" s="21" t="s">
        <v>2145</v>
      </c>
      <c r="C271" s="21" t="s">
        <v>2146</v>
      </c>
      <c r="D271" s="21" t="s">
        <v>2147</v>
      </c>
      <c r="E271" s="22" t="s">
        <v>2148</v>
      </c>
      <c r="F271" s="23" t="s">
        <v>2149</v>
      </c>
      <c r="G271" s="33" t="s">
        <v>2150</v>
      </c>
      <c r="H271" s="25">
        <v>39956.800000000003</v>
      </c>
      <c r="I271" s="26" t="s">
        <v>2151</v>
      </c>
      <c r="J271" s="25">
        <v>40770.75</v>
      </c>
      <c r="K271" s="18">
        <v>5380.19</v>
      </c>
      <c r="L271" s="18">
        <v>320</v>
      </c>
      <c r="M271" s="27" t="s">
        <v>3520</v>
      </c>
      <c r="N271" s="18"/>
      <c r="O271" s="25">
        <v>46470.94</v>
      </c>
      <c r="P271" s="25">
        <v>20520.97</v>
      </c>
      <c r="Q271" s="28">
        <v>66991.91</v>
      </c>
    </row>
    <row r="272" spans="1:17" ht="12" customHeight="1" x14ac:dyDescent="0.2">
      <c r="A272" s="21" t="s">
        <v>2152</v>
      </c>
      <c r="B272" s="21" t="s">
        <v>2153</v>
      </c>
      <c r="C272" s="21" t="s">
        <v>2154</v>
      </c>
      <c r="D272" s="21" t="s">
        <v>2155</v>
      </c>
      <c r="E272" s="22" t="s">
        <v>2156</v>
      </c>
      <c r="F272" s="23" t="s">
        <v>2157</v>
      </c>
      <c r="G272" s="33" t="s">
        <v>2158</v>
      </c>
      <c r="H272" s="25">
        <v>41828.800000000003</v>
      </c>
      <c r="I272" s="26" t="s">
        <v>2159</v>
      </c>
      <c r="J272" s="25">
        <v>41874.1</v>
      </c>
      <c r="K272" s="18">
        <v>1850.04</v>
      </c>
      <c r="L272" s="18">
        <v>2772</v>
      </c>
      <c r="M272" s="27" t="s">
        <v>3520</v>
      </c>
      <c r="N272" s="18"/>
      <c r="O272" s="25">
        <v>46496.14</v>
      </c>
      <c r="P272" s="25">
        <v>20393.150000000001</v>
      </c>
      <c r="Q272" s="28">
        <v>66889.289999999994</v>
      </c>
    </row>
    <row r="273" spans="1:17" ht="12" customHeight="1" x14ac:dyDescent="0.2">
      <c r="A273" s="21" t="s">
        <v>2160</v>
      </c>
      <c r="B273" s="21" t="s">
        <v>2161</v>
      </c>
      <c r="C273" s="21" t="s">
        <v>2162</v>
      </c>
      <c r="D273" s="21" t="s">
        <v>2163</v>
      </c>
      <c r="E273" s="22" t="s">
        <v>2164</v>
      </c>
      <c r="F273" s="23" t="s">
        <v>2165</v>
      </c>
      <c r="G273" s="33" t="s">
        <v>2166</v>
      </c>
      <c r="H273" s="25">
        <v>42889.599999999999</v>
      </c>
      <c r="I273" s="26" t="s">
        <v>2167</v>
      </c>
      <c r="J273" s="25">
        <v>43299.63</v>
      </c>
      <c r="K273" s="18">
        <v>2358.59</v>
      </c>
      <c r="L273" s="18">
        <v>620</v>
      </c>
      <c r="M273" s="27" t="s">
        <v>3520</v>
      </c>
      <c r="N273" s="18"/>
      <c r="O273" s="25">
        <v>46278.22</v>
      </c>
      <c r="P273" s="25">
        <v>20336.490000000002</v>
      </c>
      <c r="Q273" s="28">
        <v>66614.710000000006</v>
      </c>
    </row>
    <row r="274" spans="1:17" ht="12" customHeight="1" x14ac:dyDescent="0.2">
      <c r="A274" s="21" t="s">
        <v>2168</v>
      </c>
      <c r="B274" s="21" t="s">
        <v>2169</v>
      </c>
      <c r="C274" s="21" t="s">
        <v>2170</v>
      </c>
      <c r="D274" s="21" t="s">
        <v>2171</v>
      </c>
      <c r="E274" s="22" t="s">
        <v>2172</v>
      </c>
      <c r="F274" s="23" t="s">
        <v>2173</v>
      </c>
      <c r="G274" s="33" t="s">
        <v>2174</v>
      </c>
      <c r="H274" s="25">
        <v>37814.400000000001</v>
      </c>
      <c r="I274" s="26" t="s">
        <v>2175</v>
      </c>
      <c r="J274" s="25">
        <v>36452.58</v>
      </c>
      <c r="K274" s="18">
        <v>486.05</v>
      </c>
      <c r="L274" s="18">
        <v>230</v>
      </c>
      <c r="M274" s="27" t="s">
        <v>3520</v>
      </c>
      <c r="N274" s="18"/>
      <c r="O274" s="25">
        <v>37168.629999999997</v>
      </c>
      <c r="P274" s="25">
        <v>29436.32</v>
      </c>
      <c r="Q274" s="28">
        <v>66604.95</v>
      </c>
    </row>
    <row r="275" spans="1:17" ht="12" customHeight="1" x14ac:dyDescent="0.2">
      <c r="A275" s="21" t="s">
        <v>2176</v>
      </c>
      <c r="B275" s="21" t="s">
        <v>2177</v>
      </c>
      <c r="C275" s="21" t="s">
        <v>2178</v>
      </c>
      <c r="D275" s="21" t="s">
        <v>2179</v>
      </c>
      <c r="E275" s="22" t="s">
        <v>2180</v>
      </c>
      <c r="F275" s="23" t="s">
        <v>2181</v>
      </c>
      <c r="G275" s="33" t="s">
        <v>2182</v>
      </c>
      <c r="H275" s="25">
        <v>44678.400000000001</v>
      </c>
      <c r="I275" s="26" t="s">
        <v>2183</v>
      </c>
      <c r="J275" s="25">
        <v>44463.23</v>
      </c>
      <c r="K275" s="18">
        <v>1103.71</v>
      </c>
      <c r="L275" s="18">
        <v>150</v>
      </c>
      <c r="M275" s="27" t="s">
        <v>3520</v>
      </c>
      <c r="N275" s="18"/>
      <c r="O275" s="25">
        <v>45716.94</v>
      </c>
      <c r="P275" s="25">
        <v>20383.52</v>
      </c>
      <c r="Q275" s="28">
        <v>66100.460000000006</v>
      </c>
    </row>
    <row r="276" spans="1:17" ht="12" customHeight="1" x14ac:dyDescent="0.2">
      <c r="A276" s="21" t="s">
        <v>2184</v>
      </c>
      <c r="B276" s="21" t="s">
        <v>2185</v>
      </c>
      <c r="C276" s="21" t="s">
        <v>2186</v>
      </c>
      <c r="D276" s="21" t="s">
        <v>2187</v>
      </c>
      <c r="E276" s="22" t="s">
        <v>2188</v>
      </c>
      <c r="F276" s="23" t="s">
        <v>2189</v>
      </c>
      <c r="G276" s="33" t="s">
        <v>2190</v>
      </c>
      <c r="H276" s="25">
        <v>40768</v>
      </c>
      <c r="I276" s="26" t="s">
        <v>2191</v>
      </c>
      <c r="J276" s="25">
        <v>41186.730000000003</v>
      </c>
      <c r="K276" s="18">
        <v>2347.09</v>
      </c>
      <c r="L276" s="18">
        <v>1799.52</v>
      </c>
      <c r="M276" s="27" t="s">
        <v>3520</v>
      </c>
      <c r="N276" s="18"/>
      <c r="O276" s="25">
        <v>45333.34</v>
      </c>
      <c r="P276" s="25">
        <v>20349.47</v>
      </c>
      <c r="Q276" s="28">
        <v>65682.81</v>
      </c>
    </row>
    <row r="277" spans="1:17" ht="12" customHeight="1" x14ac:dyDescent="0.2">
      <c r="A277" s="21" t="s">
        <v>2192</v>
      </c>
      <c r="B277" s="21" t="s">
        <v>2193</v>
      </c>
      <c r="C277" s="21" t="s">
        <v>2194</v>
      </c>
      <c r="D277" s="21" t="s">
        <v>2195</v>
      </c>
      <c r="E277" s="22" t="s">
        <v>2196</v>
      </c>
      <c r="F277" s="23" t="s">
        <v>2197</v>
      </c>
      <c r="G277" s="33" t="s">
        <v>2198</v>
      </c>
      <c r="H277" s="25">
        <v>38334.400000000001</v>
      </c>
      <c r="I277" s="26" t="s">
        <v>2199</v>
      </c>
      <c r="J277" s="25">
        <v>38954.9</v>
      </c>
      <c r="K277" s="18">
        <v>4052.89</v>
      </c>
      <c r="L277" s="18">
        <v>2404.3200000000002</v>
      </c>
      <c r="M277" s="27" t="s">
        <v>3520</v>
      </c>
      <c r="N277" s="18"/>
      <c r="O277" s="25">
        <v>45412.11</v>
      </c>
      <c r="P277" s="25">
        <v>20074.86</v>
      </c>
      <c r="Q277" s="28">
        <v>65486.97</v>
      </c>
    </row>
    <row r="278" spans="1:17" ht="12" customHeight="1" x14ac:dyDescent="0.2">
      <c r="A278" s="21" t="s">
        <v>2200</v>
      </c>
      <c r="B278" s="21" t="s">
        <v>2201</v>
      </c>
      <c r="C278" s="21" t="s">
        <v>2202</v>
      </c>
      <c r="D278" s="21" t="s">
        <v>2203</v>
      </c>
      <c r="E278" s="22" t="s">
        <v>2204</v>
      </c>
      <c r="F278" s="23" t="s">
        <v>2205</v>
      </c>
      <c r="G278" s="33" t="s">
        <v>2206</v>
      </c>
      <c r="H278" s="25">
        <v>36212.800000000003</v>
      </c>
      <c r="I278" s="26" t="s">
        <v>2207</v>
      </c>
      <c r="J278" s="25">
        <v>37010.54</v>
      </c>
      <c r="K278" s="18">
        <v>2990.1</v>
      </c>
      <c r="L278" s="18">
        <v>490</v>
      </c>
      <c r="M278" s="27" t="s">
        <v>3520</v>
      </c>
      <c r="N278" s="18"/>
      <c r="O278" s="25">
        <v>40490.639999999999</v>
      </c>
      <c r="P278" s="25">
        <v>24934.59</v>
      </c>
      <c r="Q278" s="28">
        <v>65425.23</v>
      </c>
    </row>
    <row r="279" spans="1:17" ht="12" customHeight="1" x14ac:dyDescent="0.2">
      <c r="A279" s="21" t="s">
        <v>2208</v>
      </c>
      <c r="B279" s="21" t="s">
        <v>2209</v>
      </c>
      <c r="C279" s="21" t="s">
        <v>2210</v>
      </c>
      <c r="D279" s="21" t="s">
        <v>2211</v>
      </c>
      <c r="E279" s="22" t="s">
        <v>2212</v>
      </c>
      <c r="F279" s="23" t="s">
        <v>2213</v>
      </c>
      <c r="G279" s="33" t="s">
        <v>2214</v>
      </c>
      <c r="H279" s="25">
        <v>45635.199999999997</v>
      </c>
      <c r="I279" s="26" t="s">
        <v>2215</v>
      </c>
      <c r="J279" s="25">
        <v>43416.38</v>
      </c>
      <c r="K279" s="18">
        <v>182.01</v>
      </c>
      <c r="L279" s="18">
        <v>1596</v>
      </c>
      <c r="M279" s="27" t="s">
        <v>3520</v>
      </c>
      <c r="N279" s="18"/>
      <c r="O279" s="25">
        <v>45194.39</v>
      </c>
      <c r="P279" s="25">
        <v>20093.689999999999</v>
      </c>
      <c r="Q279" s="28">
        <v>65288.08</v>
      </c>
    </row>
    <row r="280" spans="1:17" ht="12" customHeight="1" x14ac:dyDescent="0.2">
      <c r="A280" s="21" t="s">
        <v>2216</v>
      </c>
      <c r="B280" s="21" t="s">
        <v>2217</v>
      </c>
      <c r="C280" s="21" t="s">
        <v>2218</v>
      </c>
      <c r="D280" s="21" t="s">
        <v>2219</v>
      </c>
      <c r="E280" s="22" t="s">
        <v>2220</v>
      </c>
      <c r="F280" s="23" t="s">
        <v>2221</v>
      </c>
      <c r="G280" s="33" t="s">
        <v>2222</v>
      </c>
      <c r="H280" s="25">
        <v>48880</v>
      </c>
      <c r="I280" s="26" t="s">
        <v>2223</v>
      </c>
      <c r="J280" s="25">
        <v>48203.64</v>
      </c>
      <c r="K280" s="18">
        <v>1787.68</v>
      </c>
      <c r="L280" s="18">
        <v>1935</v>
      </c>
      <c r="M280" s="27" t="s">
        <v>3520</v>
      </c>
      <c r="N280" s="18"/>
      <c r="O280" s="25">
        <v>51926.32</v>
      </c>
      <c r="P280" s="25">
        <v>13228.73</v>
      </c>
      <c r="Q280" s="28">
        <v>65155.05</v>
      </c>
    </row>
    <row r="281" spans="1:17" ht="11" customHeight="1" thickBot="1" x14ac:dyDescent="0.25">
      <c r="A281" s="21" t="s">
        <v>2224</v>
      </c>
      <c r="B281" s="21" t="s">
        <v>2225</v>
      </c>
      <c r="C281" s="21" t="s">
        <v>2226</v>
      </c>
      <c r="D281" s="21" t="s">
        <v>2227</v>
      </c>
      <c r="E281" s="22" t="s">
        <v>2228</v>
      </c>
      <c r="F281" s="23" t="s">
        <v>2229</v>
      </c>
      <c r="G281" s="33" t="s">
        <v>2230</v>
      </c>
      <c r="H281" s="25">
        <v>43680</v>
      </c>
      <c r="I281" s="26" t="s">
        <v>2231</v>
      </c>
      <c r="J281" s="25">
        <v>44041.83</v>
      </c>
      <c r="K281" s="18">
        <v>618.77</v>
      </c>
      <c r="L281" s="18">
        <v>210</v>
      </c>
      <c r="M281" s="27" t="s">
        <v>3520</v>
      </c>
      <c r="N281" s="18"/>
      <c r="O281" s="25">
        <v>44870.6</v>
      </c>
      <c r="P281" s="25">
        <v>19945.990000000002</v>
      </c>
      <c r="Q281" s="28">
        <v>64816.59</v>
      </c>
    </row>
    <row r="282" spans="1:17" ht="12" customHeight="1" x14ac:dyDescent="0.2">
      <c r="A282" s="10" t="s">
        <v>2232</v>
      </c>
      <c r="B282" s="10" t="s">
        <v>2233</v>
      </c>
      <c r="C282" s="10" t="s">
        <v>2234</v>
      </c>
      <c r="D282" s="10" t="s">
        <v>2235</v>
      </c>
      <c r="E282" s="11" t="s">
        <v>2236</v>
      </c>
      <c r="F282" s="12" t="s">
        <v>2237</v>
      </c>
      <c r="G282" s="35" t="s">
        <v>2238</v>
      </c>
      <c r="H282" s="14">
        <v>59529.599999999999</v>
      </c>
      <c r="I282" s="14">
        <v>832.84</v>
      </c>
      <c r="J282" s="14">
        <v>39861.699999999997</v>
      </c>
      <c r="K282" s="16">
        <v>268.7</v>
      </c>
      <c r="L282" s="16">
        <v>5524.17</v>
      </c>
      <c r="M282" s="17" t="s">
        <v>3520</v>
      </c>
      <c r="N282" s="18"/>
      <c r="O282" s="17">
        <v>46487.41</v>
      </c>
      <c r="P282" s="14">
        <v>18185.810000000001</v>
      </c>
      <c r="Q282" s="20">
        <v>64673.22</v>
      </c>
    </row>
    <row r="283" spans="1:17" ht="12" customHeight="1" x14ac:dyDescent="0.2">
      <c r="A283" s="21" t="s">
        <v>2239</v>
      </c>
      <c r="B283" s="21" t="s">
        <v>2240</v>
      </c>
      <c r="C283" s="21" t="s">
        <v>2241</v>
      </c>
      <c r="D283" s="21" t="s">
        <v>2242</v>
      </c>
      <c r="E283" s="22" t="s">
        <v>2243</v>
      </c>
      <c r="F283" s="23" t="s">
        <v>2244</v>
      </c>
      <c r="G283" s="33" t="s">
        <v>2245</v>
      </c>
      <c r="H283" s="25">
        <v>40102.400000000001</v>
      </c>
      <c r="I283" s="26" t="s">
        <v>2246</v>
      </c>
      <c r="J283" s="25">
        <v>41773.660000000003</v>
      </c>
      <c r="K283" s="18">
        <v>1890.45</v>
      </c>
      <c r="L283" s="18">
        <v>1483.96</v>
      </c>
      <c r="M283" s="27" t="s">
        <v>3520</v>
      </c>
      <c r="N283" s="18"/>
      <c r="O283" s="27">
        <v>45148.07</v>
      </c>
      <c r="P283" s="25">
        <v>19524.330000000002</v>
      </c>
      <c r="Q283" s="28">
        <v>64672.4</v>
      </c>
    </row>
    <row r="284" spans="1:17" ht="12" customHeight="1" x14ac:dyDescent="0.2">
      <c r="A284" s="21" t="s">
        <v>2247</v>
      </c>
      <c r="B284" s="21" t="s">
        <v>2248</v>
      </c>
      <c r="C284" s="21" t="s">
        <v>2249</v>
      </c>
      <c r="D284" s="21" t="s">
        <v>2250</v>
      </c>
      <c r="E284" s="22" t="s">
        <v>2251</v>
      </c>
      <c r="F284" s="23" t="s">
        <v>2252</v>
      </c>
      <c r="G284" s="33" t="s">
        <v>2253</v>
      </c>
      <c r="H284" s="25">
        <v>33425.599999999999</v>
      </c>
      <c r="I284" s="26" t="s">
        <v>2254</v>
      </c>
      <c r="J284" s="25">
        <v>33987.599999999999</v>
      </c>
      <c r="K284" s="18">
        <v>1668.97</v>
      </c>
      <c r="L284" s="18">
        <v>700.04</v>
      </c>
      <c r="M284" s="27" t="s">
        <v>3520</v>
      </c>
      <c r="N284" s="18"/>
      <c r="O284" s="27">
        <v>36356.61</v>
      </c>
      <c r="P284" s="25">
        <v>28295.24</v>
      </c>
      <c r="Q284" s="28">
        <v>64651.85</v>
      </c>
    </row>
    <row r="285" spans="1:17" ht="12" customHeight="1" x14ac:dyDescent="0.2">
      <c r="A285" s="21" t="s">
        <v>2255</v>
      </c>
      <c r="B285" s="21" t="s">
        <v>2256</v>
      </c>
      <c r="C285" s="21" t="s">
        <v>2257</v>
      </c>
      <c r="D285" s="21" t="s">
        <v>2258</v>
      </c>
      <c r="E285" s="22" t="s">
        <v>2259</v>
      </c>
      <c r="F285" s="23" t="s">
        <v>2260</v>
      </c>
      <c r="G285" s="33" t="s">
        <v>2261</v>
      </c>
      <c r="H285" s="25">
        <v>40768</v>
      </c>
      <c r="I285" s="26" t="s">
        <v>2262</v>
      </c>
      <c r="J285" s="25">
        <v>40427.43</v>
      </c>
      <c r="K285" s="18">
        <v>404.86</v>
      </c>
      <c r="L285" s="18">
        <v>2811.78</v>
      </c>
      <c r="M285" s="27" t="s">
        <v>3520</v>
      </c>
      <c r="N285" s="18"/>
      <c r="O285" s="27">
        <v>43644.07</v>
      </c>
      <c r="P285" s="25">
        <v>19919.45</v>
      </c>
      <c r="Q285" s="28">
        <v>63563.519999999997</v>
      </c>
    </row>
    <row r="286" spans="1:17" ht="12" customHeight="1" x14ac:dyDescent="0.2">
      <c r="A286" s="21" t="s">
        <v>2263</v>
      </c>
      <c r="B286" s="21" t="s">
        <v>2264</v>
      </c>
      <c r="C286" s="21" t="s">
        <v>2265</v>
      </c>
      <c r="D286" s="21" t="s">
        <v>2266</v>
      </c>
      <c r="E286" s="22" t="s">
        <v>2267</v>
      </c>
      <c r="F286" s="23" t="s">
        <v>2268</v>
      </c>
      <c r="G286" s="33" t="s">
        <v>2269</v>
      </c>
      <c r="H286" s="25">
        <v>41475.199999999997</v>
      </c>
      <c r="I286" s="26" t="s">
        <v>2270</v>
      </c>
      <c r="J286" s="25">
        <v>41144.620000000003</v>
      </c>
      <c r="K286" s="18">
        <v>444.87</v>
      </c>
      <c r="L286" s="18">
        <v>2123.08</v>
      </c>
      <c r="M286" s="27" t="s">
        <v>3520</v>
      </c>
      <c r="N286" s="18"/>
      <c r="O286" s="27">
        <v>43712.57</v>
      </c>
      <c r="P286" s="25">
        <v>19677.419999999998</v>
      </c>
      <c r="Q286" s="28">
        <v>63389.99</v>
      </c>
    </row>
    <row r="287" spans="1:17" ht="12" customHeight="1" x14ac:dyDescent="0.2">
      <c r="A287" s="21" t="s">
        <v>2271</v>
      </c>
      <c r="B287" s="21" t="s">
        <v>2272</v>
      </c>
      <c r="C287" s="21" t="s">
        <v>2273</v>
      </c>
      <c r="D287" s="21" t="s">
        <v>2274</v>
      </c>
      <c r="E287" s="22" t="s">
        <v>2275</v>
      </c>
      <c r="F287" s="23" t="s">
        <v>2276</v>
      </c>
      <c r="G287" s="33" t="s">
        <v>2277</v>
      </c>
      <c r="H287" s="18">
        <v>40705.599999999999</v>
      </c>
      <c r="I287" s="26" t="s">
        <v>2278</v>
      </c>
      <c r="J287" s="25">
        <v>39421.78</v>
      </c>
      <c r="K287" s="18">
        <v>2116.29</v>
      </c>
      <c r="L287" s="18">
        <v>1663</v>
      </c>
      <c r="M287" s="27" t="s">
        <v>3520</v>
      </c>
      <c r="N287" s="18"/>
      <c r="O287" s="27">
        <v>43201.07</v>
      </c>
      <c r="P287" s="25">
        <v>19677.66</v>
      </c>
      <c r="Q287" s="28">
        <v>62878.73</v>
      </c>
    </row>
    <row r="288" spans="1:17" ht="12" customHeight="1" x14ac:dyDescent="0.2">
      <c r="A288" s="21" t="s">
        <v>2279</v>
      </c>
      <c r="B288" s="21" t="s">
        <v>2280</v>
      </c>
      <c r="C288" s="21" t="s">
        <v>2281</v>
      </c>
      <c r="D288" s="21" t="s">
        <v>2282</v>
      </c>
      <c r="E288" s="22" t="s">
        <v>2283</v>
      </c>
      <c r="F288" s="23" t="s">
        <v>2284</v>
      </c>
      <c r="G288" s="34" t="s">
        <v>2285</v>
      </c>
      <c r="H288" s="25">
        <v>86102.12</v>
      </c>
      <c r="I288" s="25">
        <v>184.23</v>
      </c>
      <c r="J288" s="18">
        <v>46234.39</v>
      </c>
      <c r="K288" s="18" t="s">
        <v>3520</v>
      </c>
      <c r="L288" s="18">
        <v>346.67</v>
      </c>
      <c r="M288" s="27" t="s">
        <v>3520</v>
      </c>
      <c r="N288" s="18"/>
      <c r="O288" s="27">
        <v>46765.29</v>
      </c>
      <c r="P288" s="25">
        <v>16032.06</v>
      </c>
      <c r="Q288" s="28">
        <v>62797.35</v>
      </c>
    </row>
    <row r="289" spans="1:17" ht="12" customHeight="1" x14ac:dyDescent="0.2">
      <c r="A289" s="21" t="s">
        <v>2286</v>
      </c>
      <c r="B289" s="21" t="s">
        <v>2287</v>
      </c>
      <c r="C289" s="21" t="s">
        <v>2288</v>
      </c>
      <c r="D289" s="21" t="s">
        <v>2289</v>
      </c>
      <c r="E289" s="22" t="s">
        <v>2290</v>
      </c>
      <c r="F289" s="23" t="s">
        <v>2291</v>
      </c>
      <c r="G289" s="33" t="s">
        <v>2292</v>
      </c>
      <c r="H289" s="25">
        <v>38459.199999999997</v>
      </c>
      <c r="I289" s="26" t="s">
        <v>2293</v>
      </c>
      <c r="J289" s="25">
        <v>38391.58</v>
      </c>
      <c r="K289" s="18">
        <v>81.430000000000007</v>
      </c>
      <c r="L289" s="18">
        <v>250</v>
      </c>
      <c r="M289" s="27" t="s">
        <v>3520</v>
      </c>
      <c r="N289" s="18"/>
      <c r="O289" s="27">
        <v>38723.01</v>
      </c>
      <c r="P289" s="25">
        <v>23973.71</v>
      </c>
      <c r="Q289" s="28">
        <v>62696.72</v>
      </c>
    </row>
    <row r="290" spans="1:17" ht="12" customHeight="1" x14ac:dyDescent="0.2">
      <c r="A290" s="21" t="s">
        <v>2294</v>
      </c>
      <c r="B290" s="21" t="s">
        <v>2295</v>
      </c>
      <c r="C290" s="21" t="s">
        <v>2296</v>
      </c>
      <c r="D290" s="21" t="s">
        <v>2297</v>
      </c>
      <c r="E290" s="22" t="s">
        <v>2298</v>
      </c>
      <c r="F290" s="23" t="s">
        <v>2299</v>
      </c>
      <c r="G290" s="33" t="s">
        <v>2300</v>
      </c>
      <c r="H290" s="25">
        <v>53000.480000000003</v>
      </c>
      <c r="I290" s="26" t="s">
        <v>2301</v>
      </c>
      <c r="J290" s="25">
        <v>49788.480000000003</v>
      </c>
      <c r="K290" s="18">
        <v>277.62</v>
      </c>
      <c r="L290" s="18">
        <v>160</v>
      </c>
      <c r="M290" s="27" t="s">
        <v>3520</v>
      </c>
      <c r="N290" s="18"/>
      <c r="O290" s="27">
        <v>50226.1</v>
      </c>
      <c r="P290" s="25">
        <v>12382.34</v>
      </c>
      <c r="Q290" s="28">
        <v>62608.44</v>
      </c>
    </row>
    <row r="291" spans="1:17" ht="12" customHeight="1" x14ac:dyDescent="0.2">
      <c r="A291" s="21" t="s">
        <v>2302</v>
      </c>
      <c r="B291" s="21" t="s">
        <v>2303</v>
      </c>
      <c r="C291" s="21" t="s">
        <v>2304</v>
      </c>
      <c r="D291" s="21" t="s">
        <v>2305</v>
      </c>
      <c r="E291" s="22" t="s">
        <v>2306</v>
      </c>
      <c r="F291" s="23" t="s">
        <v>2307</v>
      </c>
      <c r="G291" s="33" t="s">
        <v>2308</v>
      </c>
      <c r="H291" s="25">
        <v>42640</v>
      </c>
      <c r="I291" s="26" t="s">
        <v>2309</v>
      </c>
      <c r="J291" s="25">
        <v>37466.699999999997</v>
      </c>
      <c r="K291" s="18">
        <v>467.5</v>
      </c>
      <c r="L291" s="18">
        <v>50</v>
      </c>
      <c r="M291" s="27" t="s">
        <v>3520</v>
      </c>
      <c r="N291" s="18"/>
      <c r="O291" s="27">
        <v>37984.199999999997</v>
      </c>
      <c r="P291" s="25">
        <v>23751.48</v>
      </c>
      <c r="Q291" s="28">
        <v>61735.68</v>
      </c>
    </row>
    <row r="292" spans="1:17" ht="12" customHeight="1" x14ac:dyDescent="0.2">
      <c r="A292" s="21" t="s">
        <v>2310</v>
      </c>
      <c r="B292" s="21" t="s">
        <v>2311</v>
      </c>
      <c r="C292" s="21" t="s">
        <v>2312</v>
      </c>
      <c r="D292" s="21" t="s">
        <v>2313</v>
      </c>
      <c r="E292" s="22" t="s">
        <v>2314</v>
      </c>
      <c r="F292" s="23" t="s">
        <v>2315</v>
      </c>
      <c r="G292" s="34" t="s">
        <v>2316</v>
      </c>
      <c r="H292" s="25">
        <v>84879.34</v>
      </c>
      <c r="I292" s="18" t="s">
        <v>3520</v>
      </c>
      <c r="J292" s="25">
        <v>45577.8</v>
      </c>
      <c r="K292" s="18" t="s">
        <v>3520</v>
      </c>
      <c r="L292" s="18">
        <v>346.67</v>
      </c>
      <c r="M292" s="27" t="s">
        <v>3520</v>
      </c>
      <c r="N292" s="18"/>
      <c r="O292" s="30">
        <v>45924.47</v>
      </c>
      <c r="P292" s="25">
        <v>15603</v>
      </c>
      <c r="Q292" s="28">
        <v>61527.47</v>
      </c>
    </row>
    <row r="293" spans="1:17" ht="12" customHeight="1" x14ac:dyDescent="0.2">
      <c r="A293" s="21" t="s">
        <v>2317</v>
      </c>
      <c r="B293" s="21" t="s">
        <v>2318</v>
      </c>
      <c r="C293" s="21" t="s">
        <v>2319</v>
      </c>
      <c r="D293" s="21" t="s">
        <v>2320</v>
      </c>
      <c r="E293" s="22" t="s">
        <v>2321</v>
      </c>
      <c r="F293" s="23" t="s">
        <v>2322</v>
      </c>
      <c r="G293" s="33" t="s">
        <v>2323</v>
      </c>
      <c r="H293" s="25">
        <v>43680</v>
      </c>
      <c r="I293" s="26" t="s">
        <v>2324</v>
      </c>
      <c r="J293" s="25">
        <v>38824.559999999998</v>
      </c>
      <c r="K293" s="18">
        <v>225.38</v>
      </c>
      <c r="L293" s="18">
        <v>2884</v>
      </c>
      <c r="M293" s="27" t="s">
        <v>3520</v>
      </c>
      <c r="N293" s="18"/>
      <c r="O293" s="31">
        <v>41933.94</v>
      </c>
      <c r="P293" s="25">
        <v>19439.82</v>
      </c>
      <c r="Q293" s="28">
        <v>61373.760000000002</v>
      </c>
    </row>
    <row r="294" spans="1:17" ht="12" customHeight="1" x14ac:dyDescent="0.2">
      <c r="A294" s="21" t="s">
        <v>2325</v>
      </c>
      <c r="B294" s="21" t="s">
        <v>2326</v>
      </c>
      <c r="C294" s="21" t="s">
        <v>2327</v>
      </c>
      <c r="D294" s="21" t="s">
        <v>2328</v>
      </c>
      <c r="E294" s="22" t="s">
        <v>2329</v>
      </c>
      <c r="F294" s="23" t="s">
        <v>2330</v>
      </c>
      <c r="G294" s="34" t="s">
        <v>2331</v>
      </c>
      <c r="H294" s="25">
        <v>56971.199999999997</v>
      </c>
      <c r="I294" s="25">
        <v>3152.04</v>
      </c>
      <c r="J294" s="25">
        <v>33979.61</v>
      </c>
      <c r="K294" s="18">
        <v>5108.26</v>
      </c>
      <c r="L294" s="18">
        <v>2698.67</v>
      </c>
      <c r="M294" s="27" t="s">
        <v>3520</v>
      </c>
      <c r="N294" s="18"/>
      <c r="O294" s="31">
        <v>44938.58</v>
      </c>
      <c r="P294" s="25">
        <v>16273.05</v>
      </c>
      <c r="Q294" s="28">
        <v>61211.63</v>
      </c>
    </row>
    <row r="295" spans="1:17" ht="12" customHeight="1" x14ac:dyDescent="0.2">
      <c r="A295" s="21" t="s">
        <v>2332</v>
      </c>
      <c r="B295" s="21" t="s">
        <v>2333</v>
      </c>
      <c r="C295" s="21" t="s">
        <v>2334</v>
      </c>
      <c r="D295" s="21" t="s">
        <v>2335</v>
      </c>
      <c r="E295" s="22" t="s">
        <v>2336</v>
      </c>
      <c r="F295" s="23" t="s">
        <v>2337</v>
      </c>
      <c r="G295" s="33" t="s">
        <v>2338</v>
      </c>
      <c r="H295" s="25">
        <v>55161.599999999999</v>
      </c>
      <c r="I295" s="26" t="s">
        <v>2339</v>
      </c>
      <c r="J295" s="25">
        <v>38985.449999999997</v>
      </c>
      <c r="K295" s="18">
        <v>3665.78</v>
      </c>
      <c r="L295" s="18">
        <v>752.75</v>
      </c>
      <c r="M295" s="27" t="s">
        <v>3520</v>
      </c>
      <c r="N295" s="18"/>
      <c r="O295" s="31">
        <v>43403.98</v>
      </c>
      <c r="P295" s="25">
        <v>17674.11</v>
      </c>
      <c r="Q295" s="28">
        <v>61078.09</v>
      </c>
    </row>
    <row r="296" spans="1:17" ht="12" customHeight="1" x14ac:dyDescent="0.2">
      <c r="A296" s="21" t="s">
        <v>2340</v>
      </c>
      <c r="B296" s="21" t="s">
        <v>2341</v>
      </c>
      <c r="C296" s="21" t="s">
        <v>2342</v>
      </c>
      <c r="D296" s="21" t="s">
        <v>2343</v>
      </c>
      <c r="E296" s="22" t="s">
        <v>2344</v>
      </c>
      <c r="F296" s="23" t="s">
        <v>2345</v>
      </c>
      <c r="G296" s="33" t="s">
        <v>2346</v>
      </c>
      <c r="H296" s="25">
        <v>45385.599999999999</v>
      </c>
      <c r="I296" s="26" t="s">
        <v>2347</v>
      </c>
      <c r="J296" s="25">
        <v>39999.56</v>
      </c>
      <c r="K296" s="18">
        <v>1688.6</v>
      </c>
      <c r="L296" s="18">
        <v>220</v>
      </c>
      <c r="M296" s="27" t="s">
        <v>3520</v>
      </c>
      <c r="N296" s="18"/>
      <c r="O296" s="31">
        <v>41908.160000000003</v>
      </c>
      <c r="P296" s="25">
        <v>19095.41</v>
      </c>
      <c r="Q296" s="28">
        <v>61003.57</v>
      </c>
    </row>
    <row r="297" spans="1:17" ht="12" customHeight="1" x14ac:dyDescent="0.2">
      <c r="A297" s="21" t="s">
        <v>2348</v>
      </c>
      <c r="B297" s="21" t="s">
        <v>2349</v>
      </c>
      <c r="C297" s="21" t="s">
        <v>2350</v>
      </c>
      <c r="D297" s="21" t="s">
        <v>2351</v>
      </c>
      <c r="E297" s="22" t="s">
        <v>2352</v>
      </c>
      <c r="F297" s="23" t="s">
        <v>2353</v>
      </c>
      <c r="G297" s="33" t="s">
        <v>2354</v>
      </c>
      <c r="H297" s="25">
        <v>39956.800000000003</v>
      </c>
      <c r="I297" s="26" t="s">
        <v>2355</v>
      </c>
      <c r="J297" s="25">
        <v>40248.03</v>
      </c>
      <c r="K297" s="18">
        <v>650.23</v>
      </c>
      <c r="L297" s="18">
        <v>610</v>
      </c>
      <c r="M297" s="27" t="s">
        <v>3520</v>
      </c>
      <c r="N297" s="18"/>
      <c r="O297" s="31">
        <v>41508.26</v>
      </c>
      <c r="P297" s="25">
        <v>19187.39</v>
      </c>
      <c r="Q297" s="28">
        <v>60695.65</v>
      </c>
    </row>
    <row r="298" spans="1:17" ht="12" customHeight="1" x14ac:dyDescent="0.2">
      <c r="A298" s="21" t="s">
        <v>2356</v>
      </c>
      <c r="B298" s="21" t="s">
        <v>2357</v>
      </c>
      <c r="C298" s="21" t="s">
        <v>2358</v>
      </c>
      <c r="D298" s="21" t="s">
        <v>2359</v>
      </c>
      <c r="E298" s="22" t="s">
        <v>2360</v>
      </c>
      <c r="F298" s="23" t="s">
        <v>2361</v>
      </c>
      <c r="G298" s="33" t="s">
        <v>2362</v>
      </c>
      <c r="H298" s="25">
        <v>39041.599999999999</v>
      </c>
      <c r="I298" s="26" t="s">
        <v>2363</v>
      </c>
      <c r="J298" s="25">
        <v>39288.54</v>
      </c>
      <c r="K298" s="18">
        <v>926.31</v>
      </c>
      <c r="L298" s="18">
        <v>1321</v>
      </c>
      <c r="M298" s="27" t="s">
        <v>3520</v>
      </c>
      <c r="N298" s="18"/>
      <c r="O298" s="31">
        <v>41535.85</v>
      </c>
      <c r="P298" s="25">
        <v>19145.47</v>
      </c>
      <c r="Q298" s="28">
        <v>60681.32</v>
      </c>
    </row>
    <row r="299" spans="1:17" ht="12" customHeight="1" x14ac:dyDescent="0.2">
      <c r="A299" s="21" t="s">
        <v>2364</v>
      </c>
      <c r="B299" s="21" t="s">
        <v>2365</v>
      </c>
      <c r="C299" s="21" t="s">
        <v>2366</v>
      </c>
      <c r="D299" s="21" t="s">
        <v>2367</v>
      </c>
      <c r="E299" s="22" t="s">
        <v>2368</v>
      </c>
      <c r="F299" s="23" t="s">
        <v>2369</v>
      </c>
      <c r="G299" s="33" t="s">
        <v>2370</v>
      </c>
      <c r="H299" s="25">
        <v>52543.17</v>
      </c>
      <c r="I299" s="26" t="s">
        <v>2371</v>
      </c>
      <c r="J299" s="25">
        <v>24642.76</v>
      </c>
      <c r="K299" s="18">
        <v>17707.099999999999</v>
      </c>
      <c r="L299" s="18">
        <v>758.61</v>
      </c>
      <c r="M299" s="27" t="s">
        <v>3520</v>
      </c>
      <c r="N299" s="18"/>
      <c r="O299" s="27">
        <v>43108.47</v>
      </c>
      <c r="P299" s="25">
        <v>17567.900000000001</v>
      </c>
      <c r="Q299" s="28">
        <v>60676.37</v>
      </c>
    </row>
    <row r="300" spans="1:17" ht="12" customHeight="1" x14ac:dyDescent="0.2">
      <c r="A300" s="21" t="s">
        <v>2372</v>
      </c>
      <c r="B300" s="21" t="s">
        <v>2373</v>
      </c>
      <c r="C300" s="21" t="s">
        <v>2374</v>
      </c>
      <c r="D300" s="21" t="s">
        <v>2375</v>
      </c>
      <c r="E300" s="22" t="s">
        <v>2376</v>
      </c>
      <c r="F300" s="23" t="s">
        <v>2377</v>
      </c>
      <c r="G300" s="33" t="s">
        <v>2378</v>
      </c>
      <c r="H300" s="25">
        <v>54238.080000000002</v>
      </c>
      <c r="I300" s="26" t="s">
        <v>2379</v>
      </c>
      <c r="J300" s="25">
        <v>44183.37</v>
      </c>
      <c r="K300" s="18">
        <v>3719.91</v>
      </c>
      <c r="L300" s="18">
        <v>377.67</v>
      </c>
      <c r="M300" s="27">
        <v>157.44</v>
      </c>
      <c r="N300" s="18"/>
      <c r="O300" s="27">
        <v>48438.39</v>
      </c>
      <c r="P300" s="25">
        <v>11821.09</v>
      </c>
      <c r="Q300" s="28">
        <v>60259.48</v>
      </c>
    </row>
    <row r="301" spans="1:17" ht="12" customHeight="1" x14ac:dyDescent="0.2">
      <c r="A301" s="21" t="s">
        <v>2380</v>
      </c>
      <c r="B301" s="21" t="s">
        <v>2381</v>
      </c>
      <c r="C301" s="21" t="s">
        <v>2382</v>
      </c>
      <c r="D301" s="21" t="s">
        <v>2383</v>
      </c>
      <c r="E301" s="22" t="s">
        <v>2384</v>
      </c>
      <c r="F301" s="23" t="s">
        <v>2385</v>
      </c>
      <c r="G301" s="33" t="s">
        <v>2386</v>
      </c>
      <c r="H301" s="25">
        <v>39561.599999999999</v>
      </c>
      <c r="I301" s="26" t="s">
        <v>2387</v>
      </c>
      <c r="J301" s="25">
        <v>39612.32</v>
      </c>
      <c r="K301" s="18">
        <v>118.13</v>
      </c>
      <c r="L301" s="18">
        <v>1150</v>
      </c>
      <c r="M301" s="27" t="s">
        <v>3520</v>
      </c>
      <c r="N301" s="18"/>
      <c r="O301" s="27">
        <v>40880.449999999997</v>
      </c>
      <c r="P301" s="25">
        <v>19035.05</v>
      </c>
      <c r="Q301" s="28">
        <v>59915.5</v>
      </c>
    </row>
    <row r="302" spans="1:17" ht="12" customHeight="1" x14ac:dyDescent="0.2">
      <c r="A302" s="21" t="s">
        <v>2388</v>
      </c>
      <c r="B302" s="21" t="s">
        <v>2389</v>
      </c>
      <c r="C302" s="21" t="s">
        <v>2390</v>
      </c>
      <c r="D302" s="21" t="s">
        <v>2391</v>
      </c>
      <c r="E302" s="22" t="s">
        <v>2392</v>
      </c>
      <c r="F302" s="23" t="s">
        <v>2393</v>
      </c>
      <c r="G302" s="34" t="s">
        <v>2394</v>
      </c>
      <c r="H302" s="25">
        <v>81448.899999999994</v>
      </c>
      <c r="I302" s="18" t="s">
        <v>3520</v>
      </c>
      <c r="J302" s="25">
        <v>43735.75</v>
      </c>
      <c r="K302" s="18" t="s">
        <v>3520</v>
      </c>
      <c r="L302" s="18">
        <v>850</v>
      </c>
      <c r="M302" s="27" t="s">
        <v>3520</v>
      </c>
      <c r="N302" s="18"/>
      <c r="O302" s="30">
        <v>44585.75</v>
      </c>
      <c r="P302" s="25">
        <v>15275.06</v>
      </c>
      <c r="Q302" s="28">
        <v>59860.81</v>
      </c>
    </row>
    <row r="303" spans="1:17" ht="12" customHeight="1" x14ac:dyDescent="0.2">
      <c r="A303" s="21" t="s">
        <v>2395</v>
      </c>
      <c r="B303" s="21" t="s">
        <v>2396</v>
      </c>
      <c r="C303" s="21" t="s">
        <v>2397</v>
      </c>
      <c r="D303" s="21" t="s">
        <v>2398</v>
      </c>
      <c r="E303" s="22" t="s">
        <v>2399</v>
      </c>
      <c r="F303" s="23" t="s">
        <v>2400</v>
      </c>
      <c r="G303" s="33" t="s">
        <v>2401</v>
      </c>
      <c r="H303" s="25">
        <v>50960</v>
      </c>
      <c r="I303" s="26" t="s">
        <v>2402</v>
      </c>
      <c r="J303" s="25">
        <v>39718.699999999997</v>
      </c>
      <c r="K303" s="18">
        <v>2326.39</v>
      </c>
      <c r="L303" s="18">
        <v>400</v>
      </c>
      <c r="M303" s="27" t="s">
        <v>3520</v>
      </c>
      <c r="N303" s="18"/>
      <c r="O303" s="31">
        <v>42445.09</v>
      </c>
      <c r="P303" s="25">
        <v>17259.72</v>
      </c>
      <c r="Q303" s="28">
        <v>59704.81</v>
      </c>
    </row>
    <row r="304" spans="1:17" ht="12" customHeight="1" x14ac:dyDescent="0.2">
      <c r="A304" s="21" t="s">
        <v>2403</v>
      </c>
      <c r="B304" s="21" t="s">
        <v>2404</v>
      </c>
      <c r="C304" s="21" t="s">
        <v>2405</v>
      </c>
      <c r="D304" s="21" t="s">
        <v>2406</v>
      </c>
      <c r="E304" s="22" t="s">
        <v>2407</v>
      </c>
      <c r="F304" s="23" t="s">
        <v>2408</v>
      </c>
      <c r="G304" s="33" t="s">
        <v>2409</v>
      </c>
      <c r="H304" s="25">
        <v>35651.199999999997</v>
      </c>
      <c r="I304" s="26" t="s">
        <v>2410</v>
      </c>
      <c r="J304" s="25">
        <v>36339.01</v>
      </c>
      <c r="K304" s="18">
        <v>2998.86</v>
      </c>
      <c r="L304" s="18">
        <v>1201.0899999999999</v>
      </c>
      <c r="M304" s="27" t="s">
        <v>3520</v>
      </c>
      <c r="N304" s="18"/>
      <c r="O304" s="31">
        <v>40538.959999999999</v>
      </c>
      <c r="P304" s="25">
        <v>18893.82</v>
      </c>
      <c r="Q304" s="28">
        <v>59432.78</v>
      </c>
    </row>
    <row r="305" spans="1:17" ht="12" customHeight="1" x14ac:dyDescent="0.2">
      <c r="A305" s="21" t="s">
        <v>2411</v>
      </c>
      <c r="B305" s="21" t="s">
        <v>2412</v>
      </c>
      <c r="C305" s="21" t="s">
        <v>2413</v>
      </c>
      <c r="D305" s="21" t="s">
        <v>2414</v>
      </c>
      <c r="E305" s="22" t="s">
        <v>2415</v>
      </c>
      <c r="F305" s="23" t="s">
        <v>2416</v>
      </c>
      <c r="G305" s="33" t="s">
        <v>2417</v>
      </c>
      <c r="H305" s="25">
        <v>38294.699999999997</v>
      </c>
      <c r="I305" s="26" t="s">
        <v>2418</v>
      </c>
      <c r="J305" s="25">
        <v>22541.279999999999</v>
      </c>
      <c r="K305" s="18">
        <v>19180.97</v>
      </c>
      <c r="L305" s="18">
        <v>413.84</v>
      </c>
      <c r="M305" s="27" t="s">
        <v>3520</v>
      </c>
      <c r="N305" s="18"/>
      <c r="O305" s="31">
        <v>42136.09</v>
      </c>
      <c r="P305" s="25">
        <v>17284.43</v>
      </c>
      <c r="Q305" s="28">
        <v>59420.52</v>
      </c>
    </row>
    <row r="306" spans="1:17" ht="12" customHeight="1" x14ac:dyDescent="0.2">
      <c r="A306" s="21" t="s">
        <v>2419</v>
      </c>
      <c r="B306" s="21" t="s">
        <v>2420</v>
      </c>
      <c r="C306" s="21" t="s">
        <v>2421</v>
      </c>
      <c r="D306" s="21" t="s">
        <v>2422</v>
      </c>
      <c r="E306" s="22" t="s">
        <v>2423</v>
      </c>
      <c r="F306" s="23" t="s">
        <v>2424</v>
      </c>
      <c r="G306" s="34" t="s">
        <v>2425</v>
      </c>
      <c r="H306" s="25">
        <v>40768</v>
      </c>
      <c r="I306" s="25">
        <v>516.85</v>
      </c>
      <c r="J306" s="25">
        <v>32671.71</v>
      </c>
      <c r="K306" s="18">
        <v>2279.87</v>
      </c>
      <c r="L306" s="18">
        <v>1895.96</v>
      </c>
      <c r="M306" s="27" t="s">
        <v>3520</v>
      </c>
      <c r="N306" s="18"/>
      <c r="O306" s="31">
        <v>37364.39</v>
      </c>
      <c r="P306" s="25">
        <v>22021.77</v>
      </c>
      <c r="Q306" s="28">
        <v>59386.16</v>
      </c>
    </row>
    <row r="307" spans="1:17" ht="12" customHeight="1" x14ac:dyDescent="0.2">
      <c r="A307" s="21" t="s">
        <v>2426</v>
      </c>
      <c r="B307" s="21" t="s">
        <v>2427</v>
      </c>
      <c r="C307" s="21" t="s">
        <v>2428</v>
      </c>
      <c r="D307" s="21" t="s">
        <v>2429</v>
      </c>
      <c r="E307" s="22" t="s">
        <v>2430</v>
      </c>
      <c r="F307" s="23" t="s">
        <v>2431</v>
      </c>
      <c r="G307" s="34" t="s">
        <v>2432</v>
      </c>
      <c r="H307" s="25">
        <v>89074.31</v>
      </c>
      <c r="I307" s="25">
        <v>10048.200000000001</v>
      </c>
      <c r="J307" s="25">
        <v>19257.689999999999</v>
      </c>
      <c r="K307" s="18">
        <v>11756.42</v>
      </c>
      <c r="L307" s="18">
        <v>2865.12</v>
      </c>
      <c r="M307" s="27" t="s">
        <v>3520</v>
      </c>
      <c r="N307" s="18"/>
      <c r="O307" s="31">
        <v>43927.43</v>
      </c>
      <c r="P307" s="25">
        <v>15425.74</v>
      </c>
      <c r="Q307" s="28">
        <v>59353.17</v>
      </c>
    </row>
    <row r="308" spans="1:17" ht="12" customHeight="1" x14ac:dyDescent="0.2">
      <c r="A308" s="21" t="s">
        <v>2433</v>
      </c>
      <c r="B308" s="21" t="s">
        <v>2434</v>
      </c>
      <c r="C308" s="21" t="s">
        <v>2435</v>
      </c>
      <c r="D308" s="21" t="s">
        <v>2436</v>
      </c>
      <c r="E308" s="22" t="s">
        <v>2437</v>
      </c>
      <c r="F308" s="23" t="s">
        <v>2438</v>
      </c>
      <c r="G308" s="33" t="s">
        <v>2439</v>
      </c>
      <c r="H308" s="25">
        <v>47008</v>
      </c>
      <c r="I308" s="26" t="s">
        <v>2440</v>
      </c>
      <c r="J308" s="25">
        <v>38922.17</v>
      </c>
      <c r="K308" s="18">
        <v>3208.3</v>
      </c>
      <c r="L308" s="18" t="s">
        <v>3520</v>
      </c>
      <c r="M308" s="27" t="s">
        <v>3520</v>
      </c>
      <c r="N308" s="18"/>
      <c r="O308" s="31">
        <v>42130.47</v>
      </c>
      <c r="P308" s="25">
        <v>17173.52</v>
      </c>
      <c r="Q308" s="28">
        <v>59303.99</v>
      </c>
    </row>
    <row r="309" spans="1:17" ht="12" customHeight="1" x14ac:dyDescent="0.2">
      <c r="A309" s="21" t="s">
        <v>2441</v>
      </c>
      <c r="B309" s="21" t="s">
        <v>2442</v>
      </c>
      <c r="C309" s="21" t="s">
        <v>2443</v>
      </c>
      <c r="D309" s="21" t="s">
        <v>2444</v>
      </c>
      <c r="E309" s="22" t="s">
        <v>2445</v>
      </c>
      <c r="F309" s="23" t="s">
        <v>2446</v>
      </c>
      <c r="G309" s="33" t="s">
        <v>2447</v>
      </c>
      <c r="H309" s="25">
        <v>40102.400000000001</v>
      </c>
      <c r="I309" s="26" t="s">
        <v>2448</v>
      </c>
      <c r="J309" s="25">
        <v>38685.82</v>
      </c>
      <c r="K309" s="18">
        <v>1708.71</v>
      </c>
      <c r="L309" s="18">
        <v>240</v>
      </c>
      <c r="M309" s="27" t="s">
        <v>3520</v>
      </c>
      <c r="N309" s="18"/>
      <c r="O309" s="31">
        <v>40634.53</v>
      </c>
      <c r="P309" s="25">
        <v>18195.48</v>
      </c>
      <c r="Q309" s="28">
        <v>58830.01</v>
      </c>
    </row>
    <row r="310" spans="1:17" ht="12" customHeight="1" x14ac:dyDescent="0.2">
      <c r="A310" s="21" t="s">
        <v>2449</v>
      </c>
      <c r="B310" s="21" t="s">
        <v>2450</v>
      </c>
      <c r="C310" s="21" t="s">
        <v>2451</v>
      </c>
      <c r="D310" s="21" t="s">
        <v>2452</v>
      </c>
      <c r="E310" s="22" t="s">
        <v>2453</v>
      </c>
      <c r="F310" s="23" t="s">
        <v>2454</v>
      </c>
      <c r="G310" s="33" t="s">
        <v>2455</v>
      </c>
      <c r="H310" s="25">
        <v>36212.800000000003</v>
      </c>
      <c r="I310" s="26" t="s">
        <v>2456</v>
      </c>
      <c r="J310" s="25">
        <v>36540.44</v>
      </c>
      <c r="K310" s="18">
        <v>1381.87</v>
      </c>
      <c r="L310" s="18">
        <v>2019.3</v>
      </c>
      <c r="M310" s="27" t="s">
        <v>3520</v>
      </c>
      <c r="N310" s="18"/>
      <c r="O310" s="31">
        <v>39941.61</v>
      </c>
      <c r="P310" s="25">
        <v>18786.54</v>
      </c>
      <c r="Q310" s="28">
        <v>58728.15</v>
      </c>
    </row>
    <row r="311" spans="1:17" ht="12" customHeight="1" x14ac:dyDescent="0.2">
      <c r="A311" s="21" t="s">
        <v>2457</v>
      </c>
      <c r="B311" s="21" t="s">
        <v>2458</v>
      </c>
      <c r="C311" s="21" t="s">
        <v>2459</v>
      </c>
      <c r="D311" s="21" t="s">
        <v>2460</v>
      </c>
      <c r="E311" s="22" t="s">
        <v>2461</v>
      </c>
      <c r="F311" s="23" t="s">
        <v>2462</v>
      </c>
      <c r="G311" s="33" t="s">
        <v>2463</v>
      </c>
      <c r="H311" s="25">
        <v>52543.17</v>
      </c>
      <c r="I311" s="26" t="s">
        <v>2464</v>
      </c>
      <c r="J311" s="25">
        <v>20327.05</v>
      </c>
      <c r="K311" s="18">
        <v>16577.63</v>
      </c>
      <c r="L311" s="18">
        <v>388.4</v>
      </c>
      <c r="M311" s="27" t="s">
        <v>3520</v>
      </c>
      <c r="N311" s="18"/>
      <c r="O311" s="31">
        <v>37293.08</v>
      </c>
      <c r="P311" s="25">
        <v>21133.17</v>
      </c>
      <c r="Q311" s="28">
        <v>58426.25</v>
      </c>
    </row>
    <row r="312" spans="1:17" ht="12" customHeight="1" x14ac:dyDescent="0.2">
      <c r="A312" s="21" t="s">
        <v>2465</v>
      </c>
      <c r="B312" s="21" t="s">
        <v>2466</v>
      </c>
      <c r="C312" s="21" t="s">
        <v>2467</v>
      </c>
      <c r="D312" s="21" t="s">
        <v>2468</v>
      </c>
      <c r="E312" s="22" t="s">
        <v>2469</v>
      </c>
      <c r="F312" s="23" t="s">
        <v>2470</v>
      </c>
      <c r="G312" s="33" t="s">
        <v>2471</v>
      </c>
      <c r="H312" s="25">
        <v>35651.199999999997</v>
      </c>
      <c r="I312" s="26" t="s">
        <v>2472</v>
      </c>
      <c r="J312" s="25">
        <v>35587.93</v>
      </c>
      <c r="K312" s="18">
        <v>239.55</v>
      </c>
      <c r="L312" s="18">
        <v>80</v>
      </c>
      <c r="M312" s="27" t="s">
        <v>3520</v>
      </c>
      <c r="N312" s="18"/>
      <c r="O312" s="31">
        <v>35907.480000000003</v>
      </c>
      <c r="P312" s="25">
        <v>22335.96</v>
      </c>
      <c r="Q312" s="28">
        <v>58243.44</v>
      </c>
    </row>
    <row r="313" spans="1:17" ht="12" customHeight="1" x14ac:dyDescent="0.2">
      <c r="A313" s="21" t="s">
        <v>2473</v>
      </c>
      <c r="B313" s="21" t="s">
        <v>2474</v>
      </c>
      <c r="C313" s="21" t="s">
        <v>2475</v>
      </c>
      <c r="D313" s="21" t="s">
        <v>2476</v>
      </c>
      <c r="E313" s="22" t="s">
        <v>2477</v>
      </c>
      <c r="F313" s="23" t="s">
        <v>2478</v>
      </c>
      <c r="G313" s="33" t="s">
        <v>2479</v>
      </c>
      <c r="H313" s="25">
        <v>38294.699999999997</v>
      </c>
      <c r="I313" s="26" t="s">
        <v>2480</v>
      </c>
      <c r="J313" s="25">
        <v>26464.75</v>
      </c>
      <c r="K313" s="18">
        <v>7543.33</v>
      </c>
      <c r="L313" s="18">
        <v>743.76</v>
      </c>
      <c r="M313" s="27" t="s">
        <v>3520</v>
      </c>
      <c r="N313" s="18"/>
      <c r="O313" s="31">
        <v>34751.839999999997</v>
      </c>
      <c r="P313" s="25">
        <v>23457.55</v>
      </c>
      <c r="Q313" s="28">
        <v>58209.39</v>
      </c>
    </row>
    <row r="314" spans="1:17" ht="12" customHeight="1" x14ac:dyDescent="0.2">
      <c r="A314" s="21" t="s">
        <v>2481</v>
      </c>
      <c r="B314" s="21" t="s">
        <v>2482</v>
      </c>
      <c r="C314" s="21" t="s">
        <v>2483</v>
      </c>
      <c r="D314" s="21" t="s">
        <v>2484</v>
      </c>
      <c r="E314" s="22" t="s">
        <v>2485</v>
      </c>
      <c r="F314" s="23" t="s">
        <v>2486</v>
      </c>
      <c r="G314" s="33" t="s">
        <v>2487</v>
      </c>
      <c r="H314" s="25">
        <v>37502.400000000001</v>
      </c>
      <c r="I314" s="26" t="s">
        <v>2488</v>
      </c>
      <c r="J314" s="25">
        <v>37420.15</v>
      </c>
      <c r="K314" s="18">
        <v>165.48</v>
      </c>
      <c r="L314" s="18">
        <v>1865.08</v>
      </c>
      <c r="M314" s="27" t="s">
        <v>3520</v>
      </c>
      <c r="N314" s="18"/>
      <c r="O314" s="31">
        <v>39450.71</v>
      </c>
      <c r="P314" s="25">
        <v>18669.599999999999</v>
      </c>
      <c r="Q314" s="28">
        <v>58120.31</v>
      </c>
    </row>
    <row r="315" spans="1:17" ht="12" customHeight="1" x14ac:dyDescent="0.2">
      <c r="A315" s="21" t="s">
        <v>2489</v>
      </c>
      <c r="B315" s="21" t="s">
        <v>2490</v>
      </c>
      <c r="C315" s="21" t="s">
        <v>2491</v>
      </c>
      <c r="D315" s="21" t="s">
        <v>2492</v>
      </c>
      <c r="E315" s="22" t="s">
        <v>2493</v>
      </c>
      <c r="F315" s="23" t="s">
        <v>2494</v>
      </c>
      <c r="G315" s="33" t="s">
        <v>2495</v>
      </c>
      <c r="H315" s="25">
        <v>34257.599999999999</v>
      </c>
      <c r="I315" s="26" t="s">
        <v>2496</v>
      </c>
      <c r="J315" s="25">
        <v>34890.080000000002</v>
      </c>
      <c r="K315" s="18">
        <v>2474.4899999999998</v>
      </c>
      <c r="L315" s="18">
        <v>1563.96</v>
      </c>
      <c r="M315" s="27" t="s">
        <v>3520</v>
      </c>
      <c r="N315" s="18"/>
      <c r="O315" s="31">
        <v>38928.53</v>
      </c>
      <c r="P315" s="25">
        <v>18681.16</v>
      </c>
      <c r="Q315" s="28">
        <v>57609.69</v>
      </c>
    </row>
    <row r="316" spans="1:17" ht="12" customHeight="1" x14ac:dyDescent="0.2">
      <c r="A316" s="21" t="s">
        <v>2497</v>
      </c>
      <c r="B316" s="21" t="s">
        <v>2498</v>
      </c>
      <c r="C316" s="21" t="s">
        <v>2499</v>
      </c>
      <c r="D316" s="21" t="s">
        <v>2500</v>
      </c>
      <c r="E316" s="22" t="s">
        <v>2501</v>
      </c>
      <c r="F316" s="23" t="s">
        <v>2502</v>
      </c>
      <c r="G316" s="33" t="s">
        <v>2503</v>
      </c>
      <c r="H316" s="25">
        <v>36628.800000000003</v>
      </c>
      <c r="I316" s="26" t="s">
        <v>2504</v>
      </c>
      <c r="J316" s="25">
        <v>36635.93</v>
      </c>
      <c r="K316" s="18">
        <v>288.79000000000002</v>
      </c>
      <c r="L316" s="18">
        <v>1922</v>
      </c>
      <c r="M316" s="27" t="s">
        <v>3520</v>
      </c>
      <c r="N316" s="18"/>
      <c r="O316" s="31">
        <v>38846.720000000001</v>
      </c>
      <c r="P316" s="25">
        <v>18672.580000000002</v>
      </c>
      <c r="Q316" s="28">
        <v>57519.3</v>
      </c>
    </row>
    <row r="317" spans="1:17" ht="12" customHeight="1" x14ac:dyDescent="0.2">
      <c r="A317" s="21" t="s">
        <v>2505</v>
      </c>
      <c r="B317" s="21" t="s">
        <v>2506</v>
      </c>
      <c r="C317" s="21" t="s">
        <v>2507</v>
      </c>
      <c r="D317" s="21" t="s">
        <v>2508</v>
      </c>
      <c r="E317" s="22" t="s">
        <v>2509</v>
      </c>
      <c r="F317" s="23" t="s">
        <v>2510</v>
      </c>
      <c r="G317" s="33" t="s">
        <v>2511</v>
      </c>
      <c r="H317" s="25">
        <v>36753.599999999999</v>
      </c>
      <c r="I317" s="26" t="s">
        <v>2512</v>
      </c>
      <c r="J317" s="25">
        <v>36878.410000000003</v>
      </c>
      <c r="K317" s="18">
        <v>2065.89</v>
      </c>
      <c r="L317" s="18">
        <v>20</v>
      </c>
      <c r="M317" s="27" t="s">
        <v>3520</v>
      </c>
      <c r="N317" s="18"/>
      <c r="O317" s="31">
        <v>38964.300000000003</v>
      </c>
      <c r="P317" s="25">
        <v>18546.96</v>
      </c>
      <c r="Q317" s="28">
        <v>57511.26</v>
      </c>
    </row>
    <row r="318" spans="1:17" ht="12" customHeight="1" x14ac:dyDescent="0.2">
      <c r="A318" s="21" t="s">
        <v>2513</v>
      </c>
      <c r="B318" s="21" t="s">
        <v>2514</v>
      </c>
      <c r="C318" s="21" t="s">
        <v>2515</v>
      </c>
      <c r="D318" s="21" t="s">
        <v>2516</v>
      </c>
      <c r="E318" s="22" t="s">
        <v>2517</v>
      </c>
      <c r="F318" s="23" t="s">
        <v>2518</v>
      </c>
      <c r="G318" s="33" t="s">
        <v>2519</v>
      </c>
      <c r="H318" s="25">
        <v>37065.599999999999</v>
      </c>
      <c r="I318" s="26" t="s">
        <v>2520</v>
      </c>
      <c r="J318" s="25">
        <v>37087.050000000003</v>
      </c>
      <c r="K318" s="18">
        <v>791.83</v>
      </c>
      <c r="L318" s="18">
        <v>930</v>
      </c>
      <c r="M318" s="27" t="s">
        <v>3520</v>
      </c>
      <c r="N318" s="18"/>
      <c r="O318" s="31">
        <v>38808.879999999997</v>
      </c>
      <c r="P318" s="25">
        <v>18662.32</v>
      </c>
      <c r="Q318" s="28">
        <v>57471.199999999997</v>
      </c>
    </row>
    <row r="319" spans="1:17" ht="12" customHeight="1" x14ac:dyDescent="0.2">
      <c r="A319" s="21" t="s">
        <v>2521</v>
      </c>
      <c r="B319" s="21" t="s">
        <v>2522</v>
      </c>
      <c r="C319" s="21" t="s">
        <v>2523</v>
      </c>
      <c r="D319" s="21" t="s">
        <v>2524</v>
      </c>
      <c r="E319" s="22" t="s">
        <v>2525</v>
      </c>
      <c r="F319" s="23" t="s">
        <v>2526</v>
      </c>
      <c r="G319" s="33" t="s">
        <v>2527</v>
      </c>
      <c r="H319" s="25">
        <v>33425.599999999999</v>
      </c>
      <c r="I319" s="26" t="s">
        <v>2528</v>
      </c>
      <c r="J319" s="25">
        <v>33945.440000000002</v>
      </c>
      <c r="K319" s="18">
        <v>3928.53</v>
      </c>
      <c r="L319" s="18">
        <v>1140.8399999999999</v>
      </c>
      <c r="M319" s="27" t="s">
        <v>3520</v>
      </c>
      <c r="N319" s="18"/>
      <c r="O319" s="31">
        <v>39014.81</v>
      </c>
      <c r="P319" s="25">
        <v>18399.36</v>
      </c>
      <c r="Q319" s="28">
        <v>57414.17</v>
      </c>
    </row>
    <row r="320" spans="1:17" ht="12" customHeight="1" x14ac:dyDescent="0.2">
      <c r="A320" s="21" t="s">
        <v>2529</v>
      </c>
      <c r="B320" s="21" t="s">
        <v>2530</v>
      </c>
      <c r="C320" s="21" t="s">
        <v>2531</v>
      </c>
      <c r="D320" s="21" t="s">
        <v>2532</v>
      </c>
      <c r="E320" s="22" t="s">
        <v>2533</v>
      </c>
      <c r="F320" s="23" t="s">
        <v>2534</v>
      </c>
      <c r="G320" s="34" t="s">
        <v>2535</v>
      </c>
      <c r="H320" s="25">
        <v>107309.02</v>
      </c>
      <c r="I320" s="25">
        <v>205.33</v>
      </c>
      <c r="J320" s="18">
        <v>41269.99</v>
      </c>
      <c r="K320" s="18" t="s">
        <v>3520</v>
      </c>
      <c r="L320" s="18">
        <v>2326.39</v>
      </c>
      <c r="M320" s="27" t="s">
        <v>3520</v>
      </c>
      <c r="N320" s="18"/>
      <c r="O320" s="31">
        <v>43801.71</v>
      </c>
      <c r="P320" s="25">
        <v>13584.41</v>
      </c>
      <c r="Q320" s="28">
        <v>57386.12</v>
      </c>
    </row>
    <row r="321" spans="1:17" ht="12" customHeight="1" x14ac:dyDescent="0.2">
      <c r="A321" s="21" t="s">
        <v>2536</v>
      </c>
      <c r="B321" s="21" t="s">
        <v>2537</v>
      </c>
      <c r="C321" s="21" t="s">
        <v>2538</v>
      </c>
      <c r="D321" s="21" t="s">
        <v>2539</v>
      </c>
      <c r="E321" s="22" t="s">
        <v>2540</v>
      </c>
      <c r="F321" s="23" t="s">
        <v>2541</v>
      </c>
      <c r="G321" s="33" t="s">
        <v>2542</v>
      </c>
      <c r="H321" s="25">
        <v>34216</v>
      </c>
      <c r="I321" s="26" t="s">
        <v>2543</v>
      </c>
      <c r="J321" s="25">
        <v>34665.9</v>
      </c>
      <c r="K321" s="18">
        <v>1933.09</v>
      </c>
      <c r="L321" s="18">
        <v>1855.93</v>
      </c>
      <c r="M321" s="27" t="s">
        <v>3520</v>
      </c>
      <c r="N321" s="18"/>
      <c r="O321" s="31">
        <v>38454.92</v>
      </c>
      <c r="P321" s="25">
        <v>18432.97</v>
      </c>
      <c r="Q321" s="28">
        <v>56887.89</v>
      </c>
    </row>
    <row r="322" spans="1:17" ht="12" customHeight="1" x14ac:dyDescent="0.2">
      <c r="A322" s="21" t="s">
        <v>2544</v>
      </c>
      <c r="B322" s="21" t="s">
        <v>2545</v>
      </c>
      <c r="C322" s="21" t="s">
        <v>2546</v>
      </c>
      <c r="D322" s="21" t="s">
        <v>2547</v>
      </c>
      <c r="E322" s="22" t="s">
        <v>2548</v>
      </c>
      <c r="F322" s="23" t="s">
        <v>2549</v>
      </c>
      <c r="G322" s="33" t="s">
        <v>2550</v>
      </c>
      <c r="H322" s="25">
        <v>44054.400000000001</v>
      </c>
      <c r="I322" s="26" t="s">
        <v>2551</v>
      </c>
      <c r="J322" s="25">
        <v>44035.3</v>
      </c>
      <c r="K322" s="18">
        <v>1044.3699999999999</v>
      </c>
      <c r="L322" s="18">
        <v>430</v>
      </c>
      <c r="M322" s="27" t="s">
        <v>3520</v>
      </c>
      <c r="N322" s="18"/>
      <c r="O322" s="31">
        <v>45509.67</v>
      </c>
      <c r="P322" s="25">
        <v>11224.5</v>
      </c>
      <c r="Q322" s="28">
        <v>56734.17</v>
      </c>
    </row>
    <row r="323" spans="1:17" ht="12" customHeight="1" x14ac:dyDescent="0.2">
      <c r="A323" s="21" t="s">
        <v>2552</v>
      </c>
      <c r="B323" s="21" t="s">
        <v>2553</v>
      </c>
      <c r="C323" s="21" t="s">
        <v>2554</v>
      </c>
      <c r="D323" s="21" t="s">
        <v>2555</v>
      </c>
      <c r="E323" s="22" t="s">
        <v>2556</v>
      </c>
      <c r="F323" s="23" t="s">
        <v>2557</v>
      </c>
      <c r="G323" s="33" t="s">
        <v>2558</v>
      </c>
      <c r="H323" s="25">
        <v>45760</v>
      </c>
      <c r="I323" s="26" t="s">
        <v>2559</v>
      </c>
      <c r="J323" s="25">
        <v>44358.21</v>
      </c>
      <c r="K323" s="18">
        <v>587.19000000000005</v>
      </c>
      <c r="L323" s="18">
        <v>80</v>
      </c>
      <c r="M323" s="27" t="s">
        <v>3520</v>
      </c>
      <c r="N323" s="18"/>
      <c r="O323" s="31">
        <v>45025.4</v>
      </c>
      <c r="P323" s="25">
        <v>11366.51</v>
      </c>
      <c r="Q323" s="28">
        <v>56391.91</v>
      </c>
    </row>
    <row r="324" spans="1:17" ht="12" customHeight="1" x14ac:dyDescent="0.2">
      <c r="A324" s="21" t="s">
        <v>2560</v>
      </c>
      <c r="B324" s="21" t="s">
        <v>2561</v>
      </c>
      <c r="C324" s="21" t="s">
        <v>2562</v>
      </c>
      <c r="D324" s="21" t="s">
        <v>2563</v>
      </c>
      <c r="E324" s="22" t="s">
        <v>2564</v>
      </c>
      <c r="F324" s="23" t="s">
        <v>2565</v>
      </c>
      <c r="G324" s="34" t="s">
        <v>2566</v>
      </c>
      <c r="H324" s="25">
        <v>64500.800000000003</v>
      </c>
      <c r="I324" s="25">
        <v>855.26</v>
      </c>
      <c r="J324" s="25">
        <v>38785.71</v>
      </c>
      <c r="K324" s="18">
        <v>2177.9699999999998</v>
      </c>
      <c r="L324" s="18">
        <v>2806.62</v>
      </c>
      <c r="M324" s="27" t="s">
        <v>3520</v>
      </c>
      <c r="N324" s="18"/>
      <c r="O324" s="31">
        <v>44625.56</v>
      </c>
      <c r="P324" s="25">
        <v>11259.27</v>
      </c>
      <c r="Q324" s="28">
        <v>55884.83</v>
      </c>
    </row>
    <row r="325" spans="1:17" ht="12" customHeight="1" x14ac:dyDescent="0.2">
      <c r="A325" s="21" t="s">
        <v>2567</v>
      </c>
      <c r="B325" s="21" t="s">
        <v>2568</v>
      </c>
      <c r="C325" s="21" t="s">
        <v>2569</v>
      </c>
      <c r="D325" s="21" t="s">
        <v>2570</v>
      </c>
      <c r="E325" s="22" t="s">
        <v>2571</v>
      </c>
      <c r="F325" s="23" t="s">
        <v>2572</v>
      </c>
      <c r="G325" s="33" t="s">
        <v>2573</v>
      </c>
      <c r="H325" s="25">
        <v>34091.199999999997</v>
      </c>
      <c r="I325" s="26" t="s">
        <v>2574</v>
      </c>
      <c r="J325" s="25">
        <v>34364.769999999997</v>
      </c>
      <c r="K325" s="18">
        <v>1866.9</v>
      </c>
      <c r="L325" s="18">
        <v>1322.4</v>
      </c>
      <c r="M325" s="27" t="s">
        <v>3520</v>
      </c>
      <c r="N325" s="18"/>
      <c r="O325" s="31">
        <v>37554.07</v>
      </c>
      <c r="P325" s="25">
        <v>18204.32</v>
      </c>
      <c r="Q325" s="28">
        <v>55758.39</v>
      </c>
    </row>
    <row r="326" spans="1:17" ht="12" customHeight="1" x14ac:dyDescent="0.2">
      <c r="A326" s="21" t="s">
        <v>2575</v>
      </c>
      <c r="B326" s="21" t="s">
        <v>2576</v>
      </c>
      <c r="C326" s="21" t="s">
        <v>2577</v>
      </c>
      <c r="D326" s="21" t="s">
        <v>2578</v>
      </c>
      <c r="E326" s="22" t="s">
        <v>2579</v>
      </c>
      <c r="F326" s="23" t="s">
        <v>2580</v>
      </c>
      <c r="G326" s="33" t="s">
        <v>2581</v>
      </c>
      <c r="H326" s="25">
        <v>36212.800000000003</v>
      </c>
      <c r="I326" s="26" t="s">
        <v>2582</v>
      </c>
      <c r="J326" s="25">
        <v>36140.39</v>
      </c>
      <c r="K326" s="18">
        <v>502.22</v>
      </c>
      <c r="L326" s="18">
        <v>842</v>
      </c>
      <c r="M326" s="27" t="s">
        <v>3520</v>
      </c>
      <c r="N326" s="18"/>
      <c r="O326" s="31">
        <v>37484.61</v>
      </c>
      <c r="P326" s="25">
        <v>18161.59</v>
      </c>
      <c r="Q326" s="28">
        <v>55646.2</v>
      </c>
    </row>
    <row r="327" spans="1:17" ht="12" customHeight="1" x14ac:dyDescent="0.2">
      <c r="A327" s="21" t="s">
        <v>2583</v>
      </c>
      <c r="B327" s="21" t="s">
        <v>2584</v>
      </c>
      <c r="C327" s="21" t="s">
        <v>2585</v>
      </c>
      <c r="D327" s="21" t="s">
        <v>2586</v>
      </c>
      <c r="E327" s="22" t="s">
        <v>2587</v>
      </c>
      <c r="F327" s="23" t="s">
        <v>2588</v>
      </c>
      <c r="G327" s="33" t="s">
        <v>2589</v>
      </c>
      <c r="H327" s="25">
        <v>42182.400000000001</v>
      </c>
      <c r="I327" s="26" t="s">
        <v>2590</v>
      </c>
      <c r="J327" s="25">
        <v>42095.040000000001</v>
      </c>
      <c r="K327" s="18">
        <v>204.2</v>
      </c>
      <c r="L327" s="18">
        <v>2006</v>
      </c>
      <c r="M327" s="27" t="s">
        <v>3520</v>
      </c>
      <c r="N327" s="18"/>
      <c r="O327" s="31">
        <v>44305.24</v>
      </c>
      <c r="P327" s="25">
        <v>11005.24</v>
      </c>
      <c r="Q327" s="28">
        <v>55310.48</v>
      </c>
    </row>
    <row r="328" spans="1:17" ht="12" customHeight="1" x14ac:dyDescent="0.2">
      <c r="A328" s="21" t="s">
        <v>2591</v>
      </c>
      <c r="B328" s="21" t="s">
        <v>2592</v>
      </c>
      <c r="C328" s="21" t="s">
        <v>2593</v>
      </c>
      <c r="D328" s="21" t="s">
        <v>2594</v>
      </c>
      <c r="E328" s="22" t="s">
        <v>2595</v>
      </c>
      <c r="F328" s="23" t="s">
        <v>2596</v>
      </c>
      <c r="G328" s="33" t="s">
        <v>2597</v>
      </c>
      <c r="H328" s="25">
        <v>52556.92</v>
      </c>
      <c r="I328" s="26" t="s">
        <v>2598</v>
      </c>
      <c r="J328" s="25">
        <v>41356.53</v>
      </c>
      <c r="K328" s="18">
        <v>2026.39</v>
      </c>
      <c r="L328" s="18">
        <v>949.4</v>
      </c>
      <c r="M328" s="27" t="s">
        <v>3520</v>
      </c>
      <c r="N328" s="18"/>
      <c r="O328" s="31">
        <v>44332.32</v>
      </c>
      <c r="P328" s="25">
        <v>10830.61</v>
      </c>
      <c r="Q328" s="28">
        <v>55162.93</v>
      </c>
    </row>
    <row r="329" spans="1:17" ht="12" customHeight="1" x14ac:dyDescent="0.2">
      <c r="A329" s="21" t="s">
        <v>2599</v>
      </c>
      <c r="B329" s="21" t="s">
        <v>2600</v>
      </c>
      <c r="C329" s="21" t="s">
        <v>2601</v>
      </c>
      <c r="D329" s="21" t="s">
        <v>2602</v>
      </c>
      <c r="E329" s="22" t="s">
        <v>2603</v>
      </c>
      <c r="F329" s="23" t="s">
        <v>2604</v>
      </c>
      <c r="G329" s="33" t="s">
        <v>2605</v>
      </c>
      <c r="H329" s="25">
        <v>38294.699999999997</v>
      </c>
      <c r="I329" s="26" t="s">
        <v>2606</v>
      </c>
      <c r="J329" s="25">
        <v>22071.25</v>
      </c>
      <c r="K329" s="18">
        <v>15914.23</v>
      </c>
      <c r="L329" s="18">
        <v>541.78</v>
      </c>
      <c r="M329" s="27" t="s">
        <v>3520</v>
      </c>
      <c r="N329" s="18"/>
      <c r="O329" s="31">
        <v>38527.26</v>
      </c>
      <c r="P329" s="25">
        <v>16456.599999999999</v>
      </c>
      <c r="Q329" s="28">
        <v>54983.86</v>
      </c>
    </row>
    <row r="330" spans="1:17" ht="12" customHeight="1" x14ac:dyDescent="0.2">
      <c r="A330" s="21" t="s">
        <v>2607</v>
      </c>
      <c r="B330" s="21" t="s">
        <v>2608</v>
      </c>
      <c r="C330" s="21" t="s">
        <v>2609</v>
      </c>
      <c r="D330" s="21" t="s">
        <v>2610</v>
      </c>
      <c r="E330" s="22" t="s">
        <v>2611</v>
      </c>
      <c r="F330" s="23" t="s">
        <v>2612</v>
      </c>
      <c r="G330" s="33" t="s">
        <v>2613</v>
      </c>
      <c r="H330" s="25">
        <v>54497.78</v>
      </c>
      <c r="I330" s="26" t="s">
        <v>2614</v>
      </c>
      <c r="J330" s="25">
        <v>30135.75</v>
      </c>
      <c r="K330" s="18">
        <v>7288</v>
      </c>
      <c r="L330" s="18">
        <v>858.08</v>
      </c>
      <c r="M330" s="27" t="s">
        <v>3520</v>
      </c>
      <c r="N330" s="18"/>
      <c r="O330" s="31">
        <v>38281.83</v>
      </c>
      <c r="P330" s="25">
        <v>16230.5</v>
      </c>
      <c r="Q330" s="28">
        <v>54512.33</v>
      </c>
    </row>
    <row r="331" spans="1:17" ht="12" customHeight="1" x14ac:dyDescent="0.2">
      <c r="A331" s="21" t="s">
        <v>2615</v>
      </c>
      <c r="B331" s="21" t="s">
        <v>2616</v>
      </c>
      <c r="C331" s="21" t="s">
        <v>2617</v>
      </c>
      <c r="D331" s="21" t="s">
        <v>2618</v>
      </c>
      <c r="E331" s="22" t="s">
        <v>2619</v>
      </c>
      <c r="F331" s="23" t="s">
        <v>2620</v>
      </c>
      <c r="G331" s="33" t="s">
        <v>2621</v>
      </c>
      <c r="H331" s="25">
        <v>55161.599999999999</v>
      </c>
      <c r="I331" s="26" t="s">
        <v>2622</v>
      </c>
      <c r="J331" s="25">
        <v>32002.78</v>
      </c>
      <c r="K331" s="18">
        <v>4799.51</v>
      </c>
      <c r="L331" s="18">
        <v>1230.3800000000001</v>
      </c>
      <c r="M331" s="27" t="s">
        <v>3520</v>
      </c>
      <c r="N331" s="18"/>
      <c r="O331" s="31">
        <v>38032.67</v>
      </c>
      <c r="P331" s="25">
        <v>16201.51</v>
      </c>
      <c r="Q331" s="28">
        <v>54234.18</v>
      </c>
    </row>
    <row r="332" spans="1:17" ht="12" customHeight="1" x14ac:dyDescent="0.2">
      <c r="A332" s="21" t="s">
        <v>2623</v>
      </c>
      <c r="B332" s="21" t="s">
        <v>2624</v>
      </c>
      <c r="C332" s="21" t="s">
        <v>2625</v>
      </c>
      <c r="D332" s="21" t="s">
        <v>2626</v>
      </c>
      <c r="E332" s="22" t="s">
        <v>2627</v>
      </c>
      <c r="F332" s="23" t="s">
        <v>2628</v>
      </c>
      <c r="G332" s="33" t="s">
        <v>2629</v>
      </c>
      <c r="H332" s="25">
        <v>35651.199999999997</v>
      </c>
      <c r="I332" s="26" t="s">
        <v>2630</v>
      </c>
      <c r="J332" s="25">
        <v>36026.839999999997</v>
      </c>
      <c r="K332" s="18">
        <v>962.75</v>
      </c>
      <c r="L332" s="18">
        <v>210</v>
      </c>
      <c r="M332" s="27" t="s">
        <v>3520</v>
      </c>
      <c r="N332" s="18"/>
      <c r="O332" s="31">
        <v>37199.589999999997</v>
      </c>
      <c r="P332" s="25">
        <v>16976.330000000002</v>
      </c>
      <c r="Q332" s="28">
        <v>54175.92</v>
      </c>
    </row>
    <row r="333" spans="1:17" ht="12" customHeight="1" x14ac:dyDescent="0.2">
      <c r="A333" s="21" t="s">
        <v>2631</v>
      </c>
      <c r="B333" s="21" t="s">
        <v>2632</v>
      </c>
      <c r="C333" s="21" t="s">
        <v>2633</v>
      </c>
      <c r="D333" s="21" t="s">
        <v>2634</v>
      </c>
      <c r="E333" s="22" t="s">
        <v>2635</v>
      </c>
      <c r="F333" s="23" t="s">
        <v>2636</v>
      </c>
      <c r="G333" s="33" t="s">
        <v>2637</v>
      </c>
      <c r="H333" s="25">
        <v>57200</v>
      </c>
      <c r="I333" s="26" t="s">
        <v>2638</v>
      </c>
      <c r="J333" s="25">
        <v>35309.74</v>
      </c>
      <c r="K333" s="18">
        <v>2109.86</v>
      </c>
      <c r="L333" s="18">
        <v>365</v>
      </c>
      <c r="M333" s="27" t="s">
        <v>3520</v>
      </c>
      <c r="N333" s="18"/>
      <c r="O333" s="31">
        <v>37784.6</v>
      </c>
      <c r="P333" s="25">
        <v>16150.11</v>
      </c>
      <c r="Q333" s="28">
        <v>53934.71</v>
      </c>
    </row>
    <row r="334" spans="1:17" ht="12" customHeight="1" x14ac:dyDescent="0.2">
      <c r="A334" s="21" t="s">
        <v>2639</v>
      </c>
      <c r="B334" s="21" t="s">
        <v>2640</v>
      </c>
      <c r="C334" s="21" t="s">
        <v>2641</v>
      </c>
      <c r="D334" s="21" t="s">
        <v>2642</v>
      </c>
      <c r="E334" s="22" t="s">
        <v>2643</v>
      </c>
      <c r="F334" s="23" t="s">
        <v>2644</v>
      </c>
      <c r="G334" s="33" t="s">
        <v>2645</v>
      </c>
      <c r="H334" s="25">
        <v>38417.599999999999</v>
      </c>
      <c r="I334" s="26" t="s">
        <v>2646</v>
      </c>
      <c r="J334" s="25">
        <v>32959.14</v>
      </c>
      <c r="K334" s="18">
        <v>2936.85</v>
      </c>
      <c r="L334" s="18">
        <v>150</v>
      </c>
      <c r="M334" s="27" t="s">
        <v>3520</v>
      </c>
      <c r="N334" s="18"/>
      <c r="O334" s="31">
        <v>36045.99</v>
      </c>
      <c r="P334" s="25">
        <v>17823.52</v>
      </c>
      <c r="Q334" s="28">
        <v>53869.51</v>
      </c>
    </row>
    <row r="335" spans="1:17" ht="12" customHeight="1" x14ac:dyDescent="0.2">
      <c r="A335" s="21" t="s">
        <v>2647</v>
      </c>
      <c r="B335" s="21" t="s">
        <v>2648</v>
      </c>
      <c r="C335" s="21" t="s">
        <v>2649</v>
      </c>
      <c r="D335" s="21" t="s">
        <v>2650</v>
      </c>
      <c r="E335" s="22" t="s">
        <v>2651</v>
      </c>
      <c r="F335" s="23" t="s">
        <v>2652</v>
      </c>
      <c r="G335" s="33" t="s">
        <v>2653</v>
      </c>
      <c r="H335" s="25">
        <v>42016</v>
      </c>
      <c r="I335" s="26" t="s">
        <v>2654</v>
      </c>
      <c r="J335" s="25">
        <v>32321.62</v>
      </c>
      <c r="K335" s="18">
        <v>3.03</v>
      </c>
      <c r="L335" s="18">
        <v>50</v>
      </c>
      <c r="M335" s="27" t="s">
        <v>3520</v>
      </c>
      <c r="N335" s="18"/>
      <c r="O335" s="31">
        <v>32374.65</v>
      </c>
      <c r="P335" s="25">
        <v>21245.06</v>
      </c>
      <c r="Q335" s="28">
        <v>53619.71</v>
      </c>
    </row>
    <row r="336" spans="1:17" ht="12" customHeight="1" x14ac:dyDescent="0.2">
      <c r="A336" s="21" t="s">
        <v>2655</v>
      </c>
      <c r="B336" s="21" t="s">
        <v>2656</v>
      </c>
      <c r="C336" s="21" t="s">
        <v>2657</v>
      </c>
      <c r="D336" s="21" t="s">
        <v>2658</v>
      </c>
      <c r="E336" s="22" t="s">
        <v>2659</v>
      </c>
      <c r="F336" s="23" t="s">
        <v>2660</v>
      </c>
      <c r="G336" s="33" t="s">
        <v>2661</v>
      </c>
      <c r="H336" s="25">
        <v>36420.800000000003</v>
      </c>
      <c r="I336" s="26" t="s">
        <v>2662</v>
      </c>
      <c r="J336" s="25">
        <v>34363.32</v>
      </c>
      <c r="K336" s="18">
        <v>1021.73</v>
      </c>
      <c r="L336" s="18">
        <v>410</v>
      </c>
      <c r="M336" s="27" t="s">
        <v>3520</v>
      </c>
      <c r="N336" s="18"/>
      <c r="O336" s="31">
        <v>35795.050000000003</v>
      </c>
      <c r="P336" s="25">
        <v>17756.080000000002</v>
      </c>
      <c r="Q336" s="28">
        <v>53551.13</v>
      </c>
    </row>
    <row r="337" spans="1:17" ht="11" customHeight="1" thickBot="1" x14ac:dyDescent="0.25">
      <c r="A337" s="21" t="s">
        <v>2663</v>
      </c>
      <c r="B337" s="21" t="s">
        <v>2664</v>
      </c>
      <c r="C337" s="21" t="s">
        <v>2665</v>
      </c>
      <c r="D337" s="21" t="s">
        <v>2666</v>
      </c>
      <c r="E337" s="22" t="s">
        <v>2667</v>
      </c>
      <c r="F337" s="23" t="s">
        <v>2668</v>
      </c>
      <c r="G337" s="33" t="s">
        <v>2669</v>
      </c>
      <c r="H337" s="25">
        <v>38417.599999999999</v>
      </c>
      <c r="I337" s="26" t="s">
        <v>2670</v>
      </c>
      <c r="J337" s="25">
        <v>32777.25</v>
      </c>
      <c r="K337" s="18">
        <v>3565.26</v>
      </c>
      <c r="L337" s="18">
        <v>100</v>
      </c>
      <c r="M337" s="27" t="s">
        <v>3520</v>
      </c>
      <c r="N337" s="18"/>
      <c r="O337" s="31">
        <v>36442.51</v>
      </c>
      <c r="P337" s="25">
        <v>16863.29</v>
      </c>
      <c r="Q337" s="28">
        <v>53305.8</v>
      </c>
    </row>
    <row r="338" spans="1:17" ht="12" customHeight="1" x14ac:dyDescent="0.2">
      <c r="A338" s="10" t="s">
        <v>2671</v>
      </c>
      <c r="B338" s="10" t="s">
        <v>2672</v>
      </c>
      <c r="C338" s="10" t="s">
        <v>2673</v>
      </c>
      <c r="D338" s="10" t="s">
        <v>2674</v>
      </c>
      <c r="E338" s="11" t="s">
        <v>2675</v>
      </c>
      <c r="F338" s="12" t="s">
        <v>2676</v>
      </c>
      <c r="G338" s="32" t="s">
        <v>2677</v>
      </c>
      <c r="H338" s="16">
        <v>34528</v>
      </c>
      <c r="I338" s="15" t="s">
        <v>2678</v>
      </c>
      <c r="J338" s="14">
        <v>35046.49</v>
      </c>
      <c r="K338" s="16">
        <v>5156.0200000000004</v>
      </c>
      <c r="L338" s="17">
        <v>2284.02</v>
      </c>
      <c r="M338" s="17" t="s">
        <v>3520</v>
      </c>
      <c r="N338" s="18"/>
      <c r="O338" s="14">
        <v>42486.53</v>
      </c>
      <c r="P338" s="14">
        <v>10687.36</v>
      </c>
      <c r="Q338" s="20">
        <v>53173.89</v>
      </c>
    </row>
    <row r="339" spans="1:17" ht="12" customHeight="1" x14ac:dyDescent="0.2">
      <c r="A339" s="21" t="s">
        <v>2679</v>
      </c>
      <c r="B339" s="21" t="s">
        <v>2680</v>
      </c>
      <c r="C339" s="21" t="s">
        <v>2681</v>
      </c>
      <c r="D339" s="21" t="s">
        <v>2682</v>
      </c>
      <c r="E339" s="22" t="s">
        <v>2683</v>
      </c>
      <c r="F339" s="23" t="s">
        <v>2684</v>
      </c>
      <c r="G339" s="33" t="s">
        <v>2685</v>
      </c>
      <c r="H339" s="18">
        <v>37440</v>
      </c>
      <c r="I339" s="26" t="s">
        <v>2686</v>
      </c>
      <c r="J339" s="25">
        <v>33872.94</v>
      </c>
      <c r="K339" s="18">
        <v>1431.95</v>
      </c>
      <c r="L339" s="27">
        <v>50</v>
      </c>
      <c r="M339" s="27" t="s">
        <v>3520</v>
      </c>
      <c r="N339" s="18"/>
      <c r="O339" s="25">
        <v>35354.89</v>
      </c>
      <c r="P339" s="25">
        <v>17702.25</v>
      </c>
      <c r="Q339" s="28">
        <v>53057.14</v>
      </c>
    </row>
    <row r="340" spans="1:17" ht="12" customHeight="1" x14ac:dyDescent="0.2">
      <c r="A340" s="21" t="s">
        <v>2687</v>
      </c>
      <c r="B340" s="21" t="s">
        <v>2688</v>
      </c>
      <c r="C340" s="21" t="s">
        <v>2689</v>
      </c>
      <c r="D340" s="21" t="s">
        <v>2690</v>
      </c>
      <c r="E340" s="22" t="s">
        <v>2691</v>
      </c>
      <c r="F340" s="23" t="s">
        <v>2692</v>
      </c>
      <c r="G340" s="33" t="s">
        <v>2693</v>
      </c>
      <c r="H340" s="18">
        <v>33425.599999999999</v>
      </c>
      <c r="I340" s="26" t="s">
        <v>2694</v>
      </c>
      <c r="J340" s="25">
        <v>33559.699999999997</v>
      </c>
      <c r="K340" s="18">
        <v>1459.55</v>
      </c>
      <c r="L340" s="27">
        <v>50</v>
      </c>
      <c r="M340" s="27" t="s">
        <v>3520</v>
      </c>
      <c r="N340" s="18"/>
      <c r="O340" s="25">
        <v>35069.25</v>
      </c>
      <c r="P340" s="25">
        <v>17800.13</v>
      </c>
      <c r="Q340" s="28">
        <v>52869.38</v>
      </c>
    </row>
    <row r="341" spans="1:17" ht="12" customHeight="1" x14ac:dyDescent="0.2">
      <c r="A341" s="21" t="s">
        <v>2695</v>
      </c>
      <c r="B341" s="21" t="s">
        <v>2696</v>
      </c>
      <c r="C341" s="21" t="s">
        <v>2697</v>
      </c>
      <c r="D341" s="21" t="s">
        <v>2698</v>
      </c>
      <c r="E341" s="22" t="s">
        <v>2699</v>
      </c>
      <c r="F341" s="23" t="s">
        <v>2700</v>
      </c>
      <c r="G341" s="33" t="s">
        <v>2701</v>
      </c>
      <c r="H341" s="18">
        <v>38294.699999999997</v>
      </c>
      <c r="I341" s="26" t="s">
        <v>2702</v>
      </c>
      <c r="J341" s="25">
        <v>26305.47</v>
      </c>
      <c r="K341" s="18">
        <v>10041.02</v>
      </c>
      <c r="L341" s="27">
        <v>600.03</v>
      </c>
      <c r="M341" s="27" t="s">
        <v>3520</v>
      </c>
      <c r="N341" s="18"/>
      <c r="O341" s="25">
        <v>36946.519999999997</v>
      </c>
      <c r="P341" s="25">
        <v>15890.24</v>
      </c>
      <c r="Q341" s="28">
        <v>52836.76</v>
      </c>
    </row>
    <row r="342" spans="1:17" ht="12" customHeight="1" x14ac:dyDescent="0.2">
      <c r="A342" s="21" t="s">
        <v>2703</v>
      </c>
      <c r="B342" s="21" t="s">
        <v>2704</v>
      </c>
      <c r="C342" s="21" t="s">
        <v>2705</v>
      </c>
      <c r="D342" s="21" t="s">
        <v>2706</v>
      </c>
      <c r="E342" s="22" t="s">
        <v>2707</v>
      </c>
      <c r="F342" s="23" t="s">
        <v>2708</v>
      </c>
      <c r="G342" s="33" t="s">
        <v>2709</v>
      </c>
      <c r="H342" s="18">
        <v>52543.17</v>
      </c>
      <c r="I342" s="26" t="s">
        <v>2710</v>
      </c>
      <c r="J342" s="25">
        <v>23233.61</v>
      </c>
      <c r="K342" s="18">
        <v>9024.8799999999992</v>
      </c>
      <c r="L342" s="27">
        <v>439.1</v>
      </c>
      <c r="M342" s="27" t="s">
        <v>3520</v>
      </c>
      <c r="N342" s="18"/>
      <c r="O342" s="25">
        <v>32697.59</v>
      </c>
      <c r="P342" s="25">
        <v>20139.09</v>
      </c>
      <c r="Q342" s="28">
        <v>52836.68</v>
      </c>
    </row>
    <row r="343" spans="1:17" ht="12" customHeight="1" x14ac:dyDescent="0.2">
      <c r="A343" s="21" t="s">
        <v>2711</v>
      </c>
      <c r="B343" s="21" t="s">
        <v>2712</v>
      </c>
      <c r="C343" s="21" t="s">
        <v>2713</v>
      </c>
      <c r="D343" s="21" t="s">
        <v>2714</v>
      </c>
      <c r="E343" s="22" t="s">
        <v>2715</v>
      </c>
      <c r="F343" s="23" t="s">
        <v>2716</v>
      </c>
      <c r="G343" s="33" t="s">
        <v>2717</v>
      </c>
      <c r="H343" s="18">
        <v>52543.17</v>
      </c>
      <c r="I343" s="26" t="s">
        <v>2718</v>
      </c>
      <c r="J343" s="25">
        <v>21810.1</v>
      </c>
      <c r="K343" s="18">
        <v>10118.23</v>
      </c>
      <c r="L343" s="27">
        <v>1084.5999999999999</v>
      </c>
      <c r="M343" s="27" t="s">
        <v>3520</v>
      </c>
      <c r="N343" s="18"/>
      <c r="O343" s="25">
        <v>33012.93</v>
      </c>
      <c r="P343" s="25">
        <v>19757.63</v>
      </c>
      <c r="Q343" s="28">
        <v>52770.559999999998</v>
      </c>
    </row>
    <row r="344" spans="1:17" ht="12" customHeight="1" x14ac:dyDescent="0.2">
      <c r="A344" s="21" t="s">
        <v>2719</v>
      </c>
      <c r="B344" s="21" t="s">
        <v>2720</v>
      </c>
      <c r="C344" s="21" t="s">
        <v>2721</v>
      </c>
      <c r="D344" s="21" t="s">
        <v>2722</v>
      </c>
      <c r="E344" s="22" t="s">
        <v>2723</v>
      </c>
      <c r="F344" s="23" t="s">
        <v>2724</v>
      </c>
      <c r="G344" s="33" t="s">
        <v>2725</v>
      </c>
      <c r="H344" s="18">
        <v>33425.599999999999</v>
      </c>
      <c r="I344" s="26" t="s">
        <v>2726</v>
      </c>
      <c r="J344" s="25">
        <v>33547.31</v>
      </c>
      <c r="K344" s="18">
        <v>1251.3399999999999</v>
      </c>
      <c r="L344" s="27">
        <v>160</v>
      </c>
      <c r="M344" s="27" t="s">
        <v>3520</v>
      </c>
      <c r="N344" s="18"/>
      <c r="O344" s="25">
        <v>34958.65</v>
      </c>
      <c r="P344" s="25">
        <v>17483.54</v>
      </c>
      <c r="Q344" s="28">
        <v>52442.19</v>
      </c>
    </row>
    <row r="345" spans="1:17" ht="12" customHeight="1" x14ac:dyDescent="0.2">
      <c r="A345" s="21" t="s">
        <v>2727</v>
      </c>
      <c r="B345" s="21" t="s">
        <v>2728</v>
      </c>
      <c r="C345" s="21" t="s">
        <v>2729</v>
      </c>
      <c r="D345" s="21" t="s">
        <v>2730</v>
      </c>
      <c r="E345" s="22" t="s">
        <v>2731</v>
      </c>
      <c r="F345" s="23" t="s">
        <v>2732</v>
      </c>
      <c r="G345" s="33" t="s">
        <v>2733</v>
      </c>
      <c r="H345" s="18" t="s">
        <v>2734</v>
      </c>
      <c r="I345" s="26" t="s">
        <v>2735</v>
      </c>
      <c r="J345" s="18">
        <v>27965.84</v>
      </c>
      <c r="K345" s="18">
        <v>9192.24</v>
      </c>
      <c r="L345" s="27">
        <v>2566.2600000000002</v>
      </c>
      <c r="M345" s="27" t="s">
        <v>3520</v>
      </c>
      <c r="N345" s="18"/>
      <c r="O345" s="18">
        <v>39724.339999999997</v>
      </c>
      <c r="P345" s="25">
        <v>12628.96</v>
      </c>
      <c r="Q345" s="28">
        <v>52353.3</v>
      </c>
    </row>
    <row r="346" spans="1:17" ht="12" customHeight="1" x14ac:dyDescent="0.2">
      <c r="A346" s="21" t="s">
        <v>2736</v>
      </c>
      <c r="B346" s="21" t="s">
        <v>2737</v>
      </c>
      <c r="C346" s="21" t="s">
        <v>2738</v>
      </c>
      <c r="D346" s="21" t="s">
        <v>2739</v>
      </c>
      <c r="E346" s="22" t="s">
        <v>2740</v>
      </c>
      <c r="F346" s="23" t="s">
        <v>2741</v>
      </c>
      <c r="G346" s="33" t="s">
        <v>2742</v>
      </c>
      <c r="H346" s="18">
        <v>34091.199999999997</v>
      </c>
      <c r="I346" s="26" t="s">
        <v>2743</v>
      </c>
      <c r="J346" s="25">
        <v>33941.33</v>
      </c>
      <c r="K346" s="18">
        <v>128.63</v>
      </c>
      <c r="L346" s="27">
        <v>721</v>
      </c>
      <c r="M346" s="27" t="s">
        <v>3520</v>
      </c>
      <c r="N346" s="18"/>
      <c r="O346" s="25">
        <v>34790.959999999999</v>
      </c>
      <c r="P346" s="25">
        <v>17469.36</v>
      </c>
      <c r="Q346" s="28">
        <v>52260.32</v>
      </c>
    </row>
    <row r="347" spans="1:17" ht="12" customHeight="1" x14ac:dyDescent="0.2">
      <c r="A347" s="21" t="s">
        <v>2744</v>
      </c>
      <c r="B347" s="21" t="s">
        <v>2745</v>
      </c>
      <c r="C347" s="21" t="s">
        <v>2746</v>
      </c>
      <c r="D347" s="21" t="s">
        <v>2747</v>
      </c>
      <c r="E347" s="22" t="s">
        <v>2748</v>
      </c>
      <c r="F347" s="23" t="s">
        <v>2749</v>
      </c>
      <c r="G347" s="33" t="s">
        <v>2750</v>
      </c>
      <c r="H347" s="18" t="s">
        <v>2751</v>
      </c>
      <c r="I347" s="26" t="s">
        <v>2752</v>
      </c>
      <c r="J347" s="25">
        <v>34807.86</v>
      </c>
      <c r="K347" s="18">
        <v>10827.23</v>
      </c>
      <c r="L347" s="27">
        <v>2799.47</v>
      </c>
      <c r="M347" s="27" t="s">
        <v>3520</v>
      </c>
      <c r="N347" s="18"/>
      <c r="O347" s="25">
        <v>48434.559999999998</v>
      </c>
      <c r="P347" s="25">
        <v>3705.26</v>
      </c>
      <c r="Q347" s="28">
        <v>52139.82</v>
      </c>
    </row>
    <row r="348" spans="1:17" ht="12" customHeight="1" x14ac:dyDescent="0.2">
      <c r="A348" s="21" t="s">
        <v>2753</v>
      </c>
      <c r="B348" s="21" t="s">
        <v>2754</v>
      </c>
      <c r="C348" s="21" t="s">
        <v>2755</v>
      </c>
      <c r="D348" s="21" t="s">
        <v>2756</v>
      </c>
      <c r="E348" s="22" t="s">
        <v>2757</v>
      </c>
      <c r="F348" s="23" t="s">
        <v>2758</v>
      </c>
      <c r="G348" s="33" t="s">
        <v>2759</v>
      </c>
      <c r="H348" s="18">
        <v>52556.92</v>
      </c>
      <c r="I348" s="26" t="s">
        <v>2760</v>
      </c>
      <c r="J348" s="25">
        <v>34205.480000000003</v>
      </c>
      <c r="K348" s="18">
        <v>1388.5</v>
      </c>
      <c r="L348" s="27">
        <v>485.28</v>
      </c>
      <c r="M348" s="27" t="s">
        <v>3520</v>
      </c>
      <c r="N348" s="18"/>
      <c r="O348" s="25">
        <v>36079.26</v>
      </c>
      <c r="P348" s="25">
        <v>15747.58</v>
      </c>
      <c r="Q348" s="28">
        <v>51826.84</v>
      </c>
    </row>
    <row r="349" spans="1:17" ht="12" customHeight="1" x14ac:dyDescent="0.2">
      <c r="A349" s="21" t="s">
        <v>2761</v>
      </c>
      <c r="B349" s="21" t="s">
        <v>2762</v>
      </c>
      <c r="C349" s="21" t="s">
        <v>2763</v>
      </c>
      <c r="D349" s="21" t="s">
        <v>2764</v>
      </c>
      <c r="E349" s="22" t="s">
        <v>2765</v>
      </c>
      <c r="F349" s="23" t="s">
        <v>2766</v>
      </c>
      <c r="G349" s="34" t="s">
        <v>2767</v>
      </c>
      <c r="H349" s="18">
        <v>58822.400000000001</v>
      </c>
      <c r="I349" s="25">
        <v>4283.57</v>
      </c>
      <c r="J349" s="25">
        <v>31270.12</v>
      </c>
      <c r="K349" s="18">
        <v>667.16</v>
      </c>
      <c r="L349" s="27">
        <v>1858.63</v>
      </c>
      <c r="M349" s="27" t="s">
        <v>3520</v>
      </c>
      <c r="N349" s="18"/>
      <c r="O349" s="25">
        <v>38079.480000000003</v>
      </c>
      <c r="P349" s="25">
        <v>13713.65</v>
      </c>
      <c r="Q349" s="28">
        <v>51793.13</v>
      </c>
    </row>
    <row r="350" spans="1:17" ht="12" customHeight="1" x14ac:dyDescent="0.2">
      <c r="A350" s="21" t="s">
        <v>2768</v>
      </c>
      <c r="B350" s="21" t="s">
        <v>2769</v>
      </c>
      <c r="C350" s="21" t="s">
        <v>2770</v>
      </c>
      <c r="D350" s="21" t="s">
        <v>2771</v>
      </c>
      <c r="E350" s="22" t="s">
        <v>2772</v>
      </c>
      <c r="F350" s="23" t="s">
        <v>2773</v>
      </c>
      <c r="G350" s="33" t="s">
        <v>2774</v>
      </c>
      <c r="H350" s="18">
        <v>69644.12</v>
      </c>
      <c r="I350" s="26" t="s">
        <v>2775</v>
      </c>
      <c r="J350" s="25">
        <v>35829.14</v>
      </c>
      <c r="K350" s="18">
        <v>768.9</v>
      </c>
      <c r="L350" s="27">
        <v>79.44</v>
      </c>
      <c r="M350" s="27" t="s">
        <v>3520</v>
      </c>
      <c r="N350" s="18"/>
      <c r="O350" s="25">
        <v>36677.480000000003</v>
      </c>
      <c r="P350" s="25">
        <v>14712.71</v>
      </c>
      <c r="Q350" s="28">
        <v>51390.19</v>
      </c>
    </row>
    <row r="351" spans="1:17" ht="12" customHeight="1" x14ac:dyDescent="0.2">
      <c r="A351" s="21" t="s">
        <v>2776</v>
      </c>
      <c r="B351" s="21" t="s">
        <v>2777</v>
      </c>
      <c r="C351" s="21" t="s">
        <v>2778</v>
      </c>
      <c r="D351" s="21" t="s">
        <v>2779</v>
      </c>
      <c r="E351" s="22" t="s">
        <v>2780</v>
      </c>
      <c r="F351" s="23" t="s">
        <v>2781</v>
      </c>
      <c r="G351" s="33" t="s">
        <v>2782</v>
      </c>
      <c r="H351" s="18">
        <v>35360</v>
      </c>
      <c r="I351" s="26" t="s">
        <v>2783</v>
      </c>
      <c r="J351" s="25">
        <v>33853.46</v>
      </c>
      <c r="K351" s="18">
        <v>132.37</v>
      </c>
      <c r="L351" s="27">
        <v>50</v>
      </c>
      <c r="M351" s="27" t="s">
        <v>3520</v>
      </c>
      <c r="N351" s="18"/>
      <c r="O351" s="25">
        <v>34035.83</v>
      </c>
      <c r="P351" s="25">
        <v>17338.04</v>
      </c>
      <c r="Q351" s="28">
        <v>51373.87</v>
      </c>
    </row>
    <row r="352" spans="1:17" ht="12" customHeight="1" x14ac:dyDescent="0.2">
      <c r="A352" s="21" t="s">
        <v>2784</v>
      </c>
      <c r="B352" s="21" t="s">
        <v>2785</v>
      </c>
      <c r="C352" s="21" t="s">
        <v>2786</v>
      </c>
      <c r="D352" s="21" t="s">
        <v>2787</v>
      </c>
      <c r="E352" s="22" t="s">
        <v>2788</v>
      </c>
      <c r="F352" s="23" t="s">
        <v>2789</v>
      </c>
      <c r="G352" s="33" t="s">
        <v>2790</v>
      </c>
      <c r="H352" s="18">
        <v>33425.599999999999</v>
      </c>
      <c r="I352" s="26" t="s">
        <v>2791</v>
      </c>
      <c r="J352" s="25">
        <v>33515.480000000003</v>
      </c>
      <c r="K352" s="18">
        <v>1001.86</v>
      </c>
      <c r="L352" s="27">
        <v>220</v>
      </c>
      <c r="M352" s="27" t="s">
        <v>3520</v>
      </c>
      <c r="N352" s="18"/>
      <c r="O352" s="25">
        <v>34737.339999999997</v>
      </c>
      <c r="P352" s="25">
        <v>16613.21</v>
      </c>
      <c r="Q352" s="28">
        <v>51350.55</v>
      </c>
    </row>
    <row r="353" spans="1:17" ht="12" customHeight="1" x14ac:dyDescent="0.2">
      <c r="A353" s="21" t="s">
        <v>2792</v>
      </c>
      <c r="B353" s="21" t="s">
        <v>2793</v>
      </c>
      <c r="C353" s="21" t="s">
        <v>2794</v>
      </c>
      <c r="D353" s="21" t="s">
        <v>2795</v>
      </c>
      <c r="E353" s="22" t="s">
        <v>2796</v>
      </c>
      <c r="F353" s="23" t="s">
        <v>2797</v>
      </c>
      <c r="G353" s="33" t="s">
        <v>2798</v>
      </c>
      <c r="H353" s="18">
        <v>52543.17</v>
      </c>
      <c r="I353" s="26" t="s">
        <v>2799</v>
      </c>
      <c r="J353" s="25">
        <v>28748.48</v>
      </c>
      <c r="K353" s="18">
        <v>5101.1899999999996</v>
      </c>
      <c r="L353" s="27">
        <v>797.03</v>
      </c>
      <c r="M353" s="27" t="s">
        <v>3520</v>
      </c>
      <c r="N353" s="18"/>
      <c r="O353" s="25">
        <v>34646.699999999997</v>
      </c>
      <c r="P353" s="25">
        <v>15400.78</v>
      </c>
      <c r="Q353" s="28">
        <v>50047.48</v>
      </c>
    </row>
    <row r="354" spans="1:17" ht="12" customHeight="1" x14ac:dyDescent="0.2">
      <c r="A354" s="21" t="s">
        <v>2800</v>
      </c>
      <c r="B354" s="21" t="s">
        <v>2801</v>
      </c>
      <c r="C354" s="21" t="s">
        <v>2802</v>
      </c>
      <c r="D354" s="21" t="s">
        <v>2803</v>
      </c>
      <c r="E354" s="22" t="s">
        <v>2804</v>
      </c>
      <c r="F354" s="23" t="s">
        <v>2805</v>
      </c>
      <c r="G354" s="33" t="s">
        <v>2806</v>
      </c>
      <c r="H354" s="18">
        <v>49920</v>
      </c>
      <c r="I354" s="26" t="s">
        <v>2807</v>
      </c>
      <c r="J354" s="25">
        <v>33984.239999999998</v>
      </c>
      <c r="K354" s="18">
        <v>1177.56</v>
      </c>
      <c r="L354" s="27" t="s">
        <v>3520</v>
      </c>
      <c r="M354" s="27" t="s">
        <v>3520</v>
      </c>
      <c r="N354" s="18"/>
      <c r="O354" s="25">
        <v>35161.800000000003</v>
      </c>
      <c r="P354" s="25">
        <v>14718.15</v>
      </c>
      <c r="Q354" s="28">
        <v>49879.95</v>
      </c>
    </row>
    <row r="355" spans="1:17" ht="12" customHeight="1" x14ac:dyDescent="0.2">
      <c r="A355" s="21" t="s">
        <v>2808</v>
      </c>
      <c r="B355" s="21" t="s">
        <v>2809</v>
      </c>
      <c r="C355" s="21" t="s">
        <v>2810</v>
      </c>
      <c r="D355" s="21" t="s">
        <v>2811</v>
      </c>
      <c r="E355" s="22" t="s">
        <v>2812</v>
      </c>
      <c r="F355" s="23" t="s">
        <v>2813</v>
      </c>
      <c r="G355" s="33" t="s">
        <v>2814</v>
      </c>
      <c r="H355" s="18">
        <v>42640</v>
      </c>
      <c r="I355" s="26" t="s">
        <v>2815</v>
      </c>
      <c r="J355" s="25">
        <v>32873.449999999997</v>
      </c>
      <c r="K355" s="18">
        <v>1223.53</v>
      </c>
      <c r="L355" s="27">
        <v>50</v>
      </c>
      <c r="M355" s="27" t="s">
        <v>3520</v>
      </c>
      <c r="N355" s="18"/>
      <c r="O355" s="25">
        <v>34146.980000000003</v>
      </c>
      <c r="P355" s="25">
        <v>15400.5</v>
      </c>
      <c r="Q355" s="28">
        <v>49547.48</v>
      </c>
    </row>
    <row r="356" spans="1:17" ht="12" customHeight="1" x14ac:dyDescent="0.2">
      <c r="A356" s="21" t="s">
        <v>2816</v>
      </c>
      <c r="B356" s="21" t="s">
        <v>2817</v>
      </c>
      <c r="C356" s="21" t="s">
        <v>2818</v>
      </c>
      <c r="D356" s="21" t="s">
        <v>2819</v>
      </c>
      <c r="E356" s="22" t="s">
        <v>2820</v>
      </c>
      <c r="F356" s="23" t="s">
        <v>2821</v>
      </c>
      <c r="G356" s="33" t="s">
        <v>2822</v>
      </c>
      <c r="H356" s="18">
        <v>38294.699999999997</v>
      </c>
      <c r="I356" s="26" t="s">
        <v>2823</v>
      </c>
      <c r="J356" s="25">
        <v>21001.78</v>
      </c>
      <c r="K356" s="18">
        <v>12362.88</v>
      </c>
      <c r="L356" s="27">
        <v>900.52</v>
      </c>
      <c r="M356" s="27" t="s">
        <v>3520</v>
      </c>
      <c r="N356" s="18"/>
      <c r="O356" s="25">
        <v>34265.18</v>
      </c>
      <c r="P356" s="25">
        <v>15241.08</v>
      </c>
      <c r="Q356" s="28">
        <v>49506.26</v>
      </c>
    </row>
    <row r="357" spans="1:17" ht="12" customHeight="1" x14ac:dyDescent="0.2">
      <c r="A357" s="21" t="s">
        <v>2824</v>
      </c>
      <c r="B357" s="21" t="s">
        <v>2825</v>
      </c>
      <c r="C357" s="21" t="s">
        <v>2826</v>
      </c>
      <c r="D357" s="21" t="s">
        <v>2827</v>
      </c>
      <c r="E357" s="22" t="s">
        <v>2828</v>
      </c>
      <c r="F357" s="23" t="s">
        <v>2829</v>
      </c>
      <c r="G357" s="33" t="s">
        <v>2830</v>
      </c>
      <c r="H357" s="18">
        <v>39208</v>
      </c>
      <c r="I357" s="26" t="s">
        <v>2831</v>
      </c>
      <c r="J357" s="25">
        <v>32262.16</v>
      </c>
      <c r="K357" s="18">
        <v>397</v>
      </c>
      <c r="L357" s="27">
        <v>1315.72</v>
      </c>
      <c r="M357" s="27" t="s">
        <v>3520</v>
      </c>
      <c r="N357" s="18"/>
      <c r="O357" s="25">
        <v>33974.879999999997</v>
      </c>
      <c r="P357" s="25">
        <v>15366.37</v>
      </c>
      <c r="Q357" s="28">
        <v>49341.25</v>
      </c>
    </row>
    <row r="358" spans="1:17" ht="12" customHeight="1" x14ac:dyDescent="0.2">
      <c r="A358" s="21" t="s">
        <v>2832</v>
      </c>
      <c r="B358" s="21" t="s">
        <v>2833</v>
      </c>
      <c r="C358" s="21" t="s">
        <v>2834</v>
      </c>
      <c r="D358" s="21" t="s">
        <v>2835</v>
      </c>
      <c r="E358" s="22" t="s">
        <v>2836</v>
      </c>
      <c r="F358" s="23" t="s">
        <v>2837</v>
      </c>
      <c r="G358" s="34" t="s">
        <v>2838</v>
      </c>
      <c r="H358" s="18">
        <v>62691.199999999997</v>
      </c>
      <c r="I358" s="25">
        <v>3139.99</v>
      </c>
      <c r="J358" s="25">
        <v>27653.200000000001</v>
      </c>
      <c r="K358" s="18">
        <v>482.82</v>
      </c>
      <c r="L358" s="27">
        <v>2243.33</v>
      </c>
      <c r="M358" s="27" t="s">
        <v>3520</v>
      </c>
      <c r="N358" s="18"/>
      <c r="O358" s="25">
        <v>33519.339999999997</v>
      </c>
      <c r="P358" s="25">
        <v>15802.47</v>
      </c>
      <c r="Q358" s="28">
        <v>49321.81</v>
      </c>
    </row>
    <row r="359" spans="1:17" ht="12" customHeight="1" x14ac:dyDescent="0.2">
      <c r="A359" s="21" t="s">
        <v>2839</v>
      </c>
      <c r="B359" s="21" t="s">
        <v>2840</v>
      </c>
      <c r="C359" s="21" t="s">
        <v>2841</v>
      </c>
      <c r="D359" s="21" t="s">
        <v>2842</v>
      </c>
      <c r="E359" s="22" t="s">
        <v>2843</v>
      </c>
      <c r="F359" s="23" t="s">
        <v>2844</v>
      </c>
      <c r="G359" s="33" t="s">
        <v>2845</v>
      </c>
      <c r="H359" s="18" t="s">
        <v>2846</v>
      </c>
      <c r="I359" s="26" t="s">
        <v>2847</v>
      </c>
      <c r="J359" s="18">
        <v>23402.240000000002</v>
      </c>
      <c r="K359" s="18">
        <v>11375.65</v>
      </c>
      <c r="L359" s="27">
        <v>1791.36</v>
      </c>
      <c r="M359" s="27"/>
      <c r="N359" s="18"/>
      <c r="O359" s="25">
        <v>36569.25</v>
      </c>
      <c r="P359" s="25">
        <v>11101.55</v>
      </c>
      <c r="Q359" s="28">
        <v>47670.8</v>
      </c>
    </row>
    <row r="360" spans="1:17" ht="12" customHeight="1" x14ac:dyDescent="0.2">
      <c r="A360" s="21" t="s">
        <v>2848</v>
      </c>
      <c r="B360" s="21" t="s">
        <v>2849</v>
      </c>
      <c r="C360" s="21" t="s">
        <v>2850</v>
      </c>
      <c r="D360" s="21" t="s">
        <v>2851</v>
      </c>
      <c r="E360" s="22" t="s">
        <v>2852</v>
      </c>
      <c r="F360" s="23" t="s">
        <v>2853</v>
      </c>
      <c r="G360" s="34" t="s">
        <v>2854</v>
      </c>
      <c r="H360" s="18">
        <v>42827.199999999997</v>
      </c>
      <c r="I360" s="25">
        <v>1676.03</v>
      </c>
      <c r="J360" s="25">
        <v>35312.410000000003</v>
      </c>
      <c r="K360" s="18">
        <v>570.82000000000005</v>
      </c>
      <c r="L360" s="27">
        <v>200.24</v>
      </c>
      <c r="M360" s="31" t="s">
        <v>3520</v>
      </c>
      <c r="N360" s="18"/>
      <c r="O360" s="18">
        <v>37759.5</v>
      </c>
      <c r="P360" s="25">
        <v>9259.73</v>
      </c>
      <c r="Q360" s="28">
        <v>47019.23</v>
      </c>
    </row>
    <row r="361" spans="1:17" ht="12" customHeight="1" x14ac:dyDescent="0.2">
      <c r="A361" s="21" t="s">
        <v>2855</v>
      </c>
      <c r="B361" s="21" t="s">
        <v>2856</v>
      </c>
      <c r="C361" s="21" t="s">
        <v>2857</v>
      </c>
      <c r="D361" s="21" t="s">
        <v>2858</v>
      </c>
      <c r="E361" s="22" t="s">
        <v>2859</v>
      </c>
      <c r="F361" s="23" t="s">
        <v>2860</v>
      </c>
      <c r="G361" s="33" t="s">
        <v>2861</v>
      </c>
      <c r="H361" s="18">
        <v>37440</v>
      </c>
      <c r="I361" s="26" t="s">
        <v>2862</v>
      </c>
      <c r="J361" s="25">
        <v>29695.040000000001</v>
      </c>
      <c r="K361" s="18">
        <v>344.77</v>
      </c>
      <c r="L361" s="27">
        <v>357.5</v>
      </c>
      <c r="M361" s="31" t="s">
        <v>3520</v>
      </c>
      <c r="N361" s="18"/>
      <c r="O361" s="25">
        <v>30397.31</v>
      </c>
      <c r="P361" s="25">
        <v>16487.77</v>
      </c>
      <c r="Q361" s="28">
        <v>46885.08</v>
      </c>
    </row>
    <row r="362" spans="1:17" ht="12" customHeight="1" x14ac:dyDescent="0.2">
      <c r="A362" s="21" t="s">
        <v>2863</v>
      </c>
      <c r="B362" s="21" t="s">
        <v>2864</v>
      </c>
      <c r="C362" s="21" t="s">
        <v>2865</v>
      </c>
      <c r="D362" s="21" t="s">
        <v>2866</v>
      </c>
      <c r="E362" s="22" t="s">
        <v>2867</v>
      </c>
      <c r="F362" s="23" t="s">
        <v>2868</v>
      </c>
      <c r="G362" s="33" t="s">
        <v>2869</v>
      </c>
      <c r="H362" s="18">
        <v>33280</v>
      </c>
      <c r="I362" s="26" t="s">
        <v>2870</v>
      </c>
      <c r="J362" s="25">
        <v>30768.32</v>
      </c>
      <c r="K362" s="18">
        <v>458.16</v>
      </c>
      <c r="L362" s="27" t="s">
        <v>3520</v>
      </c>
      <c r="M362" s="31" t="s">
        <v>3520</v>
      </c>
      <c r="N362" s="18"/>
      <c r="O362" s="25">
        <v>31226.48</v>
      </c>
      <c r="P362" s="25">
        <v>15578.75</v>
      </c>
      <c r="Q362" s="28">
        <v>46805.23</v>
      </c>
    </row>
    <row r="363" spans="1:17" ht="12" customHeight="1" x14ac:dyDescent="0.2">
      <c r="A363" s="21" t="s">
        <v>2871</v>
      </c>
      <c r="B363" s="21" t="s">
        <v>2872</v>
      </c>
      <c r="C363" s="21" t="s">
        <v>2873</v>
      </c>
      <c r="D363" s="21" t="s">
        <v>2874</v>
      </c>
      <c r="E363" s="22" t="s">
        <v>2875</v>
      </c>
      <c r="F363" s="23" t="s">
        <v>2876</v>
      </c>
      <c r="G363" s="33" t="s">
        <v>2877</v>
      </c>
      <c r="H363" s="18">
        <v>46342.400000000001</v>
      </c>
      <c r="I363" s="26" t="s">
        <v>2878</v>
      </c>
      <c r="J363" s="25">
        <v>24648.37</v>
      </c>
      <c r="K363" s="18">
        <v>3330.88</v>
      </c>
      <c r="L363" s="27">
        <v>100</v>
      </c>
      <c r="M363" s="31" t="s">
        <v>3520</v>
      </c>
      <c r="N363" s="18"/>
      <c r="O363" s="25">
        <v>28079.25</v>
      </c>
      <c r="P363" s="25">
        <v>18176.68</v>
      </c>
      <c r="Q363" s="28">
        <v>46255.93</v>
      </c>
    </row>
    <row r="364" spans="1:17" ht="12" customHeight="1" x14ac:dyDescent="0.2">
      <c r="A364" s="21" t="s">
        <v>2879</v>
      </c>
      <c r="B364" s="21" t="s">
        <v>2880</v>
      </c>
      <c r="C364" s="21" t="s">
        <v>2881</v>
      </c>
      <c r="D364" s="21" t="s">
        <v>2882</v>
      </c>
      <c r="E364" s="22" t="s">
        <v>2883</v>
      </c>
      <c r="F364" s="23" t="s">
        <v>2884</v>
      </c>
      <c r="G364" s="33" t="s">
        <v>2885</v>
      </c>
      <c r="H364" s="18">
        <v>33425.599999999999</v>
      </c>
      <c r="I364" s="26" t="s">
        <v>2886</v>
      </c>
      <c r="J364" s="25">
        <v>33937.160000000003</v>
      </c>
      <c r="K364" s="18">
        <v>1017.16</v>
      </c>
      <c r="L364" s="27">
        <v>1106.9100000000001</v>
      </c>
      <c r="M364" s="31" t="s">
        <v>3520</v>
      </c>
      <c r="N364" s="18"/>
      <c r="O364" s="25">
        <v>36061.230000000003</v>
      </c>
      <c r="P364" s="25">
        <v>9217.49</v>
      </c>
      <c r="Q364" s="28">
        <v>45278.720000000001</v>
      </c>
    </row>
    <row r="365" spans="1:17" ht="12" customHeight="1" x14ac:dyDescent="0.2">
      <c r="A365" s="21" t="s">
        <v>2887</v>
      </c>
      <c r="B365" s="21" t="s">
        <v>2888</v>
      </c>
      <c r="C365" s="21" t="s">
        <v>2889</v>
      </c>
      <c r="D365" s="21" t="s">
        <v>2890</v>
      </c>
      <c r="E365" s="22" t="s">
        <v>2891</v>
      </c>
      <c r="F365" s="23" t="s">
        <v>2892</v>
      </c>
      <c r="G365" s="33" t="s">
        <v>2893</v>
      </c>
      <c r="H365" s="18">
        <v>56971.199999999997</v>
      </c>
      <c r="I365" s="26" t="s">
        <v>2894</v>
      </c>
      <c r="J365" s="25">
        <v>22085.38</v>
      </c>
      <c r="K365" s="18">
        <v>3121.14</v>
      </c>
      <c r="L365" s="27">
        <v>1120.5</v>
      </c>
      <c r="M365" s="31" t="s">
        <v>3520</v>
      </c>
      <c r="N365" s="18"/>
      <c r="O365" s="25">
        <v>26327.02</v>
      </c>
      <c r="P365" s="25">
        <v>18610.93</v>
      </c>
      <c r="Q365" s="28">
        <v>44937.95</v>
      </c>
    </row>
    <row r="366" spans="1:17" ht="12" customHeight="1" x14ac:dyDescent="0.2">
      <c r="A366" s="21" t="s">
        <v>2895</v>
      </c>
      <c r="B366" s="21" t="s">
        <v>2896</v>
      </c>
      <c r="C366" s="21" t="s">
        <v>2897</v>
      </c>
      <c r="D366" s="21" t="s">
        <v>2898</v>
      </c>
      <c r="E366" s="22" t="s">
        <v>2899</v>
      </c>
      <c r="F366" s="23" t="s">
        <v>2900</v>
      </c>
      <c r="G366" s="33" t="s">
        <v>2901</v>
      </c>
      <c r="H366" s="18">
        <v>34257.599999999999</v>
      </c>
      <c r="I366" s="26" t="s">
        <v>2902</v>
      </c>
      <c r="J366" s="25">
        <v>34459.68</v>
      </c>
      <c r="K366" s="18">
        <v>643.24</v>
      </c>
      <c r="L366" s="27">
        <v>510</v>
      </c>
      <c r="M366" s="31" t="s">
        <v>3520</v>
      </c>
      <c r="N366" s="18"/>
      <c r="O366" s="25">
        <v>35612.92</v>
      </c>
      <c r="P366" s="25">
        <v>9106.86</v>
      </c>
      <c r="Q366" s="28">
        <v>44719.78</v>
      </c>
    </row>
    <row r="367" spans="1:17" ht="12" customHeight="1" x14ac:dyDescent="0.2">
      <c r="A367" s="21" t="s">
        <v>2903</v>
      </c>
      <c r="B367" s="21" t="s">
        <v>2904</v>
      </c>
      <c r="C367" s="21" t="s">
        <v>2905</v>
      </c>
      <c r="D367" s="21" t="s">
        <v>2906</v>
      </c>
      <c r="E367" s="22" t="s">
        <v>2907</v>
      </c>
      <c r="F367" s="23" t="s">
        <v>2908</v>
      </c>
      <c r="G367" s="33" t="s">
        <v>2909</v>
      </c>
      <c r="H367" s="18">
        <v>55170.96</v>
      </c>
      <c r="I367" s="26" t="s">
        <v>2910</v>
      </c>
      <c r="J367" s="25">
        <v>29707.439999999999</v>
      </c>
      <c r="K367" s="18" t="s">
        <v>3520</v>
      </c>
      <c r="L367" s="27">
        <v>50</v>
      </c>
      <c r="M367" s="31" t="s">
        <v>3520</v>
      </c>
      <c r="N367" s="18"/>
      <c r="O367" s="25">
        <v>29757.439999999999</v>
      </c>
      <c r="P367" s="25">
        <v>14256.9</v>
      </c>
      <c r="Q367" s="28">
        <v>44014.34</v>
      </c>
    </row>
    <row r="368" spans="1:17" ht="12" customHeight="1" x14ac:dyDescent="0.2">
      <c r="A368" s="21" t="s">
        <v>2911</v>
      </c>
      <c r="B368" s="21" t="s">
        <v>2912</v>
      </c>
      <c r="C368" s="21" t="s">
        <v>2913</v>
      </c>
      <c r="D368" s="21" t="s">
        <v>2914</v>
      </c>
      <c r="E368" s="22" t="s">
        <v>2915</v>
      </c>
      <c r="F368" s="23" t="s">
        <v>2916</v>
      </c>
      <c r="G368" s="33" t="s">
        <v>2917</v>
      </c>
      <c r="H368" s="18">
        <v>58240</v>
      </c>
      <c r="I368" s="26" t="s">
        <v>2918</v>
      </c>
      <c r="J368" s="25">
        <v>26955.32</v>
      </c>
      <c r="K368" s="18">
        <v>1597.04</v>
      </c>
      <c r="L368" s="27">
        <v>545</v>
      </c>
      <c r="M368" s="31" t="s">
        <v>3520</v>
      </c>
      <c r="N368" s="18"/>
      <c r="O368" s="25">
        <v>29097.360000000001</v>
      </c>
      <c r="P368" s="25">
        <v>14064.46</v>
      </c>
      <c r="Q368" s="28">
        <v>43161.82</v>
      </c>
    </row>
    <row r="369" spans="1:17" ht="12" customHeight="1" x14ac:dyDescent="0.2">
      <c r="A369" s="21" t="s">
        <v>2919</v>
      </c>
      <c r="B369" s="21" t="s">
        <v>2920</v>
      </c>
      <c r="C369" s="21" t="s">
        <v>2921</v>
      </c>
      <c r="D369" s="21" t="s">
        <v>2922</v>
      </c>
      <c r="E369" s="22" t="s">
        <v>2923</v>
      </c>
      <c r="F369" s="23" t="s">
        <v>2924</v>
      </c>
      <c r="G369" s="33" t="s">
        <v>2925</v>
      </c>
      <c r="H369" s="18">
        <v>78000</v>
      </c>
      <c r="I369" s="26" t="s">
        <v>2926</v>
      </c>
      <c r="J369" s="25">
        <v>24115.88</v>
      </c>
      <c r="K369" s="18">
        <v>3935.29</v>
      </c>
      <c r="L369" s="27" t="s">
        <v>3520</v>
      </c>
      <c r="M369" s="31" t="s">
        <v>3520</v>
      </c>
      <c r="N369" s="18"/>
      <c r="O369" s="25">
        <v>28051.17</v>
      </c>
      <c r="P369" s="25">
        <v>13904.02</v>
      </c>
      <c r="Q369" s="28">
        <v>41955.19</v>
      </c>
    </row>
    <row r="370" spans="1:17" ht="12" customHeight="1" x14ac:dyDescent="0.2">
      <c r="A370" s="21" t="s">
        <v>2927</v>
      </c>
      <c r="B370" s="21" t="s">
        <v>2928</v>
      </c>
      <c r="C370" s="21" t="s">
        <v>2929</v>
      </c>
      <c r="D370" s="21" t="s">
        <v>2930</v>
      </c>
      <c r="E370" s="22" t="s">
        <v>2931</v>
      </c>
      <c r="F370" s="23" t="s">
        <v>2932</v>
      </c>
      <c r="G370" s="34" t="s">
        <v>2933</v>
      </c>
      <c r="H370" s="18">
        <v>61651.72</v>
      </c>
      <c r="I370" s="25">
        <v>12241.31</v>
      </c>
      <c r="J370" s="25">
        <v>15944.75</v>
      </c>
      <c r="K370" s="18">
        <v>238.69</v>
      </c>
      <c r="L370" s="27">
        <v>2537.65</v>
      </c>
      <c r="M370" s="31" t="s">
        <v>3520</v>
      </c>
      <c r="N370" s="18"/>
      <c r="O370" s="25">
        <v>30962.400000000001</v>
      </c>
      <c r="P370" s="25">
        <v>10825.11</v>
      </c>
      <c r="Q370" s="28">
        <v>41787.51</v>
      </c>
    </row>
    <row r="371" spans="1:17" ht="12" customHeight="1" x14ac:dyDescent="0.2">
      <c r="A371" s="21" t="s">
        <v>2934</v>
      </c>
      <c r="B371" s="21" t="s">
        <v>2935</v>
      </c>
      <c r="C371" s="21" t="s">
        <v>2936</v>
      </c>
      <c r="D371" s="21" t="s">
        <v>2937</v>
      </c>
      <c r="E371" s="22" t="s">
        <v>2938</v>
      </c>
      <c r="F371" s="23" t="s">
        <v>2939</v>
      </c>
      <c r="G371" s="34" t="s">
        <v>2940</v>
      </c>
      <c r="H371" s="18">
        <v>54238.080000000002</v>
      </c>
      <c r="I371" s="25">
        <v>1521.85</v>
      </c>
      <c r="J371" s="25">
        <v>24440.43</v>
      </c>
      <c r="K371" s="18">
        <v>575.5</v>
      </c>
      <c r="L371" s="27">
        <v>2006.4</v>
      </c>
      <c r="M371" s="31" t="s">
        <v>3520</v>
      </c>
      <c r="N371" s="18"/>
      <c r="O371" s="25">
        <v>28544.18</v>
      </c>
      <c r="P371" s="25">
        <v>13036.97</v>
      </c>
      <c r="Q371" s="28">
        <v>41581.15</v>
      </c>
    </row>
    <row r="372" spans="1:17" ht="12" customHeight="1" x14ac:dyDescent="0.2">
      <c r="A372" s="21" t="s">
        <v>2941</v>
      </c>
      <c r="B372" s="21" t="s">
        <v>2942</v>
      </c>
      <c r="C372" s="21" t="s">
        <v>2943</v>
      </c>
      <c r="D372" s="21" t="s">
        <v>2944</v>
      </c>
      <c r="E372" s="22" t="s">
        <v>2945</v>
      </c>
      <c r="F372" s="23" t="s">
        <v>2946</v>
      </c>
      <c r="G372" s="33" t="s">
        <v>2947</v>
      </c>
      <c r="H372" s="18">
        <v>52556.92</v>
      </c>
      <c r="I372" s="26" t="s">
        <v>2948</v>
      </c>
      <c r="J372" s="25">
        <v>26035.72</v>
      </c>
      <c r="K372" s="18">
        <v>876.35</v>
      </c>
      <c r="L372" s="27">
        <v>803.95</v>
      </c>
      <c r="M372" s="31" t="s">
        <v>3520</v>
      </c>
      <c r="N372" s="18"/>
      <c r="O372" s="25">
        <v>27716.02</v>
      </c>
      <c r="P372" s="25">
        <v>13850.4</v>
      </c>
      <c r="Q372" s="28">
        <v>41566.42</v>
      </c>
    </row>
    <row r="373" spans="1:17" ht="12" customHeight="1" x14ac:dyDescent="0.2">
      <c r="A373" s="21" t="s">
        <v>2949</v>
      </c>
      <c r="B373" s="21" t="s">
        <v>2950</v>
      </c>
      <c r="C373" s="21" t="s">
        <v>2951</v>
      </c>
      <c r="D373" s="21" t="s">
        <v>2952</v>
      </c>
      <c r="E373" s="22" t="s">
        <v>2953</v>
      </c>
      <c r="F373" s="23" t="s">
        <v>2954</v>
      </c>
      <c r="G373" s="34" t="s">
        <v>2955</v>
      </c>
      <c r="H373" s="18">
        <v>64729.599999999999</v>
      </c>
      <c r="I373" s="25">
        <v>4529.5200000000004</v>
      </c>
      <c r="J373" s="25">
        <v>20743.849999999999</v>
      </c>
      <c r="K373" s="18">
        <v>2568.3000000000002</v>
      </c>
      <c r="L373" s="27">
        <v>3107.72</v>
      </c>
      <c r="M373" s="31" t="s">
        <v>3520</v>
      </c>
      <c r="N373" s="18"/>
      <c r="O373" s="25">
        <v>30949.39</v>
      </c>
      <c r="P373" s="25">
        <v>10473.969999999999</v>
      </c>
      <c r="Q373" s="28">
        <v>41423.360000000001</v>
      </c>
    </row>
    <row r="374" spans="1:17" ht="12" customHeight="1" x14ac:dyDescent="0.2">
      <c r="A374" s="21" t="s">
        <v>2956</v>
      </c>
      <c r="B374" s="21" t="s">
        <v>2957</v>
      </c>
      <c r="C374" s="21" t="s">
        <v>2958</v>
      </c>
      <c r="D374" s="21" t="s">
        <v>2959</v>
      </c>
      <c r="E374" s="22" t="s">
        <v>2960</v>
      </c>
      <c r="F374" s="23" t="s">
        <v>2961</v>
      </c>
      <c r="G374" s="34" t="s">
        <v>2962</v>
      </c>
      <c r="H374" s="18">
        <v>55161.599999999999</v>
      </c>
      <c r="I374" s="25">
        <v>981.24</v>
      </c>
      <c r="J374" s="25">
        <v>23113.24</v>
      </c>
      <c r="K374" s="18">
        <v>2041.12</v>
      </c>
      <c r="L374" s="27">
        <v>75.400000000000006</v>
      </c>
      <c r="M374" s="31" t="s">
        <v>3520</v>
      </c>
      <c r="N374" s="18"/>
      <c r="O374" s="18">
        <v>26211</v>
      </c>
      <c r="P374" s="25">
        <v>15172.57</v>
      </c>
      <c r="Q374" s="28">
        <v>41383.57</v>
      </c>
    </row>
    <row r="375" spans="1:17" ht="12" customHeight="1" x14ac:dyDescent="0.2">
      <c r="A375" s="21" t="s">
        <v>2963</v>
      </c>
      <c r="B375" s="21" t="s">
        <v>2964</v>
      </c>
      <c r="C375" s="21" t="s">
        <v>2965</v>
      </c>
      <c r="D375" s="21" t="s">
        <v>2966</v>
      </c>
      <c r="E375" s="22" t="s">
        <v>2967</v>
      </c>
      <c r="F375" s="23" t="s">
        <v>2968</v>
      </c>
      <c r="G375" s="34" t="s">
        <v>2969</v>
      </c>
      <c r="H375" s="25">
        <v>39956.800000000003</v>
      </c>
      <c r="I375" s="25">
        <v>80.3</v>
      </c>
      <c r="J375" s="25">
        <v>23244.560000000001</v>
      </c>
      <c r="K375" s="18">
        <v>410.33</v>
      </c>
      <c r="L375" s="27">
        <v>248.33</v>
      </c>
      <c r="M375" s="31" t="s">
        <v>3520</v>
      </c>
      <c r="N375" s="18"/>
      <c r="O375" s="25">
        <v>23983.52</v>
      </c>
      <c r="P375" s="25">
        <v>16825.189999999999</v>
      </c>
      <c r="Q375" s="28">
        <v>40808.71</v>
      </c>
    </row>
    <row r="376" spans="1:17" ht="12" customHeight="1" x14ac:dyDescent="0.2">
      <c r="A376" s="21" t="s">
        <v>2970</v>
      </c>
      <c r="B376" s="21" t="s">
        <v>2971</v>
      </c>
      <c r="C376" s="21" t="s">
        <v>2972</v>
      </c>
      <c r="D376" s="21" t="s">
        <v>2973</v>
      </c>
      <c r="E376" s="22" t="s">
        <v>2974</v>
      </c>
      <c r="F376" s="23" t="s">
        <v>2975</v>
      </c>
      <c r="G376" s="33" t="s">
        <v>2976</v>
      </c>
      <c r="H376" s="25">
        <v>37689.599999999999</v>
      </c>
      <c r="I376" s="26" t="s">
        <v>2977</v>
      </c>
      <c r="J376" s="25">
        <v>22447.78</v>
      </c>
      <c r="K376" s="18">
        <v>3421.7</v>
      </c>
      <c r="L376" s="27" t="s">
        <v>3520</v>
      </c>
      <c r="M376" s="31" t="s">
        <v>3520</v>
      </c>
      <c r="N376" s="18"/>
      <c r="O376" s="25">
        <v>25869.48</v>
      </c>
      <c r="P376" s="25">
        <v>13276.82</v>
      </c>
      <c r="Q376" s="28">
        <v>39146.300000000003</v>
      </c>
    </row>
    <row r="377" spans="1:17" ht="12" customHeight="1" x14ac:dyDescent="0.2">
      <c r="A377" s="21" t="s">
        <v>2978</v>
      </c>
      <c r="B377" s="21" t="s">
        <v>2979</v>
      </c>
      <c r="C377" s="21" t="s">
        <v>2980</v>
      </c>
      <c r="D377" s="21" t="s">
        <v>2981</v>
      </c>
      <c r="E377" s="22" t="s">
        <v>2982</v>
      </c>
      <c r="F377" s="23" t="s">
        <v>2983</v>
      </c>
      <c r="G377" s="33" t="s">
        <v>2984</v>
      </c>
      <c r="H377" s="25">
        <v>35360</v>
      </c>
      <c r="I377" s="26" t="s">
        <v>2985</v>
      </c>
      <c r="J377" s="25">
        <v>29986.3</v>
      </c>
      <c r="K377" s="18">
        <v>544.71</v>
      </c>
      <c r="L377" s="27">
        <v>102.51</v>
      </c>
      <c r="M377" s="31" t="s">
        <v>3520</v>
      </c>
      <c r="N377" s="18"/>
      <c r="O377" s="25">
        <v>30633.52</v>
      </c>
      <c r="P377" s="25">
        <v>8106.32</v>
      </c>
      <c r="Q377" s="28">
        <v>38739.839999999997</v>
      </c>
    </row>
    <row r="378" spans="1:17" ht="12" customHeight="1" x14ac:dyDescent="0.2">
      <c r="A378" s="21" t="s">
        <v>2986</v>
      </c>
      <c r="B378" s="21" t="s">
        <v>2987</v>
      </c>
      <c r="C378" s="21" t="s">
        <v>2988</v>
      </c>
      <c r="D378" s="21" t="s">
        <v>2989</v>
      </c>
      <c r="E378" s="22" t="s">
        <v>2990</v>
      </c>
      <c r="F378" s="23" t="s">
        <v>2991</v>
      </c>
      <c r="G378" s="33" t="s">
        <v>2992</v>
      </c>
      <c r="H378" s="25">
        <v>32136</v>
      </c>
      <c r="I378" s="26" t="s">
        <v>2993</v>
      </c>
      <c r="J378" s="25">
        <v>29674.83</v>
      </c>
      <c r="K378" s="18">
        <v>1055.18</v>
      </c>
      <c r="L378" s="27" t="s">
        <v>3520</v>
      </c>
      <c r="M378" s="31" t="s">
        <v>3520</v>
      </c>
      <c r="N378" s="18"/>
      <c r="O378" s="25">
        <v>30730.01</v>
      </c>
      <c r="P378" s="25">
        <v>7568.37</v>
      </c>
      <c r="Q378" s="28">
        <v>38298.379999999997</v>
      </c>
    </row>
    <row r="379" spans="1:17" ht="12" customHeight="1" x14ac:dyDescent="0.2">
      <c r="A379" s="21" t="s">
        <v>2994</v>
      </c>
      <c r="B379" s="21" t="s">
        <v>2995</v>
      </c>
      <c r="C379" s="21" t="s">
        <v>2996</v>
      </c>
      <c r="D379" s="21" t="s">
        <v>2997</v>
      </c>
      <c r="E379" s="22" t="s">
        <v>2998</v>
      </c>
      <c r="F379" s="23" t="s">
        <v>2999</v>
      </c>
      <c r="G379" s="33" t="s">
        <v>3000</v>
      </c>
      <c r="H379" s="25">
        <v>54497.78</v>
      </c>
      <c r="I379" s="26" t="s">
        <v>3001</v>
      </c>
      <c r="J379" s="25">
        <v>14188.01</v>
      </c>
      <c r="K379" s="18">
        <v>3211.51</v>
      </c>
      <c r="L379" s="27" t="s">
        <v>3520</v>
      </c>
      <c r="M379" s="31" t="s">
        <v>3520</v>
      </c>
      <c r="N379" s="18"/>
      <c r="O379" s="25">
        <v>17399.52</v>
      </c>
      <c r="P379" s="25">
        <v>20156.810000000001</v>
      </c>
      <c r="Q379" s="28">
        <v>37556.33</v>
      </c>
    </row>
    <row r="380" spans="1:17" ht="12" customHeight="1" x14ac:dyDescent="0.2">
      <c r="A380" s="21" t="s">
        <v>3002</v>
      </c>
      <c r="B380" s="21" t="s">
        <v>3003</v>
      </c>
      <c r="C380" s="21" t="s">
        <v>3004</v>
      </c>
      <c r="D380" s="21" t="s">
        <v>3005</v>
      </c>
      <c r="E380" s="22" t="s">
        <v>3006</v>
      </c>
      <c r="F380" s="23" t="s">
        <v>3007</v>
      </c>
      <c r="G380" s="34" t="s">
        <v>3008</v>
      </c>
      <c r="H380" s="25">
        <v>37440</v>
      </c>
      <c r="I380" s="25">
        <v>392.76</v>
      </c>
      <c r="J380" s="25">
        <v>24233.94</v>
      </c>
      <c r="K380" s="18">
        <v>612.76</v>
      </c>
      <c r="L380" s="27">
        <v>150</v>
      </c>
      <c r="M380" s="31" t="s">
        <v>3520</v>
      </c>
      <c r="N380" s="18"/>
      <c r="O380" s="18">
        <v>25389.46</v>
      </c>
      <c r="P380" s="25">
        <v>12140.88</v>
      </c>
      <c r="Q380" s="28">
        <v>37530.339999999997</v>
      </c>
    </row>
    <row r="381" spans="1:17" ht="12" customHeight="1" x14ac:dyDescent="0.2">
      <c r="A381" s="21" t="s">
        <v>3009</v>
      </c>
      <c r="B381" s="21" t="s">
        <v>3010</v>
      </c>
      <c r="C381" s="21" t="s">
        <v>3011</v>
      </c>
      <c r="D381" s="21" t="s">
        <v>3012</v>
      </c>
      <c r="E381" s="22" t="s">
        <v>3013</v>
      </c>
      <c r="F381" s="23" t="s">
        <v>3014</v>
      </c>
      <c r="G381" s="33" t="s">
        <v>3015</v>
      </c>
      <c r="H381" s="25">
        <v>39728</v>
      </c>
      <c r="I381" s="26" t="s">
        <v>3016</v>
      </c>
      <c r="J381" s="25">
        <v>29622.560000000001</v>
      </c>
      <c r="K381" s="18">
        <v>525.84</v>
      </c>
      <c r="L381" s="27" t="s">
        <v>3520</v>
      </c>
      <c r="M381" s="31" t="s">
        <v>3520</v>
      </c>
      <c r="N381" s="18"/>
      <c r="O381" s="25">
        <v>30148.400000000001</v>
      </c>
      <c r="P381" s="25">
        <v>7265.12</v>
      </c>
      <c r="Q381" s="28">
        <v>37413.519999999997</v>
      </c>
    </row>
    <row r="382" spans="1:17" ht="12" customHeight="1" x14ac:dyDescent="0.2">
      <c r="A382" s="21" t="s">
        <v>3017</v>
      </c>
      <c r="B382" s="21" t="s">
        <v>3018</v>
      </c>
      <c r="C382" s="21" t="s">
        <v>3019</v>
      </c>
      <c r="D382" s="21" t="s">
        <v>3020</v>
      </c>
      <c r="E382" s="22" t="s">
        <v>3021</v>
      </c>
      <c r="F382" s="23" t="s">
        <v>3022</v>
      </c>
      <c r="G382" s="34" t="s">
        <v>3023</v>
      </c>
      <c r="H382" s="25">
        <v>35651.199999999997</v>
      </c>
      <c r="I382" s="25">
        <v>529.28</v>
      </c>
      <c r="J382" s="25">
        <v>20517.400000000001</v>
      </c>
      <c r="K382" s="18">
        <v>171.3</v>
      </c>
      <c r="L382" s="27">
        <v>163.33000000000001</v>
      </c>
      <c r="M382" s="31" t="s">
        <v>3520</v>
      </c>
      <c r="N382" s="18"/>
      <c r="O382" s="18">
        <v>21381.31</v>
      </c>
      <c r="P382" s="25">
        <v>15366.99</v>
      </c>
      <c r="Q382" s="28">
        <v>36748.300000000003</v>
      </c>
    </row>
    <row r="383" spans="1:17" ht="12" customHeight="1" x14ac:dyDescent="0.2">
      <c r="A383" s="21" t="s">
        <v>3024</v>
      </c>
      <c r="B383" s="21" t="s">
        <v>3025</v>
      </c>
      <c r="C383" s="21" t="s">
        <v>3026</v>
      </c>
      <c r="D383" s="21" t="s">
        <v>3027</v>
      </c>
      <c r="E383" s="22" t="s">
        <v>3028</v>
      </c>
      <c r="F383" s="23" t="s">
        <v>3029</v>
      </c>
      <c r="G383" s="33" t="s">
        <v>3030</v>
      </c>
      <c r="H383" s="25">
        <v>16712.8</v>
      </c>
      <c r="I383" s="26" t="s">
        <v>3031</v>
      </c>
      <c r="J383" s="25">
        <v>23925.98</v>
      </c>
      <c r="K383" s="18">
        <v>31.57</v>
      </c>
      <c r="L383" s="27" t="s">
        <v>3520</v>
      </c>
      <c r="M383" s="31" t="s">
        <v>3520</v>
      </c>
      <c r="N383" s="18"/>
      <c r="O383" s="25">
        <v>23957.55</v>
      </c>
      <c r="P383" s="25">
        <v>12717.15</v>
      </c>
      <c r="Q383" s="28">
        <v>36674.699999999997</v>
      </c>
    </row>
    <row r="384" spans="1:17" ht="12" customHeight="1" x14ac:dyDescent="0.2">
      <c r="A384" s="21" t="s">
        <v>3032</v>
      </c>
      <c r="B384" s="21" t="s">
        <v>3033</v>
      </c>
      <c r="C384" s="21" t="s">
        <v>3034</v>
      </c>
      <c r="D384" s="21" t="s">
        <v>3035</v>
      </c>
      <c r="E384" s="22" t="s">
        <v>3036</v>
      </c>
      <c r="F384" s="23" t="s">
        <v>3037</v>
      </c>
      <c r="G384" s="33" t="s">
        <v>3038</v>
      </c>
      <c r="H384" s="25">
        <v>47507.199999999997</v>
      </c>
      <c r="I384" s="26" t="s">
        <v>3039</v>
      </c>
      <c r="J384" s="25">
        <v>17943.79</v>
      </c>
      <c r="K384" s="18">
        <v>1001.48</v>
      </c>
      <c r="L384" s="27">
        <v>50</v>
      </c>
      <c r="M384" s="31" t="s">
        <v>3520</v>
      </c>
      <c r="N384" s="18"/>
      <c r="O384" s="25">
        <v>18995.27</v>
      </c>
      <c r="P384" s="25">
        <v>17418.830000000002</v>
      </c>
      <c r="Q384" s="28">
        <v>36414.1</v>
      </c>
    </row>
    <row r="385" spans="1:17" ht="12" customHeight="1" x14ac:dyDescent="0.2">
      <c r="A385" s="21" t="s">
        <v>3040</v>
      </c>
      <c r="B385" s="21" t="s">
        <v>3041</v>
      </c>
      <c r="C385" s="21" t="s">
        <v>3042</v>
      </c>
      <c r="D385" s="21" t="s">
        <v>3043</v>
      </c>
      <c r="E385" s="22" t="s">
        <v>3044</v>
      </c>
      <c r="F385" s="23" t="s">
        <v>3045</v>
      </c>
      <c r="G385" s="34" t="s">
        <v>3046</v>
      </c>
      <c r="H385" s="25">
        <v>36337.599999999999</v>
      </c>
      <c r="I385" s="25">
        <v>311.49</v>
      </c>
      <c r="J385" s="25">
        <v>22212.69</v>
      </c>
      <c r="K385" s="18">
        <v>164.32</v>
      </c>
      <c r="L385" s="27">
        <v>1254</v>
      </c>
      <c r="M385" s="31" t="s">
        <v>3520</v>
      </c>
      <c r="N385" s="18"/>
      <c r="O385" s="18">
        <v>23942.5</v>
      </c>
      <c r="P385" s="25">
        <v>11995.84</v>
      </c>
      <c r="Q385" s="28">
        <v>35938.339999999997</v>
      </c>
    </row>
    <row r="386" spans="1:17" ht="12" customHeight="1" x14ac:dyDescent="0.2">
      <c r="A386" s="21" t="s">
        <v>3047</v>
      </c>
      <c r="B386" s="21" t="s">
        <v>3048</v>
      </c>
      <c r="C386" s="21" t="s">
        <v>3049</v>
      </c>
      <c r="D386" s="21" t="s">
        <v>3050</v>
      </c>
      <c r="E386" s="22" t="s">
        <v>3051</v>
      </c>
      <c r="F386" s="23" t="s">
        <v>3052</v>
      </c>
      <c r="G386" s="33" t="s">
        <v>3053</v>
      </c>
      <c r="H386" s="25">
        <v>40040</v>
      </c>
      <c r="I386" s="26" t="s">
        <v>3054</v>
      </c>
      <c r="J386" s="25">
        <v>26756.21</v>
      </c>
      <c r="K386" s="18">
        <v>72.489999999999995</v>
      </c>
      <c r="L386" s="27" t="s">
        <v>3520</v>
      </c>
      <c r="M386" s="31" t="s">
        <v>3520</v>
      </c>
      <c r="N386" s="18"/>
      <c r="O386" s="25">
        <v>26828.7</v>
      </c>
      <c r="P386" s="25">
        <v>6651.96</v>
      </c>
      <c r="Q386" s="28">
        <v>33480.660000000003</v>
      </c>
    </row>
    <row r="387" spans="1:17" ht="12" customHeight="1" x14ac:dyDescent="0.2">
      <c r="A387" s="21" t="s">
        <v>3055</v>
      </c>
      <c r="B387" s="21" t="s">
        <v>3056</v>
      </c>
      <c r="C387" s="21" t="s">
        <v>3057</v>
      </c>
      <c r="D387" s="21" t="s">
        <v>3058</v>
      </c>
      <c r="E387" s="22" t="s">
        <v>3059</v>
      </c>
      <c r="F387" s="23" t="s">
        <v>3060</v>
      </c>
      <c r="G387" s="33" t="s">
        <v>3061</v>
      </c>
      <c r="H387" s="25">
        <v>33280</v>
      </c>
      <c r="I387" s="26" t="s">
        <v>3062</v>
      </c>
      <c r="J387" s="25">
        <v>18320.96</v>
      </c>
      <c r="K387" s="18">
        <v>1931.34</v>
      </c>
      <c r="L387" s="27">
        <v>380.8</v>
      </c>
      <c r="M387" s="31" t="s">
        <v>3520</v>
      </c>
      <c r="N387" s="18"/>
      <c r="O387" s="25">
        <v>20633.099999999999</v>
      </c>
      <c r="P387" s="25">
        <v>11984.42</v>
      </c>
      <c r="Q387" s="28">
        <v>32617.52</v>
      </c>
    </row>
    <row r="388" spans="1:17" ht="12" customHeight="1" x14ac:dyDescent="0.2">
      <c r="A388" s="21" t="s">
        <v>3063</v>
      </c>
      <c r="B388" s="21" t="s">
        <v>3064</v>
      </c>
      <c r="C388" s="21" t="s">
        <v>3065</v>
      </c>
      <c r="D388" s="21" t="s">
        <v>3066</v>
      </c>
      <c r="E388" s="22" t="s">
        <v>3067</v>
      </c>
      <c r="F388" s="23" t="s">
        <v>3068</v>
      </c>
      <c r="G388" s="34" t="s">
        <v>3069</v>
      </c>
      <c r="H388" s="25">
        <v>42640</v>
      </c>
      <c r="I388" s="25">
        <v>856.29</v>
      </c>
      <c r="J388" s="25">
        <v>24091.06</v>
      </c>
      <c r="K388" s="18">
        <v>452.59</v>
      </c>
      <c r="L388" s="27">
        <v>350</v>
      </c>
      <c r="M388" s="31" t="s">
        <v>3520</v>
      </c>
      <c r="N388" s="18"/>
      <c r="O388" s="18">
        <v>25749.94</v>
      </c>
      <c r="P388" s="25">
        <v>6662.56</v>
      </c>
      <c r="Q388" s="28">
        <v>32412.5</v>
      </c>
    </row>
    <row r="389" spans="1:17" ht="12" customHeight="1" x14ac:dyDescent="0.2">
      <c r="A389" s="21" t="s">
        <v>3070</v>
      </c>
      <c r="B389" s="21" t="s">
        <v>3071</v>
      </c>
      <c r="C389" s="21" t="s">
        <v>3072</v>
      </c>
      <c r="D389" s="21" t="s">
        <v>3073</v>
      </c>
      <c r="E389" s="22" t="s">
        <v>3074</v>
      </c>
      <c r="F389" s="23" t="s">
        <v>3075</v>
      </c>
      <c r="G389" s="33" t="s">
        <v>3076</v>
      </c>
      <c r="H389" s="25">
        <v>32323.200000000001</v>
      </c>
      <c r="I389" s="26" t="s">
        <v>3077</v>
      </c>
      <c r="J389" s="25">
        <v>17691.97</v>
      </c>
      <c r="K389" s="18">
        <v>2085.29</v>
      </c>
      <c r="L389" s="27">
        <v>430.8</v>
      </c>
      <c r="M389" s="31" t="s">
        <v>3520</v>
      </c>
      <c r="N389" s="18"/>
      <c r="O389" s="25">
        <v>20208.060000000001</v>
      </c>
      <c r="P389" s="25">
        <v>12060.17</v>
      </c>
      <c r="Q389" s="28">
        <v>32268.23</v>
      </c>
    </row>
    <row r="390" spans="1:17" ht="12" customHeight="1" x14ac:dyDescent="0.2">
      <c r="A390" s="21" t="s">
        <v>3078</v>
      </c>
      <c r="B390" s="21" t="s">
        <v>3079</v>
      </c>
      <c r="C390" s="21" t="s">
        <v>3080</v>
      </c>
      <c r="D390" s="21" t="s">
        <v>3081</v>
      </c>
      <c r="E390" s="22" t="s">
        <v>3082</v>
      </c>
      <c r="F390" s="23" t="s">
        <v>3083</v>
      </c>
      <c r="G390" s="34" t="s">
        <v>3084</v>
      </c>
      <c r="H390" s="25">
        <v>99452.86</v>
      </c>
      <c r="I390" s="25">
        <v>15393.86</v>
      </c>
      <c r="J390" s="18">
        <v>7650.22</v>
      </c>
      <c r="K390" s="18" t="s">
        <v>3520</v>
      </c>
      <c r="L390" s="30">
        <v>1958</v>
      </c>
      <c r="M390" s="31" t="s">
        <v>3520</v>
      </c>
      <c r="N390" s="18"/>
      <c r="O390" s="25">
        <v>25002.080000000002</v>
      </c>
      <c r="P390" s="25">
        <v>6762.69</v>
      </c>
      <c r="Q390" s="28">
        <v>31764.77</v>
      </c>
    </row>
    <row r="391" spans="1:17" ht="12" customHeight="1" x14ac:dyDescent="0.2">
      <c r="A391" s="21" t="s">
        <v>3085</v>
      </c>
      <c r="B391" s="21" t="s">
        <v>3086</v>
      </c>
      <c r="C391" s="21" t="s">
        <v>3087</v>
      </c>
      <c r="D391" s="21" t="s">
        <v>3088</v>
      </c>
      <c r="E391" s="22" t="s">
        <v>3089</v>
      </c>
      <c r="F391" s="23" t="s">
        <v>3090</v>
      </c>
      <c r="G391" s="34" t="s">
        <v>3091</v>
      </c>
      <c r="H391" s="25">
        <v>78217.62</v>
      </c>
      <c r="I391" s="25">
        <v>496.38</v>
      </c>
      <c r="J391" s="18">
        <v>24251.26</v>
      </c>
      <c r="K391" s="18" t="s">
        <v>3520</v>
      </c>
      <c r="L391" s="27">
        <v>543.33000000000004</v>
      </c>
      <c r="M391" s="31" t="s">
        <v>3520</v>
      </c>
      <c r="N391" s="18"/>
      <c r="O391" s="25">
        <v>25290.97</v>
      </c>
      <c r="P391" s="25">
        <v>6215.03</v>
      </c>
      <c r="Q391" s="28">
        <v>31506</v>
      </c>
    </row>
    <row r="392" spans="1:17" ht="12" customHeight="1" x14ac:dyDescent="0.2">
      <c r="A392" s="21" t="s">
        <v>3092</v>
      </c>
      <c r="B392" s="21" t="s">
        <v>3093</v>
      </c>
      <c r="C392" s="21" t="s">
        <v>3094</v>
      </c>
      <c r="D392" s="21" t="s">
        <v>3095</v>
      </c>
      <c r="E392" s="22" t="s">
        <v>3096</v>
      </c>
      <c r="F392" s="23" t="s">
        <v>3097</v>
      </c>
      <c r="G392" s="33" t="s">
        <v>3098</v>
      </c>
      <c r="H392" s="25">
        <v>35360</v>
      </c>
      <c r="I392" s="26" t="s">
        <v>3099</v>
      </c>
      <c r="J392" s="25">
        <v>14991.45</v>
      </c>
      <c r="K392" s="18">
        <v>336.88</v>
      </c>
      <c r="L392" s="27" t="s">
        <v>3520</v>
      </c>
      <c r="M392" s="31" t="s">
        <v>3520</v>
      </c>
      <c r="N392" s="18"/>
      <c r="O392" s="25">
        <v>15328.33</v>
      </c>
      <c r="P392" s="25">
        <v>15604.69</v>
      </c>
      <c r="Q392" s="28">
        <v>30933.02</v>
      </c>
    </row>
    <row r="393" spans="1:17" ht="11" customHeight="1" thickBot="1" x14ac:dyDescent="0.25">
      <c r="A393" s="21" t="s">
        <v>3100</v>
      </c>
      <c r="B393" s="21" t="s">
        <v>3101</v>
      </c>
      <c r="C393" s="21" t="s">
        <v>3102</v>
      </c>
      <c r="D393" s="21" t="s">
        <v>3103</v>
      </c>
      <c r="E393" s="22" t="s">
        <v>3104</v>
      </c>
      <c r="F393" s="23" t="s">
        <v>3105</v>
      </c>
      <c r="G393" s="33" t="s">
        <v>3106</v>
      </c>
      <c r="H393" s="18" t="s">
        <v>3107</v>
      </c>
      <c r="I393" s="26" t="s">
        <v>3108</v>
      </c>
      <c r="J393" s="18">
        <v>26322.080000000002</v>
      </c>
      <c r="K393" s="18">
        <v>1394.07</v>
      </c>
      <c r="L393" s="27">
        <v>948.68</v>
      </c>
      <c r="M393" s="31" t="s">
        <v>3520</v>
      </c>
      <c r="N393" s="18"/>
      <c r="O393" s="25">
        <v>28664.83</v>
      </c>
      <c r="P393" s="25">
        <v>2192.85</v>
      </c>
      <c r="Q393" s="28">
        <v>30857.68</v>
      </c>
    </row>
    <row r="394" spans="1:17" ht="12" customHeight="1" x14ac:dyDescent="0.2">
      <c r="A394" s="10" t="s">
        <v>3109</v>
      </c>
      <c r="B394" s="10" t="s">
        <v>3110</v>
      </c>
      <c r="C394" s="10" t="s">
        <v>3111</v>
      </c>
      <c r="D394" s="10" t="s">
        <v>3112</v>
      </c>
      <c r="E394" s="11" t="s">
        <v>3113</v>
      </c>
      <c r="F394" s="12" t="s">
        <v>3114</v>
      </c>
      <c r="G394" s="35" t="s">
        <v>3115</v>
      </c>
      <c r="H394" s="16">
        <v>35713.599999999999</v>
      </c>
      <c r="I394" s="36">
        <v>295.83999999999997</v>
      </c>
      <c r="J394" s="14">
        <v>19035.73</v>
      </c>
      <c r="K394" s="16">
        <v>34.51</v>
      </c>
      <c r="L394" s="17">
        <v>1239.33</v>
      </c>
      <c r="M394" s="37" t="s">
        <v>3116</v>
      </c>
      <c r="N394" s="18"/>
      <c r="O394" s="17">
        <v>20605.41</v>
      </c>
      <c r="P394" s="14">
        <v>10216.19</v>
      </c>
      <c r="Q394" s="20">
        <v>30821.599999999999</v>
      </c>
    </row>
    <row r="395" spans="1:17" ht="12" customHeight="1" x14ac:dyDescent="0.2">
      <c r="A395" s="21" t="s">
        <v>3117</v>
      </c>
      <c r="B395" s="21" t="s">
        <v>3118</v>
      </c>
      <c r="C395" s="21" t="s">
        <v>3119</v>
      </c>
      <c r="D395" s="21" t="s">
        <v>3120</v>
      </c>
      <c r="E395" s="22" t="s">
        <v>3121</v>
      </c>
      <c r="F395" s="23" t="s">
        <v>3122</v>
      </c>
      <c r="G395" s="33" t="s">
        <v>3123</v>
      </c>
      <c r="H395" s="18">
        <v>35360</v>
      </c>
      <c r="I395" s="38" t="s">
        <v>3124</v>
      </c>
      <c r="J395" s="25">
        <v>19039.66</v>
      </c>
      <c r="K395" s="18">
        <v>4.8600000000000003</v>
      </c>
      <c r="L395" s="27">
        <v>50</v>
      </c>
      <c r="M395" s="29" t="s">
        <v>3125</v>
      </c>
      <c r="N395" s="18"/>
      <c r="O395" s="27">
        <v>19094.52</v>
      </c>
      <c r="P395" s="25">
        <v>11640.77</v>
      </c>
      <c r="Q395" s="28">
        <v>30735.29</v>
      </c>
    </row>
    <row r="396" spans="1:17" ht="12" customHeight="1" x14ac:dyDescent="0.2">
      <c r="A396" s="21" t="s">
        <v>3126</v>
      </c>
      <c r="B396" s="21" t="s">
        <v>3127</v>
      </c>
      <c r="C396" s="21" t="s">
        <v>3128</v>
      </c>
      <c r="D396" s="21" t="s">
        <v>3129</v>
      </c>
      <c r="E396" s="22" t="s">
        <v>3130</v>
      </c>
      <c r="F396" s="23" t="s">
        <v>3131</v>
      </c>
      <c r="G396" s="33" t="s">
        <v>3132</v>
      </c>
      <c r="H396" s="18">
        <v>42640</v>
      </c>
      <c r="I396" s="38" t="s">
        <v>3133</v>
      </c>
      <c r="J396" s="25">
        <v>18068.11</v>
      </c>
      <c r="K396" s="18">
        <v>710.46</v>
      </c>
      <c r="L396" s="27">
        <v>50</v>
      </c>
      <c r="M396" s="29" t="s">
        <v>3134</v>
      </c>
      <c r="N396" s="18"/>
      <c r="O396" s="27">
        <v>18828.57</v>
      </c>
      <c r="P396" s="25">
        <v>11742.24</v>
      </c>
      <c r="Q396" s="28">
        <v>30570.81</v>
      </c>
    </row>
    <row r="397" spans="1:17" ht="12" customHeight="1" x14ac:dyDescent="0.2">
      <c r="A397" s="21" t="s">
        <v>3135</v>
      </c>
      <c r="B397" s="21" t="s">
        <v>3136</v>
      </c>
      <c r="C397" s="21" t="s">
        <v>3137</v>
      </c>
      <c r="D397" s="21" t="s">
        <v>3138</v>
      </c>
      <c r="E397" s="22" t="s">
        <v>3139</v>
      </c>
      <c r="F397" s="23" t="s">
        <v>3140</v>
      </c>
      <c r="G397" s="34" t="s">
        <v>3141</v>
      </c>
      <c r="H397" s="18">
        <v>129851.28</v>
      </c>
      <c r="I397" s="39">
        <v>13498.91</v>
      </c>
      <c r="J397" s="18">
        <v>9795.09</v>
      </c>
      <c r="K397" s="18" t="s">
        <v>3520</v>
      </c>
      <c r="L397" s="30">
        <v>375</v>
      </c>
      <c r="M397" s="40"/>
      <c r="N397" s="18"/>
      <c r="O397" s="27">
        <v>23669</v>
      </c>
      <c r="P397" s="25">
        <v>6420.38</v>
      </c>
      <c r="Q397" s="28">
        <v>30089.38</v>
      </c>
    </row>
    <row r="398" spans="1:17" ht="12" customHeight="1" x14ac:dyDescent="0.2">
      <c r="A398" s="21" t="s">
        <v>3142</v>
      </c>
      <c r="B398" s="21" t="s">
        <v>3143</v>
      </c>
      <c r="C398" s="21" t="s">
        <v>3144</v>
      </c>
      <c r="D398" s="21" t="s">
        <v>3145</v>
      </c>
      <c r="E398" s="22" t="s">
        <v>3146</v>
      </c>
      <c r="F398" s="23" t="s">
        <v>3147</v>
      </c>
      <c r="G398" s="33" t="s">
        <v>3148</v>
      </c>
      <c r="H398" s="18">
        <v>59722.52</v>
      </c>
      <c r="I398" s="38" t="s">
        <v>3149</v>
      </c>
      <c r="J398" s="25">
        <v>17357.68</v>
      </c>
      <c r="K398" s="18">
        <v>1070.93</v>
      </c>
      <c r="L398" s="27">
        <v>319.94</v>
      </c>
      <c r="M398" s="41">
        <v>520.08000000000004</v>
      </c>
      <c r="N398" s="18"/>
      <c r="O398" s="27">
        <v>19268.63</v>
      </c>
      <c r="P398" s="25">
        <v>10817.45</v>
      </c>
      <c r="Q398" s="28">
        <v>30086.080000000002</v>
      </c>
    </row>
    <row r="399" spans="1:17" ht="12" customHeight="1" x14ac:dyDescent="0.2">
      <c r="A399" s="21" t="s">
        <v>3150</v>
      </c>
      <c r="B399" s="21" t="s">
        <v>3151</v>
      </c>
      <c r="C399" s="21" t="s">
        <v>3152</v>
      </c>
      <c r="D399" s="21" t="s">
        <v>3153</v>
      </c>
      <c r="E399" s="22" t="s">
        <v>3154</v>
      </c>
      <c r="F399" s="23" t="s">
        <v>3155</v>
      </c>
      <c r="G399" s="33" t="s">
        <v>3156</v>
      </c>
      <c r="H399" s="18">
        <v>33425.599999999999</v>
      </c>
      <c r="I399" s="38" t="s">
        <v>3157</v>
      </c>
      <c r="J399" s="25">
        <v>14934.08</v>
      </c>
      <c r="K399" s="18">
        <v>833.83</v>
      </c>
      <c r="L399" s="27">
        <v>683.33</v>
      </c>
      <c r="M399" s="29" t="s">
        <v>3158</v>
      </c>
      <c r="N399" s="18"/>
      <c r="O399" s="27">
        <v>16451.240000000002</v>
      </c>
      <c r="P399" s="25">
        <v>13095.22</v>
      </c>
      <c r="Q399" s="28">
        <v>29546.46</v>
      </c>
    </row>
    <row r="400" spans="1:17" ht="12" customHeight="1" x14ac:dyDescent="0.2">
      <c r="A400" s="21" t="s">
        <v>3159</v>
      </c>
      <c r="B400" s="21" t="s">
        <v>3160</v>
      </c>
      <c r="C400" s="21" t="s">
        <v>3161</v>
      </c>
      <c r="D400" s="21" t="s">
        <v>3162</v>
      </c>
      <c r="E400" s="22" t="s">
        <v>3163</v>
      </c>
      <c r="F400" s="23" t="s">
        <v>3164</v>
      </c>
      <c r="G400" s="34" t="s">
        <v>3165</v>
      </c>
      <c r="H400" s="18">
        <v>33425.599999999999</v>
      </c>
      <c r="I400" s="39">
        <v>250.21</v>
      </c>
      <c r="J400" s="25">
        <v>18240.78</v>
      </c>
      <c r="K400" s="18">
        <v>654.39</v>
      </c>
      <c r="L400" s="27">
        <v>287.69</v>
      </c>
      <c r="M400" s="29" t="s">
        <v>3166</v>
      </c>
      <c r="N400" s="18"/>
      <c r="O400" s="27">
        <v>19433.07</v>
      </c>
      <c r="P400" s="25">
        <v>9946.9699999999993</v>
      </c>
      <c r="Q400" s="28">
        <v>29380.04</v>
      </c>
    </row>
    <row r="401" spans="1:17" ht="12" customHeight="1" x14ac:dyDescent="0.2">
      <c r="A401" s="21" t="s">
        <v>3167</v>
      </c>
      <c r="B401" s="21" t="s">
        <v>3168</v>
      </c>
      <c r="C401" s="21" t="s">
        <v>3169</v>
      </c>
      <c r="D401" s="21" t="s">
        <v>3170</v>
      </c>
      <c r="E401" s="22" t="s">
        <v>3171</v>
      </c>
      <c r="F401" s="23" t="s">
        <v>3172</v>
      </c>
      <c r="G401" s="33" t="s">
        <v>3173</v>
      </c>
      <c r="H401" s="18">
        <v>54497.78</v>
      </c>
      <c r="I401" s="38" t="s">
        <v>3174</v>
      </c>
      <c r="J401" s="25">
        <v>14463.85</v>
      </c>
      <c r="K401" s="18">
        <v>2970.56</v>
      </c>
      <c r="L401" s="27">
        <v>361.11</v>
      </c>
      <c r="M401" s="29" t="s">
        <v>3175</v>
      </c>
      <c r="N401" s="18"/>
      <c r="O401" s="27">
        <v>17795.52</v>
      </c>
      <c r="P401" s="25">
        <v>11468.21</v>
      </c>
      <c r="Q401" s="28">
        <v>29263.73</v>
      </c>
    </row>
    <row r="402" spans="1:17" ht="12" customHeight="1" x14ac:dyDescent="0.2">
      <c r="A402" s="21" t="s">
        <v>3176</v>
      </c>
      <c r="B402" s="21" t="s">
        <v>3177</v>
      </c>
      <c r="C402" s="21" t="s">
        <v>3178</v>
      </c>
      <c r="D402" s="21" t="s">
        <v>3179</v>
      </c>
      <c r="E402" s="22" t="s">
        <v>3180</v>
      </c>
      <c r="F402" s="23" t="s">
        <v>3181</v>
      </c>
      <c r="G402" s="33" t="s">
        <v>3182</v>
      </c>
      <c r="H402" s="18">
        <v>52543.17</v>
      </c>
      <c r="I402" s="38" t="s">
        <v>3183</v>
      </c>
      <c r="J402" s="25">
        <v>13579.44</v>
      </c>
      <c r="K402" s="18">
        <v>3434</v>
      </c>
      <c r="L402" s="27">
        <v>727.02</v>
      </c>
      <c r="M402" s="29" t="s">
        <v>3184</v>
      </c>
      <c r="N402" s="18"/>
      <c r="O402" s="27">
        <v>17740.46</v>
      </c>
      <c r="P402" s="25">
        <v>10429.99</v>
      </c>
      <c r="Q402" s="28">
        <v>28170.45</v>
      </c>
    </row>
    <row r="403" spans="1:17" ht="12" customHeight="1" x14ac:dyDescent="0.2">
      <c r="A403" s="21" t="s">
        <v>3185</v>
      </c>
      <c r="B403" s="21" t="s">
        <v>3186</v>
      </c>
      <c r="C403" s="21" t="s">
        <v>3187</v>
      </c>
      <c r="D403" s="21" t="s">
        <v>3188</v>
      </c>
      <c r="E403" s="22" t="s">
        <v>3189</v>
      </c>
      <c r="F403" s="23" t="s">
        <v>3190</v>
      </c>
      <c r="G403" s="34" t="s">
        <v>3191</v>
      </c>
      <c r="H403" s="18" t="s">
        <v>3192</v>
      </c>
      <c r="I403" s="27" t="s">
        <v>3520</v>
      </c>
      <c r="J403" s="25">
        <v>14738.12</v>
      </c>
      <c r="K403" s="18">
        <v>5618.18</v>
      </c>
      <c r="L403" s="27">
        <v>1629.55</v>
      </c>
      <c r="M403" s="29" t="s">
        <v>3193</v>
      </c>
      <c r="N403" s="18"/>
      <c r="O403" s="27">
        <v>21985.85</v>
      </c>
      <c r="P403" s="25">
        <v>6150.82</v>
      </c>
      <c r="Q403" s="28">
        <v>28136.67</v>
      </c>
    </row>
    <row r="404" spans="1:17" ht="12" customHeight="1" x14ac:dyDescent="0.2">
      <c r="A404" s="21" t="s">
        <v>3194</v>
      </c>
      <c r="B404" s="21" t="s">
        <v>3195</v>
      </c>
      <c r="C404" s="21" t="s">
        <v>3196</v>
      </c>
      <c r="D404" s="21" t="s">
        <v>3197</v>
      </c>
      <c r="E404" s="22" t="s">
        <v>3198</v>
      </c>
      <c r="F404" s="23" t="s">
        <v>3199</v>
      </c>
      <c r="G404" s="33" t="s">
        <v>3200</v>
      </c>
      <c r="H404" s="18">
        <v>62691.199999999997</v>
      </c>
      <c r="I404" s="38" t="s">
        <v>3201</v>
      </c>
      <c r="J404" s="25">
        <v>19786.759999999998</v>
      </c>
      <c r="K404" s="18">
        <v>590.82000000000005</v>
      </c>
      <c r="L404" s="27">
        <v>2351.4899999999998</v>
      </c>
      <c r="M404" s="29" t="s">
        <v>3202</v>
      </c>
      <c r="N404" s="18"/>
      <c r="O404" s="27">
        <v>22729.07</v>
      </c>
      <c r="P404" s="25">
        <v>5303.41</v>
      </c>
      <c r="Q404" s="28">
        <v>28032.48</v>
      </c>
    </row>
    <row r="405" spans="1:17" ht="12" customHeight="1" x14ac:dyDescent="0.2">
      <c r="A405" s="21" t="s">
        <v>3203</v>
      </c>
      <c r="B405" s="21" t="s">
        <v>3204</v>
      </c>
      <c r="C405" s="21" t="s">
        <v>3205</v>
      </c>
      <c r="D405" s="21" t="s">
        <v>3206</v>
      </c>
      <c r="E405" s="22" t="s">
        <v>3207</v>
      </c>
      <c r="F405" s="23" t="s">
        <v>3208</v>
      </c>
      <c r="G405" s="34" t="s">
        <v>3209</v>
      </c>
      <c r="H405" s="18">
        <v>104033.02</v>
      </c>
      <c r="I405" s="39">
        <v>7756.46</v>
      </c>
      <c r="J405" s="25">
        <v>11346.19</v>
      </c>
      <c r="K405" s="18" t="s">
        <v>3520</v>
      </c>
      <c r="L405" s="27">
        <v>704</v>
      </c>
      <c r="M405" s="29" t="s">
        <v>3210</v>
      </c>
      <c r="N405" s="18"/>
      <c r="O405" s="27">
        <v>19806.650000000001</v>
      </c>
      <c r="P405" s="25">
        <v>7890.46</v>
      </c>
      <c r="Q405" s="28">
        <v>27697.11</v>
      </c>
    </row>
    <row r="406" spans="1:17" ht="12" customHeight="1" x14ac:dyDescent="0.2">
      <c r="A406" s="21" t="s">
        <v>3211</v>
      </c>
      <c r="B406" s="21" t="s">
        <v>3212</v>
      </c>
      <c r="C406" s="21" t="s">
        <v>3213</v>
      </c>
      <c r="D406" s="21" t="s">
        <v>3214</v>
      </c>
      <c r="E406" s="22" t="s">
        <v>3215</v>
      </c>
      <c r="F406" s="23" t="s">
        <v>3216</v>
      </c>
      <c r="G406" s="34" t="s">
        <v>3217</v>
      </c>
      <c r="H406" s="18">
        <v>40560</v>
      </c>
      <c r="I406" s="39">
        <v>577.20000000000005</v>
      </c>
      <c r="J406" s="25">
        <v>12379</v>
      </c>
      <c r="K406" s="18">
        <v>794.98</v>
      </c>
      <c r="L406" s="27">
        <v>50</v>
      </c>
      <c r="M406" s="29" t="s">
        <v>3218</v>
      </c>
      <c r="N406" s="18"/>
      <c r="O406" s="27">
        <v>13801.18</v>
      </c>
      <c r="P406" s="25">
        <v>12802.62</v>
      </c>
      <c r="Q406" s="28">
        <v>26603.8</v>
      </c>
    </row>
    <row r="407" spans="1:17" ht="12" customHeight="1" x14ac:dyDescent="0.2">
      <c r="A407" s="21" t="s">
        <v>3219</v>
      </c>
      <c r="B407" s="21" t="s">
        <v>3220</v>
      </c>
      <c r="C407" s="21" t="s">
        <v>3221</v>
      </c>
      <c r="D407" s="21" t="s">
        <v>3222</v>
      </c>
      <c r="E407" s="22" t="s">
        <v>3223</v>
      </c>
      <c r="F407" s="23" t="s">
        <v>3224</v>
      </c>
      <c r="G407" s="33" t="s">
        <v>3225</v>
      </c>
      <c r="H407" s="18">
        <v>47008</v>
      </c>
      <c r="I407" s="38" t="s">
        <v>3226</v>
      </c>
      <c r="J407" s="25">
        <v>14585.59</v>
      </c>
      <c r="K407" s="18">
        <v>1640.11</v>
      </c>
      <c r="L407" s="27">
        <v>50</v>
      </c>
      <c r="M407" s="29" t="s">
        <v>3227</v>
      </c>
      <c r="N407" s="18"/>
      <c r="O407" s="27">
        <v>16275.7</v>
      </c>
      <c r="P407" s="25">
        <v>10058.36</v>
      </c>
      <c r="Q407" s="28">
        <v>26334.06</v>
      </c>
    </row>
    <row r="408" spans="1:17" ht="12" customHeight="1" x14ac:dyDescent="0.2">
      <c r="A408" s="21" t="s">
        <v>3228</v>
      </c>
      <c r="B408" s="21" t="s">
        <v>3229</v>
      </c>
      <c r="C408" s="21" t="s">
        <v>3230</v>
      </c>
      <c r="D408" s="21" t="s">
        <v>3231</v>
      </c>
      <c r="E408" s="22" t="s">
        <v>3232</v>
      </c>
      <c r="F408" s="23" t="s">
        <v>3233</v>
      </c>
      <c r="G408" s="34" t="s">
        <v>3234</v>
      </c>
      <c r="H408" s="18">
        <v>38294.699999999997</v>
      </c>
      <c r="I408" s="27" t="s">
        <v>3520</v>
      </c>
      <c r="J408" s="25">
        <v>11550.17</v>
      </c>
      <c r="K408" s="18">
        <v>6013.16</v>
      </c>
      <c r="L408" s="27">
        <v>1195.3599999999999</v>
      </c>
      <c r="M408" s="29" t="s">
        <v>3235</v>
      </c>
      <c r="N408" s="18"/>
      <c r="O408" s="27">
        <v>18758.689999999999</v>
      </c>
      <c r="P408" s="25">
        <v>7437.99</v>
      </c>
      <c r="Q408" s="28">
        <v>26196.68</v>
      </c>
    </row>
    <row r="409" spans="1:17" ht="12" customHeight="1" x14ac:dyDescent="0.2">
      <c r="A409" s="21" t="s">
        <v>3236</v>
      </c>
      <c r="B409" s="21" t="s">
        <v>3237</v>
      </c>
      <c r="C409" s="21" t="s">
        <v>3238</v>
      </c>
      <c r="D409" s="21" t="s">
        <v>3239</v>
      </c>
      <c r="E409" s="22" t="s">
        <v>3240</v>
      </c>
      <c r="F409" s="23" t="s">
        <v>3241</v>
      </c>
      <c r="G409" s="34" t="s">
        <v>3242</v>
      </c>
      <c r="H409" s="18">
        <v>56001.919999999998</v>
      </c>
      <c r="I409" s="39">
        <v>674.62</v>
      </c>
      <c r="J409" s="25">
        <v>12709.76</v>
      </c>
      <c r="K409" s="18">
        <v>770.13</v>
      </c>
      <c r="L409" s="27">
        <v>11.04</v>
      </c>
      <c r="M409" s="29" t="s">
        <v>3243</v>
      </c>
      <c r="N409" s="18"/>
      <c r="O409" s="27">
        <v>14165.55</v>
      </c>
      <c r="P409" s="25">
        <v>11836.98</v>
      </c>
      <c r="Q409" s="28">
        <v>26002.53</v>
      </c>
    </row>
    <row r="410" spans="1:17" ht="12" customHeight="1" x14ac:dyDescent="0.2">
      <c r="A410" s="21" t="s">
        <v>3244</v>
      </c>
      <c r="B410" s="21" t="s">
        <v>3245</v>
      </c>
      <c r="C410" s="21" t="s">
        <v>3246</v>
      </c>
      <c r="D410" s="21" t="s">
        <v>3247</v>
      </c>
      <c r="E410" s="22" t="s">
        <v>3248</v>
      </c>
      <c r="F410" s="23" t="s">
        <v>3249</v>
      </c>
      <c r="G410" s="33" t="s">
        <v>3250</v>
      </c>
      <c r="H410" s="18">
        <v>52556.92</v>
      </c>
      <c r="I410" s="38" t="s">
        <v>3251</v>
      </c>
      <c r="J410" s="25">
        <v>15169.61</v>
      </c>
      <c r="K410" s="18">
        <v>407.15</v>
      </c>
      <c r="L410" s="27">
        <v>289.97000000000003</v>
      </c>
      <c r="M410" s="29" t="s">
        <v>3252</v>
      </c>
      <c r="N410" s="18"/>
      <c r="O410" s="27">
        <v>15866.73</v>
      </c>
      <c r="P410" s="25">
        <v>9973.76</v>
      </c>
      <c r="Q410" s="28">
        <v>25840.49</v>
      </c>
    </row>
    <row r="411" spans="1:17" ht="12" customHeight="1" x14ac:dyDescent="0.2">
      <c r="A411" s="21" t="s">
        <v>3253</v>
      </c>
      <c r="B411" s="21" t="s">
        <v>3254</v>
      </c>
      <c r="C411" s="21" t="s">
        <v>3255</v>
      </c>
      <c r="D411" s="21" t="s">
        <v>3256</v>
      </c>
      <c r="E411" s="22" t="s">
        <v>3257</v>
      </c>
      <c r="F411" s="23" t="s">
        <v>3258</v>
      </c>
      <c r="G411" s="33" t="s">
        <v>3259</v>
      </c>
      <c r="H411" s="18" t="s">
        <v>3260</v>
      </c>
      <c r="I411" s="38" t="s">
        <v>3261</v>
      </c>
      <c r="J411" s="18">
        <v>16832</v>
      </c>
      <c r="K411" s="18">
        <v>5472.65</v>
      </c>
      <c r="L411" s="27">
        <v>1333.67</v>
      </c>
      <c r="M411" s="29" t="s">
        <v>3262</v>
      </c>
      <c r="N411" s="18"/>
      <c r="O411" s="27">
        <v>23638.32</v>
      </c>
      <c r="P411" s="25">
        <v>2051.38</v>
      </c>
      <c r="Q411" s="28">
        <v>25689.7</v>
      </c>
    </row>
    <row r="412" spans="1:17" ht="12" customHeight="1" x14ac:dyDescent="0.2">
      <c r="A412" s="21" t="s">
        <v>3263</v>
      </c>
      <c r="B412" s="21" t="s">
        <v>3264</v>
      </c>
      <c r="C412" s="21" t="s">
        <v>3265</v>
      </c>
      <c r="D412" s="21" t="s">
        <v>3266</v>
      </c>
      <c r="E412" s="22" t="s">
        <v>3267</v>
      </c>
      <c r="F412" s="23" t="s">
        <v>3268</v>
      </c>
      <c r="G412" s="33" t="s">
        <v>3269</v>
      </c>
      <c r="H412" s="18">
        <v>47320</v>
      </c>
      <c r="I412" s="38" t="s">
        <v>3270</v>
      </c>
      <c r="J412" s="25">
        <v>19379.84</v>
      </c>
      <c r="K412" s="18">
        <v>128.12</v>
      </c>
      <c r="L412" s="27">
        <v>330</v>
      </c>
      <c r="M412" s="29" t="s">
        <v>3271</v>
      </c>
      <c r="N412" s="18"/>
      <c r="O412" s="27">
        <v>19837.96</v>
      </c>
      <c r="P412" s="25">
        <v>4945.12</v>
      </c>
      <c r="Q412" s="28">
        <v>24783.08</v>
      </c>
    </row>
    <row r="413" spans="1:17" ht="12" customHeight="1" x14ac:dyDescent="0.2">
      <c r="A413" s="21" t="s">
        <v>3272</v>
      </c>
      <c r="B413" s="21" t="s">
        <v>3273</v>
      </c>
      <c r="C413" s="21" t="s">
        <v>3274</v>
      </c>
      <c r="D413" s="21" t="s">
        <v>3275</v>
      </c>
      <c r="E413" s="22" t="s">
        <v>3276</v>
      </c>
      <c r="F413" s="23" t="s">
        <v>3277</v>
      </c>
      <c r="G413" s="33" t="s">
        <v>3278</v>
      </c>
      <c r="H413" s="18">
        <v>16712.8</v>
      </c>
      <c r="I413" s="38" t="s">
        <v>3279</v>
      </c>
      <c r="J413" s="25">
        <v>19945.689999999999</v>
      </c>
      <c r="K413" s="18" t="s">
        <v>3520</v>
      </c>
      <c r="L413" s="27" t="s">
        <v>3520</v>
      </c>
      <c r="M413" s="29" t="s">
        <v>3280</v>
      </c>
      <c r="N413" s="18"/>
      <c r="O413" s="27">
        <v>19945.689999999999</v>
      </c>
      <c r="P413" s="25">
        <v>4794.93</v>
      </c>
      <c r="Q413" s="28">
        <v>24740.62</v>
      </c>
    </row>
    <row r="414" spans="1:17" ht="12" customHeight="1" x14ac:dyDescent="0.2">
      <c r="A414" s="21" t="s">
        <v>3281</v>
      </c>
      <c r="B414" s="21" t="s">
        <v>3282</v>
      </c>
      <c r="C414" s="21" t="s">
        <v>3283</v>
      </c>
      <c r="D414" s="21" t="s">
        <v>3284</v>
      </c>
      <c r="E414" s="22" t="s">
        <v>3285</v>
      </c>
      <c r="F414" s="23" t="s">
        <v>3286</v>
      </c>
      <c r="G414" s="34" t="s">
        <v>3287</v>
      </c>
      <c r="H414" s="18">
        <v>63036.22</v>
      </c>
      <c r="I414" s="27" t="s">
        <v>3520</v>
      </c>
      <c r="J414" s="25">
        <v>16534.79</v>
      </c>
      <c r="K414" s="18" t="s">
        <v>3520</v>
      </c>
      <c r="L414" s="27">
        <v>298.33</v>
      </c>
      <c r="M414" s="29" t="s">
        <v>3288</v>
      </c>
      <c r="N414" s="18"/>
      <c r="O414" s="30">
        <v>16833.12</v>
      </c>
      <c r="P414" s="25">
        <v>7810.1</v>
      </c>
      <c r="Q414" s="28">
        <v>24643.22</v>
      </c>
    </row>
    <row r="415" spans="1:17" ht="12" customHeight="1" x14ac:dyDescent="0.2">
      <c r="A415" s="21" t="s">
        <v>3289</v>
      </c>
      <c r="B415" s="21" t="s">
        <v>3290</v>
      </c>
      <c r="C415" s="21" t="s">
        <v>3291</v>
      </c>
      <c r="D415" s="21" t="s">
        <v>3292</v>
      </c>
      <c r="E415" s="22" t="s">
        <v>3293</v>
      </c>
      <c r="F415" s="23" t="s">
        <v>3294</v>
      </c>
      <c r="G415" s="33" t="s">
        <v>3295</v>
      </c>
      <c r="H415" s="18">
        <v>18106.400000000001</v>
      </c>
      <c r="I415" s="42" t="s">
        <v>3296</v>
      </c>
      <c r="J415" s="25">
        <v>19781.740000000002</v>
      </c>
      <c r="K415" s="18" t="s">
        <v>3520</v>
      </c>
      <c r="L415" s="27" t="s">
        <v>3520</v>
      </c>
      <c r="M415" s="29" t="s">
        <v>3297</v>
      </c>
      <c r="N415" s="18"/>
      <c r="O415" s="31">
        <v>19781.740000000002</v>
      </c>
      <c r="P415" s="25">
        <v>4755.54</v>
      </c>
      <c r="Q415" s="28">
        <v>24537.279999999999</v>
      </c>
    </row>
    <row r="416" spans="1:17" ht="12" customHeight="1" x14ac:dyDescent="0.2">
      <c r="A416" s="21" t="s">
        <v>3298</v>
      </c>
      <c r="B416" s="21" t="s">
        <v>3299</v>
      </c>
      <c r="C416" s="21" t="s">
        <v>3300</v>
      </c>
      <c r="D416" s="21" t="s">
        <v>3301</v>
      </c>
      <c r="E416" s="22" t="s">
        <v>3302</v>
      </c>
      <c r="F416" s="23" t="s">
        <v>3303</v>
      </c>
      <c r="G416" s="34" t="s">
        <v>3304</v>
      </c>
      <c r="H416" s="18">
        <v>16712.8</v>
      </c>
      <c r="I416" s="27" t="s">
        <v>3520</v>
      </c>
      <c r="J416" s="25">
        <v>19484.61</v>
      </c>
      <c r="K416" s="18" t="s">
        <v>3520</v>
      </c>
      <c r="L416" s="27" t="s">
        <v>3520</v>
      </c>
      <c r="M416" s="29" t="s">
        <v>3305</v>
      </c>
      <c r="N416" s="18"/>
      <c r="O416" s="30">
        <v>19484.61</v>
      </c>
      <c r="P416" s="25">
        <v>4684.1099999999997</v>
      </c>
      <c r="Q416" s="28">
        <v>24168.720000000001</v>
      </c>
    </row>
    <row r="417" spans="1:17" ht="12" customHeight="1" x14ac:dyDescent="0.2">
      <c r="A417" s="21" t="s">
        <v>3306</v>
      </c>
      <c r="B417" s="21" t="s">
        <v>3307</v>
      </c>
      <c r="C417" s="21" t="s">
        <v>3308</v>
      </c>
      <c r="D417" s="21" t="s">
        <v>3309</v>
      </c>
      <c r="E417" s="22" t="s">
        <v>3310</v>
      </c>
      <c r="F417" s="23" t="s">
        <v>3311</v>
      </c>
      <c r="G417" s="33" t="s">
        <v>3312</v>
      </c>
      <c r="H417" s="18" t="s">
        <v>3313</v>
      </c>
      <c r="I417" s="38" t="s">
        <v>3314</v>
      </c>
      <c r="J417" s="25">
        <v>22176.1</v>
      </c>
      <c r="K417" s="18" t="s">
        <v>3520</v>
      </c>
      <c r="L417" s="27" t="s">
        <v>3520</v>
      </c>
      <c r="M417" s="29" t="s">
        <v>3315</v>
      </c>
      <c r="N417" s="18"/>
      <c r="O417" s="31">
        <v>22176.1</v>
      </c>
      <c r="P417" s="25">
        <v>1696.46</v>
      </c>
      <c r="Q417" s="28">
        <v>23872.560000000001</v>
      </c>
    </row>
    <row r="418" spans="1:17" ht="12" customHeight="1" x14ac:dyDescent="0.2">
      <c r="A418" s="21" t="s">
        <v>3316</v>
      </c>
      <c r="B418" s="21" t="s">
        <v>3317</v>
      </c>
      <c r="C418" s="21" t="s">
        <v>3318</v>
      </c>
      <c r="D418" s="21" t="s">
        <v>3319</v>
      </c>
      <c r="E418" s="22" t="s">
        <v>3320</v>
      </c>
      <c r="F418" s="23" t="s">
        <v>3321</v>
      </c>
      <c r="G418" s="33" t="s">
        <v>3322</v>
      </c>
      <c r="H418" s="18">
        <v>58760</v>
      </c>
      <c r="I418" s="38" t="s">
        <v>3323</v>
      </c>
      <c r="J418" s="18">
        <v>9040.01</v>
      </c>
      <c r="K418" s="18">
        <v>78.41</v>
      </c>
      <c r="L418" s="27" t="s">
        <v>3520</v>
      </c>
      <c r="M418" s="29" t="s">
        <v>3324</v>
      </c>
      <c r="N418" s="18"/>
      <c r="O418" s="27">
        <v>9118.42</v>
      </c>
      <c r="P418" s="25">
        <v>14616.31</v>
      </c>
      <c r="Q418" s="28">
        <v>23734.73</v>
      </c>
    </row>
    <row r="419" spans="1:17" ht="12" customHeight="1" x14ac:dyDescent="0.2">
      <c r="A419" s="21" t="s">
        <v>3325</v>
      </c>
      <c r="B419" s="21" t="s">
        <v>3326</v>
      </c>
      <c r="C419" s="21" t="s">
        <v>3327</v>
      </c>
      <c r="D419" s="21" t="s">
        <v>3328</v>
      </c>
      <c r="E419" s="22" t="s">
        <v>3329</v>
      </c>
      <c r="F419" s="23" t="s">
        <v>3330</v>
      </c>
      <c r="G419" s="33" t="s">
        <v>3331</v>
      </c>
      <c r="H419" s="18">
        <v>54238.080000000002</v>
      </c>
      <c r="I419" s="38" t="s">
        <v>3332</v>
      </c>
      <c r="J419" s="25">
        <v>12750.84</v>
      </c>
      <c r="K419" s="18" t="s">
        <v>3520</v>
      </c>
      <c r="L419" s="27">
        <v>501.93</v>
      </c>
      <c r="M419" s="29" t="s">
        <v>3333</v>
      </c>
      <c r="N419" s="18"/>
      <c r="O419" s="27">
        <v>13252.77</v>
      </c>
      <c r="P419" s="25">
        <v>9413.08</v>
      </c>
      <c r="Q419" s="28">
        <v>22665.85</v>
      </c>
    </row>
    <row r="420" spans="1:17" ht="12" customHeight="1" x14ac:dyDescent="0.2">
      <c r="A420" s="21" t="s">
        <v>3334</v>
      </c>
      <c r="B420" s="21" t="s">
        <v>3335</v>
      </c>
      <c r="C420" s="21" t="s">
        <v>3336</v>
      </c>
      <c r="D420" s="21" t="s">
        <v>3337</v>
      </c>
      <c r="E420" s="22" t="s">
        <v>3338</v>
      </c>
      <c r="F420" s="23" t="s">
        <v>3339</v>
      </c>
      <c r="G420" s="33" t="s">
        <v>3340</v>
      </c>
      <c r="H420" s="18">
        <v>17316</v>
      </c>
      <c r="I420" s="38" t="s">
        <v>3341</v>
      </c>
      <c r="J420" s="25">
        <v>18268.080000000002</v>
      </c>
      <c r="K420" s="18" t="s">
        <v>3520</v>
      </c>
      <c r="L420" s="27" t="s">
        <v>3520</v>
      </c>
      <c r="M420" s="29" t="s">
        <v>3342</v>
      </c>
      <c r="N420" s="18"/>
      <c r="O420" s="27">
        <v>18268.080000000002</v>
      </c>
      <c r="P420" s="25">
        <v>4391.6400000000003</v>
      </c>
      <c r="Q420" s="28">
        <v>22659.72</v>
      </c>
    </row>
    <row r="421" spans="1:17" ht="12" customHeight="1" x14ac:dyDescent="0.2">
      <c r="A421" s="21" t="s">
        <v>3343</v>
      </c>
      <c r="B421" s="21" t="s">
        <v>3344</v>
      </c>
      <c r="C421" s="21" t="s">
        <v>3345</v>
      </c>
      <c r="D421" s="21" t="s">
        <v>3346</v>
      </c>
      <c r="E421" s="22" t="s">
        <v>3347</v>
      </c>
      <c r="F421" s="23" t="s">
        <v>3348</v>
      </c>
      <c r="G421" s="33" t="s">
        <v>3349</v>
      </c>
      <c r="H421" s="18">
        <v>17461.599999999999</v>
      </c>
      <c r="I421" s="38" t="s">
        <v>3350</v>
      </c>
      <c r="J421" s="25">
        <v>17853.97</v>
      </c>
      <c r="K421" s="18" t="s">
        <v>3520</v>
      </c>
      <c r="L421" s="27" t="s">
        <v>3520</v>
      </c>
      <c r="M421" s="29" t="s">
        <v>3351</v>
      </c>
      <c r="N421" s="18"/>
      <c r="O421" s="27">
        <v>17853.97</v>
      </c>
      <c r="P421" s="25">
        <v>4292.1099999999997</v>
      </c>
      <c r="Q421" s="28">
        <v>22146.080000000002</v>
      </c>
    </row>
    <row r="422" spans="1:17" ht="12" customHeight="1" x14ac:dyDescent="0.2">
      <c r="A422" s="21" t="s">
        <v>3352</v>
      </c>
      <c r="B422" s="21" t="s">
        <v>3353</v>
      </c>
      <c r="C422" s="21" t="s">
        <v>3354</v>
      </c>
      <c r="D422" s="21" t="s">
        <v>3355</v>
      </c>
      <c r="E422" s="22" t="s">
        <v>3356</v>
      </c>
      <c r="F422" s="23" t="s">
        <v>3357</v>
      </c>
      <c r="G422" s="33" t="s">
        <v>3358</v>
      </c>
      <c r="H422" s="18">
        <v>58240</v>
      </c>
      <c r="I422" s="38" t="s">
        <v>3359</v>
      </c>
      <c r="J422" s="18">
        <v>4561.76</v>
      </c>
      <c r="K422" s="18">
        <v>488.46</v>
      </c>
      <c r="L422" s="27"/>
      <c r="M422" s="43" t="s">
        <v>3520</v>
      </c>
      <c r="N422" s="18"/>
      <c r="O422" s="27">
        <v>5050.22</v>
      </c>
      <c r="P422" s="25">
        <v>16700.03</v>
      </c>
      <c r="Q422" s="28">
        <v>21750.25</v>
      </c>
    </row>
    <row r="423" spans="1:17" ht="12" customHeight="1" x14ac:dyDescent="0.2">
      <c r="A423" s="21" t="s">
        <v>3360</v>
      </c>
      <c r="B423" s="21" t="s">
        <v>3361</v>
      </c>
      <c r="C423" s="21" t="s">
        <v>3362</v>
      </c>
      <c r="D423" s="21" t="s">
        <v>3363</v>
      </c>
      <c r="E423" s="22" t="s">
        <v>3364</v>
      </c>
      <c r="F423" s="23" t="s">
        <v>3365</v>
      </c>
      <c r="G423" s="34" t="s">
        <v>3366</v>
      </c>
      <c r="H423" s="18">
        <v>36420.800000000003</v>
      </c>
      <c r="I423" s="39">
        <v>64.790000000000006</v>
      </c>
      <c r="J423" s="25">
        <v>13402.16</v>
      </c>
      <c r="K423" s="18">
        <v>217.47</v>
      </c>
      <c r="L423" s="31" t="s">
        <v>3520</v>
      </c>
      <c r="M423" s="29" t="s">
        <v>3367</v>
      </c>
      <c r="N423" s="18"/>
      <c r="O423" s="27">
        <v>13684.42</v>
      </c>
      <c r="P423" s="25">
        <v>7993.19</v>
      </c>
      <c r="Q423" s="28">
        <v>21677.61</v>
      </c>
    </row>
    <row r="424" spans="1:17" ht="12" customHeight="1" x14ac:dyDescent="0.2">
      <c r="A424" s="21" t="s">
        <v>3368</v>
      </c>
      <c r="B424" s="21" t="s">
        <v>3369</v>
      </c>
      <c r="C424" s="21" t="s">
        <v>3370</v>
      </c>
      <c r="D424" s="21" t="s">
        <v>3371</v>
      </c>
      <c r="E424" s="22" t="s">
        <v>3372</v>
      </c>
      <c r="F424" s="23" t="s">
        <v>3373</v>
      </c>
      <c r="G424" s="33" t="s">
        <v>3374</v>
      </c>
      <c r="H424" s="18">
        <v>16712.8</v>
      </c>
      <c r="I424" s="38" t="s">
        <v>3375</v>
      </c>
      <c r="J424" s="25">
        <v>17175</v>
      </c>
      <c r="K424" s="18" t="s">
        <v>3520</v>
      </c>
      <c r="L424" s="27">
        <v>234.64</v>
      </c>
      <c r="M424" s="29" t="s">
        <v>3376</v>
      </c>
      <c r="N424" s="18"/>
      <c r="O424" s="27">
        <v>17409.64</v>
      </c>
      <c r="P424" s="25">
        <v>4185.2700000000004</v>
      </c>
      <c r="Q424" s="28">
        <v>21594.91</v>
      </c>
    </row>
    <row r="425" spans="1:17" ht="12" customHeight="1" x14ac:dyDescent="0.2">
      <c r="A425" s="21" t="s">
        <v>3377</v>
      </c>
      <c r="B425" s="21" t="s">
        <v>3378</v>
      </c>
      <c r="C425" s="21" t="s">
        <v>3379</v>
      </c>
      <c r="D425" s="21" t="s">
        <v>3380</v>
      </c>
      <c r="E425" s="22" t="s">
        <v>3381</v>
      </c>
      <c r="F425" s="23" t="s">
        <v>3382</v>
      </c>
      <c r="G425" s="33" t="s">
        <v>3383</v>
      </c>
      <c r="H425" s="18">
        <v>17108</v>
      </c>
      <c r="I425" s="38" t="s">
        <v>3384</v>
      </c>
      <c r="J425" s="25">
        <v>17322.68</v>
      </c>
      <c r="K425" s="18" t="s">
        <v>3520</v>
      </c>
      <c r="L425" s="27" t="s">
        <v>3520</v>
      </c>
      <c r="M425" s="29" t="s">
        <v>3385</v>
      </c>
      <c r="N425" s="18"/>
      <c r="O425" s="27">
        <v>17322.68</v>
      </c>
      <c r="P425" s="25">
        <v>4164.3900000000003</v>
      </c>
      <c r="Q425" s="28">
        <v>21487.07</v>
      </c>
    </row>
    <row r="426" spans="1:17" ht="12" customHeight="1" x14ac:dyDescent="0.2">
      <c r="A426" s="21" t="s">
        <v>3386</v>
      </c>
      <c r="B426" s="21" t="s">
        <v>3387</v>
      </c>
      <c r="C426" s="21" t="s">
        <v>3388</v>
      </c>
      <c r="D426" s="21" t="s">
        <v>3389</v>
      </c>
      <c r="E426" s="22" t="s">
        <v>3390</v>
      </c>
      <c r="F426" s="23" t="s">
        <v>3391</v>
      </c>
      <c r="G426" s="33" t="s">
        <v>3392</v>
      </c>
      <c r="H426" s="18">
        <v>87500.14</v>
      </c>
      <c r="I426" s="38" t="s">
        <v>3393</v>
      </c>
      <c r="J426" s="25">
        <v>16826.95</v>
      </c>
      <c r="K426" s="18" t="s">
        <v>3520</v>
      </c>
      <c r="L426" s="27" t="s">
        <v>3520</v>
      </c>
      <c r="M426" s="29" t="s">
        <v>3394</v>
      </c>
      <c r="N426" s="18"/>
      <c r="O426" s="27">
        <v>16826.95</v>
      </c>
      <c r="P426" s="25">
        <v>4642.1099999999997</v>
      </c>
      <c r="Q426" s="28">
        <v>21469.06</v>
      </c>
    </row>
    <row r="427" spans="1:17" ht="12" customHeight="1" x14ac:dyDescent="0.2">
      <c r="A427" s="21" t="s">
        <v>3395</v>
      </c>
      <c r="B427" s="21" t="s">
        <v>3396</v>
      </c>
      <c r="C427" s="21" t="s">
        <v>3397</v>
      </c>
      <c r="D427" s="21" t="s">
        <v>3398</v>
      </c>
      <c r="E427" s="22" t="s">
        <v>3399</v>
      </c>
      <c r="F427" s="23" t="s">
        <v>3400</v>
      </c>
      <c r="G427" s="33" t="s">
        <v>3401</v>
      </c>
      <c r="H427" s="18">
        <v>37440</v>
      </c>
      <c r="I427" s="38" t="s">
        <v>3402</v>
      </c>
      <c r="J427" s="25">
        <v>11520</v>
      </c>
      <c r="K427" s="18">
        <v>4.8600000000000003</v>
      </c>
      <c r="L427" s="27">
        <v>50</v>
      </c>
      <c r="M427" s="29" t="s">
        <v>3403</v>
      </c>
      <c r="N427" s="18"/>
      <c r="O427" s="27">
        <v>11574.86</v>
      </c>
      <c r="P427" s="25">
        <v>9787.49</v>
      </c>
      <c r="Q427" s="28">
        <v>21362.35</v>
      </c>
    </row>
    <row r="428" spans="1:17" ht="12" customHeight="1" x14ac:dyDescent="0.2">
      <c r="A428" s="21" t="s">
        <v>3404</v>
      </c>
      <c r="B428" s="21" t="s">
        <v>3405</v>
      </c>
      <c r="C428" s="21" t="s">
        <v>3406</v>
      </c>
      <c r="D428" s="21" t="s">
        <v>3407</v>
      </c>
      <c r="E428" s="22" t="s">
        <v>3408</v>
      </c>
      <c r="F428" s="23" t="s">
        <v>3409</v>
      </c>
      <c r="G428" s="33" t="s">
        <v>3410</v>
      </c>
      <c r="H428" s="18">
        <v>16712.8</v>
      </c>
      <c r="I428" s="38" t="s">
        <v>3411</v>
      </c>
      <c r="J428" s="25">
        <v>17177.740000000002</v>
      </c>
      <c r="K428" s="18" t="s">
        <v>3520</v>
      </c>
      <c r="L428" s="27" t="s">
        <v>3520</v>
      </c>
      <c r="M428" s="29" t="s">
        <v>3412</v>
      </c>
      <c r="N428" s="18"/>
      <c r="O428" s="27">
        <v>17177.740000000002</v>
      </c>
      <c r="P428" s="25">
        <v>4129.51</v>
      </c>
      <c r="Q428" s="28">
        <v>21307.25</v>
      </c>
    </row>
    <row r="429" spans="1:17" ht="12" customHeight="1" x14ac:dyDescent="0.2">
      <c r="A429" s="21" t="s">
        <v>3413</v>
      </c>
      <c r="B429" s="21" t="s">
        <v>3414</v>
      </c>
      <c r="C429" s="21" t="s">
        <v>3415</v>
      </c>
      <c r="D429" s="21" t="s">
        <v>3416</v>
      </c>
      <c r="E429" s="22" t="s">
        <v>3417</v>
      </c>
      <c r="F429" s="23" t="s">
        <v>3418</v>
      </c>
      <c r="G429" s="34" t="s">
        <v>3419</v>
      </c>
      <c r="H429" s="18">
        <v>56525.1</v>
      </c>
      <c r="I429" s="39">
        <v>644.41</v>
      </c>
      <c r="J429" s="18">
        <v>7740.1</v>
      </c>
      <c r="K429" s="18">
        <v>5652.4</v>
      </c>
      <c r="L429" s="43">
        <v>626.37</v>
      </c>
      <c r="M429" s="18"/>
      <c r="N429" s="18"/>
      <c r="O429" s="27">
        <v>14663.28</v>
      </c>
      <c r="P429" s="25">
        <v>6489.94</v>
      </c>
      <c r="Q429" s="28">
        <v>21153.22</v>
      </c>
    </row>
    <row r="430" spans="1:17" ht="12" customHeight="1" x14ac:dyDescent="0.2">
      <c r="A430" s="21" t="s">
        <v>3420</v>
      </c>
      <c r="B430" s="21" t="s">
        <v>3421</v>
      </c>
      <c r="C430" s="21" t="s">
        <v>3422</v>
      </c>
      <c r="D430" s="21" t="s">
        <v>3423</v>
      </c>
      <c r="E430" s="22" t="s">
        <v>3424</v>
      </c>
      <c r="F430" s="23" t="s">
        <v>3425</v>
      </c>
      <c r="G430" s="33" t="s">
        <v>3426</v>
      </c>
      <c r="H430" s="18">
        <v>17815.2</v>
      </c>
      <c r="I430" s="38" t="s">
        <v>3427</v>
      </c>
      <c r="J430" s="25">
        <v>17006.05</v>
      </c>
      <c r="K430" s="18" t="s">
        <v>3520</v>
      </c>
      <c r="L430" s="27" t="s">
        <v>3520</v>
      </c>
      <c r="M430" s="18"/>
      <c r="N430" s="18"/>
      <c r="O430" s="27">
        <v>17006.05</v>
      </c>
      <c r="P430" s="25">
        <v>4088.27</v>
      </c>
      <c r="Q430" s="28">
        <v>21094.32</v>
      </c>
    </row>
    <row r="431" spans="1:17" ht="12" customHeight="1" x14ac:dyDescent="0.2">
      <c r="A431" s="21" t="s">
        <v>3428</v>
      </c>
      <c r="B431" s="21" t="s">
        <v>3429</v>
      </c>
      <c r="C431" s="21" t="s">
        <v>3430</v>
      </c>
      <c r="D431" s="21" t="s">
        <v>3431</v>
      </c>
      <c r="E431" s="22" t="s">
        <v>3432</v>
      </c>
      <c r="F431" s="23" t="s">
        <v>3433</v>
      </c>
      <c r="G431" s="34" t="s">
        <v>3434</v>
      </c>
      <c r="H431" s="18">
        <v>38376</v>
      </c>
      <c r="I431" s="39">
        <v>1946.84</v>
      </c>
      <c r="J431" s="25">
        <v>11039.88</v>
      </c>
      <c r="K431" s="18">
        <v>1044.02</v>
      </c>
      <c r="L431" s="27">
        <v>505</v>
      </c>
      <c r="M431" s="18"/>
      <c r="N431" s="18"/>
      <c r="O431" s="27">
        <v>14535.74</v>
      </c>
      <c r="P431" s="25">
        <v>6415.37</v>
      </c>
      <c r="Q431" s="28">
        <v>20951.11</v>
      </c>
    </row>
    <row r="432" spans="1:17" ht="12" customHeight="1" x14ac:dyDescent="0.2">
      <c r="A432" s="21" t="s">
        <v>3435</v>
      </c>
      <c r="B432" s="21" t="s">
        <v>3436</v>
      </c>
      <c r="C432" s="21" t="s">
        <v>3437</v>
      </c>
      <c r="D432" s="21" t="s">
        <v>3438</v>
      </c>
      <c r="E432" s="22" t="s">
        <v>3439</v>
      </c>
      <c r="F432" s="23" t="s">
        <v>3440</v>
      </c>
      <c r="G432" s="33" t="s">
        <v>3441</v>
      </c>
      <c r="H432" s="18">
        <v>32136</v>
      </c>
      <c r="I432" s="38" t="s">
        <v>3442</v>
      </c>
      <c r="J432" s="25">
        <v>11208.98</v>
      </c>
      <c r="K432" s="18">
        <v>654.71</v>
      </c>
      <c r="L432" s="27" t="s">
        <v>3520</v>
      </c>
      <c r="M432" s="18"/>
      <c r="N432" s="18"/>
      <c r="O432" s="27">
        <v>11863.69</v>
      </c>
      <c r="P432" s="25">
        <v>8925.06</v>
      </c>
      <c r="Q432" s="28">
        <v>20788.75</v>
      </c>
    </row>
    <row r="433" spans="1:17" ht="12" customHeight="1" x14ac:dyDescent="0.2">
      <c r="A433" s="21" t="s">
        <v>3443</v>
      </c>
      <c r="B433" s="21" t="s">
        <v>3444</v>
      </c>
      <c r="C433" s="21" t="s">
        <v>3445</v>
      </c>
      <c r="D433" s="21" t="s">
        <v>3446</v>
      </c>
      <c r="E433" s="22" t="s">
        <v>3447</v>
      </c>
      <c r="F433" s="23" t="s">
        <v>3448</v>
      </c>
      <c r="G433" s="34" t="s">
        <v>3449</v>
      </c>
      <c r="H433" s="18">
        <v>20176</v>
      </c>
      <c r="I433" s="27" t="s">
        <v>3520</v>
      </c>
      <c r="J433" s="25">
        <v>16021.86</v>
      </c>
      <c r="K433" s="18" t="s">
        <v>3520</v>
      </c>
      <c r="L433" s="27">
        <v>511.6</v>
      </c>
      <c r="M433" s="18"/>
      <c r="N433" s="18"/>
      <c r="O433" s="30">
        <v>16533.46</v>
      </c>
      <c r="P433" s="25">
        <v>3974.65</v>
      </c>
      <c r="Q433" s="28">
        <v>20508.11</v>
      </c>
    </row>
    <row r="434" spans="1:17" ht="12" customHeight="1" x14ac:dyDescent="0.2">
      <c r="A434" s="21" t="s">
        <v>3450</v>
      </c>
      <c r="B434" s="21" t="s">
        <v>3451</v>
      </c>
      <c r="C434" s="21" t="s">
        <v>3452</v>
      </c>
      <c r="D434" s="21" t="s">
        <v>3453</v>
      </c>
      <c r="E434" s="22" t="s">
        <v>3454</v>
      </c>
      <c r="F434" s="23" t="s">
        <v>3455</v>
      </c>
      <c r="G434" s="34" t="s">
        <v>3456</v>
      </c>
      <c r="H434" s="18">
        <v>59009.599999999999</v>
      </c>
      <c r="I434" s="39">
        <v>209.94</v>
      </c>
      <c r="J434" s="25">
        <v>13458.91</v>
      </c>
      <c r="K434" s="18">
        <v>354.7</v>
      </c>
      <c r="L434" s="27">
        <v>270</v>
      </c>
      <c r="M434" s="18"/>
      <c r="N434" s="18"/>
      <c r="O434" s="31">
        <v>14293.55</v>
      </c>
      <c r="P434" s="25">
        <v>6017.24</v>
      </c>
      <c r="Q434" s="28">
        <v>20310.79</v>
      </c>
    </row>
    <row r="435" spans="1:17" ht="12" customHeight="1" x14ac:dyDescent="0.2">
      <c r="A435" s="21" t="s">
        <v>3457</v>
      </c>
      <c r="B435" s="21" t="s">
        <v>3458</v>
      </c>
      <c r="C435" s="21" t="s">
        <v>3459</v>
      </c>
      <c r="D435" s="21" t="s">
        <v>3460</v>
      </c>
      <c r="E435" s="22" t="s">
        <v>3461</v>
      </c>
      <c r="F435" s="23" t="s">
        <v>3462</v>
      </c>
      <c r="G435" s="33" t="s">
        <v>3463</v>
      </c>
      <c r="H435" s="18" t="s">
        <v>3464</v>
      </c>
      <c r="I435" s="38" t="s">
        <v>3465</v>
      </c>
      <c r="J435" s="18">
        <v>17851.349999999999</v>
      </c>
      <c r="K435" s="18">
        <v>937.28</v>
      </c>
      <c r="L435" s="27" t="s">
        <v>3520</v>
      </c>
      <c r="M435" s="18"/>
      <c r="N435" s="18"/>
      <c r="O435" s="31">
        <v>18788.63</v>
      </c>
      <c r="P435" s="25">
        <v>1454.77</v>
      </c>
      <c r="Q435" s="28">
        <v>20243.400000000001</v>
      </c>
    </row>
    <row r="436" spans="1:17" ht="12" customHeight="1" x14ac:dyDescent="0.2">
      <c r="A436" s="21" t="s">
        <v>3466</v>
      </c>
      <c r="B436" s="21" t="s">
        <v>3467</v>
      </c>
      <c r="C436" s="21" t="s">
        <v>3468</v>
      </c>
      <c r="D436" s="21" t="s">
        <v>3469</v>
      </c>
      <c r="E436" s="22" t="s">
        <v>3470</v>
      </c>
      <c r="F436" s="23" t="s">
        <v>3471</v>
      </c>
      <c r="G436" s="33" t="s">
        <v>3472</v>
      </c>
      <c r="H436" s="18">
        <v>38417.599999999999</v>
      </c>
      <c r="I436" s="38" t="s">
        <v>3473</v>
      </c>
      <c r="J436" s="18">
        <v>6050.77</v>
      </c>
      <c r="K436" s="18">
        <v>321.66000000000003</v>
      </c>
      <c r="L436" s="27"/>
      <c r="M436" s="18"/>
      <c r="N436" s="28"/>
      <c r="O436" s="27">
        <v>6372.43</v>
      </c>
      <c r="P436" s="25">
        <v>13788.28</v>
      </c>
      <c r="Q436" s="28">
        <v>20160.71</v>
      </c>
    </row>
    <row r="437" spans="1:17" ht="12" customHeight="1" x14ac:dyDescent="0.2">
      <c r="A437" s="21" t="s">
        <v>3474</v>
      </c>
      <c r="B437" s="21" t="s">
        <v>3475</v>
      </c>
      <c r="C437" s="21" t="s">
        <v>3476</v>
      </c>
      <c r="D437" s="21" t="s">
        <v>3477</v>
      </c>
      <c r="E437" s="22" t="s">
        <v>3478</v>
      </c>
      <c r="F437" s="23" t="s">
        <v>3479</v>
      </c>
      <c r="G437" s="33" t="s">
        <v>3480</v>
      </c>
      <c r="H437" s="18">
        <v>39520</v>
      </c>
      <c r="I437" s="38" t="s">
        <v>3481</v>
      </c>
      <c r="J437" s="18">
        <v>5966.95</v>
      </c>
      <c r="K437" s="18">
        <v>117.71</v>
      </c>
      <c r="L437" s="27"/>
      <c r="M437" s="28" t="s">
        <v>3520</v>
      </c>
      <c r="N437" s="18"/>
      <c r="O437" s="27">
        <v>6084.66</v>
      </c>
      <c r="P437" s="25">
        <v>13868.38</v>
      </c>
      <c r="Q437" s="28">
        <v>19953.04</v>
      </c>
    </row>
    <row r="438" spans="1:17" ht="12" customHeight="1" x14ac:dyDescent="0.2">
      <c r="A438" s="21" t="s">
        <v>3482</v>
      </c>
      <c r="B438" s="21" t="s">
        <v>3483</v>
      </c>
      <c r="C438" s="21" t="s">
        <v>3484</v>
      </c>
      <c r="D438" s="21" t="s">
        <v>3485</v>
      </c>
      <c r="E438" s="22" t="s">
        <v>3486</v>
      </c>
      <c r="F438" s="23" t="s">
        <v>3487</v>
      </c>
      <c r="G438" s="34" t="s">
        <v>3488</v>
      </c>
      <c r="H438" s="18">
        <v>47964.800000000003</v>
      </c>
      <c r="I438" s="39">
        <v>2344.7399999999998</v>
      </c>
      <c r="J438" s="18">
        <v>9400.02</v>
      </c>
      <c r="K438" s="18" t="s">
        <v>3520</v>
      </c>
      <c r="L438" s="43">
        <v>2368</v>
      </c>
      <c r="M438" s="18"/>
      <c r="N438" s="18"/>
      <c r="O438" s="27">
        <v>14112.76</v>
      </c>
      <c r="P438" s="25">
        <v>5542.57</v>
      </c>
      <c r="Q438" s="28">
        <v>19655.330000000002</v>
      </c>
    </row>
    <row r="439" spans="1:17" ht="12" customHeight="1" x14ac:dyDescent="0.2">
      <c r="A439" s="21" t="s">
        <v>3489</v>
      </c>
      <c r="B439" s="21" t="s">
        <v>3490</v>
      </c>
      <c r="C439" s="21" t="s">
        <v>3491</v>
      </c>
      <c r="D439" s="21" t="s">
        <v>3492</v>
      </c>
      <c r="E439" s="22" t="s">
        <v>3493</v>
      </c>
      <c r="F439" s="23" t="s">
        <v>3494</v>
      </c>
      <c r="G439" s="33" t="s">
        <v>3495</v>
      </c>
      <c r="H439" s="18">
        <v>39520</v>
      </c>
      <c r="I439" s="38" t="s">
        <v>3496</v>
      </c>
      <c r="J439" s="18">
        <v>5928.38</v>
      </c>
      <c r="K439" s="18">
        <v>63.57</v>
      </c>
      <c r="L439" s="27" t="s">
        <v>3520</v>
      </c>
      <c r="M439" s="18"/>
      <c r="N439" s="18"/>
      <c r="O439" s="27">
        <v>5991.95</v>
      </c>
      <c r="P439" s="25">
        <v>12881.52</v>
      </c>
      <c r="Q439" s="28">
        <v>18873.47</v>
      </c>
    </row>
    <row r="440" spans="1:17" ht="12" customHeight="1" x14ac:dyDescent="0.2">
      <c r="A440" s="21" t="s">
        <v>3497</v>
      </c>
      <c r="B440" s="21" t="s">
        <v>3498</v>
      </c>
      <c r="C440" s="21" t="s">
        <v>3499</v>
      </c>
      <c r="D440" s="21" t="s">
        <v>3500</v>
      </c>
      <c r="E440" s="22" t="s">
        <v>3501</v>
      </c>
      <c r="F440" s="23" t="s">
        <v>3502</v>
      </c>
      <c r="G440" s="34" t="s">
        <v>3503</v>
      </c>
      <c r="H440" s="18">
        <v>34985.599999999999</v>
      </c>
      <c r="I440" s="27" t="s">
        <v>3520</v>
      </c>
      <c r="J440" s="25">
        <v>11158.62</v>
      </c>
      <c r="K440" s="18">
        <v>474.46</v>
      </c>
      <c r="L440" s="27">
        <v>959.03</v>
      </c>
      <c r="M440" s="18"/>
      <c r="N440" s="18"/>
      <c r="O440" s="27">
        <v>12592.11</v>
      </c>
      <c r="P440" s="25">
        <v>5944.1</v>
      </c>
      <c r="Q440" s="28">
        <v>18536.21</v>
      </c>
    </row>
    <row r="441" spans="1:17" ht="12" customHeight="1" x14ac:dyDescent="0.2">
      <c r="A441" s="21" t="s">
        <v>3504</v>
      </c>
      <c r="B441" s="21" t="s">
        <v>3505</v>
      </c>
      <c r="C441" s="21" t="s">
        <v>3506</v>
      </c>
      <c r="D441" s="21" t="s">
        <v>3507</v>
      </c>
      <c r="E441" s="22" t="s">
        <v>3508</v>
      </c>
      <c r="F441" s="23" t="s">
        <v>3509</v>
      </c>
      <c r="G441" s="33" t="s">
        <v>3510</v>
      </c>
      <c r="H441" s="18" t="s">
        <v>3511</v>
      </c>
      <c r="I441" s="42" t="s">
        <v>3512</v>
      </c>
      <c r="J441" s="18">
        <v>11451.88</v>
      </c>
      <c r="K441" s="18">
        <v>4631.21</v>
      </c>
      <c r="L441" s="27">
        <v>978.98</v>
      </c>
      <c r="M441" s="18"/>
      <c r="N441" s="18"/>
      <c r="O441" s="27">
        <v>17062.07</v>
      </c>
      <c r="P441" s="25">
        <v>1305.25</v>
      </c>
      <c r="Q441" s="28">
        <v>18367.32</v>
      </c>
    </row>
    <row r="442" spans="1:17" ht="12" customHeight="1" x14ac:dyDescent="0.2">
      <c r="A442" s="21" t="s">
        <v>3513</v>
      </c>
      <c r="B442" s="21" t="s">
        <v>3514</v>
      </c>
      <c r="C442" s="21" t="s">
        <v>3515</v>
      </c>
      <c r="D442" s="21" t="s">
        <v>3516</v>
      </c>
      <c r="E442" s="22" t="s">
        <v>3517</v>
      </c>
      <c r="F442" s="23" t="s">
        <v>3518</v>
      </c>
      <c r="G442" s="34" t="s">
        <v>3519</v>
      </c>
      <c r="H442" s="18">
        <v>61651.72</v>
      </c>
      <c r="I442" s="27"/>
      <c r="J442" s="18">
        <v>8789.16</v>
      </c>
      <c r="K442" s="18">
        <v>274.22000000000003</v>
      </c>
      <c r="L442" s="27">
        <v>9.1999999999999993</v>
      </c>
      <c r="M442" s="18"/>
      <c r="N442" s="18"/>
      <c r="O442" s="30">
        <v>9072.58</v>
      </c>
      <c r="P442" s="25">
        <v>9265.34</v>
      </c>
      <c r="Q442" s="28">
        <v>18337.919999999998</v>
      </c>
    </row>
    <row r="443" spans="1:17" ht="12" customHeight="1" x14ac:dyDescent="0.2">
      <c r="A443" s="21" t="s">
        <v>3521</v>
      </c>
      <c r="B443" s="21" t="s">
        <v>3522</v>
      </c>
      <c r="C443" s="21" t="s">
        <v>3523</v>
      </c>
      <c r="D443" s="21" t="s">
        <v>3524</v>
      </c>
      <c r="E443" s="22" t="s">
        <v>3525</v>
      </c>
      <c r="F443" s="23" t="s">
        <v>3526</v>
      </c>
      <c r="G443" s="34" t="s">
        <v>3527</v>
      </c>
      <c r="H443" s="18">
        <v>35651.199999999997</v>
      </c>
      <c r="I443" s="39">
        <v>68.05</v>
      </c>
      <c r="J443" s="25">
        <v>10092.870000000001</v>
      </c>
      <c r="K443" s="18">
        <v>42.67</v>
      </c>
      <c r="L443" s="27">
        <v>588.33000000000004</v>
      </c>
      <c r="M443" s="18"/>
      <c r="N443" s="18"/>
      <c r="O443" s="30">
        <v>10791.92</v>
      </c>
      <c r="P443" s="25">
        <v>7527.27</v>
      </c>
      <c r="Q443" s="28">
        <v>18319.29</v>
      </c>
    </row>
    <row r="444" spans="1:17" ht="12" customHeight="1" x14ac:dyDescent="0.2">
      <c r="A444" s="21" t="s">
        <v>3528</v>
      </c>
      <c r="B444" s="21" t="s">
        <v>3529</v>
      </c>
      <c r="C444" s="21" t="s">
        <v>3530</v>
      </c>
      <c r="D444" s="21" t="s">
        <v>3531</v>
      </c>
      <c r="E444" s="22" t="s">
        <v>3532</v>
      </c>
      <c r="F444" s="23" t="s">
        <v>3533</v>
      </c>
      <c r="G444" s="33" t="s">
        <v>3534</v>
      </c>
      <c r="H444" s="18">
        <v>8356.4</v>
      </c>
      <c r="I444" s="38" t="s">
        <v>3535</v>
      </c>
      <c r="J444" s="25">
        <v>14446.83</v>
      </c>
      <c r="K444" s="18" t="s">
        <v>3520</v>
      </c>
      <c r="L444" s="27" t="s">
        <v>3520</v>
      </c>
      <c r="M444" s="18"/>
      <c r="N444" s="18"/>
      <c r="O444" s="30">
        <v>14446.83</v>
      </c>
      <c r="P444" s="25">
        <v>3473.02</v>
      </c>
      <c r="Q444" s="28">
        <v>17919.849999999999</v>
      </c>
    </row>
    <row r="445" spans="1:17" ht="12" customHeight="1" x14ac:dyDescent="0.2">
      <c r="A445" s="21" t="s">
        <v>3536</v>
      </c>
      <c r="B445" s="21" t="s">
        <v>3537</v>
      </c>
      <c r="C445" s="21" t="s">
        <v>3538</v>
      </c>
      <c r="D445" s="21" t="s">
        <v>3539</v>
      </c>
      <c r="E445" s="22" t="s">
        <v>3540</v>
      </c>
      <c r="F445" s="23" t="s">
        <v>3541</v>
      </c>
      <c r="G445" s="34" t="s">
        <v>3542</v>
      </c>
      <c r="H445" s="18">
        <v>43596.800000000003</v>
      </c>
      <c r="I445" s="39">
        <v>2158.46</v>
      </c>
      <c r="J445" s="25">
        <v>11080.87</v>
      </c>
      <c r="K445" s="18" t="s">
        <v>3520</v>
      </c>
      <c r="L445" s="27">
        <v>672.5</v>
      </c>
      <c r="M445" s="18"/>
      <c r="N445" s="18"/>
      <c r="O445" s="27">
        <v>13911.83</v>
      </c>
      <c r="P445" s="25">
        <v>3415</v>
      </c>
      <c r="Q445" s="28">
        <v>17326.830000000002</v>
      </c>
    </row>
    <row r="446" spans="1:17" ht="12" customHeight="1" x14ac:dyDescent="0.2">
      <c r="A446" s="21" t="s">
        <v>3543</v>
      </c>
      <c r="B446" s="21" t="s">
        <v>3544</v>
      </c>
      <c r="C446" s="21" t="s">
        <v>3545</v>
      </c>
      <c r="D446" s="21" t="s">
        <v>3546</v>
      </c>
      <c r="E446" s="22" t="s">
        <v>3547</v>
      </c>
      <c r="F446" s="23" t="s">
        <v>3548</v>
      </c>
      <c r="G446" s="34" t="s">
        <v>3549</v>
      </c>
      <c r="H446" s="18">
        <v>33862.400000000001</v>
      </c>
      <c r="I446" s="39">
        <v>120.47</v>
      </c>
      <c r="J446" s="18">
        <v>9205.52</v>
      </c>
      <c r="K446" s="18">
        <v>260.72000000000003</v>
      </c>
      <c r="L446" s="43">
        <v>100</v>
      </c>
      <c r="M446" s="18"/>
      <c r="N446" s="18"/>
      <c r="O446" s="27">
        <v>9686.7099999999991</v>
      </c>
      <c r="P446" s="25">
        <v>6833.22</v>
      </c>
      <c r="Q446" s="28">
        <v>16519.93</v>
      </c>
    </row>
    <row r="447" spans="1:17" ht="12" customHeight="1" x14ac:dyDescent="0.2">
      <c r="A447" s="21" t="s">
        <v>3550</v>
      </c>
      <c r="B447" s="21" t="s">
        <v>3551</v>
      </c>
      <c r="C447" s="21" t="s">
        <v>3552</v>
      </c>
      <c r="D447" s="21" t="s">
        <v>3553</v>
      </c>
      <c r="E447" s="22" t="s">
        <v>3554</v>
      </c>
      <c r="F447" s="23" t="s">
        <v>3555</v>
      </c>
      <c r="G447" s="33" t="s">
        <v>3556</v>
      </c>
      <c r="H447" s="18" t="s">
        <v>3557</v>
      </c>
      <c r="I447" s="38" t="s">
        <v>3558</v>
      </c>
      <c r="J447" s="18">
        <v>10613.6</v>
      </c>
      <c r="K447" s="18">
        <v>3007.45</v>
      </c>
      <c r="L447" s="27">
        <v>988.7</v>
      </c>
      <c r="M447" s="18"/>
      <c r="N447" s="18"/>
      <c r="O447" s="27">
        <v>14609.75</v>
      </c>
      <c r="P447" s="25">
        <v>1176.5899999999999</v>
      </c>
      <c r="Q447" s="28">
        <v>15786.34</v>
      </c>
    </row>
    <row r="448" spans="1:17" ht="12" customHeight="1" x14ac:dyDescent="0.2">
      <c r="A448" s="21" t="s">
        <v>3559</v>
      </c>
      <c r="B448" s="21" t="s">
        <v>3560</v>
      </c>
      <c r="C448" s="21" t="s">
        <v>3561</v>
      </c>
      <c r="D448" s="21" t="s">
        <v>3562</v>
      </c>
      <c r="E448" s="22" t="s">
        <v>3563</v>
      </c>
      <c r="F448" s="23" t="s">
        <v>3564</v>
      </c>
      <c r="G448" s="34" t="s">
        <v>3565</v>
      </c>
      <c r="H448" s="18">
        <v>32136</v>
      </c>
      <c r="I448" s="39">
        <v>342.99</v>
      </c>
      <c r="J448" s="18">
        <v>6343.77</v>
      </c>
      <c r="K448" s="18">
        <v>409.27</v>
      </c>
      <c r="L448" s="43">
        <v>193.9</v>
      </c>
      <c r="M448" s="18"/>
      <c r="N448" s="18"/>
      <c r="O448" s="27">
        <v>7289.93</v>
      </c>
      <c r="P448" s="25">
        <v>7950.86</v>
      </c>
      <c r="Q448" s="28">
        <v>15240.79</v>
      </c>
    </row>
    <row r="449" spans="1:17" ht="11" customHeight="1" thickBot="1" x14ac:dyDescent="0.25">
      <c r="A449" s="21" t="s">
        <v>3566</v>
      </c>
      <c r="B449" s="21" t="s">
        <v>3567</v>
      </c>
      <c r="C449" s="21" t="s">
        <v>3568</v>
      </c>
      <c r="D449" s="21" t="s">
        <v>3569</v>
      </c>
      <c r="E449" s="22" t="s">
        <v>3570</v>
      </c>
      <c r="F449" s="23" t="s">
        <v>3571</v>
      </c>
      <c r="G449" s="34" t="s">
        <v>3572</v>
      </c>
      <c r="H449" s="18">
        <v>35651.199999999997</v>
      </c>
      <c r="I449" s="39">
        <v>652.69000000000005</v>
      </c>
      <c r="J449" s="25">
        <v>10095.9</v>
      </c>
      <c r="K449" s="18">
        <v>47.56</v>
      </c>
      <c r="L449" s="31">
        <v>113.33</v>
      </c>
      <c r="M449" s="18"/>
      <c r="N449" s="18"/>
      <c r="O449" s="27">
        <v>10909.48</v>
      </c>
      <c r="P449" s="25">
        <v>3454.79</v>
      </c>
      <c r="Q449" s="28">
        <v>14364.27</v>
      </c>
    </row>
    <row r="450" spans="1:17" ht="12" customHeight="1" x14ac:dyDescent="0.2">
      <c r="A450" s="10" t="s">
        <v>3573</v>
      </c>
      <c r="B450" s="10" t="s">
        <v>3574</v>
      </c>
      <c r="C450" s="10" t="s">
        <v>3575</v>
      </c>
      <c r="D450" s="10" t="s">
        <v>3576</v>
      </c>
      <c r="E450" s="11" t="s">
        <v>3577</v>
      </c>
      <c r="F450" s="12" t="s">
        <v>3578</v>
      </c>
      <c r="G450" s="32" t="s">
        <v>3579</v>
      </c>
      <c r="H450" s="16">
        <v>58822.400000000001</v>
      </c>
      <c r="I450" s="44" t="s">
        <v>3580</v>
      </c>
      <c r="J450" s="16">
        <v>4524.8</v>
      </c>
      <c r="K450" s="16">
        <v>651.21</v>
      </c>
      <c r="L450" s="45">
        <v>3.68</v>
      </c>
      <c r="M450" s="18"/>
      <c r="N450" s="18"/>
      <c r="O450" s="17">
        <v>5179.6899999999996</v>
      </c>
      <c r="P450" s="14">
        <v>8322.33</v>
      </c>
      <c r="Q450" s="20">
        <v>13502.02</v>
      </c>
    </row>
    <row r="451" spans="1:17" ht="12" customHeight="1" x14ac:dyDescent="0.2">
      <c r="A451" s="21" t="s">
        <v>3581</v>
      </c>
      <c r="B451" s="21" t="s">
        <v>3582</v>
      </c>
      <c r="C451" s="21" t="s">
        <v>3583</v>
      </c>
      <c r="D451" s="21" t="s">
        <v>3584</v>
      </c>
      <c r="E451" s="22" t="s">
        <v>3585</v>
      </c>
      <c r="F451" s="23" t="s">
        <v>3586</v>
      </c>
      <c r="G451" s="34" t="s">
        <v>3587</v>
      </c>
      <c r="H451" s="18" t="s">
        <v>3588</v>
      </c>
      <c r="I451" s="27" t="s">
        <v>3520</v>
      </c>
      <c r="J451" s="25">
        <v>12165.13</v>
      </c>
      <c r="K451" s="18" t="s">
        <v>3520</v>
      </c>
      <c r="L451" s="40"/>
      <c r="M451" s="18" t="s">
        <v>3520</v>
      </c>
      <c r="N451" s="18"/>
      <c r="O451" s="30">
        <v>12165.13</v>
      </c>
      <c r="P451" s="25">
        <v>930.65</v>
      </c>
      <c r="Q451" s="28">
        <v>13095.78</v>
      </c>
    </row>
    <row r="452" spans="1:17" ht="12" customHeight="1" x14ac:dyDescent="0.2">
      <c r="A452" s="21" t="s">
        <v>3589</v>
      </c>
      <c r="B452" s="21" t="s">
        <v>3590</v>
      </c>
      <c r="C452" s="21" t="s">
        <v>3591</v>
      </c>
      <c r="D452" s="21" t="s">
        <v>3592</v>
      </c>
      <c r="E452" s="22" t="s">
        <v>3593</v>
      </c>
      <c r="F452" s="23" t="s">
        <v>3594</v>
      </c>
      <c r="G452" s="33" t="s">
        <v>3595</v>
      </c>
      <c r="H452" s="18">
        <v>8554</v>
      </c>
      <c r="I452" s="42" t="s">
        <v>3596</v>
      </c>
      <c r="J452" s="25">
        <v>10049.24</v>
      </c>
      <c r="K452" s="18" t="s">
        <v>3520</v>
      </c>
      <c r="L452" s="40"/>
      <c r="M452" s="18" t="s">
        <v>3520</v>
      </c>
      <c r="N452" s="18"/>
      <c r="O452" s="31">
        <v>10049.24</v>
      </c>
      <c r="P452" s="25">
        <v>2415.83</v>
      </c>
      <c r="Q452" s="28">
        <v>12465.07</v>
      </c>
    </row>
    <row r="453" spans="1:17" ht="12" customHeight="1" x14ac:dyDescent="0.2">
      <c r="A453" s="21" t="s">
        <v>3597</v>
      </c>
      <c r="B453" s="21" t="s">
        <v>3598</v>
      </c>
      <c r="C453" s="21" t="s">
        <v>3599</v>
      </c>
      <c r="D453" s="21" t="s">
        <v>3600</v>
      </c>
      <c r="E453" s="22" t="s">
        <v>3601</v>
      </c>
      <c r="F453" s="23" t="s">
        <v>3602</v>
      </c>
      <c r="G453" s="33" t="s">
        <v>3603</v>
      </c>
      <c r="H453" s="18">
        <v>33280</v>
      </c>
      <c r="I453" s="42" t="s">
        <v>3604</v>
      </c>
      <c r="J453" s="18">
        <v>3840.48</v>
      </c>
      <c r="K453" s="18">
        <v>92.16</v>
      </c>
      <c r="L453" s="40"/>
      <c r="M453" s="18" t="s">
        <v>3520</v>
      </c>
      <c r="N453" s="18"/>
      <c r="O453" s="27">
        <v>3932.64</v>
      </c>
      <c r="P453" s="25">
        <v>7948.39</v>
      </c>
      <c r="Q453" s="28">
        <v>11881.03</v>
      </c>
    </row>
    <row r="454" spans="1:17" ht="12" customHeight="1" x14ac:dyDescent="0.2">
      <c r="A454" s="21" t="s">
        <v>3605</v>
      </c>
      <c r="B454" s="21" t="s">
        <v>3606</v>
      </c>
      <c r="C454" s="21" t="s">
        <v>3607</v>
      </c>
      <c r="D454" s="21" t="s">
        <v>3608</v>
      </c>
      <c r="E454" s="22" t="s">
        <v>3609</v>
      </c>
      <c r="F454" s="23" t="s">
        <v>3610</v>
      </c>
      <c r="G454" s="33" t="s">
        <v>3611</v>
      </c>
      <c r="H454" s="18">
        <v>39208</v>
      </c>
      <c r="I454" s="42" t="s">
        <v>3612</v>
      </c>
      <c r="J454" s="18">
        <v>3016</v>
      </c>
      <c r="K454" s="18">
        <v>42.98</v>
      </c>
      <c r="L454" s="27">
        <v>229.03</v>
      </c>
      <c r="M454" s="18"/>
      <c r="N454" s="18"/>
      <c r="O454" s="27">
        <v>3288.01</v>
      </c>
      <c r="P454" s="25">
        <v>7862.04</v>
      </c>
      <c r="Q454" s="28">
        <v>11150.05</v>
      </c>
    </row>
    <row r="455" spans="1:17" ht="12" customHeight="1" x14ac:dyDescent="0.2">
      <c r="A455" s="21" t="s">
        <v>3613</v>
      </c>
      <c r="B455" s="21" t="s">
        <v>3614</v>
      </c>
      <c r="C455" s="21" t="s">
        <v>3615</v>
      </c>
      <c r="D455" s="21" t="s">
        <v>3616</v>
      </c>
      <c r="E455" s="22" t="s">
        <v>3617</v>
      </c>
      <c r="F455" s="23" t="s">
        <v>3618</v>
      </c>
      <c r="G455" s="33" t="s">
        <v>3619</v>
      </c>
      <c r="H455" s="18">
        <v>8590.4</v>
      </c>
      <c r="I455" s="42" t="s">
        <v>3620</v>
      </c>
      <c r="J455" s="18">
        <v>8717.61</v>
      </c>
      <c r="K455" s="18" t="s">
        <v>3520</v>
      </c>
      <c r="L455" s="43">
        <v>240</v>
      </c>
      <c r="M455" s="18"/>
      <c r="N455" s="18"/>
      <c r="O455" s="27">
        <v>8957.61</v>
      </c>
      <c r="P455" s="25">
        <v>2153.4</v>
      </c>
      <c r="Q455" s="28">
        <v>11111.01</v>
      </c>
    </row>
    <row r="456" spans="1:17" ht="12" customHeight="1" x14ac:dyDescent="0.2">
      <c r="A456" s="21" t="s">
        <v>3621</v>
      </c>
      <c r="B456" s="21" t="s">
        <v>3622</v>
      </c>
      <c r="C456" s="21" t="s">
        <v>3623</v>
      </c>
      <c r="D456" s="21" t="s">
        <v>3624</v>
      </c>
      <c r="E456" s="22" t="s">
        <v>3625</v>
      </c>
      <c r="F456" s="23" t="s">
        <v>3626</v>
      </c>
      <c r="G456" s="34" t="s">
        <v>3627</v>
      </c>
      <c r="H456" s="18">
        <v>16712.8</v>
      </c>
      <c r="I456" s="27"/>
      <c r="J456" s="18">
        <v>8832.41</v>
      </c>
      <c r="K456" s="18" t="s">
        <v>3520</v>
      </c>
      <c r="L456" s="27" t="s">
        <v>3520</v>
      </c>
      <c r="M456" s="18"/>
      <c r="N456" s="18"/>
      <c r="O456" s="30">
        <v>8832.41</v>
      </c>
      <c r="P456" s="25">
        <v>2123.31</v>
      </c>
      <c r="Q456" s="28">
        <v>10955.72</v>
      </c>
    </row>
    <row r="457" spans="1:17" ht="12" customHeight="1" x14ac:dyDescent="0.2">
      <c r="A457" s="21" t="s">
        <v>3628</v>
      </c>
      <c r="B457" s="21" t="s">
        <v>3629</v>
      </c>
      <c r="C457" s="21" t="s">
        <v>3630</v>
      </c>
      <c r="D457" s="21" t="s">
        <v>3631</v>
      </c>
      <c r="E457" s="22" t="s">
        <v>3632</v>
      </c>
      <c r="F457" s="23" t="s">
        <v>3633</v>
      </c>
      <c r="G457" s="34" t="s">
        <v>3634</v>
      </c>
      <c r="H457" s="18">
        <v>16712.8</v>
      </c>
      <c r="I457" s="27"/>
      <c r="J457" s="18">
        <v>8828.1200000000008</v>
      </c>
      <c r="K457" s="18" t="s">
        <v>3520</v>
      </c>
      <c r="L457" s="27" t="s">
        <v>3520</v>
      </c>
      <c r="M457" s="18"/>
      <c r="N457" s="18"/>
      <c r="O457" s="30">
        <v>8828.1200000000008</v>
      </c>
      <c r="P457" s="25">
        <v>2122.29</v>
      </c>
      <c r="Q457" s="28">
        <v>10950.41</v>
      </c>
    </row>
    <row r="458" spans="1:17" ht="12" customHeight="1" x14ac:dyDescent="0.2">
      <c r="A458" s="21" t="s">
        <v>3635</v>
      </c>
      <c r="B458" s="21" t="s">
        <v>3636</v>
      </c>
      <c r="C458" s="21" t="s">
        <v>3637</v>
      </c>
      <c r="D458" s="21" t="s">
        <v>3638</v>
      </c>
      <c r="E458" s="22" t="s">
        <v>3639</v>
      </c>
      <c r="F458" s="23" t="s">
        <v>3640</v>
      </c>
      <c r="G458" s="34" t="s">
        <v>3641</v>
      </c>
      <c r="H458" s="18">
        <v>32136</v>
      </c>
      <c r="I458" s="39">
        <v>207.49</v>
      </c>
      <c r="J458" s="18">
        <v>6973.81</v>
      </c>
      <c r="K458" s="18">
        <v>71.849999999999994</v>
      </c>
      <c r="L458" s="27" t="s">
        <v>3520</v>
      </c>
      <c r="M458" s="18"/>
      <c r="N458" s="18"/>
      <c r="O458" s="31">
        <v>7253.15</v>
      </c>
      <c r="P458" s="25">
        <v>3293.76</v>
      </c>
      <c r="Q458" s="28">
        <v>10546.91</v>
      </c>
    </row>
    <row r="459" spans="1:17" ht="12" customHeight="1" x14ac:dyDescent="0.2">
      <c r="A459" s="21" t="s">
        <v>3642</v>
      </c>
      <c r="B459" s="21" t="s">
        <v>3643</v>
      </c>
      <c r="C459" s="21" t="s">
        <v>3644</v>
      </c>
      <c r="D459" s="21" t="s">
        <v>3645</v>
      </c>
      <c r="E459" s="22" t="s">
        <v>3646</v>
      </c>
      <c r="F459" s="23" t="s">
        <v>3647</v>
      </c>
      <c r="G459" s="33" t="s">
        <v>3648</v>
      </c>
      <c r="H459" s="18" t="s">
        <v>3649</v>
      </c>
      <c r="I459" s="38" t="s">
        <v>3650</v>
      </c>
      <c r="J459" s="18">
        <v>9769.4</v>
      </c>
      <c r="K459" s="18" t="s">
        <v>3520</v>
      </c>
      <c r="L459" s="27"/>
      <c r="M459" s="18"/>
      <c r="N459" s="28"/>
      <c r="O459" s="30">
        <v>9769.4</v>
      </c>
      <c r="P459" s="25">
        <v>747.36</v>
      </c>
      <c r="Q459" s="28">
        <v>10516.76</v>
      </c>
    </row>
    <row r="460" spans="1:17" ht="12" customHeight="1" x14ac:dyDescent="0.2">
      <c r="A460" s="21" t="s">
        <v>3651</v>
      </c>
      <c r="B460" s="21" t="s">
        <v>3652</v>
      </c>
      <c r="C460" s="21" t="s">
        <v>3653</v>
      </c>
      <c r="D460" s="21" t="s">
        <v>3654</v>
      </c>
      <c r="E460" s="22" t="s">
        <v>3655</v>
      </c>
      <c r="F460" s="23" t="s">
        <v>3656</v>
      </c>
      <c r="G460" s="33" t="s">
        <v>3657</v>
      </c>
      <c r="H460" s="18" t="s">
        <v>3658</v>
      </c>
      <c r="I460" s="38" t="s">
        <v>3659</v>
      </c>
      <c r="J460" s="25">
        <v>8397.1</v>
      </c>
      <c r="K460" s="18">
        <v>1134.02</v>
      </c>
      <c r="L460" s="27">
        <v>96.36</v>
      </c>
      <c r="M460" s="18"/>
      <c r="N460" s="18"/>
      <c r="O460" s="31">
        <v>9627.48</v>
      </c>
      <c r="P460" s="25">
        <v>736.51</v>
      </c>
      <c r="Q460" s="28">
        <v>10363.99</v>
      </c>
    </row>
    <row r="461" spans="1:17" ht="12" customHeight="1" x14ac:dyDescent="0.2">
      <c r="A461" s="21" t="s">
        <v>3660</v>
      </c>
      <c r="B461" s="21" t="s">
        <v>3661</v>
      </c>
      <c r="C461" s="21" t="s">
        <v>3662</v>
      </c>
      <c r="D461" s="21" t="s">
        <v>3663</v>
      </c>
      <c r="E461" s="22" t="s">
        <v>3664</v>
      </c>
      <c r="F461" s="23" t="s">
        <v>3665</v>
      </c>
      <c r="G461" s="33" t="s">
        <v>3666</v>
      </c>
      <c r="H461" s="18">
        <v>41163.199999999997</v>
      </c>
      <c r="I461" s="38" t="s">
        <v>3667</v>
      </c>
      <c r="J461" s="18">
        <v>3191.14</v>
      </c>
      <c r="K461" s="18" t="s">
        <v>3520</v>
      </c>
      <c r="L461" s="27"/>
      <c r="M461" s="18"/>
      <c r="N461" s="28"/>
      <c r="O461" s="27">
        <v>3191.14</v>
      </c>
      <c r="P461" s="25">
        <v>6935.58</v>
      </c>
      <c r="Q461" s="28">
        <v>10126.719999999999</v>
      </c>
    </row>
    <row r="462" spans="1:17" ht="12" customHeight="1" x14ac:dyDescent="0.2">
      <c r="A462" s="21" t="s">
        <v>3668</v>
      </c>
      <c r="B462" s="21" t="s">
        <v>3669</v>
      </c>
      <c r="C462" s="21" t="s">
        <v>3670</v>
      </c>
      <c r="D462" s="21" t="s">
        <v>3671</v>
      </c>
      <c r="E462" s="22" t="s">
        <v>3672</v>
      </c>
      <c r="F462" s="23" t="s">
        <v>3673</v>
      </c>
      <c r="G462" s="34" t="s">
        <v>3674</v>
      </c>
      <c r="H462" s="18">
        <v>48880</v>
      </c>
      <c r="I462" s="39">
        <v>89.3</v>
      </c>
      <c r="J462" s="18">
        <v>7602.49</v>
      </c>
      <c r="K462" s="18">
        <v>81.44</v>
      </c>
      <c r="L462" s="27" t="s">
        <v>3520</v>
      </c>
      <c r="M462" s="18"/>
      <c r="N462" s="18"/>
      <c r="O462" s="30">
        <v>7773.23</v>
      </c>
      <c r="P462" s="25">
        <v>1928.75</v>
      </c>
      <c r="Q462" s="28">
        <v>9701.98</v>
      </c>
    </row>
    <row r="463" spans="1:17" ht="12" customHeight="1" x14ac:dyDescent="0.2">
      <c r="A463" s="21" t="s">
        <v>3675</v>
      </c>
      <c r="B463" s="21" t="s">
        <v>3676</v>
      </c>
      <c r="C463" s="21" t="s">
        <v>3677</v>
      </c>
      <c r="D463" s="21" t="s">
        <v>3678</v>
      </c>
      <c r="E463" s="22" t="s">
        <v>3679</v>
      </c>
      <c r="F463" s="23" t="s">
        <v>3680</v>
      </c>
      <c r="G463" s="33" t="s">
        <v>3681</v>
      </c>
      <c r="H463" s="18" t="s">
        <v>3682</v>
      </c>
      <c r="I463" s="38" t="s">
        <v>3683</v>
      </c>
      <c r="J463" s="25">
        <v>7810.17</v>
      </c>
      <c r="K463" s="18" t="s">
        <v>3520</v>
      </c>
      <c r="L463" s="27">
        <v>494.43</v>
      </c>
      <c r="M463" s="18"/>
      <c r="N463" s="18"/>
      <c r="O463" s="31">
        <v>8304.6</v>
      </c>
      <c r="P463" s="25">
        <v>635.29</v>
      </c>
      <c r="Q463" s="28">
        <v>8939.89</v>
      </c>
    </row>
    <row r="464" spans="1:17" ht="12" customHeight="1" x14ac:dyDescent="0.2">
      <c r="A464" s="21" t="s">
        <v>3684</v>
      </c>
      <c r="B464" s="21" t="s">
        <v>3685</v>
      </c>
      <c r="C464" s="21" t="s">
        <v>3686</v>
      </c>
      <c r="D464" s="21" t="s">
        <v>3687</v>
      </c>
      <c r="E464" s="22" t="s">
        <v>3688</v>
      </c>
      <c r="F464" s="23" t="s">
        <v>3689</v>
      </c>
      <c r="G464" s="34" t="s">
        <v>3690</v>
      </c>
      <c r="H464" s="18">
        <v>16068</v>
      </c>
      <c r="I464" s="27"/>
      <c r="J464" s="18">
        <v>6979.83</v>
      </c>
      <c r="K464" s="18" t="s">
        <v>3520</v>
      </c>
      <c r="L464" s="27" t="s">
        <v>3520</v>
      </c>
      <c r="M464" s="18"/>
      <c r="N464" s="18"/>
      <c r="O464" s="30">
        <v>6979.83</v>
      </c>
      <c r="P464" s="25">
        <v>1677.94</v>
      </c>
      <c r="Q464" s="28">
        <v>8657.77</v>
      </c>
    </row>
    <row r="465" spans="1:17" ht="12" customHeight="1" x14ac:dyDescent="0.2">
      <c r="A465" s="21" t="s">
        <v>3691</v>
      </c>
      <c r="B465" s="21" t="s">
        <v>3692</v>
      </c>
      <c r="C465" s="21" t="s">
        <v>3693</v>
      </c>
      <c r="D465" s="21" t="s">
        <v>3694</v>
      </c>
      <c r="E465" s="22" t="s">
        <v>3695</v>
      </c>
      <c r="F465" s="23" t="s">
        <v>3696</v>
      </c>
      <c r="G465" s="34" t="s">
        <v>3697</v>
      </c>
      <c r="H465" s="18" t="s">
        <v>3698</v>
      </c>
      <c r="I465" s="27"/>
      <c r="J465" s="18">
        <v>7920.57</v>
      </c>
      <c r="K465" s="18" t="s">
        <v>3520</v>
      </c>
      <c r="L465" s="27" t="s">
        <v>3520</v>
      </c>
      <c r="M465" s="18"/>
      <c r="N465" s="18"/>
      <c r="O465" s="30">
        <v>7920.57</v>
      </c>
      <c r="P465" s="25">
        <v>605.91999999999996</v>
      </c>
      <c r="Q465" s="28">
        <v>8526.49</v>
      </c>
    </row>
    <row r="466" spans="1:17" ht="12" customHeight="1" x14ac:dyDescent="0.2">
      <c r="A466" s="21" t="s">
        <v>3699</v>
      </c>
      <c r="B466" s="21" t="s">
        <v>3700</v>
      </c>
      <c r="C466" s="21" t="s">
        <v>3701</v>
      </c>
      <c r="D466" s="21" t="s">
        <v>3702</v>
      </c>
      <c r="E466" s="22" t="s">
        <v>3703</v>
      </c>
      <c r="F466" s="23" t="s">
        <v>3704</v>
      </c>
      <c r="G466" s="33" t="s">
        <v>3705</v>
      </c>
      <c r="H466" s="18">
        <v>32136</v>
      </c>
      <c r="I466" s="38" t="s">
        <v>3706</v>
      </c>
      <c r="J466" s="18">
        <v>6536.59</v>
      </c>
      <c r="K466" s="18" t="s">
        <v>3520</v>
      </c>
      <c r="L466" s="27"/>
      <c r="M466" s="18"/>
      <c r="N466" s="28"/>
      <c r="O466" s="31">
        <v>6536.59</v>
      </c>
      <c r="P466" s="25">
        <v>1571.4</v>
      </c>
      <c r="Q466" s="28">
        <v>8107.99</v>
      </c>
    </row>
    <row r="467" spans="1:17" ht="12" customHeight="1" x14ac:dyDescent="0.2">
      <c r="A467" s="21" t="s">
        <v>3707</v>
      </c>
      <c r="B467" s="21" t="s">
        <v>3708</v>
      </c>
      <c r="C467" s="21" t="s">
        <v>3709</v>
      </c>
      <c r="D467" s="21" t="s">
        <v>3710</v>
      </c>
      <c r="E467" s="22" t="s">
        <v>3711</v>
      </c>
      <c r="F467" s="23" t="s">
        <v>3712</v>
      </c>
      <c r="G467" s="33" t="s">
        <v>3713</v>
      </c>
      <c r="H467" s="18" t="s">
        <v>3714</v>
      </c>
      <c r="I467" s="38" t="s">
        <v>3715</v>
      </c>
      <c r="J467" s="25">
        <v>6961.85</v>
      </c>
      <c r="K467" s="18">
        <v>555.17999999999995</v>
      </c>
      <c r="L467" s="31" t="s">
        <v>3520</v>
      </c>
      <c r="M467" s="18"/>
      <c r="N467" s="18"/>
      <c r="O467" s="31">
        <v>7517.03</v>
      </c>
      <c r="P467" s="25">
        <v>575.05999999999995</v>
      </c>
      <c r="Q467" s="28">
        <v>8092.09</v>
      </c>
    </row>
    <row r="468" spans="1:17" ht="12" customHeight="1" x14ac:dyDescent="0.2">
      <c r="A468" s="21" t="s">
        <v>3716</v>
      </c>
      <c r="B468" s="21" t="s">
        <v>3717</v>
      </c>
      <c r="C468" s="21" t="s">
        <v>3718</v>
      </c>
      <c r="D468" s="21" t="s">
        <v>3719</v>
      </c>
      <c r="E468" s="22" t="s">
        <v>3720</v>
      </c>
      <c r="F468" s="23" t="s">
        <v>3721</v>
      </c>
      <c r="G468" s="33" t="s">
        <v>3722</v>
      </c>
      <c r="H468" s="18" t="s">
        <v>3723</v>
      </c>
      <c r="I468" s="38" t="s">
        <v>3724</v>
      </c>
      <c r="J468" s="25">
        <v>4978.29</v>
      </c>
      <c r="K468" s="18" t="s">
        <v>3520</v>
      </c>
      <c r="L468" s="27">
        <v>2489.59</v>
      </c>
      <c r="M468" s="18"/>
      <c r="N468" s="18"/>
      <c r="O468" s="31">
        <v>7467.88</v>
      </c>
      <c r="P468" s="25">
        <v>571.28</v>
      </c>
      <c r="Q468" s="28">
        <v>8039.16</v>
      </c>
    </row>
    <row r="469" spans="1:17" ht="12" customHeight="1" x14ac:dyDescent="0.2">
      <c r="A469" s="21" t="s">
        <v>3725</v>
      </c>
      <c r="B469" s="21" t="s">
        <v>3726</v>
      </c>
      <c r="C469" s="21" t="s">
        <v>3727</v>
      </c>
      <c r="D469" s="21" t="s">
        <v>3728</v>
      </c>
      <c r="E469" s="22" t="s">
        <v>3729</v>
      </c>
      <c r="F469" s="23" t="s">
        <v>3730</v>
      </c>
      <c r="G469" s="33" t="s">
        <v>3731</v>
      </c>
      <c r="H469" s="18" t="s">
        <v>3732</v>
      </c>
      <c r="I469" s="38" t="s">
        <v>3733</v>
      </c>
      <c r="J469" s="18">
        <v>6827.17</v>
      </c>
      <c r="K469" s="18" t="s">
        <v>3520</v>
      </c>
      <c r="L469" s="27">
        <v>622.72</v>
      </c>
      <c r="M469" s="18"/>
      <c r="N469" s="18"/>
      <c r="O469" s="31">
        <v>7449.89</v>
      </c>
      <c r="P469" s="25">
        <v>569.92999999999995</v>
      </c>
      <c r="Q469" s="28">
        <v>8019.82</v>
      </c>
    </row>
    <row r="470" spans="1:17" ht="12" customHeight="1" x14ac:dyDescent="0.2">
      <c r="A470" s="21" t="s">
        <v>3734</v>
      </c>
      <c r="B470" s="21" t="s">
        <v>3735</v>
      </c>
      <c r="C470" s="21" t="s">
        <v>3736</v>
      </c>
      <c r="D470" s="21" t="s">
        <v>3737</v>
      </c>
      <c r="E470" s="22" t="s">
        <v>3738</v>
      </c>
      <c r="F470" s="23" t="s">
        <v>3739</v>
      </c>
      <c r="G470" s="34" t="s">
        <v>3740</v>
      </c>
      <c r="H470" s="18">
        <v>52556.92</v>
      </c>
      <c r="I470" s="39">
        <v>2321.39</v>
      </c>
      <c r="J470" s="18">
        <v>3614.27</v>
      </c>
      <c r="K470" s="18" t="s">
        <v>3520</v>
      </c>
      <c r="L470" s="43">
        <v>419.54</v>
      </c>
      <c r="M470" s="18"/>
      <c r="N470" s="18"/>
      <c r="O470" s="31">
        <v>6355.2</v>
      </c>
      <c r="P470" s="25">
        <v>1552</v>
      </c>
      <c r="Q470" s="28">
        <v>7907.2</v>
      </c>
    </row>
    <row r="471" spans="1:17" ht="12" customHeight="1" x14ac:dyDescent="0.2">
      <c r="A471" s="21" t="s">
        <v>3741</v>
      </c>
      <c r="B471" s="21" t="s">
        <v>3742</v>
      </c>
      <c r="C471" s="21" t="s">
        <v>3743</v>
      </c>
      <c r="D471" s="21" t="s">
        <v>3744</v>
      </c>
      <c r="E471" s="22" t="s">
        <v>3745</v>
      </c>
      <c r="F471" s="23" t="s">
        <v>3746</v>
      </c>
      <c r="G471" s="34" t="s">
        <v>3747</v>
      </c>
      <c r="H471" s="18" t="s">
        <v>3748</v>
      </c>
      <c r="I471" s="27"/>
      <c r="J471" s="18">
        <v>7234.46</v>
      </c>
      <c r="K471" s="18">
        <v>35.92</v>
      </c>
      <c r="L471" s="27" t="s">
        <v>3520</v>
      </c>
      <c r="M471" s="18"/>
      <c r="N471" s="18"/>
      <c r="O471" s="30">
        <v>7270.38</v>
      </c>
      <c r="P471" s="25">
        <v>573.64</v>
      </c>
      <c r="Q471" s="28">
        <v>7844.02</v>
      </c>
    </row>
    <row r="472" spans="1:17" ht="12" customHeight="1" x14ac:dyDescent="0.2">
      <c r="A472" s="21" t="s">
        <v>3749</v>
      </c>
      <c r="B472" s="21" t="s">
        <v>3750</v>
      </c>
      <c r="C472" s="21" t="s">
        <v>3751</v>
      </c>
      <c r="D472" s="21" t="s">
        <v>3752</v>
      </c>
      <c r="E472" s="22" t="s">
        <v>3753</v>
      </c>
      <c r="F472" s="23" t="s">
        <v>3754</v>
      </c>
      <c r="G472" s="33" t="s">
        <v>3755</v>
      </c>
      <c r="H472" s="18" t="s">
        <v>3756</v>
      </c>
      <c r="I472" s="42" t="s">
        <v>3757</v>
      </c>
      <c r="J472" s="18">
        <v>7125.28</v>
      </c>
      <c r="K472" s="18" t="s">
        <v>3520</v>
      </c>
      <c r="L472" s="27"/>
      <c r="M472" s="18"/>
      <c r="N472" s="28"/>
      <c r="O472" s="31">
        <v>7125.28</v>
      </c>
      <c r="P472" s="25">
        <v>545.09</v>
      </c>
      <c r="Q472" s="28">
        <v>7670.37</v>
      </c>
    </row>
    <row r="473" spans="1:17" ht="12" customHeight="1" x14ac:dyDescent="0.2">
      <c r="A473" s="21" t="s">
        <v>3758</v>
      </c>
      <c r="B473" s="21" t="s">
        <v>3759</v>
      </c>
      <c r="C473" s="21" t="s">
        <v>3760</v>
      </c>
      <c r="D473" s="21" t="s">
        <v>3761</v>
      </c>
      <c r="E473" s="22" t="s">
        <v>3762</v>
      </c>
      <c r="F473" s="23" t="s">
        <v>3763</v>
      </c>
      <c r="G473" s="34" t="s">
        <v>3764</v>
      </c>
      <c r="H473" s="18">
        <v>33425.599999999999</v>
      </c>
      <c r="I473" s="27"/>
      <c r="J473" s="18">
        <v>5984.47</v>
      </c>
      <c r="K473" s="18">
        <v>39.29</v>
      </c>
      <c r="L473" s="27">
        <v>100</v>
      </c>
      <c r="M473" s="18"/>
      <c r="N473" s="18"/>
      <c r="O473" s="31">
        <v>6123.76</v>
      </c>
      <c r="P473" s="25">
        <v>1487.16</v>
      </c>
      <c r="Q473" s="28">
        <v>7610.92</v>
      </c>
    </row>
    <row r="474" spans="1:17" ht="12" customHeight="1" x14ac:dyDescent="0.2">
      <c r="A474" s="21" t="s">
        <v>3765</v>
      </c>
      <c r="B474" s="21" t="s">
        <v>3766</v>
      </c>
      <c r="C474" s="21" t="s">
        <v>3767</v>
      </c>
      <c r="D474" s="21" t="s">
        <v>3768</v>
      </c>
      <c r="E474" s="22" t="s">
        <v>3769</v>
      </c>
      <c r="F474" s="23" t="s">
        <v>3770</v>
      </c>
      <c r="G474" s="33" t="s">
        <v>3771</v>
      </c>
      <c r="H474" s="18" t="s">
        <v>3772</v>
      </c>
      <c r="I474" s="42" t="s">
        <v>3773</v>
      </c>
      <c r="J474" s="25">
        <v>6984.62</v>
      </c>
      <c r="K474" s="18" t="s">
        <v>3520</v>
      </c>
      <c r="L474" s="27"/>
      <c r="M474" s="18"/>
      <c r="N474" s="28"/>
      <c r="O474" s="30">
        <v>6984.62</v>
      </c>
      <c r="P474" s="25">
        <v>534.32000000000005</v>
      </c>
      <c r="Q474" s="28">
        <v>7518.94</v>
      </c>
    </row>
    <row r="475" spans="1:17" ht="12" customHeight="1" x14ac:dyDescent="0.2">
      <c r="A475" s="21" t="s">
        <v>3774</v>
      </c>
      <c r="B475" s="21" t="s">
        <v>3775</v>
      </c>
      <c r="C475" s="21" t="s">
        <v>3776</v>
      </c>
      <c r="D475" s="21" t="s">
        <v>3777</v>
      </c>
      <c r="E475" s="22" t="s">
        <v>3778</v>
      </c>
      <c r="F475" s="23" t="s">
        <v>3779</v>
      </c>
      <c r="G475" s="34" t="s">
        <v>3780</v>
      </c>
      <c r="H475" s="18">
        <v>16068</v>
      </c>
      <c r="I475" s="27"/>
      <c r="J475" s="18">
        <v>5930.81</v>
      </c>
      <c r="K475" s="18" t="s">
        <v>3520</v>
      </c>
      <c r="L475" s="31" t="s">
        <v>3520</v>
      </c>
      <c r="M475" s="18"/>
      <c r="N475" s="18"/>
      <c r="O475" s="30">
        <v>5930.81</v>
      </c>
      <c r="P475" s="25">
        <v>1425.75</v>
      </c>
      <c r="Q475" s="28">
        <v>7356.56</v>
      </c>
    </row>
    <row r="476" spans="1:17" ht="12" customHeight="1" x14ac:dyDescent="0.2">
      <c r="A476" s="21" t="s">
        <v>3781</v>
      </c>
      <c r="B476" s="21" t="s">
        <v>3782</v>
      </c>
      <c r="C476" s="21" t="s">
        <v>3783</v>
      </c>
      <c r="D476" s="21" t="s">
        <v>3784</v>
      </c>
      <c r="E476" s="22" t="s">
        <v>3785</v>
      </c>
      <c r="F476" s="23" t="s">
        <v>3786</v>
      </c>
      <c r="G476" s="46" t="s">
        <v>3787</v>
      </c>
      <c r="H476" s="41" t="s">
        <v>3788</v>
      </c>
      <c r="I476" s="27"/>
      <c r="J476" s="18">
        <v>6051.27</v>
      </c>
      <c r="K476" s="18" t="s">
        <v>3520</v>
      </c>
      <c r="L476" s="27">
        <v>761.96</v>
      </c>
      <c r="M476" s="18"/>
      <c r="N476" s="18"/>
      <c r="O476" s="30">
        <v>6813.23</v>
      </c>
      <c r="P476" s="25">
        <v>538.64</v>
      </c>
      <c r="Q476" s="28">
        <v>7351.87</v>
      </c>
    </row>
    <row r="477" spans="1:17" ht="12" customHeight="1" x14ac:dyDescent="0.2">
      <c r="A477" s="21" t="s">
        <v>3789</v>
      </c>
      <c r="B477" s="21" t="s">
        <v>3790</v>
      </c>
      <c r="C477" s="21" t="s">
        <v>3791</v>
      </c>
      <c r="D477" s="21" t="s">
        <v>3792</v>
      </c>
      <c r="E477" s="22" t="s">
        <v>3793</v>
      </c>
      <c r="F477" s="23" t="s">
        <v>3794</v>
      </c>
      <c r="G477" s="33" t="s">
        <v>3795</v>
      </c>
      <c r="H477" s="18" t="s">
        <v>3796</v>
      </c>
      <c r="I477" s="47" t="s">
        <v>3797</v>
      </c>
      <c r="J477" s="25">
        <v>6785.35</v>
      </c>
      <c r="K477" s="18" t="s">
        <v>3520</v>
      </c>
      <c r="L477" s="27"/>
      <c r="M477" s="18"/>
      <c r="N477" s="28"/>
      <c r="O477" s="27">
        <v>6785.35</v>
      </c>
      <c r="P477" s="25">
        <v>526.42999999999995</v>
      </c>
      <c r="Q477" s="28">
        <v>7311.78</v>
      </c>
    </row>
    <row r="478" spans="1:17" ht="12" customHeight="1" x14ac:dyDescent="0.2">
      <c r="A478" s="21" t="s">
        <v>3798</v>
      </c>
      <c r="B478" s="21" t="s">
        <v>3799</v>
      </c>
      <c r="C478" s="21" t="s">
        <v>3800</v>
      </c>
      <c r="D478" s="21" t="s">
        <v>3801</v>
      </c>
      <c r="E478" s="22" t="s">
        <v>3802</v>
      </c>
      <c r="F478" s="23" t="s">
        <v>3803</v>
      </c>
      <c r="G478" s="33" t="s">
        <v>3804</v>
      </c>
      <c r="H478" s="18" t="s">
        <v>3805</v>
      </c>
      <c r="I478" s="47" t="s">
        <v>3806</v>
      </c>
      <c r="J478" s="25">
        <v>6567.17</v>
      </c>
      <c r="K478" s="18" t="s">
        <v>3520</v>
      </c>
      <c r="L478" s="27"/>
      <c r="M478" s="18"/>
      <c r="N478" s="28"/>
      <c r="O478" s="27">
        <v>6567.17</v>
      </c>
      <c r="P478" s="25">
        <v>502.38</v>
      </c>
      <c r="Q478" s="28">
        <v>7069.55</v>
      </c>
    </row>
    <row r="479" spans="1:17" ht="12" customHeight="1" x14ac:dyDescent="0.2">
      <c r="A479" s="21" t="s">
        <v>3807</v>
      </c>
      <c r="B479" s="21" t="s">
        <v>3808</v>
      </c>
      <c r="C479" s="21" t="s">
        <v>3809</v>
      </c>
      <c r="D479" s="21" t="s">
        <v>3810</v>
      </c>
      <c r="E479" s="22" t="s">
        <v>3811</v>
      </c>
      <c r="F479" s="23" t="s">
        <v>3812</v>
      </c>
      <c r="G479" s="33" t="s">
        <v>3813</v>
      </c>
      <c r="H479" s="18" t="s">
        <v>3814</v>
      </c>
      <c r="I479" s="47" t="s">
        <v>3815</v>
      </c>
      <c r="J479" s="18">
        <v>6554.64</v>
      </c>
      <c r="K479" s="18" t="s">
        <v>3520</v>
      </c>
      <c r="L479" s="31" t="s">
        <v>3520</v>
      </c>
      <c r="M479" s="18"/>
      <c r="N479" s="18"/>
      <c r="O479" s="30">
        <v>6554.64</v>
      </c>
      <c r="P479" s="25">
        <v>501.43</v>
      </c>
      <c r="Q479" s="28">
        <v>7056.07</v>
      </c>
    </row>
    <row r="480" spans="1:17" ht="12" customHeight="1" x14ac:dyDescent="0.2">
      <c r="A480" s="21" t="s">
        <v>3816</v>
      </c>
      <c r="B480" s="21" t="s">
        <v>3817</v>
      </c>
      <c r="C480" s="21" t="s">
        <v>3818</v>
      </c>
      <c r="D480" s="21" t="s">
        <v>3819</v>
      </c>
      <c r="E480" s="22" t="s">
        <v>3820</v>
      </c>
      <c r="F480" s="23" t="s">
        <v>3821</v>
      </c>
      <c r="G480" s="33" t="s">
        <v>3822</v>
      </c>
      <c r="H480" s="18" t="s">
        <v>3823</v>
      </c>
      <c r="I480" s="47" t="s">
        <v>3824</v>
      </c>
      <c r="J480" s="25">
        <v>6062.4</v>
      </c>
      <c r="K480" s="18" t="s">
        <v>3520</v>
      </c>
      <c r="L480" s="43">
        <v>5.52</v>
      </c>
      <c r="M480" s="18"/>
      <c r="N480" s="18"/>
      <c r="O480" s="31">
        <v>6067.92</v>
      </c>
      <c r="P480" s="25">
        <v>663.33</v>
      </c>
      <c r="Q480" s="28">
        <v>6731.25</v>
      </c>
    </row>
    <row r="481" spans="1:17" ht="12" customHeight="1" x14ac:dyDescent="0.2">
      <c r="A481" s="21" t="s">
        <v>3825</v>
      </c>
      <c r="B481" s="21" t="s">
        <v>3826</v>
      </c>
      <c r="C481" s="21" t="s">
        <v>3827</v>
      </c>
      <c r="D481" s="21" t="s">
        <v>3828</v>
      </c>
      <c r="E481" s="22" t="s">
        <v>3829</v>
      </c>
      <c r="F481" s="23" t="s">
        <v>3830</v>
      </c>
      <c r="G481" s="33" t="s">
        <v>3831</v>
      </c>
      <c r="H481" s="18">
        <v>32136</v>
      </c>
      <c r="I481" s="47" t="s">
        <v>3832</v>
      </c>
      <c r="J481" s="18">
        <v>4944</v>
      </c>
      <c r="K481" s="18">
        <v>50.28</v>
      </c>
      <c r="L481" s="27" t="s">
        <v>3520</v>
      </c>
      <c r="M481" s="18"/>
      <c r="N481" s="18"/>
      <c r="O481" s="31">
        <v>4994.28</v>
      </c>
      <c r="P481" s="25">
        <v>1336.26</v>
      </c>
      <c r="Q481" s="28">
        <v>6330.54</v>
      </c>
    </row>
    <row r="482" spans="1:17" ht="12" customHeight="1" x14ac:dyDescent="0.2">
      <c r="A482" s="21" t="s">
        <v>3833</v>
      </c>
      <c r="B482" s="21" t="s">
        <v>3834</v>
      </c>
      <c r="C482" s="21" t="s">
        <v>3835</v>
      </c>
      <c r="D482" s="21" t="s">
        <v>3836</v>
      </c>
      <c r="E482" s="22" t="s">
        <v>3837</v>
      </c>
      <c r="F482" s="23" t="s">
        <v>3838</v>
      </c>
      <c r="G482" s="33" t="s">
        <v>3839</v>
      </c>
      <c r="H482" s="18" t="s">
        <v>3840</v>
      </c>
      <c r="I482" s="47" t="s">
        <v>3841</v>
      </c>
      <c r="J482" s="25">
        <v>5318.97</v>
      </c>
      <c r="K482" s="18" t="s">
        <v>3520</v>
      </c>
      <c r="L482" s="27"/>
      <c r="M482" s="18"/>
      <c r="N482" s="28"/>
      <c r="O482" s="31">
        <v>5318.97</v>
      </c>
      <c r="P482" s="25">
        <v>406.89</v>
      </c>
      <c r="Q482" s="28">
        <v>5725.86</v>
      </c>
    </row>
    <row r="483" spans="1:17" ht="12" customHeight="1" x14ac:dyDescent="0.2">
      <c r="A483" s="21" t="s">
        <v>3842</v>
      </c>
      <c r="B483" s="21" t="s">
        <v>3843</v>
      </c>
      <c r="C483" s="21" t="s">
        <v>3844</v>
      </c>
      <c r="D483" s="21" t="s">
        <v>3845</v>
      </c>
      <c r="E483" s="22" t="s">
        <v>3846</v>
      </c>
      <c r="F483" s="23" t="s">
        <v>3847</v>
      </c>
      <c r="G483" s="33" t="s">
        <v>3848</v>
      </c>
      <c r="H483" s="18" t="s">
        <v>3849</v>
      </c>
      <c r="I483" s="47" t="s">
        <v>3850</v>
      </c>
      <c r="J483" s="25">
        <v>5119.28</v>
      </c>
      <c r="K483" s="18" t="s">
        <v>3520</v>
      </c>
      <c r="L483" s="27"/>
      <c r="M483" s="18"/>
      <c r="N483" s="28"/>
      <c r="O483" s="31">
        <v>5119.28</v>
      </c>
      <c r="P483" s="25">
        <v>391.63</v>
      </c>
      <c r="Q483" s="28">
        <v>5510.91</v>
      </c>
    </row>
    <row r="484" spans="1:17" ht="12" customHeight="1" x14ac:dyDescent="0.2">
      <c r="A484" s="21" t="s">
        <v>3851</v>
      </c>
      <c r="B484" s="21" t="s">
        <v>3852</v>
      </c>
      <c r="C484" s="21" t="s">
        <v>3853</v>
      </c>
      <c r="D484" s="21" t="s">
        <v>3854</v>
      </c>
      <c r="E484" s="22" t="s">
        <v>3855</v>
      </c>
      <c r="F484" s="23" t="s">
        <v>3856</v>
      </c>
      <c r="G484" s="33" t="s">
        <v>3857</v>
      </c>
      <c r="H484" s="18">
        <v>16068</v>
      </c>
      <c r="I484" s="47" t="s">
        <v>3858</v>
      </c>
      <c r="J484" s="18">
        <v>4192.0600000000004</v>
      </c>
      <c r="K484" s="18" t="s">
        <v>3520</v>
      </c>
      <c r="L484" s="27"/>
      <c r="M484" s="18"/>
      <c r="N484" s="28"/>
      <c r="O484" s="27">
        <v>4192.0600000000004</v>
      </c>
      <c r="P484" s="25">
        <v>1007.77</v>
      </c>
      <c r="Q484" s="28">
        <v>5199.83</v>
      </c>
    </row>
    <row r="485" spans="1:17" ht="12" customHeight="1" x14ac:dyDescent="0.2">
      <c r="A485" s="21" t="s">
        <v>3859</v>
      </c>
      <c r="B485" s="21" t="s">
        <v>3860</v>
      </c>
      <c r="C485" s="21" t="s">
        <v>3861</v>
      </c>
      <c r="D485" s="21" t="s">
        <v>3862</v>
      </c>
      <c r="E485" s="22" t="s">
        <v>3863</v>
      </c>
      <c r="F485" s="23" t="s">
        <v>3864</v>
      </c>
      <c r="G485" s="33" t="s">
        <v>3865</v>
      </c>
      <c r="H485" s="18" t="s">
        <v>3866</v>
      </c>
      <c r="I485" s="47" t="s">
        <v>3867</v>
      </c>
      <c r="J485" s="25">
        <v>4636.82</v>
      </c>
      <c r="K485" s="18">
        <v>59.03</v>
      </c>
      <c r="L485" s="27"/>
      <c r="M485" s="18"/>
      <c r="N485" s="28"/>
      <c r="O485" s="27">
        <v>4695.8500000000004</v>
      </c>
      <c r="P485" s="25">
        <v>359.23</v>
      </c>
      <c r="Q485" s="28">
        <v>5055.08</v>
      </c>
    </row>
    <row r="486" spans="1:17" ht="12" customHeight="1" x14ac:dyDescent="0.2">
      <c r="A486" s="21" t="s">
        <v>3868</v>
      </c>
      <c r="B486" s="21" t="s">
        <v>3869</v>
      </c>
      <c r="C486" s="21" t="s">
        <v>3870</v>
      </c>
      <c r="D486" s="21" t="s">
        <v>3871</v>
      </c>
      <c r="E486" s="22" t="s">
        <v>3872</v>
      </c>
      <c r="F486" s="23" t="s">
        <v>3873</v>
      </c>
      <c r="G486" s="33" t="s">
        <v>3874</v>
      </c>
      <c r="H486" s="18" t="s">
        <v>3875</v>
      </c>
      <c r="I486" s="47" t="s">
        <v>3876</v>
      </c>
      <c r="J486" s="25">
        <v>4665.33</v>
      </c>
      <c r="K486" s="18" t="s">
        <v>3520</v>
      </c>
      <c r="L486" s="27"/>
      <c r="M486" s="18"/>
      <c r="N486" s="28"/>
      <c r="O486" s="27">
        <v>4665.33</v>
      </c>
      <c r="P486" s="25">
        <v>356.9</v>
      </c>
      <c r="Q486" s="28">
        <v>5022.2299999999996</v>
      </c>
    </row>
    <row r="487" spans="1:17" ht="12" customHeight="1" x14ac:dyDescent="0.2">
      <c r="A487" s="21" t="s">
        <v>3877</v>
      </c>
      <c r="B487" s="21" t="s">
        <v>3878</v>
      </c>
      <c r="C487" s="21" t="s">
        <v>3879</v>
      </c>
      <c r="D487" s="21" t="s">
        <v>3880</v>
      </c>
      <c r="E487" s="22" t="s">
        <v>3881</v>
      </c>
      <c r="F487" s="23" t="s">
        <v>3882</v>
      </c>
      <c r="G487" s="33" t="s">
        <v>3883</v>
      </c>
      <c r="H487" s="18" t="s">
        <v>3884</v>
      </c>
      <c r="I487" s="47" t="s">
        <v>3885</v>
      </c>
      <c r="J487" s="25">
        <v>3319.07</v>
      </c>
      <c r="K487" s="18" t="s">
        <v>3520</v>
      </c>
      <c r="L487" s="27">
        <v>1229.06</v>
      </c>
      <c r="M487" s="18"/>
      <c r="N487" s="18"/>
      <c r="O487" s="27">
        <v>4548.13</v>
      </c>
      <c r="P487" s="25">
        <v>347.97</v>
      </c>
      <c r="Q487" s="28">
        <v>4896.1000000000004</v>
      </c>
    </row>
    <row r="488" spans="1:17" ht="12" customHeight="1" x14ac:dyDescent="0.2">
      <c r="A488" s="21" t="s">
        <v>3886</v>
      </c>
      <c r="B488" s="21" t="s">
        <v>3887</v>
      </c>
      <c r="C488" s="21" t="s">
        <v>3888</v>
      </c>
      <c r="D488" s="21" t="s">
        <v>3889</v>
      </c>
      <c r="E488" s="22" t="s">
        <v>3890</v>
      </c>
      <c r="F488" s="23" t="s">
        <v>3891</v>
      </c>
      <c r="G488" s="33" t="s">
        <v>3892</v>
      </c>
      <c r="H488" s="18" t="s">
        <v>3893</v>
      </c>
      <c r="I488" s="47" t="s">
        <v>3894</v>
      </c>
      <c r="J488" s="25">
        <v>3319.07</v>
      </c>
      <c r="K488" s="18" t="s">
        <v>3520</v>
      </c>
      <c r="L488" s="27">
        <v>1229.06</v>
      </c>
      <c r="M488" s="18"/>
      <c r="N488" s="18"/>
      <c r="O488" s="27">
        <v>4548.13</v>
      </c>
      <c r="P488" s="25">
        <v>347.97</v>
      </c>
      <c r="Q488" s="28">
        <v>4896.1000000000004</v>
      </c>
    </row>
    <row r="489" spans="1:17" ht="12" customHeight="1" x14ac:dyDescent="0.2">
      <c r="A489" s="21" t="s">
        <v>3895</v>
      </c>
      <c r="B489" s="21" t="s">
        <v>3896</v>
      </c>
      <c r="C489" s="21" t="s">
        <v>3897</v>
      </c>
      <c r="D489" s="21" t="s">
        <v>3898</v>
      </c>
      <c r="E489" s="22" t="s">
        <v>3899</v>
      </c>
      <c r="F489" s="23" t="s">
        <v>3900</v>
      </c>
      <c r="G489" s="33" t="s">
        <v>3901</v>
      </c>
      <c r="H489" s="18" t="s">
        <v>3902</v>
      </c>
      <c r="I489" s="47" t="s">
        <v>3903</v>
      </c>
      <c r="J489" s="25">
        <v>3319.07</v>
      </c>
      <c r="K489" s="18" t="s">
        <v>3520</v>
      </c>
      <c r="L489" s="27">
        <v>1229.06</v>
      </c>
      <c r="M489" s="18"/>
      <c r="N489" s="18"/>
      <c r="O489" s="27">
        <v>4548.13</v>
      </c>
      <c r="P489" s="25">
        <v>347.97</v>
      </c>
      <c r="Q489" s="28">
        <v>4896.1000000000004</v>
      </c>
    </row>
    <row r="490" spans="1:17" ht="12" customHeight="1" x14ac:dyDescent="0.2">
      <c r="A490" s="21" t="s">
        <v>3904</v>
      </c>
      <c r="B490" s="21" t="s">
        <v>3905</v>
      </c>
      <c r="C490" s="21" t="s">
        <v>3906</v>
      </c>
      <c r="D490" s="21" t="s">
        <v>3907</v>
      </c>
      <c r="E490" s="22" t="s">
        <v>3908</v>
      </c>
      <c r="F490" s="23" t="s">
        <v>3909</v>
      </c>
      <c r="G490" s="33" t="s">
        <v>3910</v>
      </c>
      <c r="H490" s="18" t="s">
        <v>3911</v>
      </c>
      <c r="I490" s="47" t="s">
        <v>3912</v>
      </c>
      <c r="J490" s="25">
        <v>3319.07</v>
      </c>
      <c r="K490" s="18" t="s">
        <v>3520</v>
      </c>
      <c r="L490" s="27">
        <v>1229.06</v>
      </c>
      <c r="M490" s="18"/>
      <c r="N490" s="18"/>
      <c r="O490" s="27">
        <v>4548.13</v>
      </c>
      <c r="P490" s="25">
        <v>347.97</v>
      </c>
      <c r="Q490" s="28">
        <v>4896.1000000000004</v>
      </c>
    </row>
    <row r="491" spans="1:17" ht="12" customHeight="1" x14ac:dyDescent="0.2">
      <c r="A491" s="21" t="s">
        <v>3913</v>
      </c>
      <c r="B491" s="21" t="s">
        <v>3914</v>
      </c>
      <c r="C491" s="21" t="s">
        <v>3915</v>
      </c>
      <c r="D491" s="21" t="s">
        <v>3916</v>
      </c>
      <c r="E491" s="22" t="s">
        <v>3917</v>
      </c>
      <c r="F491" s="23" t="s">
        <v>3918</v>
      </c>
      <c r="G491" s="33" t="s">
        <v>3919</v>
      </c>
      <c r="H491" s="18" t="s">
        <v>3920</v>
      </c>
      <c r="I491" s="47" t="s">
        <v>3921</v>
      </c>
      <c r="J491" s="18">
        <v>3319.07</v>
      </c>
      <c r="K491" s="18" t="s">
        <v>3520</v>
      </c>
      <c r="L491" s="27">
        <v>1229.06</v>
      </c>
      <c r="M491" s="18"/>
      <c r="N491" s="18"/>
      <c r="O491" s="27">
        <v>4548.13</v>
      </c>
      <c r="P491" s="25">
        <v>347.97</v>
      </c>
      <c r="Q491" s="28">
        <v>4896.1000000000004</v>
      </c>
    </row>
    <row r="492" spans="1:17" ht="12" customHeight="1" x14ac:dyDescent="0.2">
      <c r="A492" s="21" t="s">
        <v>3922</v>
      </c>
      <c r="B492" s="21" t="s">
        <v>3923</v>
      </c>
      <c r="C492" s="21" t="s">
        <v>3924</v>
      </c>
      <c r="D492" s="21" t="s">
        <v>3925</v>
      </c>
      <c r="E492" s="22" t="s">
        <v>3926</v>
      </c>
      <c r="F492" s="23" t="s">
        <v>3927</v>
      </c>
      <c r="G492" s="33" t="s">
        <v>3928</v>
      </c>
      <c r="H492" s="18" t="s">
        <v>3929</v>
      </c>
      <c r="I492" s="47" t="s">
        <v>3930</v>
      </c>
      <c r="J492" s="25">
        <v>4478.3999999999996</v>
      </c>
      <c r="K492" s="18" t="s">
        <v>3520</v>
      </c>
      <c r="L492" s="27"/>
      <c r="M492" s="18"/>
      <c r="N492" s="28"/>
      <c r="O492" s="27">
        <v>4478.3999999999996</v>
      </c>
      <c r="P492" s="25">
        <v>342.58</v>
      </c>
      <c r="Q492" s="28">
        <v>4820.9799999999996</v>
      </c>
    </row>
    <row r="493" spans="1:17" ht="12" customHeight="1" x14ac:dyDescent="0.2">
      <c r="A493" s="21" t="s">
        <v>3931</v>
      </c>
      <c r="B493" s="21" t="s">
        <v>3932</v>
      </c>
      <c r="C493" s="21" t="s">
        <v>3933</v>
      </c>
      <c r="D493" s="21" t="s">
        <v>3934</v>
      </c>
      <c r="E493" s="22" t="s">
        <v>3935</v>
      </c>
      <c r="F493" s="23" t="s">
        <v>3936</v>
      </c>
      <c r="G493" s="33" t="s">
        <v>3937</v>
      </c>
      <c r="H493" s="18" t="s">
        <v>3938</v>
      </c>
      <c r="I493" s="47" t="s">
        <v>3939</v>
      </c>
      <c r="J493" s="18">
        <v>4449.16</v>
      </c>
      <c r="K493" s="18" t="s">
        <v>3520</v>
      </c>
      <c r="L493" s="27"/>
      <c r="M493" s="18"/>
      <c r="N493" s="28"/>
      <c r="O493" s="30">
        <v>4449.16</v>
      </c>
      <c r="P493" s="25">
        <v>340.35</v>
      </c>
      <c r="Q493" s="28">
        <v>4789.51</v>
      </c>
    </row>
    <row r="494" spans="1:17" ht="12" customHeight="1" x14ac:dyDescent="0.2">
      <c r="A494" s="21" t="s">
        <v>3940</v>
      </c>
      <c r="B494" s="21" t="s">
        <v>3941</v>
      </c>
      <c r="C494" s="21" t="s">
        <v>3942</v>
      </c>
      <c r="D494" s="21" t="s">
        <v>3943</v>
      </c>
      <c r="E494" s="22" t="s">
        <v>3944</v>
      </c>
      <c r="F494" s="23" t="s">
        <v>3945</v>
      </c>
      <c r="G494" s="33" t="s">
        <v>3946</v>
      </c>
      <c r="H494" s="18" t="s">
        <v>3947</v>
      </c>
      <c r="I494" s="47" t="s">
        <v>3948</v>
      </c>
      <c r="J494" s="25">
        <v>3221.39</v>
      </c>
      <c r="K494" s="18" t="s">
        <v>3520</v>
      </c>
      <c r="L494" s="27">
        <v>1204.31</v>
      </c>
      <c r="M494" s="18"/>
      <c r="N494" s="18"/>
      <c r="O494" s="31">
        <v>4425.7</v>
      </c>
      <c r="P494" s="25">
        <v>338.6</v>
      </c>
      <c r="Q494" s="28">
        <v>4764.3</v>
      </c>
    </row>
    <row r="495" spans="1:17" ht="12" customHeight="1" x14ac:dyDescent="0.2">
      <c r="A495" s="21" t="s">
        <v>3949</v>
      </c>
      <c r="B495" s="21" t="s">
        <v>3950</v>
      </c>
      <c r="C495" s="21" t="s">
        <v>3951</v>
      </c>
      <c r="D495" s="21" t="s">
        <v>3952</v>
      </c>
      <c r="E495" s="22" t="s">
        <v>3953</v>
      </c>
      <c r="F495" s="23" t="s">
        <v>3954</v>
      </c>
      <c r="G495" s="33" t="s">
        <v>3955</v>
      </c>
      <c r="H495" s="18" t="s">
        <v>3956</v>
      </c>
      <c r="I495" s="47" t="s">
        <v>3957</v>
      </c>
      <c r="J495" s="25">
        <v>4044.8</v>
      </c>
      <c r="K495" s="18" t="s">
        <v>3520</v>
      </c>
      <c r="L495" s="43">
        <v>69.05</v>
      </c>
      <c r="M495" s="18"/>
      <c r="N495" s="18"/>
      <c r="O495" s="31">
        <v>4113.8500000000004</v>
      </c>
      <c r="P495" s="25">
        <v>314.70999999999998</v>
      </c>
      <c r="Q495" s="28">
        <v>4428.5600000000004</v>
      </c>
    </row>
    <row r="496" spans="1:17" ht="12" customHeight="1" x14ac:dyDescent="0.2">
      <c r="A496" s="21" t="s">
        <v>3958</v>
      </c>
      <c r="B496" s="21" t="s">
        <v>3959</v>
      </c>
      <c r="C496" s="21" t="s">
        <v>3960</v>
      </c>
      <c r="D496" s="21" t="s">
        <v>3961</v>
      </c>
      <c r="E496" s="22" t="s">
        <v>3962</v>
      </c>
      <c r="F496" s="23" t="s">
        <v>3963</v>
      </c>
      <c r="G496" s="33" t="s">
        <v>3964</v>
      </c>
      <c r="H496" s="18">
        <v>16712.8</v>
      </c>
      <c r="I496" s="47" t="s">
        <v>3965</v>
      </c>
      <c r="J496" s="18">
        <v>3494.93</v>
      </c>
      <c r="K496" s="18" t="s">
        <v>3520</v>
      </c>
      <c r="L496" s="27"/>
      <c r="M496" s="18"/>
      <c r="N496" s="28"/>
      <c r="O496" s="31">
        <v>3494.93</v>
      </c>
      <c r="P496" s="25">
        <v>840.18</v>
      </c>
      <c r="Q496" s="28">
        <v>4335.1099999999997</v>
      </c>
    </row>
    <row r="497" spans="1:17" ht="12" customHeight="1" x14ac:dyDescent="0.2">
      <c r="A497" s="21" t="s">
        <v>3966</v>
      </c>
      <c r="B497" s="21" t="s">
        <v>3967</v>
      </c>
      <c r="C497" s="21" t="s">
        <v>3968</v>
      </c>
      <c r="D497" s="21" t="s">
        <v>3969</v>
      </c>
      <c r="E497" s="22" t="s">
        <v>3970</v>
      </c>
      <c r="F497" s="23" t="s">
        <v>3971</v>
      </c>
      <c r="G497" s="33" t="s">
        <v>3972</v>
      </c>
      <c r="H497" s="18" t="s">
        <v>3973</v>
      </c>
      <c r="I497" s="47" t="s">
        <v>3974</v>
      </c>
      <c r="J497" s="18">
        <v>3897.64</v>
      </c>
      <c r="K497" s="18" t="s">
        <v>3520</v>
      </c>
      <c r="L497" s="27"/>
      <c r="M497" s="18"/>
      <c r="N497" s="28"/>
      <c r="O497" s="30">
        <v>3897.64</v>
      </c>
      <c r="P497" s="25">
        <v>298.17</v>
      </c>
      <c r="Q497" s="28">
        <v>4195.8100000000004</v>
      </c>
    </row>
    <row r="498" spans="1:17" ht="12" customHeight="1" x14ac:dyDescent="0.2">
      <c r="A498" s="21" t="s">
        <v>3975</v>
      </c>
      <c r="B498" s="21" t="s">
        <v>3976</v>
      </c>
      <c r="C498" s="21" t="s">
        <v>3977</v>
      </c>
      <c r="D498" s="21" t="s">
        <v>3978</v>
      </c>
      <c r="E498" s="22" t="s">
        <v>3979</v>
      </c>
      <c r="F498" s="23" t="s">
        <v>3980</v>
      </c>
      <c r="G498" s="33" t="s">
        <v>3981</v>
      </c>
      <c r="H498" s="18" t="s">
        <v>3982</v>
      </c>
      <c r="I498" s="47" t="s">
        <v>3983</v>
      </c>
      <c r="J498" s="25">
        <v>3870.14</v>
      </c>
      <c r="K498" s="18" t="s">
        <v>3520</v>
      </c>
      <c r="L498" s="27"/>
      <c r="M498" s="18"/>
      <c r="N498" s="28"/>
      <c r="O498" s="30">
        <v>3870.14</v>
      </c>
      <c r="P498" s="25">
        <v>296.10000000000002</v>
      </c>
      <c r="Q498" s="28">
        <v>4166.24</v>
      </c>
    </row>
    <row r="499" spans="1:17" ht="12" customHeight="1" x14ac:dyDescent="0.2">
      <c r="A499" s="21" t="s">
        <v>3984</v>
      </c>
      <c r="B499" s="21" t="s">
        <v>3985</v>
      </c>
      <c r="C499" s="21" t="s">
        <v>3986</v>
      </c>
      <c r="D499" s="21" t="s">
        <v>3987</v>
      </c>
      <c r="E499" s="22" t="s">
        <v>3988</v>
      </c>
      <c r="F499" s="23" t="s">
        <v>3989</v>
      </c>
      <c r="G499" s="34" t="s">
        <v>3990</v>
      </c>
      <c r="H499" s="18">
        <v>39956.800000000003</v>
      </c>
      <c r="I499" s="31">
        <v>370.75</v>
      </c>
      <c r="J499" s="18">
        <v>2300.1999999999998</v>
      </c>
      <c r="K499" s="18" t="s">
        <v>3520</v>
      </c>
      <c r="L499" s="27"/>
      <c r="M499" s="18"/>
      <c r="N499" s="28"/>
      <c r="O499" s="30">
        <v>2670.95</v>
      </c>
      <c r="P499" s="25">
        <v>1359.28</v>
      </c>
      <c r="Q499" s="28">
        <v>4030.23</v>
      </c>
    </row>
    <row r="500" spans="1:17" ht="12" customHeight="1" x14ac:dyDescent="0.2">
      <c r="A500" s="21" t="s">
        <v>3991</v>
      </c>
      <c r="B500" s="21" t="s">
        <v>3992</v>
      </c>
      <c r="C500" s="21" t="s">
        <v>3993</v>
      </c>
      <c r="D500" s="21" t="s">
        <v>3994</v>
      </c>
      <c r="E500" s="22" t="s">
        <v>3995</v>
      </c>
      <c r="F500" s="23" t="s">
        <v>3996</v>
      </c>
      <c r="G500" s="33" t="s">
        <v>3997</v>
      </c>
      <c r="H500" s="18" t="s">
        <v>3998</v>
      </c>
      <c r="I500" s="47" t="s">
        <v>3999</v>
      </c>
      <c r="J500" s="25">
        <v>3626.07</v>
      </c>
      <c r="K500" s="18" t="s">
        <v>3520</v>
      </c>
      <c r="L500" s="27"/>
      <c r="M500" s="18"/>
      <c r="N500" s="28"/>
      <c r="O500" s="31">
        <v>3626.07</v>
      </c>
      <c r="P500" s="25">
        <v>277.39</v>
      </c>
      <c r="Q500" s="28">
        <v>3903.46</v>
      </c>
    </row>
    <row r="501" spans="1:17" ht="12" customHeight="1" x14ac:dyDescent="0.2">
      <c r="A501" s="21" t="s">
        <v>4000</v>
      </c>
      <c r="B501" s="21" t="s">
        <v>4001</v>
      </c>
      <c r="C501" s="21" t="s">
        <v>4002</v>
      </c>
      <c r="D501" s="21" t="s">
        <v>4003</v>
      </c>
      <c r="E501" s="22" t="s">
        <v>4004</v>
      </c>
      <c r="F501" s="23" t="s">
        <v>4005</v>
      </c>
      <c r="G501" s="33" t="s">
        <v>4006</v>
      </c>
      <c r="H501" s="18" t="s">
        <v>4007</v>
      </c>
      <c r="I501" s="47" t="s">
        <v>4008</v>
      </c>
      <c r="J501" s="18">
        <v>3581.57</v>
      </c>
      <c r="K501" s="18" t="s">
        <v>3520</v>
      </c>
      <c r="L501" s="27"/>
      <c r="M501" s="18"/>
      <c r="N501" s="28"/>
      <c r="O501" s="31">
        <v>3581.57</v>
      </c>
      <c r="P501" s="25">
        <v>274</v>
      </c>
      <c r="Q501" s="28">
        <v>3855.57</v>
      </c>
    </row>
    <row r="502" spans="1:17" ht="12" customHeight="1" x14ac:dyDescent="0.2">
      <c r="A502" s="21" t="s">
        <v>4009</v>
      </c>
      <c r="B502" s="21" t="s">
        <v>4010</v>
      </c>
      <c r="C502" s="21" t="s">
        <v>4011</v>
      </c>
      <c r="D502" s="21" t="s">
        <v>4012</v>
      </c>
      <c r="E502" s="22" t="s">
        <v>4013</v>
      </c>
      <c r="F502" s="23" t="s">
        <v>4014</v>
      </c>
      <c r="G502" s="34" t="s">
        <v>4015</v>
      </c>
      <c r="H502" s="18" t="s">
        <v>4016</v>
      </c>
      <c r="I502" s="27"/>
      <c r="J502" s="18">
        <v>3230.6</v>
      </c>
      <c r="K502" s="18" t="s">
        <v>3520</v>
      </c>
      <c r="L502" s="31" t="s">
        <v>3520</v>
      </c>
      <c r="M502" s="18"/>
      <c r="N502" s="18"/>
      <c r="O502" s="30">
        <v>3230.6</v>
      </c>
      <c r="P502" s="25">
        <v>247.14</v>
      </c>
      <c r="Q502" s="28">
        <v>3477.74</v>
      </c>
    </row>
    <row r="503" spans="1:17" ht="12" customHeight="1" x14ac:dyDescent="0.2">
      <c r="A503" s="21" t="s">
        <v>4017</v>
      </c>
      <c r="B503" s="21" t="s">
        <v>4018</v>
      </c>
      <c r="C503" s="21" t="s">
        <v>4019</v>
      </c>
      <c r="D503" s="21" t="s">
        <v>4020</v>
      </c>
      <c r="E503" s="22" t="s">
        <v>4021</v>
      </c>
      <c r="F503" s="23" t="s">
        <v>4022</v>
      </c>
      <c r="G503" s="33" t="s">
        <v>4023</v>
      </c>
      <c r="H503" s="18" t="s">
        <v>4024</v>
      </c>
      <c r="I503" s="42" t="s">
        <v>4025</v>
      </c>
      <c r="J503" s="25">
        <v>2336.91</v>
      </c>
      <c r="K503" s="18" t="s">
        <v>3520</v>
      </c>
      <c r="L503" s="27">
        <v>865.38</v>
      </c>
      <c r="M503" s="18"/>
      <c r="N503" s="18"/>
      <c r="O503" s="31">
        <v>3202.29</v>
      </c>
      <c r="P503" s="25">
        <v>245.01</v>
      </c>
      <c r="Q503" s="28">
        <v>3447.3</v>
      </c>
    </row>
    <row r="504" spans="1:17" ht="12" customHeight="1" x14ac:dyDescent="0.2">
      <c r="A504" s="21" t="s">
        <v>4026</v>
      </c>
      <c r="B504" s="21" t="s">
        <v>4027</v>
      </c>
      <c r="C504" s="21" t="s">
        <v>4028</v>
      </c>
      <c r="D504" s="21" t="s">
        <v>4029</v>
      </c>
      <c r="E504" s="22" t="s">
        <v>4030</v>
      </c>
      <c r="F504" s="23" t="s">
        <v>4031</v>
      </c>
      <c r="G504" s="33" t="s">
        <v>4032</v>
      </c>
      <c r="H504" s="18" t="s">
        <v>4033</v>
      </c>
      <c r="I504" s="42" t="s">
        <v>4034</v>
      </c>
      <c r="J504" s="18">
        <v>2402.08</v>
      </c>
      <c r="K504" s="18" t="s">
        <v>3520</v>
      </c>
      <c r="L504" s="27"/>
      <c r="M504" s="18"/>
      <c r="N504" s="28"/>
      <c r="O504" s="31">
        <v>2402.08</v>
      </c>
      <c r="P504" s="25">
        <v>183.76</v>
      </c>
      <c r="Q504" s="28">
        <v>2585.84</v>
      </c>
    </row>
    <row r="505" spans="1:17" ht="11" customHeight="1" thickBot="1" x14ac:dyDescent="0.25">
      <c r="A505" s="21" t="s">
        <v>4035</v>
      </c>
      <c r="B505" s="21" t="s">
        <v>4036</v>
      </c>
      <c r="C505" s="21" t="s">
        <v>4037</v>
      </c>
      <c r="D505" s="21" t="s">
        <v>4038</v>
      </c>
      <c r="E505" s="22" t="s">
        <v>4039</v>
      </c>
      <c r="F505" s="23" t="s">
        <v>4040</v>
      </c>
      <c r="G505" s="34" t="s">
        <v>4041</v>
      </c>
      <c r="H505" s="18" t="s">
        <v>4042</v>
      </c>
      <c r="I505" s="27"/>
      <c r="J505" s="18">
        <v>2012.82</v>
      </c>
      <c r="K505" s="18" t="s">
        <v>3520</v>
      </c>
      <c r="L505" s="31" t="s">
        <v>3520</v>
      </c>
      <c r="M505" s="18"/>
      <c r="N505" s="18"/>
      <c r="O505" s="30">
        <v>2012.82</v>
      </c>
      <c r="P505" s="25">
        <v>153.97999999999999</v>
      </c>
      <c r="Q505" s="28">
        <v>2166.8000000000002</v>
      </c>
    </row>
    <row r="506" spans="1:17" ht="12" customHeight="1" x14ac:dyDescent="0.2">
      <c r="A506" s="10" t="s">
        <v>4043</v>
      </c>
      <c r="B506" s="10" t="s">
        <v>4044</v>
      </c>
      <c r="C506" s="10" t="s">
        <v>4045</v>
      </c>
      <c r="D506" s="10" t="s">
        <v>4046</v>
      </c>
      <c r="E506" s="11" t="s">
        <v>4047</v>
      </c>
      <c r="F506" s="12" t="s">
        <v>4048</v>
      </c>
      <c r="G506" s="35" t="s">
        <v>4049</v>
      </c>
      <c r="H506" s="16" t="s">
        <v>4050</v>
      </c>
      <c r="I506" s="17"/>
      <c r="J506" s="16">
        <v>942.77</v>
      </c>
      <c r="K506" s="17"/>
      <c r="L506" s="17">
        <v>220.5</v>
      </c>
      <c r="M506" s="18"/>
      <c r="N506" s="18"/>
      <c r="O506" s="48">
        <v>1163.27</v>
      </c>
      <c r="P506" s="14">
        <v>88.99</v>
      </c>
      <c r="Q506" s="20">
        <v>1252.26</v>
      </c>
    </row>
    <row r="507" spans="1:17" ht="12" customHeight="1" x14ac:dyDescent="0.2">
      <c r="A507" s="21" t="s">
        <v>4051</v>
      </c>
      <c r="B507" s="21" t="s">
        <v>4052</v>
      </c>
      <c r="C507" s="21" t="s">
        <v>4053</v>
      </c>
      <c r="D507" s="21" t="s">
        <v>4054</v>
      </c>
      <c r="E507" s="22" t="s">
        <v>4055</v>
      </c>
      <c r="F507" s="23" t="s">
        <v>4056</v>
      </c>
      <c r="G507" s="34" t="s">
        <v>4057</v>
      </c>
      <c r="H507" s="27">
        <v>715.2</v>
      </c>
      <c r="I507" s="29" t="s">
        <v>4058</v>
      </c>
      <c r="J507" s="18">
        <v>715.2</v>
      </c>
      <c r="K507" s="27">
        <v>338.34</v>
      </c>
      <c r="L507" s="29" t="s">
        <v>4059</v>
      </c>
      <c r="M507" s="18"/>
      <c r="N507" s="18"/>
      <c r="O507" s="30">
        <v>1053.54</v>
      </c>
      <c r="P507" s="25">
        <v>80.599999999999994</v>
      </c>
      <c r="Q507" s="28">
        <v>1134.1400000000001</v>
      </c>
    </row>
    <row r="508" spans="1:17" ht="12" customHeight="1" x14ac:dyDescent="0.2">
      <c r="A508" s="21" t="s">
        <v>4060</v>
      </c>
      <c r="B508" s="21" t="s">
        <v>4061</v>
      </c>
      <c r="C508" s="21" t="s">
        <v>4062</v>
      </c>
      <c r="D508" s="21" t="s">
        <v>4063</v>
      </c>
      <c r="E508" s="22" t="s">
        <v>4064</v>
      </c>
      <c r="F508" s="23" t="s">
        <v>4065</v>
      </c>
      <c r="G508" s="33" t="s">
        <v>4066</v>
      </c>
      <c r="H508" s="18">
        <v>42640</v>
      </c>
      <c r="I508" s="42" t="s">
        <v>4067</v>
      </c>
      <c r="J508" s="18">
        <v>820</v>
      </c>
      <c r="K508" s="27">
        <v>15.38</v>
      </c>
      <c r="L508" s="29" t="s">
        <v>4068</v>
      </c>
      <c r="M508" s="18"/>
      <c r="N508" s="18"/>
      <c r="O508" s="27">
        <v>835.38</v>
      </c>
      <c r="P508" s="25">
        <v>218.29</v>
      </c>
      <c r="Q508" s="28">
        <v>1053.67</v>
      </c>
    </row>
    <row r="509" spans="1:17" ht="12" customHeight="1" x14ac:dyDescent="0.2">
      <c r="A509" s="21" t="s">
        <v>4069</v>
      </c>
      <c r="B509" s="21" t="s">
        <v>4070</v>
      </c>
      <c r="C509" s="21" t="s">
        <v>4071</v>
      </c>
      <c r="D509" s="21" t="s">
        <v>4072</v>
      </c>
      <c r="E509" s="22" t="s">
        <v>4073</v>
      </c>
      <c r="F509" s="23" t="s">
        <v>4074</v>
      </c>
      <c r="G509" s="33" t="s">
        <v>4075</v>
      </c>
      <c r="H509" s="18">
        <v>42640</v>
      </c>
      <c r="I509" s="42" t="s">
        <v>4076</v>
      </c>
      <c r="J509" s="18">
        <v>820</v>
      </c>
      <c r="K509" s="27">
        <v>4.62</v>
      </c>
      <c r="L509" s="29" t="s">
        <v>4077</v>
      </c>
      <c r="M509" s="18"/>
      <c r="N509" s="18"/>
      <c r="O509" s="27">
        <v>824.62</v>
      </c>
      <c r="P509" s="25">
        <v>215.7</v>
      </c>
      <c r="Q509" s="28">
        <v>1040.32</v>
      </c>
    </row>
    <row r="510" spans="1:17" ht="12" customHeight="1" x14ac:dyDescent="0.2">
      <c r="A510" s="21" t="s">
        <v>4078</v>
      </c>
      <c r="B510" s="21" t="s">
        <v>4079</v>
      </c>
      <c r="C510" s="21" t="s">
        <v>4080</v>
      </c>
      <c r="D510" s="21" t="s">
        <v>4081</v>
      </c>
      <c r="E510" s="22" t="s">
        <v>4082</v>
      </c>
      <c r="F510" s="23" t="s">
        <v>4083</v>
      </c>
      <c r="G510" s="33" t="s">
        <v>4084</v>
      </c>
      <c r="H510" s="18">
        <v>16068</v>
      </c>
      <c r="I510" s="42" t="s">
        <v>4085</v>
      </c>
      <c r="J510" s="18">
        <v>598.38</v>
      </c>
      <c r="K510" s="27" t="s">
        <v>3520</v>
      </c>
      <c r="L510" s="29" t="s">
        <v>4086</v>
      </c>
      <c r="M510" s="18"/>
      <c r="N510" s="18"/>
      <c r="O510" s="30">
        <v>598.38</v>
      </c>
      <c r="P510" s="25">
        <v>143.85</v>
      </c>
      <c r="Q510" s="28">
        <v>742.23</v>
      </c>
    </row>
    <row r="511" spans="1:17" ht="12" customHeight="1" x14ac:dyDescent="0.2">
      <c r="A511" s="21" t="s">
        <v>4087</v>
      </c>
      <c r="B511" s="21" t="s">
        <v>4088</v>
      </c>
      <c r="C511" s="21" t="s">
        <v>4089</v>
      </c>
      <c r="D511" s="21" t="s">
        <v>4090</v>
      </c>
      <c r="E511" s="22" t="s">
        <v>4091</v>
      </c>
      <c r="F511" s="23" t="s">
        <v>4092</v>
      </c>
      <c r="G511" s="34" t="s">
        <v>4093</v>
      </c>
      <c r="H511" s="18" t="s">
        <v>4094</v>
      </c>
      <c r="I511" s="27"/>
      <c r="J511" s="18">
        <v>633.54</v>
      </c>
      <c r="K511" s="27"/>
      <c r="L511" s="43" t="s">
        <v>4095</v>
      </c>
      <c r="M511" s="18"/>
      <c r="N511" s="28"/>
      <c r="O511" s="30">
        <v>633.54</v>
      </c>
      <c r="P511" s="25">
        <v>48.47</v>
      </c>
      <c r="Q511" s="28">
        <v>682.01</v>
      </c>
    </row>
    <row r="512" spans="1:17" ht="12" customHeight="1" x14ac:dyDescent="0.2">
      <c r="A512" s="21" t="s">
        <v>4096</v>
      </c>
      <c r="B512" s="21" t="s">
        <v>4097</v>
      </c>
      <c r="C512" s="21" t="s">
        <v>4098</v>
      </c>
      <c r="D512" s="21" t="s">
        <v>4099</v>
      </c>
      <c r="E512" s="22" t="s">
        <v>4100</v>
      </c>
      <c r="F512" s="23" t="s">
        <v>4101</v>
      </c>
      <c r="G512" s="34" t="s">
        <v>4102</v>
      </c>
      <c r="H512" s="18" t="s">
        <v>4103</v>
      </c>
      <c r="I512" s="27"/>
      <c r="J512" s="18">
        <v>284.08</v>
      </c>
      <c r="K512" s="27"/>
      <c r="L512" s="43" t="s">
        <v>4104</v>
      </c>
      <c r="M512" s="18"/>
      <c r="N512" s="28"/>
      <c r="O512" s="30">
        <v>284.08</v>
      </c>
      <c r="P512" s="25">
        <v>21.73</v>
      </c>
      <c r="Q512" s="28">
        <v>305.81</v>
      </c>
    </row>
    <row r="513" spans="1:17" ht="12" customHeight="1" x14ac:dyDescent="0.2">
      <c r="A513" s="21" t="s">
        <v>4105</v>
      </c>
      <c r="B513" s="21" t="s">
        <v>4106</v>
      </c>
      <c r="C513" s="21" t="s">
        <v>4107</v>
      </c>
      <c r="D513" s="21" t="s">
        <v>4108</v>
      </c>
      <c r="E513" s="22" t="s">
        <v>4109</v>
      </c>
      <c r="F513" s="23" t="s">
        <v>4110</v>
      </c>
      <c r="G513" s="34" t="s">
        <v>4111</v>
      </c>
      <c r="H513" s="18" t="s">
        <v>4112</v>
      </c>
      <c r="I513" s="27"/>
      <c r="J513" s="18">
        <v>233.94</v>
      </c>
      <c r="K513" s="27"/>
      <c r="L513" s="43" t="s">
        <v>4113</v>
      </c>
      <c r="M513" s="18"/>
      <c r="N513" s="28"/>
      <c r="O513" s="30">
        <v>233.94</v>
      </c>
      <c r="P513" s="25">
        <v>17.899999999999999</v>
      </c>
      <c r="Q513" s="28">
        <v>251.84</v>
      </c>
    </row>
    <row r="514" spans="1:17" ht="11" customHeight="1" x14ac:dyDescent="0.2">
      <c r="A514" s="21" t="s">
        <v>4114</v>
      </c>
      <c r="B514" s="21" t="s">
        <v>4115</v>
      </c>
      <c r="C514" s="21" t="s">
        <v>4116</v>
      </c>
      <c r="D514" s="21" t="s">
        <v>4117</v>
      </c>
      <c r="E514" s="22" t="s">
        <v>4118</v>
      </c>
      <c r="F514" s="23" t="s">
        <v>4119</v>
      </c>
      <c r="G514" s="33" t="s">
        <v>4120</v>
      </c>
      <c r="H514" s="18" t="s">
        <v>4121</v>
      </c>
      <c r="I514" s="42" t="s">
        <v>4122</v>
      </c>
      <c r="J514" s="18">
        <v>104.44</v>
      </c>
      <c r="K514" s="31" t="s">
        <v>3520</v>
      </c>
      <c r="L514" s="29" t="s">
        <v>4123</v>
      </c>
      <c r="M514" s="18"/>
      <c r="N514" s="28"/>
      <c r="O514" s="30">
        <v>104.44</v>
      </c>
      <c r="P514" s="25">
        <v>7.99</v>
      </c>
      <c r="Q514" s="28">
        <v>112.43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E721-DE74-DF40-B781-0DFE29BBBA8F}">
  <dimension ref="A1:B13"/>
  <sheetViews>
    <sheetView topLeftCell="A6" workbookViewId="0">
      <selection activeCell="C10" sqref="C10"/>
    </sheetView>
  </sheetViews>
  <sheetFormatPr baseColWidth="10" defaultRowHeight="15" x14ac:dyDescent="0.2"/>
  <cols>
    <col min="1" max="1" width="201" bestFit="1" customWidth="1"/>
  </cols>
  <sheetData>
    <row r="1" spans="1:2" s="51" customFormat="1" ht="24" x14ac:dyDescent="0.3">
      <c r="A1" s="50" t="s">
        <v>4124</v>
      </c>
      <c r="B1" s="51" t="s">
        <v>4125</v>
      </c>
    </row>
    <row r="2" spans="1:2" s="51" customFormat="1" ht="24" x14ac:dyDescent="0.3">
      <c r="A2" s="51" t="s">
        <v>4126</v>
      </c>
      <c r="B2" s="52" t="s">
        <v>4127</v>
      </c>
    </row>
    <row r="3" spans="1:2" s="51" customFormat="1" ht="24" x14ac:dyDescent="0.3">
      <c r="A3" s="51" t="s">
        <v>4128</v>
      </c>
    </row>
    <row r="4" spans="1:2" s="51" customFormat="1" ht="24" x14ac:dyDescent="0.3">
      <c r="A4" s="51" t="s">
        <v>4129</v>
      </c>
    </row>
    <row r="5" spans="1:2" s="51" customFormat="1" ht="50" x14ac:dyDescent="0.3">
      <c r="A5" s="53" t="s">
        <v>4130</v>
      </c>
    </row>
    <row r="6" spans="1:2" s="51" customFormat="1" ht="24" x14ac:dyDescent="0.3">
      <c r="A6" s="51" t="s">
        <v>4131</v>
      </c>
    </row>
    <row r="7" spans="1:2" s="51" customFormat="1" ht="50" x14ac:dyDescent="0.3">
      <c r="A7" s="53" t="s">
        <v>4132</v>
      </c>
    </row>
    <row r="8" spans="1:2" s="51" customFormat="1" ht="24" x14ac:dyDescent="0.3">
      <c r="A8" s="51" t="s">
        <v>4133</v>
      </c>
    </row>
    <row r="9" spans="1:2" s="51" customFormat="1" ht="24" x14ac:dyDescent="0.3">
      <c r="A9" s="51" t="s">
        <v>4134</v>
      </c>
    </row>
    <row r="10" spans="1:2" s="51" customFormat="1" ht="24" x14ac:dyDescent="0.3">
      <c r="A10" s="51" t="s">
        <v>4135</v>
      </c>
    </row>
    <row r="11" spans="1:2" s="51" customFormat="1" ht="51" customHeight="1" x14ac:dyDescent="0.3">
      <c r="A11" s="53" t="s">
        <v>4136</v>
      </c>
    </row>
    <row r="12" spans="1:2" s="51" customFormat="1" ht="24" x14ac:dyDescent="0.3">
      <c r="A12" s="51" t="s">
        <v>4137</v>
      </c>
    </row>
    <row r="13" spans="1:2" s="51" customFormat="1" ht="2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FY23-CLEANED</vt:lpstr>
      <vt:lpstr>FY23-CLEANING</vt:lpstr>
      <vt:lpstr>FY23</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D S</cp:lastModifiedBy>
  <dcterms:created xsi:type="dcterms:W3CDTF">2025-12-21T10:09:57Z</dcterms:created>
  <dcterms:modified xsi:type="dcterms:W3CDTF">2026-01-27T14:07:52Z</dcterms:modified>
</cp:coreProperties>
</file>
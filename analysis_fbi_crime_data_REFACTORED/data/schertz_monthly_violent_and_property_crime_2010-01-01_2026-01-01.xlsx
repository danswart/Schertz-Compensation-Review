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/R Working Directory/Schertz Compensation Review/analysis_fbi_crime_data/"/>
    </mc:Choice>
  </mc:AlternateContent>
  <xr:revisionPtr revIDLastSave="0" documentId="13_ncr:1_{B6C588E0-D24B-BB40-BE0C-C0B1093BCB4A}" xr6:coauthVersionLast="47" xr6:coauthVersionMax="47" xr10:uidLastSave="{00000000-0000-0000-0000-000000000000}"/>
  <bookViews>
    <workbookView xWindow="0" yWindow="500" windowWidth="40960" windowHeight="22540" activeTab="1" xr2:uid="{A5699F35-DD90-F948-B107-81959740873D}"/>
  </bookViews>
  <sheets>
    <sheet name="schertz_violent_and_non XmR " sheetId="3" r:id="rId1"/>
    <sheet name="schertz_violent_and_nonviolent_" sheetId="1" r:id="rId2"/>
  </sheets>
  <definedNames>
    <definedName name="_xlnm.Print_Area" localSheetId="0">'schertz_violent_and_non XmR '!$C$1:$R$38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6" i="3" l="1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52" i="3"/>
  <c r="F153" i="3"/>
  <c r="F154" i="3"/>
  <c r="F155" i="3"/>
  <c r="F156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95" i="3"/>
  <c r="F96" i="3"/>
  <c r="F97" i="3"/>
  <c r="F98" i="3"/>
  <c r="F99" i="3"/>
  <c r="F100" i="3"/>
  <c r="F101" i="3"/>
  <c r="F102" i="3"/>
  <c r="F103" i="3"/>
  <c r="F104" i="3"/>
  <c r="F105" i="3"/>
  <c r="F88" i="3"/>
  <c r="F89" i="3"/>
  <c r="F90" i="3"/>
  <c r="F91" i="3"/>
  <c r="F92" i="3"/>
  <c r="F93" i="3"/>
  <c r="F9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K3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J3" i="3"/>
  <c r="K4" i="3" s="1"/>
  <c r="J4" i="3"/>
  <c r="K5" i="3" s="1"/>
  <c r="J5" i="3"/>
  <c r="K6" i="3" s="1"/>
  <c r="J6" i="3"/>
  <c r="K7" i="3" s="1"/>
  <c r="J7" i="3"/>
  <c r="K8" i="3" s="1"/>
  <c r="J8" i="3"/>
  <c r="K9" i="3" s="1"/>
  <c r="J9" i="3"/>
  <c r="K10" i="3" s="1"/>
  <c r="J10" i="3"/>
  <c r="K11" i="3" s="1"/>
  <c r="J11" i="3"/>
  <c r="K12" i="3" s="1"/>
  <c r="J12" i="3"/>
  <c r="K13" i="3" s="1"/>
  <c r="J13" i="3"/>
  <c r="K14" i="3" s="1"/>
  <c r="J14" i="3"/>
  <c r="K15" i="3" s="1"/>
  <c r="J15" i="3"/>
  <c r="K16" i="3" s="1"/>
  <c r="J16" i="3"/>
  <c r="K17" i="3" s="1"/>
  <c r="J17" i="3"/>
  <c r="K18" i="3" s="1"/>
  <c r="J18" i="3"/>
  <c r="K19" i="3" s="1"/>
  <c r="J19" i="3"/>
  <c r="K20" i="3" s="1"/>
  <c r="J20" i="3"/>
  <c r="K21" i="3" s="1"/>
  <c r="J21" i="3"/>
  <c r="K22" i="3" s="1"/>
  <c r="J22" i="3"/>
  <c r="K23" i="3" s="1"/>
  <c r="J23" i="3"/>
  <c r="K24" i="3" s="1"/>
  <c r="J24" i="3"/>
  <c r="K25" i="3" s="1"/>
  <c r="J25" i="3"/>
  <c r="K26" i="3" s="1"/>
  <c r="J26" i="3"/>
  <c r="K27" i="3" s="1"/>
  <c r="J27" i="3"/>
  <c r="K28" i="3" s="1"/>
  <c r="J28" i="3"/>
  <c r="K29" i="3" s="1"/>
  <c r="J29" i="3"/>
  <c r="K30" i="3" s="1"/>
  <c r="J30" i="3"/>
  <c r="K31" i="3" s="1"/>
  <c r="J31" i="3"/>
  <c r="K32" i="3" s="1"/>
  <c r="J32" i="3"/>
  <c r="K33" i="3" s="1"/>
  <c r="J33" i="3"/>
  <c r="K34" i="3" s="1"/>
  <c r="J34" i="3"/>
  <c r="K35" i="3" s="1"/>
  <c r="J35" i="3"/>
  <c r="K36" i="3" s="1"/>
  <c r="J36" i="3"/>
  <c r="K37" i="3" s="1"/>
  <c r="J37" i="3"/>
  <c r="K38" i="3" s="1"/>
  <c r="J38" i="3"/>
  <c r="K39" i="3" s="1"/>
  <c r="J39" i="3"/>
  <c r="K40" i="3" s="1"/>
  <c r="J40" i="3"/>
  <c r="K41" i="3" s="1"/>
  <c r="J41" i="3"/>
  <c r="K42" i="3" s="1"/>
  <c r="J42" i="3"/>
  <c r="K43" i="3" s="1"/>
  <c r="J43" i="3"/>
  <c r="K44" i="3" s="1"/>
  <c r="J44" i="3"/>
  <c r="K45" i="3" s="1"/>
  <c r="J45" i="3"/>
  <c r="K46" i="3" s="1"/>
  <c r="J46" i="3"/>
  <c r="K47" i="3" s="1"/>
  <c r="J47" i="3"/>
  <c r="K48" i="3" s="1"/>
  <c r="J48" i="3"/>
  <c r="K49" i="3" s="1"/>
  <c r="J49" i="3"/>
  <c r="K50" i="3" s="1"/>
  <c r="J50" i="3"/>
  <c r="K51" i="3" s="1"/>
  <c r="J51" i="3"/>
  <c r="K52" i="3" s="1"/>
  <c r="J52" i="3"/>
  <c r="K53" i="3" s="1"/>
  <c r="J53" i="3"/>
  <c r="K54" i="3" s="1"/>
  <c r="J54" i="3"/>
  <c r="K55" i="3" s="1"/>
  <c r="J55" i="3"/>
  <c r="K56" i="3" s="1"/>
  <c r="J56" i="3"/>
  <c r="K57" i="3" s="1"/>
  <c r="J57" i="3"/>
  <c r="K58" i="3" s="1"/>
  <c r="J58" i="3"/>
  <c r="K59" i="3" s="1"/>
  <c r="J59" i="3"/>
  <c r="K60" i="3" s="1"/>
  <c r="J60" i="3"/>
  <c r="K61" i="3" s="1"/>
  <c r="J61" i="3"/>
  <c r="K62" i="3" s="1"/>
  <c r="J62" i="3"/>
  <c r="K63" i="3" s="1"/>
  <c r="J63" i="3"/>
  <c r="K64" i="3" s="1"/>
  <c r="J64" i="3"/>
  <c r="K65" i="3" s="1"/>
  <c r="J65" i="3"/>
  <c r="K66" i="3" s="1"/>
  <c r="J66" i="3"/>
  <c r="K67" i="3" s="1"/>
  <c r="J67" i="3"/>
  <c r="K68" i="3" s="1"/>
  <c r="J68" i="3"/>
  <c r="K69" i="3" s="1"/>
  <c r="J69" i="3"/>
  <c r="K70" i="3" s="1"/>
  <c r="J70" i="3"/>
  <c r="K71" i="3" s="1"/>
  <c r="J71" i="3"/>
  <c r="K72" i="3" s="1"/>
  <c r="J72" i="3"/>
  <c r="K73" i="3" s="1"/>
  <c r="J73" i="3"/>
  <c r="K74" i="3" s="1"/>
  <c r="J74" i="3"/>
  <c r="K75" i="3" s="1"/>
  <c r="J75" i="3"/>
  <c r="K76" i="3" s="1"/>
  <c r="J76" i="3"/>
  <c r="K77" i="3" s="1"/>
  <c r="J77" i="3"/>
  <c r="K78" i="3" s="1"/>
  <c r="J78" i="3"/>
  <c r="K79" i="3" s="1"/>
  <c r="J79" i="3"/>
  <c r="K80" i="3" s="1"/>
  <c r="J80" i="3"/>
  <c r="K81" i="3" s="1"/>
  <c r="J81" i="3"/>
  <c r="K82" i="3" s="1"/>
  <c r="J82" i="3"/>
  <c r="K83" i="3" s="1"/>
  <c r="J83" i="3"/>
  <c r="K84" i="3" s="1"/>
  <c r="J84" i="3"/>
  <c r="K85" i="3" s="1"/>
  <c r="J85" i="3"/>
  <c r="K86" i="3" s="1"/>
  <c r="J86" i="3"/>
  <c r="K87" i="3" s="1"/>
  <c r="J87" i="3"/>
  <c r="K88" i="3" s="1"/>
  <c r="J88" i="3"/>
  <c r="K89" i="3" s="1"/>
  <c r="J89" i="3"/>
  <c r="K90" i="3" s="1"/>
  <c r="J90" i="3"/>
  <c r="K91" i="3" s="1"/>
  <c r="J91" i="3"/>
  <c r="K92" i="3" s="1"/>
  <c r="J92" i="3"/>
  <c r="K93" i="3" s="1"/>
  <c r="J93" i="3"/>
  <c r="K94" i="3" s="1"/>
  <c r="J94" i="3"/>
  <c r="K95" i="3" s="1"/>
  <c r="J95" i="3"/>
  <c r="K96" i="3" s="1"/>
  <c r="J96" i="3"/>
  <c r="K97" i="3" s="1"/>
  <c r="J97" i="3"/>
  <c r="K98" i="3" s="1"/>
  <c r="J98" i="3"/>
  <c r="K99" i="3" s="1"/>
  <c r="J99" i="3"/>
  <c r="K100" i="3" s="1"/>
  <c r="J100" i="3"/>
  <c r="K101" i="3" s="1"/>
  <c r="J101" i="3"/>
  <c r="K102" i="3" s="1"/>
  <c r="J102" i="3"/>
  <c r="K103" i="3" s="1"/>
  <c r="J103" i="3"/>
  <c r="K104" i="3" s="1"/>
  <c r="J104" i="3"/>
  <c r="K105" i="3" s="1"/>
  <c r="J105" i="3"/>
  <c r="K106" i="3" s="1"/>
  <c r="J106" i="3"/>
  <c r="K107" i="3" s="1"/>
  <c r="J107" i="3"/>
  <c r="K108" i="3" s="1"/>
  <c r="J108" i="3"/>
  <c r="K109" i="3" s="1"/>
  <c r="J109" i="3"/>
  <c r="K110" i="3" s="1"/>
  <c r="J110" i="3"/>
  <c r="K111" i="3" s="1"/>
  <c r="J111" i="3"/>
  <c r="K112" i="3" s="1"/>
  <c r="J112" i="3"/>
  <c r="K113" i="3" s="1"/>
  <c r="J113" i="3"/>
  <c r="K114" i="3" s="1"/>
  <c r="J114" i="3"/>
  <c r="K115" i="3" s="1"/>
  <c r="J115" i="3"/>
  <c r="K116" i="3" s="1"/>
  <c r="J116" i="3"/>
  <c r="K117" i="3" s="1"/>
  <c r="J117" i="3"/>
  <c r="K118" i="3" s="1"/>
  <c r="J118" i="3"/>
  <c r="K119" i="3" s="1"/>
  <c r="J119" i="3"/>
  <c r="K120" i="3" s="1"/>
  <c r="J120" i="3"/>
  <c r="K121" i="3" s="1"/>
  <c r="J121" i="3"/>
  <c r="K122" i="3" s="1"/>
  <c r="J122" i="3"/>
  <c r="K123" i="3" s="1"/>
  <c r="J123" i="3"/>
  <c r="K124" i="3" s="1"/>
  <c r="J124" i="3"/>
  <c r="K125" i="3" s="1"/>
  <c r="J125" i="3"/>
  <c r="K126" i="3" s="1"/>
  <c r="J126" i="3"/>
  <c r="K127" i="3" s="1"/>
  <c r="J127" i="3"/>
  <c r="K128" i="3" s="1"/>
  <c r="J128" i="3"/>
  <c r="K129" i="3" s="1"/>
  <c r="J129" i="3"/>
  <c r="K130" i="3" s="1"/>
  <c r="J130" i="3"/>
  <c r="K131" i="3" s="1"/>
  <c r="J131" i="3"/>
  <c r="K132" i="3" s="1"/>
  <c r="J132" i="3"/>
  <c r="K133" i="3" s="1"/>
  <c r="J133" i="3"/>
  <c r="K134" i="3" s="1"/>
  <c r="J134" i="3"/>
  <c r="K135" i="3" s="1"/>
  <c r="J135" i="3"/>
  <c r="K136" i="3" s="1"/>
  <c r="J136" i="3"/>
  <c r="K137" i="3" s="1"/>
  <c r="J137" i="3"/>
  <c r="K138" i="3" s="1"/>
  <c r="J138" i="3"/>
  <c r="K139" i="3" s="1"/>
  <c r="J139" i="3"/>
  <c r="K140" i="3" s="1"/>
  <c r="J140" i="3"/>
  <c r="K141" i="3" s="1"/>
  <c r="J141" i="3"/>
  <c r="K142" i="3" s="1"/>
  <c r="J142" i="3"/>
  <c r="K143" i="3" s="1"/>
  <c r="J143" i="3"/>
  <c r="K144" i="3" s="1"/>
  <c r="J144" i="3"/>
  <c r="K145" i="3" s="1"/>
  <c r="J145" i="3"/>
  <c r="K146" i="3" s="1"/>
  <c r="J146" i="3"/>
  <c r="K147" i="3" s="1"/>
  <c r="J147" i="3"/>
  <c r="K148" i="3" s="1"/>
  <c r="J148" i="3"/>
  <c r="K149" i="3" s="1"/>
  <c r="J149" i="3"/>
  <c r="K150" i="3" s="1"/>
  <c r="J150" i="3"/>
  <c r="K151" i="3" s="1"/>
  <c r="J151" i="3"/>
  <c r="K152" i="3" s="1"/>
  <c r="J152" i="3"/>
  <c r="K153" i="3" s="1"/>
  <c r="J153" i="3"/>
  <c r="K154" i="3" s="1"/>
  <c r="J154" i="3"/>
  <c r="K155" i="3" s="1"/>
  <c r="J155" i="3"/>
  <c r="K156" i="3" s="1"/>
  <c r="J156" i="3"/>
  <c r="K157" i="3" s="1"/>
  <c r="J157" i="3"/>
  <c r="K158" i="3" s="1"/>
  <c r="J158" i="3"/>
  <c r="K159" i="3" s="1"/>
  <c r="J159" i="3"/>
  <c r="K160" i="3" s="1"/>
  <c r="J160" i="3"/>
  <c r="K161" i="3" s="1"/>
  <c r="J161" i="3"/>
  <c r="K162" i="3" s="1"/>
  <c r="J162" i="3"/>
  <c r="K163" i="3" s="1"/>
  <c r="J163" i="3"/>
  <c r="K164" i="3" s="1"/>
  <c r="J164" i="3"/>
  <c r="K165" i="3" s="1"/>
  <c r="J165" i="3"/>
  <c r="K166" i="3" s="1"/>
  <c r="J166" i="3"/>
  <c r="K167" i="3" s="1"/>
  <c r="J167" i="3"/>
  <c r="K168" i="3" s="1"/>
  <c r="J168" i="3"/>
  <c r="K169" i="3" s="1"/>
  <c r="J169" i="3"/>
  <c r="K170" i="3" s="1"/>
  <c r="J170" i="3"/>
  <c r="K171" i="3" s="1"/>
  <c r="J171" i="3"/>
  <c r="K172" i="3" s="1"/>
  <c r="J172" i="3"/>
  <c r="K173" i="3" s="1"/>
  <c r="J173" i="3"/>
  <c r="K174" i="3" s="1"/>
  <c r="J174" i="3"/>
  <c r="K175" i="3" s="1"/>
  <c r="J175" i="3"/>
  <c r="K176" i="3" s="1"/>
  <c r="J176" i="3"/>
  <c r="K177" i="3" s="1"/>
  <c r="J177" i="3"/>
  <c r="K178" i="3" s="1"/>
  <c r="J178" i="3"/>
  <c r="K179" i="3" s="1"/>
  <c r="J179" i="3"/>
  <c r="K180" i="3" s="1"/>
  <c r="J180" i="3"/>
  <c r="K181" i="3" s="1"/>
  <c r="J181" i="3"/>
  <c r="K182" i="3" s="1"/>
  <c r="J182" i="3"/>
  <c r="K183" i="3" s="1"/>
  <c r="J183" i="3"/>
  <c r="K184" i="3" s="1"/>
  <c r="J184" i="3"/>
  <c r="K185" i="3" s="1"/>
  <c r="J185" i="3"/>
  <c r="K186" i="3" s="1"/>
  <c r="J186" i="3"/>
  <c r="K187" i="3" s="1"/>
  <c r="J187" i="3"/>
  <c r="K188" i="3" s="1"/>
  <c r="J188" i="3"/>
  <c r="K189" i="3" s="1"/>
  <c r="J189" i="3"/>
  <c r="K190" i="3" s="1"/>
  <c r="J190" i="3"/>
  <c r="K191" i="3" s="1"/>
  <c r="J191" i="3"/>
  <c r="K192" i="3" s="1"/>
  <c r="J192" i="3"/>
  <c r="K193" i="3" s="1"/>
  <c r="J193" i="3"/>
  <c r="K194" i="3" s="1"/>
  <c r="J194" i="3"/>
  <c r="J195" i="3"/>
  <c r="J196" i="3" s="1"/>
  <c r="J197" i="3" s="1"/>
  <c r="J198" i="3" s="1"/>
  <c r="J199" i="3" s="1"/>
  <c r="J200" i="3" s="1"/>
  <c r="J201" i="3" s="1"/>
  <c r="J202" i="3" s="1"/>
  <c r="J203" i="3" s="1"/>
  <c r="J204" i="3" s="1"/>
  <c r="J205" i="3" s="1"/>
  <c r="J206" i="3" s="1"/>
  <c r="J207" i="3" s="1"/>
  <c r="J208" i="3" s="1"/>
  <c r="J209" i="3" s="1"/>
  <c r="J210" i="3" s="1"/>
  <c r="J211" i="3" s="1"/>
  <c r="J212" i="3" s="1"/>
  <c r="J213" i="3" s="1"/>
  <c r="J214" i="3" s="1"/>
  <c r="J2" i="3"/>
  <c r="O186" i="3" l="1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52" i="3"/>
  <c r="O153" i="3"/>
  <c r="O154" i="3"/>
  <c r="O155" i="3"/>
  <c r="O156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95" i="3"/>
  <c r="O96" i="3"/>
  <c r="O97" i="3"/>
  <c r="O98" i="3"/>
  <c r="O99" i="3"/>
  <c r="O100" i="3"/>
  <c r="O101" i="3"/>
  <c r="O102" i="3"/>
  <c r="O103" i="3"/>
  <c r="O104" i="3"/>
  <c r="O105" i="3"/>
  <c r="O88" i="3"/>
  <c r="O89" i="3"/>
  <c r="O90" i="3"/>
  <c r="O91" i="3"/>
  <c r="O92" i="3"/>
  <c r="O93" i="3"/>
  <c r="O9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H183" i="3" l="1"/>
  <c r="I183" i="3"/>
  <c r="H184" i="3"/>
  <c r="I184" i="3"/>
  <c r="H3" i="3"/>
  <c r="I3" i="3"/>
  <c r="H73" i="3"/>
  <c r="I73" i="3"/>
  <c r="H6" i="3"/>
  <c r="I6" i="3"/>
  <c r="H7" i="3"/>
  <c r="I7" i="3"/>
  <c r="H8" i="3"/>
  <c r="I8" i="3"/>
  <c r="H9" i="3"/>
  <c r="I9" i="3"/>
  <c r="H10" i="3"/>
  <c r="I10" i="3"/>
  <c r="H11" i="3"/>
  <c r="I11" i="3"/>
  <c r="H12" i="3"/>
  <c r="I12" i="3"/>
  <c r="H13" i="3"/>
  <c r="I13" i="3"/>
  <c r="H14" i="3"/>
  <c r="I14" i="3"/>
  <c r="H15" i="3"/>
  <c r="I15" i="3"/>
  <c r="H16" i="3"/>
  <c r="I16" i="3"/>
  <c r="H17" i="3"/>
  <c r="I17" i="3"/>
  <c r="H18" i="3"/>
  <c r="I18" i="3"/>
  <c r="H19" i="3"/>
  <c r="I19" i="3"/>
  <c r="H20" i="3"/>
  <c r="I20" i="3"/>
  <c r="H21" i="3"/>
  <c r="I21" i="3"/>
  <c r="H22" i="3"/>
  <c r="I22" i="3"/>
  <c r="H23" i="3"/>
  <c r="I23" i="3"/>
  <c r="H24" i="3"/>
  <c r="I24" i="3"/>
  <c r="H25" i="3"/>
  <c r="I25" i="3"/>
  <c r="H26" i="3"/>
  <c r="I26" i="3"/>
  <c r="H27" i="3"/>
  <c r="I27" i="3"/>
  <c r="H28" i="3"/>
  <c r="I28" i="3"/>
  <c r="H29" i="3"/>
  <c r="I29" i="3"/>
  <c r="H30" i="3"/>
  <c r="I30" i="3"/>
  <c r="H31" i="3"/>
  <c r="I31" i="3"/>
  <c r="H32" i="3"/>
  <c r="I32" i="3"/>
  <c r="H33" i="3"/>
  <c r="I33" i="3"/>
  <c r="H34" i="3"/>
  <c r="I34" i="3"/>
  <c r="H35" i="3"/>
  <c r="I35" i="3"/>
  <c r="H36" i="3"/>
  <c r="I36" i="3"/>
  <c r="H37" i="3"/>
  <c r="I37" i="3"/>
  <c r="H38" i="3"/>
  <c r="I38" i="3"/>
  <c r="H39" i="3"/>
  <c r="I39" i="3"/>
  <c r="H40" i="3"/>
  <c r="I40" i="3"/>
  <c r="H41" i="3"/>
  <c r="I41" i="3"/>
  <c r="H42" i="3"/>
  <c r="I42" i="3"/>
  <c r="H43" i="3"/>
  <c r="I43" i="3"/>
  <c r="H44" i="3"/>
  <c r="I44" i="3"/>
  <c r="H45" i="3"/>
  <c r="I45" i="3"/>
  <c r="H46" i="3"/>
  <c r="I46" i="3"/>
  <c r="H47" i="3"/>
  <c r="I47" i="3"/>
  <c r="H48" i="3"/>
  <c r="I48" i="3"/>
  <c r="H49" i="3"/>
  <c r="I49" i="3"/>
  <c r="H50" i="3"/>
  <c r="I50" i="3"/>
  <c r="H51" i="3"/>
  <c r="I51" i="3"/>
  <c r="H52" i="3"/>
  <c r="I52" i="3"/>
  <c r="H53" i="3"/>
  <c r="I53" i="3"/>
  <c r="H54" i="3"/>
  <c r="I54" i="3"/>
  <c r="H55" i="3"/>
  <c r="I55" i="3"/>
  <c r="H56" i="3"/>
  <c r="I56" i="3"/>
  <c r="H57" i="3"/>
  <c r="I57" i="3"/>
  <c r="H58" i="3"/>
  <c r="I58" i="3"/>
  <c r="H59" i="3"/>
  <c r="I59" i="3"/>
  <c r="H60" i="3"/>
  <c r="I60" i="3"/>
  <c r="H61" i="3"/>
  <c r="I61" i="3"/>
  <c r="H62" i="3"/>
  <c r="I62" i="3"/>
  <c r="H63" i="3"/>
  <c r="I63" i="3"/>
  <c r="H64" i="3"/>
  <c r="I64" i="3"/>
  <c r="H65" i="3"/>
  <c r="I65" i="3"/>
  <c r="H66" i="3"/>
  <c r="I66" i="3"/>
  <c r="H67" i="3"/>
  <c r="I67" i="3"/>
  <c r="H68" i="3"/>
  <c r="I68" i="3"/>
  <c r="H69" i="3"/>
  <c r="I69" i="3"/>
  <c r="H70" i="3"/>
  <c r="I70" i="3"/>
  <c r="H71" i="3"/>
  <c r="I71" i="3"/>
  <c r="H72" i="3"/>
  <c r="I72" i="3"/>
  <c r="H85" i="3"/>
  <c r="I85" i="3"/>
  <c r="H74" i="3"/>
  <c r="I74" i="3"/>
  <c r="H75" i="3"/>
  <c r="I75" i="3"/>
  <c r="H76" i="3"/>
  <c r="I76" i="3"/>
  <c r="H77" i="3"/>
  <c r="I77" i="3"/>
  <c r="H78" i="3"/>
  <c r="I78" i="3"/>
  <c r="H79" i="3"/>
  <c r="I79" i="3"/>
  <c r="H80" i="3"/>
  <c r="I80" i="3"/>
  <c r="H81" i="3"/>
  <c r="I81" i="3"/>
  <c r="H82" i="3"/>
  <c r="I82" i="3"/>
  <c r="H83" i="3"/>
  <c r="I83" i="3"/>
  <c r="H84" i="3"/>
  <c r="I84" i="3"/>
  <c r="H86" i="3"/>
  <c r="I86" i="3"/>
  <c r="H87" i="3"/>
  <c r="I87" i="3"/>
  <c r="H162" i="3"/>
  <c r="I162" i="3"/>
  <c r="H163" i="3"/>
  <c r="I163" i="3"/>
  <c r="H164" i="3"/>
  <c r="I164" i="3"/>
  <c r="H165" i="3"/>
  <c r="I165" i="3"/>
  <c r="H166" i="3"/>
  <c r="I166" i="3"/>
  <c r="H167" i="3"/>
  <c r="I167" i="3"/>
  <c r="H168" i="3"/>
  <c r="I168" i="3"/>
  <c r="H169" i="3"/>
  <c r="I169" i="3"/>
  <c r="H170" i="3"/>
  <c r="I170" i="3"/>
  <c r="H171" i="3"/>
  <c r="I171" i="3"/>
  <c r="H172" i="3"/>
  <c r="I172" i="3"/>
  <c r="H173" i="3"/>
  <c r="I173" i="3"/>
  <c r="H174" i="3"/>
  <c r="I174" i="3"/>
  <c r="H175" i="3"/>
  <c r="I175" i="3"/>
  <c r="H176" i="3"/>
  <c r="I176" i="3"/>
  <c r="H177" i="3"/>
  <c r="I177" i="3"/>
  <c r="H178" i="3"/>
  <c r="I178" i="3"/>
  <c r="H179" i="3"/>
  <c r="I179" i="3"/>
  <c r="H180" i="3"/>
  <c r="I180" i="3"/>
  <c r="H181" i="3"/>
  <c r="I181" i="3"/>
  <c r="H182" i="3"/>
  <c r="I182" i="3"/>
  <c r="H4" i="3"/>
  <c r="I4" i="3"/>
  <c r="H185" i="3"/>
  <c r="I185" i="3"/>
  <c r="H5" i="3"/>
  <c r="I5" i="3"/>
  <c r="H89" i="3"/>
  <c r="I89" i="3"/>
  <c r="H186" i="3"/>
  <c r="I186" i="3"/>
  <c r="H187" i="3"/>
  <c r="I187" i="3"/>
  <c r="H188" i="3"/>
  <c r="I188" i="3"/>
  <c r="H189" i="3"/>
  <c r="I189" i="3"/>
  <c r="H190" i="3"/>
  <c r="I190" i="3"/>
  <c r="H191" i="3"/>
  <c r="I191" i="3"/>
  <c r="H192" i="3"/>
  <c r="I192" i="3"/>
  <c r="H193" i="3"/>
  <c r="I193" i="3"/>
  <c r="H194" i="3"/>
  <c r="I194" i="3"/>
  <c r="H195" i="3"/>
  <c r="I195" i="3"/>
  <c r="H196" i="3"/>
  <c r="I196" i="3"/>
  <c r="H197" i="3"/>
  <c r="I197" i="3"/>
  <c r="H198" i="3"/>
  <c r="I198" i="3"/>
  <c r="H199" i="3"/>
  <c r="I199" i="3"/>
  <c r="H200" i="3"/>
  <c r="I200" i="3"/>
  <c r="H201" i="3"/>
  <c r="I201" i="3"/>
  <c r="H202" i="3"/>
  <c r="I202" i="3"/>
  <c r="H203" i="3"/>
  <c r="I203" i="3"/>
  <c r="H204" i="3"/>
  <c r="I204" i="3"/>
  <c r="H205" i="3"/>
  <c r="I205" i="3"/>
  <c r="H206" i="3"/>
  <c r="I206" i="3"/>
  <c r="H207" i="3"/>
  <c r="I207" i="3"/>
  <c r="H208" i="3"/>
  <c r="I208" i="3"/>
  <c r="H209" i="3"/>
  <c r="I209" i="3"/>
  <c r="H210" i="3"/>
  <c r="I210" i="3"/>
  <c r="H211" i="3"/>
  <c r="I211" i="3"/>
  <c r="H212" i="3"/>
  <c r="I212" i="3"/>
  <c r="H213" i="3"/>
  <c r="I213" i="3"/>
  <c r="H214" i="3"/>
  <c r="I214" i="3"/>
  <c r="H2" i="3"/>
  <c r="I2" i="3"/>
  <c r="H103" i="3"/>
  <c r="I103" i="3"/>
  <c r="H101" i="3"/>
  <c r="I101" i="3"/>
  <c r="H159" i="3"/>
  <c r="I159" i="3"/>
  <c r="H158" i="3"/>
  <c r="I158" i="3"/>
  <c r="H157" i="3"/>
  <c r="I157" i="3"/>
  <c r="H156" i="3"/>
  <c r="I156" i="3"/>
  <c r="H155" i="3"/>
  <c r="I155" i="3"/>
  <c r="H154" i="3"/>
  <c r="I154" i="3"/>
  <c r="H153" i="3"/>
  <c r="I153" i="3"/>
  <c r="H152" i="3"/>
  <c r="I152" i="3"/>
  <c r="H151" i="3"/>
  <c r="I151" i="3"/>
  <c r="H150" i="3"/>
  <c r="I150" i="3"/>
  <c r="H149" i="3"/>
  <c r="I149" i="3"/>
  <c r="H148" i="3"/>
  <c r="I148" i="3"/>
  <c r="H147" i="3"/>
  <c r="I147" i="3"/>
  <c r="H146" i="3"/>
  <c r="I146" i="3"/>
  <c r="H145" i="3"/>
  <c r="I145" i="3"/>
  <c r="H144" i="3"/>
  <c r="I144" i="3"/>
  <c r="H143" i="3"/>
  <c r="I143" i="3"/>
  <c r="H142" i="3"/>
  <c r="I142" i="3"/>
  <c r="H141" i="3"/>
  <c r="I141" i="3"/>
  <c r="H140" i="3"/>
  <c r="I140" i="3"/>
  <c r="H139" i="3"/>
  <c r="I139" i="3"/>
  <c r="H138" i="3"/>
  <c r="I138" i="3"/>
  <c r="H137" i="3"/>
  <c r="I137" i="3"/>
  <c r="H136" i="3"/>
  <c r="I136" i="3"/>
  <c r="H135" i="3"/>
  <c r="I135" i="3"/>
  <c r="H134" i="3"/>
  <c r="I134" i="3"/>
  <c r="H133" i="3"/>
  <c r="I133" i="3"/>
  <c r="H132" i="3"/>
  <c r="I132" i="3"/>
  <c r="H131" i="3"/>
  <c r="I131" i="3"/>
  <c r="H130" i="3"/>
  <c r="I130" i="3"/>
  <c r="H129" i="3"/>
  <c r="I129" i="3"/>
  <c r="H128" i="3"/>
  <c r="I128" i="3"/>
  <c r="H127" i="3"/>
  <c r="I127" i="3"/>
  <c r="H126" i="3"/>
  <c r="I126" i="3"/>
  <c r="H125" i="3"/>
  <c r="I125" i="3"/>
  <c r="H124" i="3"/>
  <c r="I124" i="3"/>
  <c r="H123" i="3"/>
  <c r="I123" i="3"/>
  <c r="H122" i="3"/>
  <c r="I122" i="3"/>
  <c r="H121" i="3"/>
  <c r="I121" i="3"/>
  <c r="H120" i="3"/>
  <c r="I120" i="3"/>
  <c r="H119" i="3"/>
  <c r="I119" i="3"/>
  <c r="H118" i="3"/>
  <c r="I118" i="3"/>
  <c r="H117" i="3"/>
  <c r="I117" i="3"/>
  <c r="H116" i="3"/>
  <c r="I116" i="3"/>
  <c r="H115" i="3"/>
  <c r="I115" i="3"/>
  <c r="H114" i="3"/>
  <c r="I114" i="3"/>
  <c r="H113" i="3"/>
  <c r="I113" i="3"/>
  <c r="H112" i="3"/>
  <c r="I112" i="3"/>
  <c r="H111" i="3"/>
  <c r="I111" i="3"/>
  <c r="H110" i="3"/>
  <c r="I110" i="3"/>
  <c r="H109" i="3"/>
  <c r="I109" i="3"/>
  <c r="H108" i="3"/>
  <c r="I108" i="3"/>
  <c r="H107" i="3"/>
  <c r="I107" i="3"/>
  <c r="H106" i="3"/>
  <c r="I106" i="3"/>
  <c r="H105" i="3"/>
  <c r="I105" i="3"/>
  <c r="H104" i="3"/>
  <c r="I104" i="3"/>
  <c r="H161" i="3"/>
  <c r="I161" i="3"/>
  <c r="H100" i="3"/>
  <c r="I100" i="3"/>
  <c r="H90" i="3"/>
  <c r="I90" i="3"/>
  <c r="H91" i="3"/>
  <c r="I91" i="3"/>
  <c r="H92" i="3"/>
  <c r="I92" i="3"/>
  <c r="H93" i="3"/>
  <c r="I93" i="3"/>
  <c r="H94" i="3"/>
  <c r="I94" i="3"/>
  <c r="H95" i="3"/>
  <c r="I95" i="3"/>
  <c r="H96" i="3"/>
  <c r="I96" i="3"/>
  <c r="H97" i="3"/>
  <c r="I97" i="3"/>
  <c r="H98" i="3"/>
  <c r="I98" i="3"/>
  <c r="H99" i="3"/>
  <c r="I99" i="3"/>
  <c r="H102" i="3"/>
  <c r="I102" i="3"/>
  <c r="H160" i="3"/>
  <c r="I160" i="3"/>
  <c r="H88" i="3"/>
  <c r="I88" i="3"/>
  <c r="E183" i="3"/>
  <c r="G183" i="3"/>
  <c r="E184" i="3"/>
  <c r="G184" i="3"/>
  <c r="E3" i="3"/>
  <c r="G3" i="3"/>
  <c r="E73" i="3"/>
  <c r="G73" i="3"/>
  <c r="E6" i="3"/>
  <c r="G6" i="3"/>
  <c r="E7" i="3"/>
  <c r="G7" i="3"/>
  <c r="E8" i="3"/>
  <c r="G8" i="3"/>
  <c r="E9" i="3"/>
  <c r="G9" i="3"/>
  <c r="E10" i="3"/>
  <c r="G10" i="3"/>
  <c r="E11" i="3"/>
  <c r="G11" i="3"/>
  <c r="E12" i="3"/>
  <c r="G12" i="3"/>
  <c r="E13" i="3"/>
  <c r="G13" i="3"/>
  <c r="E14" i="3"/>
  <c r="G14" i="3"/>
  <c r="E15" i="3"/>
  <c r="G15" i="3"/>
  <c r="E16" i="3"/>
  <c r="G16" i="3"/>
  <c r="E17" i="3"/>
  <c r="G17" i="3"/>
  <c r="E18" i="3"/>
  <c r="G18" i="3"/>
  <c r="E19" i="3"/>
  <c r="G19" i="3"/>
  <c r="E20" i="3"/>
  <c r="G20" i="3"/>
  <c r="E21" i="3"/>
  <c r="G21" i="3"/>
  <c r="E22" i="3"/>
  <c r="G22" i="3"/>
  <c r="E23" i="3"/>
  <c r="G23" i="3"/>
  <c r="E24" i="3"/>
  <c r="G24" i="3"/>
  <c r="E25" i="3"/>
  <c r="G25" i="3"/>
  <c r="E26" i="3"/>
  <c r="G26" i="3"/>
  <c r="E27" i="3"/>
  <c r="G27" i="3"/>
  <c r="E28" i="3"/>
  <c r="G28" i="3"/>
  <c r="E29" i="3"/>
  <c r="G29" i="3"/>
  <c r="E30" i="3"/>
  <c r="G30" i="3"/>
  <c r="E31" i="3"/>
  <c r="G31" i="3"/>
  <c r="E32" i="3"/>
  <c r="G32" i="3"/>
  <c r="E33" i="3"/>
  <c r="G33" i="3"/>
  <c r="E34" i="3"/>
  <c r="G34" i="3"/>
  <c r="E35" i="3"/>
  <c r="G35" i="3"/>
  <c r="E36" i="3"/>
  <c r="G36" i="3"/>
  <c r="E37" i="3"/>
  <c r="G37" i="3"/>
  <c r="E38" i="3"/>
  <c r="G38" i="3"/>
  <c r="E39" i="3"/>
  <c r="G39" i="3"/>
  <c r="E40" i="3"/>
  <c r="G40" i="3"/>
  <c r="E41" i="3"/>
  <c r="G41" i="3"/>
  <c r="E42" i="3"/>
  <c r="G42" i="3"/>
  <c r="E43" i="3"/>
  <c r="G43" i="3"/>
  <c r="E44" i="3"/>
  <c r="G44" i="3"/>
  <c r="E45" i="3"/>
  <c r="G45" i="3"/>
  <c r="E46" i="3"/>
  <c r="G46" i="3"/>
  <c r="E47" i="3"/>
  <c r="G47" i="3"/>
  <c r="E48" i="3"/>
  <c r="G48" i="3"/>
  <c r="E49" i="3"/>
  <c r="G49" i="3"/>
  <c r="E50" i="3"/>
  <c r="G50" i="3"/>
  <c r="E51" i="3"/>
  <c r="G51" i="3"/>
  <c r="E52" i="3"/>
  <c r="G52" i="3"/>
  <c r="E53" i="3"/>
  <c r="G53" i="3"/>
  <c r="E54" i="3"/>
  <c r="G54" i="3"/>
  <c r="E55" i="3"/>
  <c r="G55" i="3"/>
  <c r="E56" i="3"/>
  <c r="G56" i="3"/>
  <c r="E57" i="3"/>
  <c r="G57" i="3"/>
  <c r="E58" i="3"/>
  <c r="G58" i="3"/>
  <c r="E59" i="3"/>
  <c r="G59" i="3"/>
  <c r="E60" i="3"/>
  <c r="G60" i="3"/>
  <c r="E61" i="3"/>
  <c r="G61" i="3"/>
  <c r="E62" i="3"/>
  <c r="G62" i="3"/>
  <c r="E63" i="3"/>
  <c r="G63" i="3"/>
  <c r="E64" i="3"/>
  <c r="G64" i="3"/>
  <c r="E65" i="3"/>
  <c r="G65" i="3"/>
  <c r="E66" i="3"/>
  <c r="G66" i="3"/>
  <c r="E67" i="3"/>
  <c r="G67" i="3"/>
  <c r="E68" i="3"/>
  <c r="G68" i="3"/>
  <c r="E69" i="3"/>
  <c r="G69" i="3"/>
  <c r="E70" i="3"/>
  <c r="G70" i="3"/>
  <c r="E71" i="3"/>
  <c r="G71" i="3"/>
  <c r="E72" i="3"/>
  <c r="G72" i="3"/>
  <c r="E85" i="3"/>
  <c r="G85" i="3"/>
  <c r="E74" i="3"/>
  <c r="G74" i="3"/>
  <c r="E75" i="3"/>
  <c r="G75" i="3"/>
  <c r="E76" i="3"/>
  <c r="G76" i="3"/>
  <c r="E77" i="3"/>
  <c r="G77" i="3"/>
  <c r="E78" i="3"/>
  <c r="G78" i="3"/>
  <c r="E79" i="3"/>
  <c r="G79" i="3"/>
  <c r="E80" i="3"/>
  <c r="G80" i="3"/>
  <c r="E81" i="3"/>
  <c r="G81" i="3"/>
  <c r="E82" i="3"/>
  <c r="G82" i="3"/>
  <c r="E83" i="3"/>
  <c r="G83" i="3"/>
  <c r="E84" i="3"/>
  <c r="G84" i="3"/>
  <c r="E86" i="3"/>
  <c r="G86" i="3"/>
  <c r="E87" i="3"/>
  <c r="G87" i="3"/>
  <c r="E162" i="3"/>
  <c r="G162" i="3"/>
  <c r="E163" i="3"/>
  <c r="G163" i="3"/>
  <c r="E164" i="3"/>
  <c r="G164" i="3"/>
  <c r="E165" i="3"/>
  <c r="G165" i="3"/>
  <c r="E166" i="3"/>
  <c r="G166" i="3"/>
  <c r="E167" i="3"/>
  <c r="G167" i="3"/>
  <c r="E168" i="3"/>
  <c r="G168" i="3"/>
  <c r="E169" i="3"/>
  <c r="G169" i="3"/>
  <c r="E170" i="3"/>
  <c r="G170" i="3"/>
  <c r="E171" i="3"/>
  <c r="G171" i="3"/>
  <c r="E172" i="3"/>
  <c r="G172" i="3"/>
  <c r="E173" i="3"/>
  <c r="G173" i="3"/>
  <c r="E174" i="3"/>
  <c r="G174" i="3"/>
  <c r="E175" i="3"/>
  <c r="G175" i="3"/>
  <c r="E176" i="3"/>
  <c r="G176" i="3"/>
  <c r="E177" i="3"/>
  <c r="G177" i="3"/>
  <c r="E178" i="3"/>
  <c r="G178" i="3"/>
  <c r="E179" i="3"/>
  <c r="G179" i="3"/>
  <c r="E180" i="3"/>
  <c r="G180" i="3"/>
  <c r="E181" i="3"/>
  <c r="G181" i="3"/>
  <c r="E182" i="3"/>
  <c r="G182" i="3"/>
  <c r="E4" i="3"/>
  <c r="G4" i="3"/>
  <c r="E185" i="3"/>
  <c r="G185" i="3"/>
  <c r="E5" i="3"/>
  <c r="G5" i="3"/>
  <c r="E89" i="3"/>
  <c r="G89" i="3"/>
  <c r="E186" i="3"/>
  <c r="G186" i="3"/>
  <c r="E187" i="3"/>
  <c r="G187" i="3"/>
  <c r="E188" i="3"/>
  <c r="G188" i="3"/>
  <c r="E189" i="3"/>
  <c r="G189" i="3"/>
  <c r="E190" i="3"/>
  <c r="G190" i="3"/>
  <c r="E191" i="3"/>
  <c r="G191" i="3"/>
  <c r="E192" i="3"/>
  <c r="G192" i="3"/>
  <c r="E193" i="3"/>
  <c r="G193" i="3"/>
  <c r="E194" i="3"/>
  <c r="G194" i="3"/>
  <c r="E195" i="3"/>
  <c r="G195" i="3"/>
  <c r="E196" i="3"/>
  <c r="G196" i="3"/>
  <c r="E197" i="3"/>
  <c r="G197" i="3"/>
  <c r="E198" i="3"/>
  <c r="G198" i="3"/>
  <c r="E199" i="3"/>
  <c r="G199" i="3"/>
  <c r="E200" i="3"/>
  <c r="G200" i="3"/>
  <c r="E201" i="3"/>
  <c r="G201" i="3"/>
  <c r="E202" i="3"/>
  <c r="G202" i="3"/>
  <c r="E203" i="3"/>
  <c r="G203" i="3"/>
  <c r="E204" i="3"/>
  <c r="G204" i="3"/>
  <c r="E205" i="3"/>
  <c r="G205" i="3"/>
  <c r="E206" i="3"/>
  <c r="G206" i="3"/>
  <c r="E207" i="3"/>
  <c r="G207" i="3"/>
  <c r="E208" i="3"/>
  <c r="G208" i="3"/>
  <c r="E209" i="3"/>
  <c r="G209" i="3"/>
  <c r="E210" i="3"/>
  <c r="G210" i="3"/>
  <c r="E211" i="3"/>
  <c r="G211" i="3"/>
  <c r="E212" i="3"/>
  <c r="G212" i="3"/>
  <c r="E213" i="3"/>
  <c r="G213" i="3"/>
  <c r="E214" i="3"/>
  <c r="G214" i="3"/>
  <c r="E2" i="3"/>
  <c r="G2" i="3"/>
  <c r="E103" i="3"/>
  <c r="G103" i="3"/>
  <c r="E101" i="3"/>
  <c r="G101" i="3"/>
  <c r="E159" i="3"/>
  <c r="G159" i="3"/>
  <c r="E158" i="3"/>
  <c r="G158" i="3"/>
  <c r="E157" i="3"/>
  <c r="G157" i="3"/>
  <c r="E156" i="3"/>
  <c r="G156" i="3"/>
  <c r="E155" i="3"/>
  <c r="G155" i="3"/>
  <c r="E154" i="3"/>
  <c r="G154" i="3"/>
  <c r="E153" i="3"/>
  <c r="G153" i="3"/>
  <c r="E152" i="3"/>
  <c r="G152" i="3"/>
  <c r="E151" i="3"/>
  <c r="G151" i="3"/>
  <c r="E150" i="3"/>
  <c r="G150" i="3"/>
  <c r="E149" i="3"/>
  <c r="G149" i="3"/>
  <c r="E148" i="3"/>
  <c r="G148" i="3"/>
  <c r="E147" i="3"/>
  <c r="G147" i="3"/>
  <c r="E146" i="3"/>
  <c r="G146" i="3"/>
  <c r="E145" i="3"/>
  <c r="G145" i="3"/>
  <c r="E144" i="3"/>
  <c r="G144" i="3"/>
  <c r="E143" i="3"/>
  <c r="G143" i="3"/>
  <c r="E142" i="3"/>
  <c r="G142" i="3"/>
  <c r="E141" i="3"/>
  <c r="G141" i="3"/>
  <c r="E140" i="3"/>
  <c r="G140" i="3"/>
  <c r="E139" i="3"/>
  <c r="G139" i="3"/>
  <c r="E138" i="3"/>
  <c r="G138" i="3"/>
  <c r="E137" i="3"/>
  <c r="G137" i="3"/>
  <c r="E136" i="3"/>
  <c r="G136" i="3"/>
  <c r="E135" i="3"/>
  <c r="G135" i="3"/>
  <c r="E134" i="3"/>
  <c r="G134" i="3"/>
  <c r="E133" i="3"/>
  <c r="G133" i="3"/>
  <c r="E132" i="3"/>
  <c r="G132" i="3"/>
  <c r="E131" i="3"/>
  <c r="G131" i="3"/>
  <c r="E130" i="3"/>
  <c r="G130" i="3"/>
  <c r="E129" i="3"/>
  <c r="G129" i="3"/>
  <c r="E128" i="3"/>
  <c r="G128" i="3"/>
  <c r="E127" i="3"/>
  <c r="G127" i="3"/>
  <c r="E126" i="3"/>
  <c r="G126" i="3"/>
  <c r="E125" i="3"/>
  <c r="G125" i="3"/>
  <c r="E124" i="3"/>
  <c r="G124" i="3"/>
  <c r="E123" i="3"/>
  <c r="G123" i="3"/>
  <c r="E122" i="3"/>
  <c r="G122" i="3"/>
  <c r="E121" i="3"/>
  <c r="G121" i="3"/>
  <c r="E120" i="3"/>
  <c r="G120" i="3"/>
  <c r="E119" i="3"/>
  <c r="G119" i="3"/>
  <c r="E118" i="3"/>
  <c r="G118" i="3"/>
  <c r="E117" i="3"/>
  <c r="G117" i="3"/>
  <c r="E116" i="3"/>
  <c r="G116" i="3"/>
  <c r="E115" i="3"/>
  <c r="G115" i="3"/>
  <c r="E114" i="3"/>
  <c r="G114" i="3"/>
  <c r="E113" i="3"/>
  <c r="G113" i="3"/>
  <c r="E112" i="3"/>
  <c r="G112" i="3"/>
  <c r="E111" i="3"/>
  <c r="G111" i="3"/>
  <c r="E110" i="3"/>
  <c r="G110" i="3"/>
  <c r="E109" i="3"/>
  <c r="G109" i="3"/>
  <c r="E108" i="3"/>
  <c r="G108" i="3"/>
  <c r="E107" i="3"/>
  <c r="G107" i="3"/>
  <c r="E106" i="3"/>
  <c r="G106" i="3"/>
  <c r="E105" i="3"/>
  <c r="G105" i="3"/>
  <c r="E104" i="3"/>
  <c r="G104" i="3"/>
  <c r="E161" i="3"/>
  <c r="G161" i="3"/>
  <c r="E100" i="3"/>
  <c r="G100" i="3"/>
  <c r="E90" i="3"/>
  <c r="G90" i="3"/>
  <c r="E91" i="3"/>
  <c r="G91" i="3"/>
  <c r="E92" i="3"/>
  <c r="G92" i="3"/>
  <c r="E93" i="3"/>
  <c r="G93" i="3"/>
  <c r="E94" i="3"/>
  <c r="G94" i="3"/>
  <c r="E95" i="3"/>
  <c r="G95" i="3"/>
  <c r="E96" i="3"/>
  <c r="G96" i="3"/>
  <c r="E97" i="3"/>
  <c r="G97" i="3"/>
  <c r="E98" i="3"/>
  <c r="G98" i="3"/>
  <c r="E99" i="3"/>
  <c r="G99" i="3"/>
  <c r="E102" i="3"/>
  <c r="G102" i="3"/>
  <c r="E160" i="3"/>
  <c r="G160" i="3"/>
  <c r="E88" i="3"/>
  <c r="G88" i="3"/>
  <c r="C183" i="3"/>
  <c r="D183" i="3"/>
  <c r="C184" i="3"/>
  <c r="D184" i="3"/>
  <c r="C3" i="3"/>
  <c r="D3" i="3"/>
  <c r="C73" i="3"/>
  <c r="D73" i="3"/>
  <c r="C6" i="3"/>
  <c r="D6" i="3"/>
  <c r="C7" i="3"/>
  <c r="D7" i="3"/>
  <c r="C8" i="3"/>
  <c r="D8" i="3"/>
  <c r="C9" i="3"/>
  <c r="D9" i="3"/>
  <c r="C10" i="3"/>
  <c r="D10" i="3"/>
  <c r="C11" i="3"/>
  <c r="D11" i="3"/>
  <c r="C12" i="3"/>
  <c r="D12" i="3"/>
  <c r="C13" i="3"/>
  <c r="D13" i="3"/>
  <c r="C14" i="3"/>
  <c r="D14" i="3"/>
  <c r="C15" i="3"/>
  <c r="D15" i="3"/>
  <c r="C16" i="3"/>
  <c r="D16" i="3"/>
  <c r="C17" i="3"/>
  <c r="D17" i="3"/>
  <c r="C18" i="3"/>
  <c r="D18" i="3"/>
  <c r="C19" i="3"/>
  <c r="D19" i="3"/>
  <c r="C20" i="3"/>
  <c r="D20" i="3"/>
  <c r="C21" i="3"/>
  <c r="D21" i="3"/>
  <c r="C22" i="3"/>
  <c r="D22" i="3"/>
  <c r="C23" i="3"/>
  <c r="D23" i="3"/>
  <c r="C24" i="3"/>
  <c r="D24" i="3"/>
  <c r="C25" i="3"/>
  <c r="D25" i="3"/>
  <c r="C26" i="3"/>
  <c r="D26" i="3"/>
  <c r="C27" i="3"/>
  <c r="D27" i="3"/>
  <c r="C28" i="3"/>
  <c r="D28" i="3"/>
  <c r="C29" i="3"/>
  <c r="D29" i="3"/>
  <c r="C30" i="3"/>
  <c r="D30" i="3"/>
  <c r="C31" i="3"/>
  <c r="D31" i="3"/>
  <c r="C32" i="3"/>
  <c r="D32" i="3"/>
  <c r="C33" i="3"/>
  <c r="D33" i="3"/>
  <c r="C34" i="3"/>
  <c r="D34" i="3"/>
  <c r="C35" i="3"/>
  <c r="D35" i="3"/>
  <c r="C36" i="3"/>
  <c r="D36" i="3"/>
  <c r="C37" i="3"/>
  <c r="D37" i="3"/>
  <c r="C38" i="3"/>
  <c r="D38" i="3"/>
  <c r="C39" i="3"/>
  <c r="D39" i="3"/>
  <c r="C40" i="3"/>
  <c r="D40" i="3"/>
  <c r="C41" i="3"/>
  <c r="D41" i="3"/>
  <c r="C42" i="3"/>
  <c r="D42" i="3"/>
  <c r="C43" i="3"/>
  <c r="D43" i="3"/>
  <c r="C44" i="3"/>
  <c r="D44" i="3"/>
  <c r="C45" i="3"/>
  <c r="D45" i="3"/>
  <c r="C46" i="3"/>
  <c r="D46" i="3"/>
  <c r="C47" i="3"/>
  <c r="D47" i="3"/>
  <c r="C48" i="3"/>
  <c r="D48" i="3"/>
  <c r="C49" i="3"/>
  <c r="D49" i="3"/>
  <c r="C50" i="3"/>
  <c r="D50" i="3"/>
  <c r="C51" i="3"/>
  <c r="D51" i="3"/>
  <c r="C52" i="3"/>
  <c r="D52" i="3"/>
  <c r="C53" i="3"/>
  <c r="D53" i="3"/>
  <c r="C54" i="3"/>
  <c r="D54" i="3"/>
  <c r="C55" i="3"/>
  <c r="D55" i="3"/>
  <c r="C56" i="3"/>
  <c r="D56" i="3"/>
  <c r="C57" i="3"/>
  <c r="D57" i="3"/>
  <c r="C58" i="3"/>
  <c r="D58" i="3"/>
  <c r="C59" i="3"/>
  <c r="D59" i="3"/>
  <c r="C60" i="3"/>
  <c r="D60" i="3"/>
  <c r="C61" i="3"/>
  <c r="D61" i="3"/>
  <c r="C62" i="3"/>
  <c r="D62" i="3"/>
  <c r="C63" i="3"/>
  <c r="D63" i="3"/>
  <c r="C64" i="3"/>
  <c r="D64" i="3"/>
  <c r="C65" i="3"/>
  <c r="D65" i="3"/>
  <c r="C66" i="3"/>
  <c r="D66" i="3"/>
  <c r="C67" i="3"/>
  <c r="D67" i="3"/>
  <c r="C68" i="3"/>
  <c r="D68" i="3"/>
  <c r="C69" i="3"/>
  <c r="D69" i="3"/>
  <c r="C70" i="3"/>
  <c r="D70" i="3"/>
  <c r="C71" i="3"/>
  <c r="D71" i="3"/>
  <c r="C72" i="3"/>
  <c r="D72" i="3"/>
  <c r="C85" i="3"/>
  <c r="D85" i="3"/>
  <c r="C74" i="3"/>
  <c r="D74" i="3"/>
  <c r="C75" i="3"/>
  <c r="D75" i="3"/>
  <c r="C76" i="3"/>
  <c r="D76" i="3"/>
  <c r="C77" i="3"/>
  <c r="D77" i="3"/>
  <c r="C78" i="3"/>
  <c r="D78" i="3"/>
  <c r="C79" i="3"/>
  <c r="D79" i="3"/>
  <c r="C80" i="3"/>
  <c r="D80" i="3"/>
  <c r="C81" i="3"/>
  <c r="D81" i="3"/>
  <c r="C82" i="3"/>
  <c r="D82" i="3"/>
  <c r="C83" i="3"/>
  <c r="D83" i="3"/>
  <c r="C84" i="3"/>
  <c r="D84" i="3"/>
  <c r="C86" i="3"/>
  <c r="D86" i="3"/>
  <c r="C87" i="3"/>
  <c r="D87" i="3"/>
  <c r="C162" i="3"/>
  <c r="D162" i="3"/>
  <c r="C163" i="3"/>
  <c r="D163" i="3"/>
  <c r="C164" i="3"/>
  <c r="D164" i="3"/>
  <c r="C165" i="3"/>
  <c r="D165" i="3"/>
  <c r="C166" i="3"/>
  <c r="D166" i="3"/>
  <c r="C167" i="3"/>
  <c r="D167" i="3"/>
  <c r="C168" i="3"/>
  <c r="D168" i="3"/>
  <c r="C169" i="3"/>
  <c r="D169" i="3"/>
  <c r="C170" i="3"/>
  <c r="D170" i="3"/>
  <c r="C171" i="3"/>
  <c r="D171" i="3"/>
  <c r="C172" i="3"/>
  <c r="D172" i="3"/>
  <c r="C173" i="3"/>
  <c r="D173" i="3"/>
  <c r="C174" i="3"/>
  <c r="D174" i="3"/>
  <c r="C175" i="3"/>
  <c r="D175" i="3"/>
  <c r="C176" i="3"/>
  <c r="D176" i="3"/>
  <c r="C177" i="3"/>
  <c r="D177" i="3"/>
  <c r="C178" i="3"/>
  <c r="D178" i="3"/>
  <c r="C179" i="3"/>
  <c r="D179" i="3"/>
  <c r="C180" i="3"/>
  <c r="D180" i="3"/>
  <c r="C181" i="3"/>
  <c r="D181" i="3"/>
  <c r="C182" i="3"/>
  <c r="D182" i="3"/>
  <c r="C4" i="3"/>
  <c r="D4" i="3"/>
  <c r="C185" i="3"/>
  <c r="D185" i="3"/>
  <c r="C5" i="3"/>
  <c r="D5" i="3"/>
  <c r="C89" i="3"/>
  <c r="D89" i="3"/>
  <c r="C186" i="3"/>
  <c r="D186" i="3"/>
  <c r="C187" i="3"/>
  <c r="D187" i="3"/>
  <c r="C188" i="3"/>
  <c r="D188" i="3"/>
  <c r="C189" i="3"/>
  <c r="D189" i="3"/>
  <c r="C190" i="3"/>
  <c r="D190" i="3"/>
  <c r="C191" i="3"/>
  <c r="D191" i="3"/>
  <c r="C192" i="3"/>
  <c r="D192" i="3"/>
  <c r="C193" i="3"/>
  <c r="D193" i="3"/>
  <c r="C194" i="3"/>
  <c r="D194" i="3"/>
  <c r="C195" i="3"/>
  <c r="D195" i="3"/>
  <c r="C196" i="3"/>
  <c r="D196" i="3"/>
  <c r="C197" i="3"/>
  <c r="D197" i="3"/>
  <c r="C198" i="3"/>
  <c r="D198" i="3"/>
  <c r="C199" i="3"/>
  <c r="D199" i="3"/>
  <c r="C200" i="3"/>
  <c r="D200" i="3"/>
  <c r="C201" i="3"/>
  <c r="D201" i="3"/>
  <c r="C202" i="3"/>
  <c r="D202" i="3"/>
  <c r="C203" i="3"/>
  <c r="D203" i="3"/>
  <c r="C204" i="3"/>
  <c r="D204" i="3"/>
  <c r="C205" i="3"/>
  <c r="D205" i="3"/>
  <c r="C206" i="3"/>
  <c r="D206" i="3"/>
  <c r="C207" i="3"/>
  <c r="D207" i="3"/>
  <c r="C208" i="3"/>
  <c r="D208" i="3"/>
  <c r="C209" i="3"/>
  <c r="D209" i="3"/>
  <c r="C210" i="3"/>
  <c r="D210" i="3"/>
  <c r="C211" i="3"/>
  <c r="D211" i="3"/>
  <c r="C212" i="3"/>
  <c r="D212" i="3"/>
  <c r="C213" i="3"/>
  <c r="D213" i="3"/>
  <c r="C214" i="3"/>
  <c r="D214" i="3"/>
  <c r="C2" i="3"/>
  <c r="D2" i="3"/>
  <c r="C103" i="3"/>
  <c r="D103" i="3"/>
  <c r="C101" i="3"/>
  <c r="D101" i="3"/>
  <c r="C159" i="3"/>
  <c r="D159" i="3"/>
  <c r="C158" i="3"/>
  <c r="D158" i="3"/>
  <c r="C157" i="3"/>
  <c r="D157" i="3"/>
  <c r="C156" i="3"/>
  <c r="D156" i="3"/>
  <c r="C155" i="3"/>
  <c r="D155" i="3"/>
  <c r="C154" i="3"/>
  <c r="D154" i="3"/>
  <c r="C153" i="3"/>
  <c r="D153" i="3"/>
  <c r="C152" i="3"/>
  <c r="D152" i="3"/>
  <c r="C151" i="3"/>
  <c r="D151" i="3"/>
  <c r="C150" i="3"/>
  <c r="D150" i="3"/>
  <c r="C149" i="3"/>
  <c r="D149" i="3"/>
  <c r="C148" i="3"/>
  <c r="D148" i="3"/>
  <c r="C147" i="3"/>
  <c r="D147" i="3"/>
  <c r="C146" i="3"/>
  <c r="D146" i="3"/>
  <c r="C145" i="3"/>
  <c r="D145" i="3"/>
  <c r="C144" i="3"/>
  <c r="D144" i="3"/>
  <c r="C143" i="3"/>
  <c r="D143" i="3"/>
  <c r="C142" i="3"/>
  <c r="D142" i="3"/>
  <c r="C141" i="3"/>
  <c r="D141" i="3"/>
  <c r="C140" i="3"/>
  <c r="D140" i="3"/>
  <c r="C139" i="3"/>
  <c r="D139" i="3"/>
  <c r="C138" i="3"/>
  <c r="D138" i="3"/>
  <c r="C137" i="3"/>
  <c r="D137" i="3"/>
  <c r="C136" i="3"/>
  <c r="D136" i="3"/>
  <c r="C135" i="3"/>
  <c r="D135" i="3"/>
  <c r="C134" i="3"/>
  <c r="D134" i="3"/>
  <c r="C133" i="3"/>
  <c r="D133" i="3"/>
  <c r="C132" i="3"/>
  <c r="D132" i="3"/>
  <c r="C131" i="3"/>
  <c r="D131" i="3"/>
  <c r="C130" i="3"/>
  <c r="D130" i="3"/>
  <c r="C129" i="3"/>
  <c r="D129" i="3"/>
  <c r="C128" i="3"/>
  <c r="D128" i="3"/>
  <c r="C127" i="3"/>
  <c r="D127" i="3"/>
  <c r="C126" i="3"/>
  <c r="D126" i="3"/>
  <c r="C125" i="3"/>
  <c r="D125" i="3"/>
  <c r="C124" i="3"/>
  <c r="D124" i="3"/>
  <c r="C123" i="3"/>
  <c r="D123" i="3"/>
  <c r="C122" i="3"/>
  <c r="D122" i="3"/>
  <c r="C121" i="3"/>
  <c r="D121" i="3"/>
  <c r="C120" i="3"/>
  <c r="D120" i="3"/>
  <c r="C119" i="3"/>
  <c r="D119" i="3"/>
  <c r="C118" i="3"/>
  <c r="D118" i="3"/>
  <c r="C117" i="3"/>
  <c r="D117" i="3"/>
  <c r="C116" i="3"/>
  <c r="D116" i="3"/>
  <c r="C115" i="3"/>
  <c r="D115" i="3"/>
  <c r="C114" i="3"/>
  <c r="D114" i="3"/>
  <c r="C113" i="3"/>
  <c r="D113" i="3"/>
  <c r="C112" i="3"/>
  <c r="D112" i="3"/>
  <c r="C111" i="3"/>
  <c r="D111" i="3"/>
  <c r="C110" i="3"/>
  <c r="D110" i="3"/>
  <c r="C109" i="3"/>
  <c r="D109" i="3"/>
  <c r="C108" i="3"/>
  <c r="D108" i="3"/>
  <c r="C107" i="3"/>
  <c r="D107" i="3"/>
  <c r="C106" i="3"/>
  <c r="D106" i="3"/>
  <c r="C105" i="3"/>
  <c r="D105" i="3"/>
  <c r="C104" i="3"/>
  <c r="D104" i="3"/>
  <c r="C161" i="3"/>
  <c r="D161" i="3"/>
  <c r="C100" i="3"/>
  <c r="D100" i="3"/>
  <c r="C90" i="3"/>
  <c r="D90" i="3"/>
  <c r="C91" i="3"/>
  <c r="D91" i="3"/>
  <c r="C92" i="3"/>
  <c r="D92" i="3"/>
  <c r="C93" i="3"/>
  <c r="D93" i="3"/>
  <c r="C94" i="3"/>
  <c r="D94" i="3"/>
  <c r="C95" i="3"/>
  <c r="D95" i="3"/>
  <c r="C96" i="3"/>
  <c r="D96" i="3"/>
  <c r="C97" i="3"/>
  <c r="D97" i="3"/>
  <c r="C98" i="3"/>
  <c r="D98" i="3"/>
  <c r="C99" i="3"/>
  <c r="D99" i="3"/>
  <c r="C102" i="3"/>
  <c r="D102" i="3"/>
  <c r="C160" i="3"/>
  <c r="D160" i="3"/>
  <c r="C88" i="3"/>
  <c r="D88" i="3"/>
  <c r="L183" i="3"/>
  <c r="P183" i="3" s="1"/>
  <c r="L184" i="3"/>
  <c r="P184" i="3"/>
  <c r="L3" i="3"/>
  <c r="P3" i="3"/>
  <c r="L73" i="3"/>
  <c r="P73" i="3" s="1"/>
  <c r="L6" i="3"/>
  <c r="P6" i="3"/>
  <c r="L7" i="3"/>
  <c r="P7" i="3" s="1"/>
  <c r="L8" i="3"/>
  <c r="P8" i="3"/>
  <c r="L9" i="3"/>
  <c r="P9" i="3" s="1"/>
  <c r="L10" i="3"/>
  <c r="P10" i="3" s="1"/>
  <c r="L11" i="3"/>
  <c r="P11" i="3" s="1"/>
  <c r="L12" i="3"/>
  <c r="P12" i="3"/>
  <c r="L13" i="3"/>
  <c r="P13" i="3" s="1"/>
  <c r="L14" i="3"/>
  <c r="P14" i="3"/>
  <c r="L15" i="3"/>
  <c r="P15" i="3"/>
  <c r="L16" i="3"/>
  <c r="P16" i="3" s="1"/>
  <c r="L17" i="3"/>
  <c r="P17" i="3"/>
  <c r="L18" i="3"/>
  <c r="P18" i="3" s="1"/>
  <c r="L19" i="3"/>
  <c r="P19" i="3" s="1"/>
  <c r="L20" i="3"/>
  <c r="P20" i="3"/>
  <c r="L21" i="3"/>
  <c r="P21" i="3" s="1"/>
  <c r="L22" i="3"/>
  <c r="P22" i="3" s="1"/>
  <c r="L23" i="3"/>
  <c r="P23" i="3" s="1"/>
  <c r="L24" i="3"/>
  <c r="P24" i="3" s="1"/>
  <c r="L25" i="3"/>
  <c r="L26" i="3"/>
  <c r="P26" i="3" s="1"/>
  <c r="L27" i="3"/>
  <c r="P27" i="3"/>
  <c r="L28" i="3"/>
  <c r="P28" i="3"/>
  <c r="L29" i="3"/>
  <c r="P29" i="3" s="1"/>
  <c r="L30" i="3"/>
  <c r="P30" i="3" s="1"/>
  <c r="L31" i="3"/>
  <c r="P31" i="3"/>
  <c r="L32" i="3"/>
  <c r="P32" i="3" s="1"/>
  <c r="L33" i="3"/>
  <c r="P33" i="3" s="1"/>
  <c r="L34" i="3"/>
  <c r="P34" i="3" s="1"/>
  <c r="L35" i="3"/>
  <c r="P35" i="3" s="1"/>
  <c r="L36" i="3"/>
  <c r="P36" i="3" s="1"/>
  <c r="L37" i="3"/>
  <c r="P37" i="3" s="1"/>
  <c r="L38" i="3"/>
  <c r="P38" i="3"/>
  <c r="L39" i="3"/>
  <c r="P39" i="3" s="1"/>
  <c r="L40" i="3"/>
  <c r="P40" i="3" s="1"/>
  <c r="L41" i="3"/>
  <c r="P41" i="3" s="1"/>
  <c r="L42" i="3"/>
  <c r="P42" i="3" s="1"/>
  <c r="L43" i="3"/>
  <c r="P43" i="3" s="1"/>
  <c r="L44" i="3"/>
  <c r="P44" i="3" s="1"/>
  <c r="L45" i="3"/>
  <c r="P45" i="3" s="1"/>
  <c r="L46" i="3"/>
  <c r="P46" i="3" s="1"/>
  <c r="L47" i="3"/>
  <c r="P47" i="3" s="1"/>
  <c r="L48" i="3"/>
  <c r="L49" i="3"/>
  <c r="P49" i="3" s="1"/>
  <c r="L50" i="3"/>
  <c r="P50" i="3" s="1"/>
  <c r="L51" i="3"/>
  <c r="P51" i="3" s="1"/>
  <c r="L52" i="3"/>
  <c r="P52" i="3" s="1"/>
  <c r="L53" i="3"/>
  <c r="P53" i="3" s="1"/>
  <c r="L54" i="3"/>
  <c r="P54" i="3" s="1"/>
  <c r="L55" i="3"/>
  <c r="P55" i="3" s="1"/>
  <c r="L56" i="3"/>
  <c r="P56" i="3" s="1"/>
  <c r="L57" i="3"/>
  <c r="P57" i="3" s="1"/>
  <c r="L58" i="3"/>
  <c r="P58" i="3" s="1"/>
  <c r="L59" i="3"/>
  <c r="P59" i="3"/>
  <c r="L60" i="3"/>
  <c r="P60" i="3" s="1"/>
  <c r="L61" i="3"/>
  <c r="P61" i="3" s="1"/>
  <c r="L62" i="3"/>
  <c r="L63" i="3"/>
  <c r="L64" i="3"/>
  <c r="P64" i="3" s="1"/>
  <c r="L65" i="3"/>
  <c r="P65" i="3" s="1"/>
  <c r="L66" i="3"/>
  <c r="P66" i="3" s="1"/>
  <c r="L67" i="3"/>
  <c r="P67" i="3" s="1"/>
  <c r="L68" i="3"/>
  <c r="P68" i="3" s="1"/>
  <c r="L69" i="3"/>
  <c r="P69" i="3" s="1"/>
  <c r="L70" i="3"/>
  <c r="P70" i="3" s="1"/>
  <c r="L71" i="3"/>
  <c r="L72" i="3"/>
  <c r="L85" i="3"/>
  <c r="P85" i="3"/>
  <c r="L74" i="3"/>
  <c r="P74" i="3" s="1"/>
  <c r="L75" i="3"/>
  <c r="P75" i="3" s="1"/>
  <c r="L76" i="3"/>
  <c r="P76" i="3" s="1"/>
  <c r="L77" i="3"/>
  <c r="P77" i="3" s="1"/>
  <c r="L78" i="3"/>
  <c r="P78" i="3" s="1"/>
  <c r="L79" i="3"/>
  <c r="P79" i="3" s="1"/>
  <c r="L80" i="3"/>
  <c r="P80" i="3" s="1"/>
  <c r="L81" i="3"/>
  <c r="P81" i="3" s="1"/>
  <c r="L82" i="3"/>
  <c r="P82" i="3" s="1"/>
  <c r="L83" i="3"/>
  <c r="P83" i="3" s="1"/>
  <c r="L84" i="3"/>
  <c r="P84" i="3" s="1"/>
  <c r="L86" i="3"/>
  <c r="L87" i="3"/>
  <c r="L162" i="3"/>
  <c r="P162" i="3" s="1"/>
  <c r="L163" i="3"/>
  <c r="P163" i="3"/>
  <c r="L164" i="3"/>
  <c r="P164" i="3" s="1"/>
  <c r="L165" i="3"/>
  <c r="P165" i="3"/>
  <c r="L166" i="3"/>
  <c r="P166" i="3" s="1"/>
  <c r="L167" i="3"/>
  <c r="P167" i="3" s="1"/>
  <c r="L168" i="3"/>
  <c r="P168" i="3" s="1"/>
  <c r="L169" i="3"/>
  <c r="P169" i="3" s="1"/>
  <c r="L170" i="3"/>
  <c r="P170" i="3" s="1"/>
  <c r="L171" i="3"/>
  <c r="P171" i="3" s="1"/>
  <c r="L172" i="3"/>
  <c r="P172" i="3" s="1"/>
  <c r="L173" i="3"/>
  <c r="P173" i="3" s="1"/>
  <c r="L174" i="3"/>
  <c r="P174" i="3" s="1"/>
  <c r="L175" i="3"/>
  <c r="P175" i="3" s="1"/>
  <c r="L176" i="3"/>
  <c r="P176" i="3" s="1"/>
  <c r="L177" i="3"/>
  <c r="P177" i="3" s="1"/>
  <c r="L178" i="3"/>
  <c r="P178" i="3"/>
  <c r="L179" i="3"/>
  <c r="P179" i="3" s="1"/>
  <c r="L180" i="3"/>
  <c r="P180" i="3" s="1"/>
  <c r="L181" i="3"/>
  <c r="P181" i="3" s="1"/>
  <c r="L182" i="3"/>
  <c r="P182" i="3" s="1"/>
  <c r="L4" i="3"/>
  <c r="P4" i="3" s="1"/>
  <c r="L185" i="3"/>
  <c r="P185" i="3" s="1"/>
  <c r="L5" i="3"/>
  <c r="P5" i="3" s="1"/>
  <c r="L89" i="3"/>
  <c r="P89" i="3"/>
  <c r="L186" i="3"/>
  <c r="P186" i="3" s="1"/>
  <c r="L187" i="3"/>
  <c r="L188" i="3"/>
  <c r="P188" i="3" s="1"/>
  <c r="L189" i="3"/>
  <c r="P189" i="3" s="1"/>
  <c r="L190" i="3"/>
  <c r="P190" i="3"/>
  <c r="L191" i="3"/>
  <c r="P191" i="3" s="1"/>
  <c r="L192" i="3"/>
  <c r="L193" i="3"/>
  <c r="P193" i="3" s="1"/>
  <c r="L194" i="3"/>
  <c r="P194" i="3" s="1"/>
  <c r="L195" i="3"/>
  <c r="P195" i="3" s="1"/>
  <c r="L196" i="3"/>
  <c r="P196" i="3" s="1"/>
  <c r="L197" i="3"/>
  <c r="L198" i="3"/>
  <c r="P198" i="3"/>
  <c r="L199" i="3"/>
  <c r="P199" i="3"/>
  <c r="L200" i="3"/>
  <c r="P200" i="3" s="1"/>
  <c r="L201" i="3"/>
  <c r="P201" i="3" s="1"/>
  <c r="L202" i="3"/>
  <c r="P202" i="3" s="1"/>
  <c r="L203" i="3"/>
  <c r="P203" i="3"/>
  <c r="L204" i="3"/>
  <c r="P204" i="3" s="1"/>
  <c r="L205" i="3"/>
  <c r="P205" i="3"/>
  <c r="L206" i="3"/>
  <c r="P206" i="3" s="1"/>
  <c r="L207" i="3"/>
  <c r="P207" i="3"/>
  <c r="L208" i="3"/>
  <c r="P208" i="3" s="1"/>
  <c r="L209" i="3"/>
  <c r="P209" i="3" s="1"/>
  <c r="L210" i="3"/>
  <c r="P210" i="3" s="1"/>
  <c r="L211" i="3"/>
  <c r="L212" i="3"/>
  <c r="P212" i="3" s="1"/>
  <c r="L213" i="3"/>
  <c r="P213" i="3" s="1"/>
  <c r="L214" i="3"/>
  <c r="P214" i="3"/>
  <c r="L103" i="3"/>
  <c r="P103" i="3" s="1"/>
  <c r="L101" i="3"/>
  <c r="P101" i="3" s="1"/>
  <c r="L159" i="3"/>
  <c r="L158" i="3"/>
  <c r="P158" i="3" s="1"/>
  <c r="L157" i="3"/>
  <c r="P157" i="3" s="1"/>
  <c r="L156" i="3"/>
  <c r="P156" i="3" s="1"/>
  <c r="L155" i="3"/>
  <c r="P155" i="3" s="1"/>
  <c r="L154" i="3"/>
  <c r="P154" i="3" s="1"/>
  <c r="L153" i="3"/>
  <c r="P153" i="3" s="1"/>
  <c r="L152" i="3"/>
  <c r="P152" i="3" s="1"/>
  <c r="L151" i="3"/>
  <c r="P151" i="3" s="1"/>
  <c r="L150" i="3"/>
  <c r="P150" i="3"/>
  <c r="L149" i="3"/>
  <c r="P149" i="3" s="1"/>
  <c r="L148" i="3"/>
  <c r="P148" i="3" s="1"/>
  <c r="L147" i="3"/>
  <c r="P147" i="3" s="1"/>
  <c r="L146" i="3"/>
  <c r="P146" i="3" s="1"/>
  <c r="L145" i="3"/>
  <c r="P145" i="3" s="1"/>
  <c r="L144" i="3"/>
  <c r="P144" i="3"/>
  <c r="L143" i="3"/>
  <c r="P143" i="3" s="1"/>
  <c r="L142" i="3"/>
  <c r="P142" i="3" s="1"/>
  <c r="L141" i="3"/>
  <c r="P141" i="3"/>
  <c r="L140" i="3"/>
  <c r="P140" i="3" s="1"/>
  <c r="L139" i="3"/>
  <c r="P139" i="3" s="1"/>
  <c r="L138" i="3"/>
  <c r="P138" i="3" s="1"/>
  <c r="L137" i="3"/>
  <c r="P137" i="3" s="1"/>
  <c r="L136" i="3"/>
  <c r="P136" i="3"/>
  <c r="L135" i="3"/>
  <c r="P135" i="3" s="1"/>
  <c r="L134" i="3"/>
  <c r="P134" i="3" s="1"/>
  <c r="L133" i="3"/>
  <c r="P133" i="3" s="1"/>
  <c r="L132" i="3"/>
  <c r="P132" i="3" s="1"/>
  <c r="L131" i="3"/>
  <c r="P131" i="3" s="1"/>
  <c r="L130" i="3"/>
  <c r="P130" i="3" s="1"/>
  <c r="L129" i="3"/>
  <c r="P129" i="3"/>
  <c r="L128" i="3"/>
  <c r="P128" i="3" s="1"/>
  <c r="L127" i="3"/>
  <c r="P127" i="3" s="1"/>
  <c r="L126" i="3"/>
  <c r="P126" i="3" s="1"/>
  <c r="L125" i="3"/>
  <c r="P125" i="3" s="1"/>
  <c r="L124" i="3"/>
  <c r="P124" i="3" s="1"/>
  <c r="L123" i="3"/>
  <c r="P123" i="3" s="1"/>
  <c r="L122" i="3"/>
  <c r="P122" i="3" s="1"/>
  <c r="L121" i="3"/>
  <c r="P121" i="3" s="1"/>
  <c r="L120" i="3"/>
  <c r="P120" i="3" s="1"/>
  <c r="L119" i="3"/>
  <c r="P119" i="3" s="1"/>
  <c r="L118" i="3"/>
  <c r="P118" i="3" s="1"/>
  <c r="L117" i="3"/>
  <c r="P117" i="3" s="1"/>
  <c r="L116" i="3"/>
  <c r="L115" i="3"/>
  <c r="P115" i="3" s="1"/>
  <c r="L114" i="3"/>
  <c r="P114" i="3" s="1"/>
  <c r="L113" i="3"/>
  <c r="P113" i="3" s="1"/>
  <c r="L112" i="3"/>
  <c r="L111" i="3"/>
  <c r="P111" i="3" s="1"/>
  <c r="L110" i="3"/>
  <c r="P110" i="3" s="1"/>
  <c r="L109" i="3"/>
  <c r="P109" i="3" s="1"/>
  <c r="L108" i="3"/>
  <c r="P108" i="3" s="1"/>
  <c r="L107" i="3"/>
  <c r="P107" i="3"/>
  <c r="L106" i="3"/>
  <c r="P106" i="3" s="1"/>
  <c r="L105" i="3"/>
  <c r="P105" i="3" s="1"/>
  <c r="L104" i="3"/>
  <c r="P104" i="3" s="1"/>
  <c r="L161" i="3"/>
  <c r="P161" i="3" s="1"/>
  <c r="L100" i="3"/>
  <c r="P100" i="3" s="1"/>
  <c r="L90" i="3"/>
  <c r="P90" i="3" s="1"/>
  <c r="L91" i="3"/>
  <c r="P91" i="3" s="1"/>
  <c r="L92" i="3"/>
  <c r="P92" i="3" s="1"/>
  <c r="L93" i="3"/>
  <c r="P93" i="3" s="1"/>
  <c r="L94" i="3"/>
  <c r="P94" i="3" s="1"/>
  <c r="L95" i="3"/>
  <c r="L96" i="3"/>
  <c r="P96" i="3" s="1"/>
  <c r="L97" i="3"/>
  <c r="P97" i="3" s="1"/>
  <c r="L98" i="3"/>
  <c r="L99" i="3"/>
  <c r="L102" i="3"/>
  <c r="P102" i="3" s="1"/>
  <c r="L160" i="3"/>
  <c r="P160" i="3" s="1"/>
  <c r="L88" i="3"/>
  <c r="P88" i="3" s="1"/>
  <c r="Q49" i="3" l="1"/>
  <c r="N49" i="3"/>
  <c r="M49" i="3"/>
  <c r="Q50" i="3"/>
  <c r="M50" i="3"/>
  <c r="N50" i="3"/>
  <c r="Q51" i="3"/>
  <c r="M51" i="3"/>
  <c r="N51" i="3"/>
  <c r="Q52" i="3"/>
  <c r="M52" i="3"/>
  <c r="N52" i="3"/>
  <c r="Q53" i="3"/>
  <c r="M53" i="3"/>
  <c r="N53" i="3"/>
  <c r="Q54" i="3"/>
  <c r="N54" i="3"/>
  <c r="M54" i="3"/>
  <c r="Q55" i="3"/>
  <c r="N55" i="3"/>
  <c r="M55" i="3"/>
  <c r="Q56" i="3"/>
  <c r="M56" i="3"/>
  <c r="N56" i="3"/>
  <c r="Q57" i="3"/>
  <c r="M57" i="3"/>
  <c r="N57" i="3"/>
  <c r="Q58" i="3"/>
  <c r="M58" i="3"/>
  <c r="N58" i="3"/>
  <c r="Q59" i="3"/>
  <c r="M59" i="3"/>
  <c r="N59" i="3"/>
  <c r="Q60" i="3"/>
  <c r="M60" i="3"/>
  <c r="N60" i="3"/>
  <c r="Q61" i="3"/>
  <c r="M61" i="3"/>
  <c r="N61" i="3"/>
  <c r="M62" i="3"/>
  <c r="N62" i="3"/>
  <c r="P63" i="3"/>
  <c r="N63" i="3"/>
  <c r="P72" i="3"/>
  <c r="M72" i="3"/>
  <c r="Q62" i="3"/>
  <c r="P62" i="3"/>
  <c r="M159" i="3"/>
  <c r="P159" i="3"/>
  <c r="Q183" i="3"/>
  <c r="M183" i="3"/>
  <c r="N183" i="3"/>
  <c r="Q63" i="3"/>
  <c r="M63" i="3"/>
  <c r="Q64" i="3"/>
  <c r="M64" i="3"/>
  <c r="N64" i="3"/>
  <c r="Q65" i="3"/>
  <c r="M65" i="3"/>
  <c r="N65" i="3"/>
  <c r="Q66" i="3"/>
  <c r="M66" i="3"/>
  <c r="N66" i="3"/>
  <c r="Q67" i="3"/>
  <c r="M67" i="3"/>
  <c r="N67" i="3"/>
  <c r="Q68" i="3"/>
  <c r="M68" i="3"/>
  <c r="N68" i="3"/>
  <c r="Q69" i="3"/>
  <c r="M69" i="3"/>
  <c r="N69" i="3"/>
  <c r="Q70" i="3"/>
  <c r="N70" i="3"/>
  <c r="M70" i="3"/>
  <c r="Q71" i="3"/>
  <c r="P71" i="3"/>
  <c r="M71" i="3"/>
  <c r="N71" i="3"/>
  <c r="Q184" i="3"/>
  <c r="M184" i="3"/>
  <c r="N184" i="3"/>
  <c r="Q3" i="3"/>
  <c r="M3" i="3"/>
  <c r="N3" i="3"/>
  <c r="Q73" i="3"/>
  <c r="M73" i="3"/>
  <c r="N73" i="3"/>
  <c r="Q6" i="3"/>
  <c r="M6" i="3"/>
  <c r="N6" i="3"/>
  <c r="Q7" i="3"/>
  <c r="M7" i="3"/>
  <c r="N7" i="3"/>
  <c r="Q8" i="3"/>
  <c r="M8" i="3"/>
  <c r="N8" i="3"/>
  <c r="Q9" i="3"/>
  <c r="M9" i="3"/>
  <c r="N9" i="3"/>
  <c r="Q10" i="3"/>
  <c r="N10" i="3"/>
  <c r="M10" i="3"/>
  <c r="Q11" i="3"/>
  <c r="N11" i="3"/>
  <c r="M11" i="3"/>
  <c r="Q12" i="3"/>
  <c r="N12" i="3"/>
  <c r="M12" i="3"/>
  <c r="Q13" i="3"/>
  <c r="N13" i="3"/>
  <c r="M13" i="3"/>
  <c r="Q14" i="3"/>
  <c r="M14" i="3"/>
  <c r="N14" i="3"/>
  <c r="Q15" i="3"/>
  <c r="M15" i="3"/>
  <c r="N15" i="3"/>
  <c r="Q16" i="3"/>
  <c r="N16" i="3"/>
  <c r="M16" i="3"/>
  <c r="Q17" i="3"/>
  <c r="M17" i="3"/>
  <c r="N17" i="3"/>
  <c r="Q18" i="3"/>
  <c r="M18" i="3"/>
  <c r="N18" i="3"/>
  <c r="Q19" i="3"/>
  <c r="N19" i="3"/>
  <c r="M19" i="3"/>
  <c r="Q20" i="3"/>
  <c r="M20" i="3"/>
  <c r="N20" i="3"/>
  <c r="Q21" i="3"/>
  <c r="M21" i="3"/>
  <c r="N21" i="3"/>
  <c r="Q22" i="3"/>
  <c r="N22" i="3"/>
  <c r="M22" i="3"/>
  <c r="Q23" i="3"/>
  <c r="M23" i="3"/>
  <c r="N23" i="3"/>
  <c r="Q24" i="3"/>
  <c r="M24" i="3"/>
  <c r="N24" i="3"/>
  <c r="Q25" i="3"/>
  <c r="P25" i="3"/>
  <c r="M25" i="3"/>
  <c r="N25" i="3"/>
  <c r="Q26" i="3"/>
  <c r="M26" i="3"/>
  <c r="N26" i="3"/>
  <c r="Q27" i="3"/>
  <c r="M27" i="3"/>
  <c r="N27" i="3"/>
  <c r="Q28" i="3"/>
  <c r="M28" i="3"/>
  <c r="N28" i="3"/>
  <c r="Q29" i="3"/>
  <c r="M29" i="3"/>
  <c r="N29" i="3"/>
  <c r="Q30" i="3"/>
  <c r="M30" i="3"/>
  <c r="N30" i="3"/>
  <c r="Q31" i="3"/>
  <c r="M31" i="3"/>
  <c r="N31" i="3"/>
  <c r="Q32" i="3"/>
  <c r="M32" i="3"/>
  <c r="N32" i="3"/>
  <c r="Q33" i="3"/>
  <c r="M33" i="3"/>
  <c r="N33" i="3"/>
  <c r="Q34" i="3"/>
  <c r="N34" i="3"/>
  <c r="M34" i="3"/>
  <c r="Q35" i="3"/>
  <c r="N35" i="3"/>
  <c r="M35" i="3"/>
  <c r="Q36" i="3"/>
  <c r="N36" i="3"/>
  <c r="M36" i="3"/>
  <c r="Q37" i="3"/>
  <c r="M37" i="3"/>
  <c r="N37" i="3"/>
  <c r="Q38" i="3"/>
  <c r="N38" i="3"/>
  <c r="M38" i="3"/>
  <c r="Q39" i="3"/>
  <c r="M39" i="3"/>
  <c r="N39" i="3"/>
  <c r="Q40" i="3"/>
  <c r="N40" i="3"/>
  <c r="M40" i="3"/>
  <c r="Q41" i="3"/>
  <c r="N41" i="3"/>
  <c r="M41" i="3"/>
  <c r="Q42" i="3"/>
  <c r="N42" i="3"/>
  <c r="M42" i="3"/>
  <c r="Q43" i="3"/>
  <c r="M43" i="3"/>
  <c r="N43" i="3"/>
  <c r="Q44" i="3"/>
  <c r="N44" i="3"/>
  <c r="M44" i="3"/>
  <c r="Q45" i="3"/>
  <c r="N45" i="3"/>
  <c r="M45" i="3"/>
  <c r="Q46" i="3"/>
  <c r="M46" i="3"/>
  <c r="N46" i="3"/>
  <c r="Q47" i="3"/>
  <c r="N47" i="3"/>
  <c r="M47" i="3"/>
  <c r="Q48" i="3"/>
  <c r="M48" i="3"/>
  <c r="P48" i="3"/>
  <c r="N48" i="3"/>
  <c r="Q159" i="3"/>
  <c r="N159" i="3"/>
  <c r="Q158" i="3"/>
  <c r="N158" i="3"/>
  <c r="M158" i="3"/>
  <c r="Q157" i="3"/>
  <c r="N157" i="3"/>
  <c r="M157" i="3"/>
  <c r="Q156" i="3"/>
  <c r="M156" i="3"/>
  <c r="N156" i="3"/>
  <c r="Q155" i="3"/>
  <c r="M155" i="3"/>
  <c r="N155" i="3"/>
  <c r="Q154" i="3"/>
  <c r="M154" i="3"/>
  <c r="N154" i="3"/>
  <c r="Q153" i="3"/>
  <c r="M153" i="3"/>
  <c r="N153" i="3"/>
  <c r="Q152" i="3"/>
  <c r="M152" i="3"/>
  <c r="N152" i="3"/>
  <c r="Q151" i="3"/>
  <c r="M151" i="3"/>
  <c r="N151" i="3"/>
  <c r="Q150" i="3"/>
  <c r="M150" i="3"/>
  <c r="N150" i="3"/>
  <c r="Q149" i="3"/>
  <c r="M149" i="3"/>
  <c r="N149" i="3"/>
  <c r="Q148" i="3"/>
  <c r="M148" i="3"/>
  <c r="N148" i="3"/>
  <c r="Q147" i="3"/>
  <c r="M147" i="3"/>
  <c r="N147" i="3"/>
  <c r="Q146" i="3"/>
  <c r="N146" i="3"/>
  <c r="M146" i="3"/>
  <c r="Q145" i="3"/>
  <c r="N145" i="3"/>
  <c r="M145" i="3"/>
  <c r="Q144" i="3"/>
  <c r="N144" i="3"/>
  <c r="M144" i="3"/>
  <c r="Q143" i="3"/>
  <c r="N143" i="3"/>
  <c r="M143" i="3"/>
  <c r="Q142" i="3"/>
  <c r="M142" i="3"/>
  <c r="N142" i="3"/>
  <c r="Q141" i="3"/>
  <c r="M141" i="3"/>
  <c r="N141" i="3"/>
  <c r="Q140" i="3"/>
  <c r="M140" i="3"/>
  <c r="N140" i="3"/>
  <c r="Q139" i="3"/>
  <c r="M139" i="3"/>
  <c r="N139" i="3"/>
  <c r="Q138" i="3"/>
  <c r="N138" i="3"/>
  <c r="M138" i="3"/>
  <c r="Q137" i="3"/>
  <c r="M137" i="3"/>
  <c r="N137" i="3"/>
  <c r="Q136" i="3"/>
  <c r="M136" i="3"/>
  <c r="N136" i="3"/>
  <c r="Q135" i="3"/>
  <c r="M135" i="3"/>
  <c r="N135" i="3"/>
  <c r="Q134" i="3"/>
  <c r="M134" i="3"/>
  <c r="N134" i="3"/>
  <c r="Q133" i="3"/>
  <c r="N133" i="3"/>
  <c r="M133" i="3"/>
  <c r="Q132" i="3"/>
  <c r="M132" i="3"/>
  <c r="N132" i="3"/>
  <c r="Q131" i="3"/>
  <c r="M131" i="3"/>
  <c r="N131" i="3"/>
  <c r="Q130" i="3"/>
  <c r="M130" i="3"/>
  <c r="N130" i="3"/>
  <c r="Q129" i="3"/>
  <c r="M129" i="3"/>
  <c r="N129" i="3"/>
  <c r="Q128" i="3"/>
  <c r="M128" i="3"/>
  <c r="N128" i="3"/>
  <c r="Q127" i="3"/>
  <c r="M127" i="3"/>
  <c r="N127" i="3"/>
  <c r="Q126" i="3"/>
  <c r="M126" i="3"/>
  <c r="N126" i="3"/>
  <c r="Q125" i="3"/>
  <c r="M125" i="3"/>
  <c r="N125" i="3"/>
  <c r="Q124" i="3"/>
  <c r="M124" i="3"/>
  <c r="N124" i="3"/>
  <c r="Q123" i="3"/>
  <c r="M123" i="3"/>
  <c r="N123" i="3"/>
  <c r="Q122" i="3"/>
  <c r="M122" i="3"/>
  <c r="N122" i="3"/>
  <c r="Q121" i="3"/>
  <c r="M121" i="3"/>
  <c r="N121" i="3"/>
  <c r="Q120" i="3"/>
  <c r="M120" i="3"/>
  <c r="N120" i="3"/>
  <c r="Q119" i="3"/>
  <c r="M119" i="3"/>
  <c r="N119" i="3"/>
  <c r="Q118" i="3"/>
  <c r="M118" i="3"/>
  <c r="N118" i="3"/>
  <c r="Q117" i="3"/>
  <c r="M117" i="3"/>
  <c r="N117" i="3"/>
  <c r="Q116" i="3"/>
  <c r="M116" i="3"/>
  <c r="N116" i="3"/>
  <c r="P116" i="3"/>
  <c r="Q115" i="3"/>
  <c r="M115" i="3"/>
  <c r="N115" i="3"/>
  <c r="Q114" i="3"/>
  <c r="N114" i="3"/>
  <c r="M114" i="3"/>
  <c r="Q113" i="3"/>
  <c r="M113" i="3"/>
  <c r="N113" i="3"/>
  <c r="Q112" i="3"/>
  <c r="N112" i="3"/>
  <c r="M112" i="3"/>
  <c r="P112" i="3"/>
  <c r="Q111" i="3"/>
  <c r="N111" i="3"/>
  <c r="M111" i="3"/>
  <c r="Q110" i="3"/>
  <c r="N110" i="3"/>
  <c r="M110" i="3"/>
  <c r="Q109" i="3"/>
  <c r="M109" i="3"/>
  <c r="N109" i="3"/>
  <c r="Q108" i="3"/>
  <c r="M108" i="3"/>
  <c r="N108" i="3"/>
  <c r="Q107" i="3"/>
  <c r="M107" i="3"/>
  <c r="N107" i="3"/>
  <c r="Q106" i="3"/>
  <c r="M106" i="3"/>
  <c r="N106" i="3"/>
  <c r="Q105" i="3"/>
  <c r="N105" i="3"/>
  <c r="M105" i="3"/>
  <c r="Q104" i="3"/>
  <c r="N104" i="3"/>
  <c r="M104" i="3"/>
  <c r="Q161" i="3"/>
  <c r="M161" i="3"/>
  <c r="N161" i="3"/>
  <c r="Q100" i="3"/>
  <c r="M100" i="3"/>
  <c r="N100" i="3"/>
  <c r="Q90" i="3"/>
  <c r="M90" i="3"/>
  <c r="N90" i="3"/>
  <c r="Q91" i="3"/>
  <c r="M91" i="3"/>
  <c r="N91" i="3"/>
  <c r="Q92" i="3"/>
  <c r="N92" i="3"/>
  <c r="M92" i="3"/>
  <c r="Q93" i="3"/>
  <c r="M93" i="3"/>
  <c r="N93" i="3"/>
  <c r="Q94" i="3"/>
  <c r="M94" i="3"/>
  <c r="N94" i="3"/>
  <c r="Q95" i="3"/>
  <c r="M95" i="3"/>
  <c r="N95" i="3"/>
  <c r="P95" i="3"/>
  <c r="Q96" i="3"/>
  <c r="M96" i="3"/>
  <c r="N96" i="3"/>
  <c r="Q97" i="3"/>
  <c r="M97" i="3"/>
  <c r="N97" i="3"/>
  <c r="Q98" i="3"/>
  <c r="N98" i="3"/>
  <c r="M98" i="3"/>
  <c r="P98" i="3"/>
  <c r="Q99" i="3"/>
  <c r="P99" i="3"/>
  <c r="N99" i="3"/>
  <c r="M99" i="3"/>
  <c r="Q102" i="3"/>
  <c r="N102" i="3"/>
  <c r="M102" i="3"/>
  <c r="Q160" i="3"/>
  <c r="N160" i="3"/>
  <c r="M160" i="3"/>
  <c r="Q88" i="3"/>
  <c r="N88" i="3"/>
  <c r="M88" i="3"/>
  <c r="Q72" i="3"/>
  <c r="N72" i="3"/>
  <c r="Q85" i="3"/>
  <c r="N85" i="3"/>
  <c r="M85" i="3"/>
  <c r="Q74" i="3"/>
  <c r="N74" i="3"/>
  <c r="M74" i="3"/>
  <c r="N75" i="3"/>
  <c r="M75" i="3"/>
  <c r="Q75" i="3"/>
  <c r="Q76" i="3"/>
  <c r="N76" i="3"/>
  <c r="M76" i="3"/>
  <c r="Q77" i="3"/>
  <c r="N77" i="3"/>
  <c r="M77" i="3"/>
  <c r="Q78" i="3"/>
  <c r="N78" i="3"/>
  <c r="M78" i="3"/>
  <c r="Q79" i="3"/>
  <c r="N79" i="3"/>
  <c r="M79" i="3"/>
  <c r="Q80" i="3"/>
  <c r="N80" i="3"/>
  <c r="M80" i="3"/>
  <c r="N81" i="3"/>
  <c r="M81" i="3"/>
  <c r="Q81" i="3"/>
  <c r="Q82" i="3"/>
  <c r="N82" i="3"/>
  <c r="M82" i="3"/>
  <c r="Q83" i="3"/>
  <c r="M83" i="3"/>
  <c r="N83" i="3"/>
  <c r="M84" i="3"/>
  <c r="N84" i="3"/>
  <c r="Q84" i="3"/>
  <c r="P86" i="3"/>
  <c r="Q86" i="3"/>
  <c r="M86" i="3"/>
  <c r="N86" i="3"/>
  <c r="P87" i="3"/>
  <c r="Q87" i="3"/>
  <c r="M87" i="3"/>
  <c r="N87" i="3"/>
  <c r="Q162" i="3"/>
  <c r="M162" i="3"/>
  <c r="N162" i="3"/>
  <c r="Q163" i="3"/>
  <c r="M163" i="3"/>
  <c r="N163" i="3"/>
  <c r="Q164" i="3"/>
  <c r="M164" i="3"/>
  <c r="N164" i="3"/>
  <c r="Q165" i="3"/>
  <c r="M165" i="3"/>
  <c r="N165" i="3"/>
  <c r="M166" i="3"/>
  <c r="N166" i="3"/>
  <c r="Q166" i="3"/>
  <c r="Q167" i="3"/>
  <c r="M167" i="3"/>
  <c r="N167" i="3"/>
  <c r="Q168" i="3"/>
  <c r="M168" i="3"/>
  <c r="N168" i="3"/>
  <c r="Q169" i="3"/>
  <c r="M169" i="3"/>
  <c r="N169" i="3"/>
  <c r="Q170" i="3"/>
  <c r="M170" i="3"/>
  <c r="N170" i="3"/>
  <c r="N171" i="3"/>
  <c r="Q171" i="3"/>
  <c r="M171" i="3"/>
  <c r="N172" i="3"/>
  <c r="Q172" i="3"/>
  <c r="M172" i="3"/>
  <c r="N173" i="3"/>
  <c r="M173" i="3"/>
  <c r="Q173" i="3"/>
  <c r="N174" i="3"/>
  <c r="M174" i="3"/>
  <c r="Q174" i="3"/>
  <c r="N175" i="3"/>
  <c r="Q175" i="3"/>
  <c r="M175" i="3"/>
  <c r="N176" i="3"/>
  <c r="Q176" i="3"/>
  <c r="M176" i="3"/>
  <c r="Q177" i="3"/>
  <c r="M177" i="3"/>
  <c r="N177" i="3"/>
  <c r="N178" i="3"/>
  <c r="Q178" i="3"/>
  <c r="M178" i="3"/>
  <c r="N179" i="3"/>
  <c r="Q179" i="3"/>
  <c r="M179" i="3"/>
  <c r="Q180" i="3"/>
  <c r="M180" i="3"/>
  <c r="N180" i="3"/>
  <c r="Q181" i="3"/>
  <c r="M181" i="3"/>
  <c r="N181" i="3"/>
  <c r="N182" i="3"/>
  <c r="M182" i="3"/>
  <c r="Q182" i="3"/>
  <c r="N4" i="3"/>
  <c r="M4" i="3"/>
  <c r="Q4" i="3"/>
  <c r="N185" i="3"/>
  <c r="M185" i="3"/>
  <c r="Q185" i="3"/>
  <c r="N5" i="3"/>
  <c r="M5" i="3"/>
  <c r="Q5" i="3"/>
  <c r="M89" i="3"/>
  <c r="N89" i="3"/>
  <c r="Q89" i="3"/>
  <c r="Q186" i="3"/>
  <c r="M186" i="3"/>
  <c r="N186" i="3"/>
  <c r="M187" i="3"/>
  <c r="P187" i="3"/>
  <c r="Q187" i="3"/>
  <c r="N187" i="3"/>
  <c r="Q188" i="3"/>
  <c r="M188" i="3"/>
  <c r="N188" i="3"/>
  <c r="Q189" i="3"/>
  <c r="N189" i="3"/>
  <c r="M189" i="3"/>
  <c r="M190" i="3"/>
  <c r="N190" i="3"/>
  <c r="Q190" i="3"/>
  <c r="M191" i="3"/>
  <c r="N191" i="3"/>
  <c r="Q191" i="3"/>
  <c r="P192" i="3"/>
  <c r="M192" i="3"/>
  <c r="Q192" i="3"/>
  <c r="N192" i="3"/>
  <c r="Q193" i="3"/>
  <c r="M193" i="3"/>
  <c r="N193" i="3"/>
  <c r="N194" i="3"/>
  <c r="Q194" i="3"/>
  <c r="M194" i="3"/>
  <c r="N195" i="3"/>
  <c r="M195" i="3"/>
  <c r="Q195" i="3"/>
  <c r="M196" i="3"/>
  <c r="N196" i="3"/>
  <c r="Q196" i="3"/>
  <c r="P197" i="3"/>
  <c r="M197" i="3"/>
  <c r="N197" i="3"/>
  <c r="Q197" i="3"/>
  <c r="Q198" i="3"/>
  <c r="N198" i="3"/>
  <c r="M198" i="3"/>
  <c r="N199" i="3"/>
  <c r="M199" i="3"/>
  <c r="Q199" i="3"/>
  <c r="M200" i="3"/>
  <c r="N200" i="3"/>
  <c r="Q200" i="3"/>
  <c r="M201" i="3"/>
  <c r="Q201" i="3"/>
  <c r="N201" i="3"/>
  <c r="Q202" i="3"/>
  <c r="M202" i="3"/>
  <c r="N202" i="3"/>
  <c r="Q203" i="3"/>
  <c r="M203" i="3"/>
  <c r="N203" i="3"/>
  <c r="N204" i="3"/>
  <c r="Q204" i="3"/>
  <c r="M204" i="3"/>
  <c r="N205" i="3"/>
  <c r="M205" i="3"/>
  <c r="Q205" i="3"/>
  <c r="Q206" i="3"/>
  <c r="N206" i="3"/>
  <c r="M206" i="3"/>
  <c r="Q207" i="3"/>
  <c r="N207" i="3"/>
  <c r="M207" i="3"/>
  <c r="Q208" i="3"/>
  <c r="N208" i="3"/>
  <c r="M208" i="3"/>
  <c r="Q209" i="3"/>
  <c r="N209" i="3"/>
  <c r="M209" i="3"/>
  <c r="Q210" i="3"/>
  <c r="M210" i="3"/>
  <c r="N210" i="3"/>
  <c r="P211" i="3"/>
  <c r="M211" i="3"/>
  <c r="N211" i="3"/>
  <c r="Q211" i="3"/>
  <c r="M212" i="3"/>
  <c r="Q212" i="3"/>
  <c r="N212" i="3"/>
  <c r="N213" i="3"/>
  <c r="Q213" i="3"/>
  <c r="M213" i="3"/>
  <c r="M214" i="3"/>
  <c r="N214" i="3"/>
  <c r="Q214" i="3"/>
  <c r="M103" i="3"/>
  <c r="N103" i="3"/>
  <c r="Q103" i="3"/>
  <c r="N101" i="3"/>
  <c r="M101" i="3"/>
  <c r="Q101" i="3"/>
</calcChain>
</file>

<file path=xl/sharedStrings.xml><?xml version="1.0" encoding="utf-8"?>
<sst xmlns="http://schemas.openxmlformats.org/spreadsheetml/2006/main" count="28" uniqueCount="18">
  <si>
    <t>Date</t>
  </si>
  <si>
    <t>query1</t>
  </si>
  <si>
    <t>Query Number</t>
  </si>
  <si>
    <t>Query Paramaters</t>
  </si>
  <si>
    <t>offense : violent-crime</t>
  </si>
  <si>
    <t>stateAbbr : TX</t>
  </si>
  <si>
    <t>ori : TX0940200</t>
  </si>
  <si>
    <t>dataRange : 01-2010-01-2026</t>
  </si>
  <si>
    <t>offense : property-crime</t>
  </si>
  <si>
    <t>LastCell</t>
  </si>
  <si>
    <t>Range</t>
  </si>
  <si>
    <t>UCL</t>
  </si>
  <si>
    <t xml:space="preserve"> +2 Sigma</t>
  </si>
  <si>
    <t xml:space="preserve"> +1 Sigma</t>
  </si>
  <si>
    <t>Average</t>
  </si>
  <si>
    <t xml:space="preserve"> -1 Sigma</t>
  </si>
  <si>
    <t xml:space="preserve"> -2 Sigma</t>
  </si>
  <si>
    <t>LCL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</si>
</sst>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7" fontId="0" fillId="0" borderId="0" xfId="0" applyNumberFormat="1"/>
    <xf numFmtId="164" fontId="0" fillId="0" borderId="0" xfId="0" applyNumberFormat="1"/>
    <xf numFmtId="17" fontId="0" fillId="33" borderId="0" xfId="0" applyNumberFormat="1" applyFill="1"/>
    <xf numFmtId="164" fontId="0" fillId="33" borderId="0" xfId="0" applyNumberFormat="1" applyFill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>
                <a:solidFill>
                  <a:srgbClr val="000000"/>
                </a:solidFill>
                <a:latin typeface=" +mn-lt"/>
              </a:defRPr>
            </a:pPr>
            <a:r>
              <a:rPr lang="en-US" sz="2000" b="1" i="0">
                <a:solidFill>
                  <a:srgbClr val="000000"/>
                </a:solidFill>
                <a:latin typeface=" +mn-lt"/>
              </a:rPr>
              <a:t>schertz_violent_and_nonviolent_ query1 - mR Chart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'schertz_violent_and_non XmR '!$K$1</c:f>
              <c:strCache>
                <c:ptCount val="1"/>
                <c:pt idx="0">
                  <c:v>Range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  <a:effectLst/>
          </c:spPr>
          <c:marker>
            <c:symbol val="circle"/>
            <c:size val="5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dPt>
            <c:idx val="51"/>
            <c:marker>
              <c:symbol val="diamond"/>
              <c:size val="5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8F-BE13-8245-9994-4C830182B6FC}"/>
              </c:ext>
            </c:extLst>
          </c:dPt>
          <c:dPt>
            <c:idx val="52"/>
            <c:marker>
              <c:symbol val="diamond"/>
              <c:size val="5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90-BE13-8245-9994-4C830182B6FC}"/>
              </c:ext>
            </c:extLst>
          </c:dPt>
          <c:dPt>
            <c:idx val="53"/>
            <c:marker>
              <c:symbol val="diamond"/>
              <c:size val="5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91-BE13-8245-9994-4C830182B6FC}"/>
              </c:ext>
            </c:extLst>
          </c:dPt>
          <c:dPt>
            <c:idx val="54"/>
            <c:marker>
              <c:symbol val="diamond"/>
              <c:size val="5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92-BE13-8245-9994-4C830182B6FC}"/>
              </c:ext>
            </c:extLst>
          </c:dPt>
          <c:dPt>
            <c:idx val="55"/>
            <c:marker>
              <c:symbol val="diamond"/>
              <c:size val="5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93-BE13-8245-9994-4C830182B6FC}"/>
              </c:ext>
            </c:extLst>
          </c:dPt>
          <c:dPt>
            <c:idx val="76"/>
            <c:marker>
              <c:symbol val="diamond"/>
              <c:size val="5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94-BE13-8245-9994-4C830182B6FC}"/>
              </c:ext>
            </c:extLst>
          </c:dPt>
          <c:dPt>
            <c:idx val="77"/>
            <c:marker>
              <c:symbol val="diamond"/>
              <c:size val="5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95-BE13-8245-9994-4C830182B6FC}"/>
              </c:ext>
            </c:extLst>
          </c:dPt>
          <c:dPt>
            <c:idx val="78"/>
            <c:marker>
              <c:symbol val="diamond"/>
              <c:size val="5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96-BE13-8245-9994-4C830182B6FC}"/>
              </c:ext>
            </c:extLst>
          </c:dPt>
          <c:dPt>
            <c:idx val="79"/>
            <c:marker>
              <c:symbol val="diamond"/>
              <c:size val="5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97-BE13-8245-9994-4C830182B6FC}"/>
              </c:ext>
            </c:extLst>
          </c:dPt>
          <c:dPt>
            <c:idx val="80"/>
            <c:marker>
              <c:symbol val="diamond"/>
              <c:size val="5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98-BE13-8245-9994-4C830182B6FC}"/>
              </c:ext>
            </c:extLst>
          </c:dPt>
          <c:dPt>
            <c:idx val="81"/>
            <c:marker>
              <c:symbol val="diamond"/>
              <c:size val="5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99-BE13-8245-9994-4C830182B6FC}"/>
              </c:ext>
            </c:extLst>
          </c:dPt>
          <c:dPt>
            <c:idx val="82"/>
            <c:marker>
              <c:symbol val="diamond"/>
              <c:size val="5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9A-BE13-8245-9994-4C830182B6FC}"/>
              </c:ext>
            </c:extLst>
          </c:dPt>
          <c:dPt>
            <c:idx val="83"/>
            <c:marker>
              <c:symbol val="diamond"/>
              <c:size val="5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9B-BE13-8245-9994-4C830182B6FC}"/>
              </c:ext>
            </c:extLst>
          </c:dPt>
          <c:dPt>
            <c:idx val="84"/>
            <c:marker>
              <c:symbol val="diamond"/>
              <c:size val="5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9C-BE13-8245-9994-4C830182B6FC}"/>
              </c:ext>
            </c:extLst>
          </c:dPt>
          <c:dPt>
            <c:idx val="153"/>
            <c:marker>
              <c:symbol val="diamond"/>
              <c:size val="5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8D-BE13-8245-9994-4C830182B6FC}"/>
              </c:ext>
            </c:extLst>
          </c:dPt>
          <c:dPt>
            <c:idx val="169"/>
            <c:marker>
              <c:symbol val="diamond"/>
              <c:size val="5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8E-BE13-8245-9994-4C830182B6FC}"/>
              </c:ext>
            </c:extLst>
          </c:dPt>
          <c:cat>
            <c:numRef>
              <c:f>'schertz_violent_and_non XmR '!$A$2:$A$194</c:f>
              <c:numCache>
                <c:formatCode>mmm\-yy</c:formatCode>
                <c:ptCount val="193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  <c:pt idx="51">
                  <c:v>41730</c:v>
                </c:pt>
                <c:pt idx="52">
                  <c:v>41760</c:v>
                </c:pt>
                <c:pt idx="53">
                  <c:v>41791</c:v>
                </c:pt>
                <c:pt idx="54">
                  <c:v>41821</c:v>
                </c:pt>
                <c:pt idx="55">
                  <c:v>41852</c:v>
                </c:pt>
                <c:pt idx="56">
                  <c:v>41883</c:v>
                </c:pt>
                <c:pt idx="57">
                  <c:v>41913</c:v>
                </c:pt>
                <c:pt idx="58">
                  <c:v>41944</c:v>
                </c:pt>
                <c:pt idx="59">
                  <c:v>41974</c:v>
                </c:pt>
                <c:pt idx="60">
                  <c:v>42005</c:v>
                </c:pt>
                <c:pt idx="61">
                  <c:v>42036</c:v>
                </c:pt>
                <c:pt idx="62">
                  <c:v>42064</c:v>
                </c:pt>
                <c:pt idx="63">
                  <c:v>42095</c:v>
                </c:pt>
                <c:pt idx="64">
                  <c:v>42125</c:v>
                </c:pt>
                <c:pt idx="65">
                  <c:v>42156</c:v>
                </c:pt>
                <c:pt idx="66">
                  <c:v>42186</c:v>
                </c:pt>
                <c:pt idx="67">
                  <c:v>42217</c:v>
                </c:pt>
                <c:pt idx="68">
                  <c:v>42248</c:v>
                </c:pt>
                <c:pt idx="69">
                  <c:v>42278</c:v>
                </c:pt>
                <c:pt idx="70">
                  <c:v>42309</c:v>
                </c:pt>
                <c:pt idx="71">
                  <c:v>42339</c:v>
                </c:pt>
                <c:pt idx="72">
                  <c:v>42370</c:v>
                </c:pt>
                <c:pt idx="73">
                  <c:v>42401</c:v>
                </c:pt>
                <c:pt idx="74">
                  <c:v>42430</c:v>
                </c:pt>
                <c:pt idx="75">
                  <c:v>42461</c:v>
                </c:pt>
                <c:pt idx="76">
                  <c:v>42491</c:v>
                </c:pt>
                <c:pt idx="77">
                  <c:v>42522</c:v>
                </c:pt>
                <c:pt idx="78">
                  <c:v>42552</c:v>
                </c:pt>
                <c:pt idx="79">
                  <c:v>42583</c:v>
                </c:pt>
                <c:pt idx="80">
                  <c:v>42614</c:v>
                </c:pt>
                <c:pt idx="81">
                  <c:v>42644</c:v>
                </c:pt>
                <c:pt idx="82">
                  <c:v>42675</c:v>
                </c:pt>
                <c:pt idx="83">
                  <c:v>42705</c:v>
                </c:pt>
                <c:pt idx="84">
                  <c:v>42736</c:v>
                </c:pt>
                <c:pt idx="85">
                  <c:v>42767</c:v>
                </c:pt>
                <c:pt idx="86">
                  <c:v>42795</c:v>
                </c:pt>
                <c:pt idx="87">
                  <c:v>42826</c:v>
                </c:pt>
                <c:pt idx="88">
                  <c:v>42856</c:v>
                </c:pt>
                <c:pt idx="89">
                  <c:v>42887</c:v>
                </c:pt>
                <c:pt idx="90">
                  <c:v>42917</c:v>
                </c:pt>
                <c:pt idx="91">
                  <c:v>42948</c:v>
                </c:pt>
                <c:pt idx="92">
                  <c:v>42979</c:v>
                </c:pt>
                <c:pt idx="93">
                  <c:v>43009</c:v>
                </c:pt>
                <c:pt idx="94">
                  <c:v>43040</c:v>
                </c:pt>
                <c:pt idx="95">
                  <c:v>43070</c:v>
                </c:pt>
                <c:pt idx="96">
                  <c:v>43101</c:v>
                </c:pt>
                <c:pt idx="97">
                  <c:v>43132</c:v>
                </c:pt>
                <c:pt idx="98">
                  <c:v>43160</c:v>
                </c:pt>
                <c:pt idx="99">
                  <c:v>43191</c:v>
                </c:pt>
                <c:pt idx="100">
                  <c:v>43221</c:v>
                </c:pt>
                <c:pt idx="101">
                  <c:v>43252</c:v>
                </c:pt>
                <c:pt idx="102">
                  <c:v>43282</c:v>
                </c:pt>
                <c:pt idx="103">
                  <c:v>43313</c:v>
                </c:pt>
                <c:pt idx="104">
                  <c:v>43344</c:v>
                </c:pt>
                <c:pt idx="105">
                  <c:v>43374</c:v>
                </c:pt>
                <c:pt idx="106">
                  <c:v>43405</c:v>
                </c:pt>
                <c:pt idx="107">
                  <c:v>43435</c:v>
                </c:pt>
                <c:pt idx="108">
                  <c:v>43466</c:v>
                </c:pt>
                <c:pt idx="109">
                  <c:v>43497</c:v>
                </c:pt>
                <c:pt idx="110">
                  <c:v>43525</c:v>
                </c:pt>
                <c:pt idx="111">
                  <c:v>43556</c:v>
                </c:pt>
                <c:pt idx="112">
                  <c:v>43586</c:v>
                </c:pt>
                <c:pt idx="113">
                  <c:v>43617</c:v>
                </c:pt>
                <c:pt idx="114">
                  <c:v>43647</c:v>
                </c:pt>
                <c:pt idx="115">
                  <c:v>43678</c:v>
                </c:pt>
                <c:pt idx="116">
                  <c:v>43709</c:v>
                </c:pt>
                <c:pt idx="117">
                  <c:v>43739</c:v>
                </c:pt>
                <c:pt idx="118">
                  <c:v>43770</c:v>
                </c:pt>
                <c:pt idx="119">
                  <c:v>43800</c:v>
                </c:pt>
                <c:pt idx="120">
                  <c:v>43831</c:v>
                </c:pt>
                <c:pt idx="121">
                  <c:v>43862</c:v>
                </c:pt>
                <c:pt idx="122">
                  <c:v>43891</c:v>
                </c:pt>
                <c:pt idx="123">
                  <c:v>43922</c:v>
                </c:pt>
                <c:pt idx="124">
                  <c:v>43952</c:v>
                </c:pt>
                <c:pt idx="125">
                  <c:v>43983</c:v>
                </c:pt>
                <c:pt idx="126">
                  <c:v>44013</c:v>
                </c:pt>
                <c:pt idx="127">
                  <c:v>44044</c:v>
                </c:pt>
                <c:pt idx="128">
                  <c:v>44075</c:v>
                </c:pt>
                <c:pt idx="129">
                  <c:v>44105</c:v>
                </c:pt>
                <c:pt idx="130">
                  <c:v>44136</c:v>
                </c:pt>
                <c:pt idx="131">
                  <c:v>44166</c:v>
                </c:pt>
                <c:pt idx="132">
                  <c:v>44197</c:v>
                </c:pt>
                <c:pt idx="133">
                  <c:v>44228</c:v>
                </c:pt>
                <c:pt idx="134">
                  <c:v>44256</c:v>
                </c:pt>
                <c:pt idx="135">
                  <c:v>44287</c:v>
                </c:pt>
                <c:pt idx="136">
                  <c:v>44317</c:v>
                </c:pt>
                <c:pt idx="137">
                  <c:v>44348</c:v>
                </c:pt>
                <c:pt idx="138">
                  <c:v>44378</c:v>
                </c:pt>
                <c:pt idx="139">
                  <c:v>44409</c:v>
                </c:pt>
                <c:pt idx="140">
                  <c:v>44440</c:v>
                </c:pt>
                <c:pt idx="141">
                  <c:v>44470</c:v>
                </c:pt>
                <c:pt idx="142">
                  <c:v>44501</c:v>
                </c:pt>
                <c:pt idx="143">
                  <c:v>44531</c:v>
                </c:pt>
                <c:pt idx="144">
                  <c:v>44562</c:v>
                </c:pt>
                <c:pt idx="145">
                  <c:v>44593</c:v>
                </c:pt>
                <c:pt idx="146">
                  <c:v>44621</c:v>
                </c:pt>
                <c:pt idx="147">
                  <c:v>44652</c:v>
                </c:pt>
                <c:pt idx="148">
                  <c:v>44682</c:v>
                </c:pt>
                <c:pt idx="149">
                  <c:v>44713</c:v>
                </c:pt>
                <c:pt idx="150">
                  <c:v>44743</c:v>
                </c:pt>
                <c:pt idx="151">
                  <c:v>44774</c:v>
                </c:pt>
                <c:pt idx="152">
                  <c:v>44805</c:v>
                </c:pt>
                <c:pt idx="153">
                  <c:v>44835</c:v>
                </c:pt>
                <c:pt idx="154">
                  <c:v>44866</c:v>
                </c:pt>
                <c:pt idx="155">
                  <c:v>44896</c:v>
                </c:pt>
                <c:pt idx="156">
                  <c:v>44927</c:v>
                </c:pt>
                <c:pt idx="157">
                  <c:v>44958</c:v>
                </c:pt>
                <c:pt idx="158">
                  <c:v>44986</c:v>
                </c:pt>
                <c:pt idx="159">
                  <c:v>45017</c:v>
                </c:pt>
                <c:pt idx="160">
                  <c:v>45047</c:v>
                </c:pt>
                <c:pt idx="161">
                  <c:v>45078</c:v>
                </c:pt>
                <c:pt idx="162">
                  <c:v>45108</c:v>
                </c:pt>
                <c:pt idx="163">
                  <c:v>45139</c:v>
                </c:pt>
                <c:pt idx="164">
                  <c:v>45170</c:v>
                </c:pt>
                <c:pt idx="165">
                  <c:v>45200</c:v>
                </c:pt>
                <c:pt idx="166">
                  <c:v>45231</c:v>
                </c:pt>
                <c:pt idx="167">
                  <c:v>45261</c:v>
                </c:pt>
                <c:pt idx="168">
                  <c:v>45292</c:v>
                </c:pt>
                <c:pt idx="169">
                  <c:v>45323</c:v>
                </c:pt>
                <c:pt idx="170">
                  <c:v>45352</c:v>
                </c:pt>
                <c:pt idx="171">
                  <c:v>45383</c:v>
                </c:pt>
                <c:pt idx="172">
                  <c:v>45413</c:v>
                </c:pt>
                <c:pt idx="173">
                  <c:v>45444</c:v>
                </c:pt>
                <c:pt idx="174">
                  <c:v>45474</c:v>
                </c:pt>
                <c:pt idx="175">
                  <c:v>45505</c:v>
                </c:pt>
                <c:pt idx="176">
                  <c:v>45536</c:v>
                </c:pt>
                <c:pt idx="177">
                  <c:v>45566</c:v>
                </c:pt>
                <c:pt idx="178">
                  <c:v>45597</c:v>
                </c:pt>
                <c:pt idx="179">
                  <c:v>45627</c:v>
                </c:pt>
                <c:pt idx="180">
                  <c:v>45658</c:v>
                </c:pt>
                <c:pt idx="181">
                  <c:v>45689</c:v>
                </c:pt>
                <c:pt idx="182">
                  <c:v>45717</c:v>
                </c:pt>
                <c:pt idx="183">
                  <c:v>45748</c:v>
                </c:pt>
                <c:pt idx="184">
                  <c:v>45778</c:v>
                </c:pt>
                <c:pt idx="185">
                  <c:v>45809</c:v>
                </c:pt>
                <c:pt idx="186">
                  <c:v>45839</c:v>
                </c:pt>
                <c:pt idx="187">
                  <c:v>45870</c:v>
                </c:pt>
                <c:pt idx="188">
                  <c:v>45901</c:v>
                </c:pt>
                <c:pt idx="189">
                  <c:v>45931</c:v>
                </c:pt>
                <c:pt idx="190">
                  <c:v>45962</c:v>
                </c:pt>
                <c:pt idx="191">
                  <c:v>45992</c:v>
                </c:pt>
                <c:pt idx="192">
                  <c:v>46023</c:v>
                </c:pt>
              </c:numCache>
            </c:numRef>
          </c:cat>
          <c:val>
            <c:numRef>
              <c:f>'schertz_violent_and_non XmR '!$K$2:$K$194</c:f>
              <c:numCache>
                <c:formatCode>0.0</c:formatCode>
                <c:ptCount val="193"/>
                <c:pt idx="1">
                  <c:v>5</c:v>
                </c:pt>
                <c:pt idx="2">
                  <c:v>13</c:v>
                </c:pt>
                <c:pt idx="3">
                  <c:v>8</c:v>
                </c:pt>
                <c:pt idx="4">
                  <c:v>33</c:v>
                </c:pt>
                <c:pt idx="5">
                  <c:v>4</c:v>
                </c:pt>
                <c:pt idx="6">
                  <c:v>23</c:v>
                </c:pt>
                <c:pt idx="7">
                  <c:v>10</c:v>
                </c:pt>
                <c:pt idx="8">
                  <c:v>1</c:v>
                </c:pt>
                <c:pt idx="9">
                  <c:v>1</c:v>
                </c:pt>
                <c:pt idx="10">
                  <c:v>7</c:v>
                </c:pt>
                <c:pt idx="11">
                  <c:v>11</c:v>
                </c:pt>
                <c:pt idx="12">
                  <c:v>3</c:v>
                </c:pt>
                <c:pt idx="13">
                  <c:v>13</c:v>
                </c:pt>
                <c:pt idx="14">
                  <c:v>21</c:v>
                </c:pt>
                <c:pt idx="15">
                  <c:v>13</c:v>
                </c:pt>
                <c:pt idx="16">
                  <c:v>15</c:v>
                </c:pt>
                <c:pt idx="17">
                  <c:v>11</c:v>
                </c:pt>
                <c:pt idx="18">
                  <c:v>14</c:v>
                </c:pt>
                <c:pt idx="19">
                  <c:v>8</c:v>
                </c:pt>
                <c:pt idx="20">
                  <c:v>9</c:v>
                </c:pt>
                <c:pt idx="21">
                  <c:v>0</c:v>
                </c:pt>
                <c:pt idx="22">
                  <c:v>1</c:v>
                </c:pt>
                <c:pt idx="23">
                  <c:v>9</c:v>
                </c:pt>
                <c:pt idx="24">
                  <c:v>2</c:v>
                </c:pt>
                <c:pt idx="25">
                  <c:v>1</c:v>
                </c:pt>
                <c:pt idx="26">
                  <c:v>16</c:v>
                </c:pt>
                <c:pt idx="27">
                  <c:v>19</c:v>
                </c:pt>
                <c:pt idx="28">
                  <c:v>15</c:v>
                </c:pt>
                <c:pt idx="29">
                  <c:v>7</c:v>
                </c:pt>
                <c:pt idx="30">
                  <c:v>0</c:v>
                </c:pt>
                <c:pt idx="31">
                  <c:v>7</c:v>
                </c:pt>
                <c:pt idx="32">
                  <c:v>22</c:v>
                </c:pt>
                <c:pt idx="33">
                  <c:v>14</c:v>
                </c:pt>
                <c:pt idx="34">
                  <c:v>8</c:v>
                </c:pt>
                <c:pt idx="35">
                  <c:v>6</c:v>
                </c:pt>
                <c:pt idx="36">
                  <c:v>1</c:v>
                </c:pt>
                <c:pt idx="37">
                  <c:v>5</c:v>
                </c:pt>
                <c:pt idx="38">
                  <c:v>8</c:v>
                </c:pt>
                <c:pt idx="39">
                  <c:v>2</c:v>
                </c:pt>
                <c:pt idx="40">
                  <c:v>8</c:v>
                </c:pt>
                <c:pt idx="41">
                  <c:v>14</c:v>
                </c:pt>
                <c:pt idx="42">
                  <c:v>5</c:v>
                </c:pt>
                <c:pt idx="43">
                  <c:v>2</c:v>
                </c:pt>
                <c:pt idx="44">
                  <c:v>3</c:v>
                </c:pt>
                <c:pt idx="45">
                  <c:v>6</c:v>
                </c:pt>
                <c:pt idx="46">
                  <c:v>1</c:v>
                </c:pt>
                <c:pt idx="47">
                  <c:v>0</c:v>
                </c:pt>
                <c:pt idx="48">
                  <c:v>21</c:v>
                </c:pt>
                <c:pt idx="49">
                  <c:v>13</c:v>
                </c:pt>
                <c:pt idx="50">
                  <c:v>4</c:v>
                </c:pt>
                <c:pt idx="51">
                  <c:v>24</c:v>
                </c:pt>
                <c:pt idx="52">
                  <c:v>3</c:v>
                </c:pt>
                <c:pt idx="53">
                  <c:v>18</c:v>
                </c:pt>
                <c:pt idx="54">
                  <c:v>16</c:v>
                </c:pt>
                <c:pt idx="55">
                  <c:v>19</c:v>
                </c:pt>
                <c:pt idx="56">
                  <c:v>10</c:v>
                </c:pt>
                <c:pt idx="57">
                  <c:v>2</c:v>
                </c:pt>
                <c:pt idx="58">
                  <c:v>3</c:v>
                </c:pt>
                <c:pt idx="59">
                  <c:v>5</c:v>
                </c:pt>
                <c:pt idx="60">
                  <c:v>4</c:v>
                </c:pt>
                <c:pt idx="61">
                  <c:v>13</c:v>
                </c:pt>
                <c:pt idx="62">
                  <c:v>7</c:v>
                </c:pt>
                <c:pt idx="63">
                  <c:v>3</c:v>
                </c:pt>
                <c:pt idx="64">
                  <c:v>3</c:v>
                </c:pt>
                <c:pt idx="65">
                  <c:v>17</c:v>
                </c:pt>
                <c:pt idx="66">
                  <c:v>6</c:v>
                </c:pt>
                <c:pt idx="67">
                  <c:v>3</c:v>
                </c:pt>
                <c:pt idx="68">
                  <c:v>5</c:v>
                </c:pt>
                <c:pt idx="69">
                  <c:v>14</c:v>
                </c:pt>
                <c:pt idx="70">
                  <c:v>4</c:v>
                </c:pt>
                <c:pt idx="71">
                  <c:v>20</c:v>
                </c:pt>
                <c:pt idx="72">
                  <c:v>28</c:v>
                </c:pt>
                <c:pt idx="73">
                  <c:v>13</c:v>
                </c:pt>
                <c:pt idx="74">
                  <c:v>3</c:v>
                </c:pt>
                <c:pt idx="75">
                  <c:v>14</c:v>
                </c:pt>
                <c:pt idx="76">
                  <c:v>3</c:v>
                </c:pt>
                <c:pt idx="77">
                  <c:v>3</c:v>
                </c:pt>
                <c:pt idx="78">
                  <c:v>6</c:v>
                </c:pt>
                <c:pt idx="79">
                  <c:v>3</c:v>
                </c:pt>
                <c:pt idx="80">
                  <c:v>6</c:v>
                </c:pt>
                <c:pt idx="81">
                  <c:v>1</c:v>
                </c:pt>
                <c:pt idx="82">
                  <c:v>6</c:v>
                </c:pt>
                <c:pt idx="83">
                  <c:v>2</c:v>
                </c:pt>
                <c:pt idx="84">
                  <c:v>1</c:v>
                </c:pt>
                <c:pt idx="85">
                  <c:v>19</c:v>
                </c:pt>
                <c:pt idx="86">
                  <c:v>25</c:v>
                </c:pt>
                <c:pt idx="87">
                  <c:v>27</c:v>
                </c:pt>
                <c:pt idx="88">
                  <c:v>7</c:v>
                </c:pt>
                <c:pt idx="89">
                  <c:v>2</c:v>
                </c:pt>
                <c:pt idx="90">
                  <c:v>3</c:v>
                </c:pt>
                <c:pt idx="91">
                  <c:v>1</c:v>
                </c:pt>
                <c:pt idx="92">
                  <c:v>20</c:v>
                </c:pt>
                <c:pt idx="93">
                  <c:v>30</c:v>
                </c:pt>
                <c:pt idx="94">
                  <c:v>14</c:v>
                </c:pt>
                <c:pt idx="95">
                  <c:v>13</c:v>
                </c:pt>
                <c:pt idx="96">
                  <c:v>16</c:v>
                </c:pt>
                <c:pt idx="97">
                  <c:v>6</c:v>
                </c:pt>
                <c:pt idx="98">
                  <c:v>4</c:v>
                </c:pt>
                <c:pt idx="99">
                  <c:v>14</c:v>
                </c:pt>
                <c:pt idx="100">
                  <c:v>19</c:v>
                </c:pt>
                <c:pt idx="101">
                  <c:v>8</c:v>
                </c:pt>
                <c:pt idx="102">
                  <c:v>2</c:v>
                </c:pt>
                <c:pt idx="103">
                  <c:v>4</c:v>
                </c:pt>
                <c:pt idx="104">
                  <c:v>26</c:v>
                </c:pt>
                <c:pt idx="105">
                  <c:v>21</c:v>
                </c:pt>
                <c:pt idx="106">
                  <c:v>22</c:v>
                </c:pt>
                <c:pt idx="107">
                  <c:v>21</c:v>
                </c:pt>
                <c:pt idx="108">
                  <c:v>5</c:v>
                </c:pt>
                <c:pt idx="109">
                  <c:v>22</c:v>
                </c:pt>
                <c:pt idx="110">
                  <c:v>17</c:v>
                </c:pt>
                <c:pt idx="111">
                  <c:v>21</c:v>
                </c:pt>
                <c:pt idx="112">
                  <c:v>2</c:v>
                </c:pt>
                <c:pt idx="113">
                  <c:v>13</c:v>
                </c:pt>
                <c:pt idx="114">
                  <c:v>9</c:v>
                </c:pt>
                <c:pt idx="115">
                  <c:v>8</c:v>
                </c:pt>
                <c:pt idx="116">
                  <c:v>1</c:v>
                </c:pt>
                <c:pt idx="117">
                  <c:v>6</c:v>
                </c:pt>
                <c:pt idx="118">
                  <c:v>5</c:v>
                </c:pt>
                <c:pt idx="119">
                  <c:v>22</c:v>
                </c:pt>
                <c:pt idx="120">
                  <c:v>20</c:v>
                </c:pt>
                <c:pt idx="121">
                  <c:v>11</c:v>
                </c:pt>
                <c:pt idx="122">
                  <c:v>5</c:v>
                </c:pt>
                <c:pt idx="123">
                  <c:v>19</c:v>
                </c:pt>
                <c:pt idx="124">
                  <c:v>13</c:v>
                </c:pt>
                <c:pt idx="125">
                  <c:v>7</c:v>
                </c:pt>
                <c:pt idx="126">
                  <c:v>5</c:v>
                </c:pt>
                <c:pt idx="127">
                  <c:v>2</c:v>
                </c:pt>
                <c:pt idx="128">
                  <c:v>10</c:v>
                </c:pt>
                <c:pt idx="129">
                  <c:v>4</c:v>
                </c:pt>
                <c:pt idx="130">
                  <c:v>17</c:v>
                </c:pt>
                <c:pt idx="131">
                  <c:v>4</c:v>
                </c:pt>
                <c:pt idx="132">
                  <c:v>10</c:v>
                </c:pt>
                <c:pt idx="133">
                  <c:v>5</c:v>
                </c:pt>
                <c:pt idx="134">
                  <c:v>9</c:v>
                </c:pt>
                <c:pt idx="135">
                  <c:v>18</c:v>
                </c:pt>
                <c:pt idx="136">
                  <c:v>17</c:v>
                </c:pt>
                <c:pt idx="137">
                  <c:v>11</c:v>
                </c:pt>
                <c:pt idx="138">
                  <c:v>0</c:v>
                </c:pt>
                <c:pt idx="139">
                  <c:v>7</c:v>
                </c:pt>
                <c:pt idx="140">
                  <c:v>2</c:v>
                </c:pt>
                <c:pt idx="141">
                  <c:v>2</c:v>
                </c:pt>
                <c:pt idx="142">
                  <c:v>3</c:v>
                </c:pt>
                <c:pt idx="143">
                  <c:v>16</c:v>
                </c:pt>
                <c:pt idx="144">
                  <c:v>19</c:v>
                </c:pt>
                <c:pt idx="145">
                  <c:v>4</c:v>
                </c:pt>
                <c:pt idx="146">
                  <c:v>12</c:v>
                </c:pt>
                <c:pt idx="147">
                  <c:v>12</c:v>
                </c:pt>
                <c:pt idx="148">
                  <c:v>1</c:v>
                </c:pt>
                <c:pt idx="149">
                  <c:v>2</c:v>
                </c:pt>
                <c:pt idx="150">
                  <c:v>4</c:v>
                </c:pt>
                <c:pt idx="151">
                  <c:v>14</c:v>
                </c:pt>
                <c:pt idx="152">
                  <c:v>1</c:v>
                </c:pt>
                <c:pt idx="153">
                  <c:v>34</c:v>
                </c:pt>
                <c:pt idx="154">
                  <c:v>17</c:v>
                </c:pt>
                <c:pt idx="155">
                  <c:v>6</c:v>
                </c:pt>
                <c:pt idx="156">
                  <c:v>2</c:v>
                </c:pt>
                <c:pt idx="157">
                  <c:v>8</c:v>
                </c:pt>
                <c:pt idx="158">
                  <c:v>2</c:v>
                </c:pt>
                <c:pt idx="159">
                  <c:v>6</c:v>
                </c:pt>
                <c:pt idx="160">
                  <c:v>1</c:v>
                </c:pt>
                <c:pt idx="161">
                  <c:v>6</c:v>
                </c:pt>
                <c:pt idx="162">
                  <c:v>1</c:v>
                </c:pt>
                <c:pt idx="163">
                  <c:v>16</c:v>
                </c:pt>
                <c:pt idx="164">
                  <c:v>19</c:v>
                </c:pt>
                <c:pt idx="165">
                  <c:v>2</c:v>
                </c:pt>
                <c:pt idx="166">
                  <c:v>2</c:v>
                </c:pt>
                <c:pt idx="167">
                  <c:v>10</c:v>
                </c:pt>
                <c:pt idx="168">
                  <c:v>20</c:v>
                </c:pt>
                <c:pt idx="169">
                  <c:v>33</c:v>
                </c:pt>
                <c:pt idx="170">
                  <c:v>12</c:v>
                </c:pt>
                <c:pt idx="171">
                  <c:v>11</c:v>
                </c:pt>
                <c:pt idx="172">
                  <c:v>0</c:v>
                </c:pt>
                <c:pt idx="173">
                  <c:v>16</c:v>
                </c:pt>
                <c:pt idx="174">
                  <c:v>9</c:v>
                </c:pt>
                <c:pt idx="175">
                  <c:v>12</c:v>
                </c:pt>
                <c:pt idx="176">
                  <c:v>1</c:v>
                </c:pt>
                <c:pt idx="177">
                  <c:v>8</c:v>
                </c:pt>
                <c:pt idx="178">
                  <c:v>4</c:v>
                </c:pt>
                <c:pt idx="179">
                  <c:v>1</c:v>
                </c:pt>
                <c:pt idx="180">
                  <c:v>14</c:v>
                </c:pt>
                <c:pt idx="181">
                  <c:v>5</c:v>
                </c:pt>
                <c:pt idx="182">
                  <c:v>0</c:v>
                </c:pt>
                <c:pt idx="183">
                  <c:v>2</c:v>
                </c:pt>
                <c:pt idx="184">
                  <c:v>21</c:v>
                </c:pt>
                <c:pt idx="185">
                  <c:v>10</c:v>
                </c:pt>
                <c:pt idx="186">
                  <c:v>8</c:v>
                </c:pt>
                <c:pt idx="187">
                  <c:v>3</c:v>
                </c:pt>
                <c:pt idx="188">
                  <c:v>4</c:v>
                </c:pt>
                <c:pt idx="189">
                  <c:v>1</c:v>
                </c:pt>
                <c:pt idx="190">
                  <c:v>0</c:v>
                </c:pt>
                <c:pt idx="191">
                  <c:v>21</c:v>
                </c:pt>
                <c:pt idx="192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13-8245-9994-4C830182B6FC}"/>
            </c:ext>
          </c:extLst>
        </c:ser>
        <c:ser>
          <c:idx val="1"/>
          <c:order val="1"/>
          <c:tx>
            <c:strRef>
              <c:f>'schertz_violent_and_non XmR '!$L$1</c:f>
              <c:strCache>
                <c:ptCount val="1"/>
                <c:pt idx="0">
                  <c:v>UCL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42856689900384E-2"/>
                  <c:y val="-2.019704362990809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UCL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BE13-8245-9994-4C830182B6FC}"/>
                </c:ext>
              </c:extLst>
            </c:dLbl>
            <c:dLbl>
              <c:idx val="191"/>
              <c:layout>
                <c:manualLayout>
                  <c:x val="-1.464285668990049E-2"/>
                  <c:y val="-2.0197043629908099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E13-8245-9994-4C830182B6F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'schertz_violent_and_non XmR '!$A$2:$A$194</c:f>
              <c:numCache>
                <c:formatCode>mmm\-yy</c:formatCode>
                <c:ptCount val="193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  <c:pt idx="51">
                  <c:v>41730</c:v>
                </c:pt>
                <c:pt idx="52">
                  <c:v>41760</c:v>
                </c:pt>
                <c:pt idx="53">
                  <c:v>41791</c:v>
                </c:pt>
                <c:pt idx="54">
                  <c:v>41821</c:v>
                </c:pt>
                <c:pt idx="55">
                  <c:v>41852</c:v>
                </c:pt>
                <c:pt idx="56">
                  <c:v>41883</c:v>
                </c:pt>
                <c:pt idx="57">
                  <c:v>41913</c:v>
                </c:pt>
                <c:pt idx="58">
                  <c:v>41944</c:v>
                </c:pt>
                <c:pt idx="59">
                  <c:v>41974</c:v>
                </c:pt>
                <c:pt idx="60">
                  <c:v>42005</c:v>
                </c:pt>
                <c:pt idx="61">
                  <c:v>42036</c:v>
                </c:pt>
                <c:pt idx="62">
                  <c:v>42064</c:v>
                </c:pt>
                <c:pt idx="63">
                  <c:v>42095</c:v>
                </c:pt>
                <c:pt idx="64">
                  <c:v>42125</c:v>
                </c:pt>
                <c:pt idx="65">
                  <c:v>42156</c:v>
                </c:pt>
                <c:pt idx="66">
                  <c:v>42186</c:v>
                </c:pt>
                <c:pt idx="67">
                  <c:v>42217</c:v>
                </c:pt>
                <c:pt idx="68">
                  <c:v>42248</c:v>
                </c:pt>
                <c:pt idx="69">
                  <c:v>42278</c:v>
                </c:pt>
                <c:pt idx="70">
                  <c:v>42309</c:v>
                </c:pt>
                <c:pt idx="71">
                  <c:v>42339</c:v>
                </c:pt>
                <c:pt idx="72">
                  <c:v>42370</c:v>
                </c:pt>
                <c:pt idx="73">
                  <c:v>42401</c:v>
                </c:pt>
                <c:pt idx="74">
                  <c:v>42430</c:v>
                </c:pt>
                <c:pt idx="75">
                  <c:v>42461</c:v>
                </c:pt>
                <c:pt idx="76">
                  <c:v>42491</c:v>
                </c:pt>
                <c:pt idx="77">
                  <c:v>42522</c:v>
                </c:pt>
                <c:pt idx="78">
                  <c:v>42552</c:v>
                </c:pt>
                <c:pt idx="79">
                  <c:v>42583</c:v>
                </c:pt>
                <c:pt idx="80">
                  <c:v>42614</c:v>
                </c:pt>
                <c:pt idx="81">
                  <c:v>42644</c:v>
                </c:pt>
                <c:pt idx="82">
                  <c:v>42675</c:v>
                </c:pt>
                <c:pt idx="83">
                  <c:v>42705</c:v>
                </c:pt>
                <c:pt idx="84">
                  <c:v>42736</c:v>
                </c:pt>
                <c:pt idx="85">
                  <c:v>42767</c:v>
                </c:pt>
                <c:pt idx="86">
                  <c:v>42795</c:v>
                </c:pt>
                <c:pt idx="87">
                  <c:v>42826</c:v>
                </c:pt>
                <c:pt idx="88">
                  <c:v>42856</c:v>
                </c:pt>
                <c:pt idx="89">
                  <c:v>42887</c:v>
                </c:pt>
                <c:pt idx="90">
                  <c:v>42917</c:v>
                </c:pt>
                <c:pt idx="91">
                  <c:v>42948</c:v>
                </c:pt>
                <c:pt idx="92">
                  <c:v>42979</c:v>
                </c:pt>
                <c:pt idx="93">
                  <c:v>43009</c:v>
                </c:pt>
                <c:pt idx="94">
                  <c:v>43040</c:v>
                </c:pt>
                <c:pt idx="95">
                  <c:v>43070</c:v>
                </c:pt>
                <c:pt idx="96">
                  <c:v>43101</c:v>
                </c:pt>
                <c:pt idx="97">
                  <c:v>43132</c:v>
                </c:pt>
                <c:pt idx="98">
                  <c:v>43160</c:v>
                </c:pt>
                <c:pt idx="99">
                  <c:v>43191</c:v>
                </c:pt>
                <c:pt idx="100">
                  <c:v>43221</c:v>
                </c:pt>
                <c:pt idx="101">
                  <c:v>43252</c:v>
                </c:pt>
                <c:pt idx="102">
                  <c:v>43282</c:v>
                </c:pt>
                <c:pt idx="103">
                  <c:v>43313</c:v>
                </c:pt>
                <c:pt idx="104">
                  <c:v>43344</c:v>
                </c:pt>
                <c:pt idx="105">
                  <c:v>43374</c:v>
                </c:pt>
                <c:pt idx="106">
                  <c:v>43405</c:v>
                </c:pt>
                <c:pt idx="107">
                  <c:v>43435</c:v>
                </c:pt>
                <c:pt idx="108">
                  <c:v>43466</c:v>
                </c:pt>
                <c:pt idx="109">
                  <c:v>43497</c:v>
                </c:pt>
                <c:pt idx="110">
                  <c:v>43525</c:v>
                </c:pt>
                <c:pt idx="111">
                  <c:v>43556</c:v>
                </c:pt>
                <c:pt idx="112">
                  <c:v>43586</c:v>
                </c:pt>
                <c:pt idx="113">
                  <c:v>43617</c:v>
                </c:pt>
                <c:pt idx="114">
                  <c:v>43647</c:v>
                </c:pt>
                <c:pt idx="115">
                  <c:v>43678</c:v>
                </c:pt>
                <c:pt idx="116">
                  <c:v>43709</c:v>
                </c:pt>
                <c:pt idx="117">
                  <c:v>43739</c:v>
                </c:pt>
                <c:pt idx="118">
                  <c:v>43770</c:v>
                </c:pt>
                <c:pt idx="119">
                  <c:v>43800</c:v>
                </c:pt>
                <c:pt idx="120">
                  <c:v>43831</c:v>
                </c:pt>
                <c:pt idx="121">
                  <c:v>43862</c:v>
                </c:pt>
                <c:pt idx="122">
                  <c:v>43891</c:v>
                </c:pt>
                <c:pt idx="123">
                  <c:v>43922</c:v>
                </c:pt>
                <c:pt idx="124">
                  <c:v>43952</c:v>
                </c:pt>
                <c:pt idx="125">
                  <c:v>43983</c:v>
                </c:pt>
                <c:pt idx="126">
                  <c:v>44013</c:v>
                </c:pt>
                <c:pt idx="127">
                  <c:v>44044</c:v>
                </c:pt>
                <c:pt idx="128">
                  <c:v>44075</c:v>
                </c:pt>
                <c:pt idx="129">
                  <c:v>44105</c:v>
                </c:pt>
                <c:pt idx="130">
                  <c:v>44136</c:v>
                </c:pt>
                <c:pt idx="131">
                  <c:v>44166</c:v>
                </c:pt>
                <c:pt idx="132">
                  <c:v>44197</c:v>
                </c:pt>
                <c:pt idx="133">
                  <c:v>44228</c:v>
                </c:pt>
                <c:pt idx="134">
                  <c:v>44256</c:v>
                </c:pt>
                <c:pt idx="135">
                  <c:v>44287</c:v>
                </c:pt>
                <c:pt idx="136">
                  <c:v>44317</c:v>
                </c:pt>
                <c:pt idx="137">
                  <c:v>44348</c:v>
                </c:pt>
                <c:pt idx="138">
                  <c:v>44378</c:v>
                </c:pt>
                <c:pt idx="139">
                  <c:v>44409</c:v>
                </c:pt>
                <c:pt idx="140">
                  <c:v>44440</c:v>
                </c:pt>
                <c:pt idx="141">
                  <c:v>44470</c:v>
                </c:pt>
                <c:pt idx="142">
                  <c:v>44501</c:v>
                </c:pt>
                <c:pt idx="143">
                  <c:v>44531</c:v>
                </c:pt>
                <c:pt idx="144">
                  <c:v>44562</c:v>
                </c:pt>
                <c:pt idx="145">
                  <c:v>44593</c:v>
                </c:pt>
                <c:pt idx="146">
                  <c:v>44621</c:v>
                </c:pt>
                <c:pt idx="147">
                  <c:v>44652</c:v>
                </c:pt>
                <c:pt idx="148">
                  <c:v>44682</c:v>
                </c:pt>
                <c:pt idx="149">
                  <c:v>44713</c:v>
                </c:pt>
                <c:pt idx="150">
                  <c:v>44743</c:v>
                </c:pt>
                <c:pt idx="151">
                  <c:v>44774</c:v>
                </c:pt>
                <c:pt idx="152">
                  <c:v>44805</c:v>
                </c:pt>
                <c:pt idx="153">
                  <c:v>44835</c:v>
                </c:pt>
                <c:pt idx="154">
                  <c:v>44866</c:v>
                </c:pt>
                <c:pt idx="155">
                  <c:v>44896</c:v>
                </c:pt>
                <c:pt idx="156">
                  <c:v>44927</c:v>
                </c:pt>
                <c:pt idx="157">
                  <c:v>44958</c:v>
                </c:pt>
                <c:pt idx="158">
                  <c:v>44986</c:v>
                </c:pt>
                <c:pt idx="159">
                  <c:v>45017</c:v>
                </c:pt>
                <c:pt idx="160">
                  <c:v>45047</c:v>
                </c:pt>
                <c:pt idx="161">
                  <c:v>45078</c:v>
                </c:pt>
                <c:pt idx="162">
                  <c:v>45108</c:v>
                </c:pt>
                <c:pt idx="163">
                  <c:v>45139</c:v>
                </c:pt>
                <c:pt idx="164">
                  <c:v>45170</c:v>
                </c:pt>
                <c:pt idx="165">
                  <c:v>45200</c:v>
                </c:pt>
                <c:pt idx="166">
                  <c:v>45231</c:v>
                </c:pt>
                <c:pt idx="167">
                  <c:v>45261</c:v>
                </c:pt>
                <c:pt idx="168">
                  <c:v>45292</c:v>
                </c:pt>
                <c:pt idx="169">
                  <c:v>45323</c:v>
                </c:pt>
                <c:pt idx="170">
                  <c:v>45352</c:v>
                </c:pt>
                <c:pt idx="171">
                  <c:v>45383</c:v>
                </c:pt>
                <c:pt idx="172">
                  <c:v>45413</c:v>
                </c:pt>
                <c:pt idx="173">
                  <c:v>45444</c:v>
                </c:pt>
                <c:pt idx="174">
                  <c:v>45474</c:v>
                </c:pt>
                <c:pt idx="175">
                  <c:v>45505</c:v>
                </c:pt>
                <c:pt idx="176">
                  <c:v>45536</c:v>
                </c:pt>
                <c:pt idx="177">
                  <c:v>45566</c:v>
                </c:pt>
                <c:pt idx="178">
                  <c:v>45597</c:v>
                </c:pt>
                <c:pt idx="179">
                  <c:v>45627</c:v>
                </c:pt>
                <c:pt idx="180">
                  <c:v>45658</c:v>
                </c:pt>
                <c:pt idx="181">
                  <c:v>45689</c:v>
                </c:pt>
                <c:pt idx="182">
                  <c:v>45717</c:v>
                </c:pt>
                <c:pt idx="183">
                  <c:v>45748</c:v>
                </c:pt>
                <c:pt idx="184">
                  <c:v>45778</c:v>
                </c:pt>
                <c:pt idx="185">
                  <c:v>45809</c:v>
                </c:pt>
                <c:pt idx="186">
                  <c:v>45839</c:v>
                </c:pt>
                <c:pt idx="187">
                  <c:v>45870</c:v>
                </c:pt>
                <c:pt idx="188">
                  <c:v>45901</c:v>
                </c:pt>
                <c:pt idx="189">
                  <c:v>45931</c:v>
                </c:pt>
                <c:pt idx="190">
                  <c:v>45962</c:v>
                </c:pt>
                <c:pt idx="191">
                  <c:v>45992</c:v>
                </c:pt>
                <c:pt idx="192">
                  <c:v>46023</c:v>
                </c:pt>
              </c:numCache>
            </c:numRef>
          </c:cat>
          <c:val>
            <c:numRef>
              <c:f>'schertz_violent_and_non XmR '!$L$2:$L$194</c:f>
              <c:numCache>
                <c:formatCode>0.0</c:formatCode>
                <c:ptCount val="193"/>
                <c:pt idx="1">
                  <c:v>36.897882352941181</c:v>
                </c:pt>
                <c:pt idx="2">
                  <c:v>36.897882352941181</c:v>
                </c:pt>
                <c:pt idx="3">
                  <c:v>36.897882352941181</c:v>
                </c:pt>
                <c:pt idx="4">
                  <c:v>36.897882352941181</c:v>
                </c:pt>
                <c:pt idx="5">
                  <c:v>36.897882352941181</c:v>
                </c:pt>
                <c:pt idx="6">
                  <c:v>36.897882352941181</c:v>
                </c:pt>
                <c:pt idx="7">
                  <c:v>36.897882352941181</c:v>
                </c:pt>
                <c:pt idx="8">
                  <c:v>36.897882352941181</c:v>
                </c:pt>
                <c:pt idx="9">
                  <c:v>36.897882352941181</c:v>
                </c:pt>
                <c:pt idx="10">
                  <c:v>36.897882352941181</c:v>
                </c:pt>
                <c:pt idx="11">
                  <c:v>36.897882352941181</c:v>
                </c:pt>
                <c:pt idx="12">
                  <c:v>36.897882352941181</c:v>
                </c:pt>
                <c:pt idx="13">
                  <c:v>36.897882352941181</c:v>
                </c:pt>
                <c:pt idx="14">
                  <c:v>36.897882352941181</c:v>
                </c:pt>
                <c:pt idx="15">
                  <c:v>36.897882352941181</c:v>
                </c:pt>
                <c:pt idx="16">
                  <c:v>36.897882352941181</c:v>
                </c:pt>
                <c:pt idx="17">
                  <c:v>36.897882352941181</c:v>
                </c:pt>
                <c:pt idx="18">
                  <c:v>25.202571428571428</c:v>
                </c:pt>
                <c:pt idx="19">
                  <c:v>25.202571428571428</c:v>
                </c:pt>
                <c:pt idx="20">
                  <c:v>25.202571428571428</c:v>
                </c:pt>
                <c:pt idx="21">
                  <c:v>25.202571428571428</c:v>
                </c:pt>
                <c:pt idx="22">
                  <c:v>25.202571428571428</c:v>
                </c:pt>
                <c:pt idx="23">
                  <c:v>25.202571428571428</c:v>
                </c:pt>
                <c:pt idx="24">
                  <c:v>25.202571428571428</c:v>
                </c:pt>
                <c:pt idx="25">
                  <c:v>25.202571428571428</c:v>
                </c:pt>
                <c:pt idx="26">
                  <c:v>25.202571428571428</c:v>
                </c:pt>
                <c:pt idx="27">
                  <c:v>25.202571428571428</c:v>
                </c:pt>
                <c:pt idx="28">
                  <c:v>25.202571428571428</c:v>
                </c:pt>
                <c:pt idx="29">
                  <c:v>25.202571428571428</c:v>
                </c:pt>
                <c:pt idx="30">
                  <c:v>25.202571428571428</c:v>
                </c:pt>
                <c:pt idx="31">
                  <c:v>25.202571428571428</c:v>
                </c:pt>
                <c:pt idx="32">
                  <c:v>29.482682926829266</c:v>
                </c:pt>
                <c:pt idx="33">
                  <c:v>29.482682926829266</c:v>
                </c:pt>
                <c:pt idx="34">
                  <c:v>29.482682926829266</c:v>
                </c:pt>
                <c:pt idx="35">
                  <c:v>29.482682926829266</c:v>
                </c:pt>
                <c:pt idx="36">
                  <c:v>29.482682926829266</c:v>
                </c:pt>
                <c:pt idx="37">
                  <c:v>29.482682926829266</c:v>
                </c:pt>
                <c:pt idx="38">
                  <c:v>29.482682926829266</c:v>
                </c:pt>
                <c:pt idx="39">
                  <c:v>29.482682926829266</c:v>
                </c:pt>
                <c:pt idx="40">
                  <c:v>29.482682926829266</c:v>
                </c:pt>
                <c:pt idx="41">
                  <c:v>29.482682926829266</c:v>
                </c:pt>
                <c:pt idx="42">
                  <c:v>29.482682926829266</c:v>
                </c:pt>
                <c:pt idx="43">
                  <c:v>29.482682926829266</c:v>
                </c:pt>
                <c:pt idx="44">
                  <c:v>29.482682926829266</c:v>
                </c:pt>
                <c:pt idx="45">
                  <c:v>29.482682926829266</c:v>
                </c:pt>
                <c:pt idx="46">
                  <c:v>29.482682926829266</c:v>
                </c:pt>
                <c:pt idx="47">
                  <c:v>29.482682926829266</c:v>
                </c:pt>
                <c:pt idx="48">
                  <c:v>29.482682926829266</c:v>
                </c:pt>
                <c:pt idx="49">
                  <c:v>29.482682926829266</c:v>
                </c:pt>
                <c:pt idx="50">
                  <c:v>29.482682926829266</c:v>
                </c:pt>
                <c:pt idx="51">
                  <c:v>29.482682926829266</c:v>
                </c:pt>
                <c:pt idx="52">
                  <c:v>29.482682926829266</c:v>
                </c:pt>
                <c:pt idx="53">
                  <c:v>29.482682926829266</c:v>
                </c:pt>
                <c:pt idx="54">
                  <c:v>29.482682926829266</c:v>
                </c:pt>
                <c:pt idx="55">
                  <c:v>29.482682926829266</c:v>
                </c:pt>
                <c:pt idx="56">
                  <c:v>29.482682926829266</c:v>
                </c:pt>
                <c:pt idx="57">
                  <c:v>29.482682926829266</c:v>
                </c:pt>
                <c:pt idx="58">
                  <c:v>29.482682926829266</c:v>
                </c:pt>
                <c:pt idx="59">
                  <c:v>29.482682926829266</c:v>
                </c:pt>
                <c:pt idx="60">
                  <c:v>29.482682926829266</c:v>
                </c:pt>
                <c:pt idx="61">
                  <c:v>29.482682926829266</c:v>
                </c:pt>
                <c:pt idx="62">
                  <c:v>29.482682926829266</c:v>
                </c:pt>
                <c:pt idx="63">
                  <c:v>29.482682926829266</c:v>
                </c:pt>
                <c:pt idx="64">
                  <c:v>29.482682926829266</c:v>
                </c:pt>
                <c:pt idx="65">
                  <c:v>29.482682926829266</c:v>
                </c:pt>
                <c:pt idx="66">
                  <c:v>29.482682926829266</c:v>
                </c:pt>
                <c:pt idx="67">
                  <c:v>29.482682926829266</c:v>
                </c:pt>
                <c:pt idx="68">
                  <c:v>29.482682926829266</c:v>
                </c:pt>
                <c:pt idx="69">
                  <c:v>29.482682926829266</c:v>
                </c:pt>
                <c:pt idx="70">
                  <c:v>29.482682926829266</c:v>
                </c:pt>
                <c:pt idx="71">
                  <c:v>29.482682926829266</c:v>
                </c:pt>
                <c:pt idx="72">
                  <c:v>29.482682926829266</c:v>
                </c:pt>
                <c:pt idx="73">
                  <c:v>20.104615384615386</c:v>
                </c:pt>
                <c:pt idx="74">
                  <c:v>20.104615384615386</c:v>
                </c:pt>
                <c:pt idx="75">
                  <c:v>20.104615384615386</c:v>
                </c:pt>
                <c:pt idx="76">
                  <c:v>20.104615384615386</c:v>
                </c:pt>
                <c:pt idx="77">
                  <c:v>20.104615384615386</c:v>
                </c:pt>
                <c:pt idx="78">
                  <c:v>20.104615384615386</c:v>
                </c:pt>
                <c:pt idx="79">
                  <c:v>20.104615384615386</c:v>
                </c:pt>
                <c:pt idx="80">
                  <c:v>20.104615384615386</c:v>
                </c:pt>
                <c:pt idx="81">
                  <c:v>20.104615384615386</c:v>
                </c:pt>
                <c:pt idx="82">
                  <c:v>20.104615384615386</c:v>
                </c:pt>
                <c:pt idx="83">
                  <c:v>20.104615384615386</c:v>
                </c:pt>
                <c:pt idx="84">
                  <c:v>20.104615384615386</c:v>
                </c:pt>
                <c:pt idx="85">
                  <c:v>20.104615384615386</c:v>
                </c:pt>
                <c:pt idx="86">
                  <c:v>39.670714285714283</c:v>
                </c:pt>
                <c:pt idx="87">
                  <c:v>39.670714285714283</c:v>
                </c:pt>
                <c:pt idx="88">
                  <c:v>39.670714285714283</c:v>
                </c:pt>
                <c:pt idx="89">
                  <c:v>39.670714285714283</c:v>
                </c:pt>
                <c:pt idx="90">
                  <c:v>39.670714285714283</c:v>
                </c:pt>
                <c:pt idx="91">
                  <c:v>39.670714285714283</c:v>
                </c:pt>
                <c:pt idx="92">
                  <c:v>39.670714285714283</c:v>
                </c:pt>
                <c:pt idx="93">
                  <c:v>38.61</c:v>
                </c:pt>
                <c:pt idx="94">
                  <c:v>38.61</c:v>
                </c:pt>
                <c:pt idx="95">
                  <c:v>38.61</c:v>
                </c:pt>
                <c:pt idx="96">
                  <c:v>38.61</c:v>
                </c:pt>
                <c:pt idx="97">
                  <c:v>38.61</c:v>
                </c:pt>
                <c:pt idx="98">
                  <c:v>38.61</c:v>
                </c:pt>
                <c:pt idx="99">
                  <c:v>38.61</c:v>
                </c:pt>
                <c:pt idx="100">
                  <c:v>38.61</c:v>
                </c:pt>
                <c:pt idx="101">
                  <c:v>38.61</c:v>
                </c:pt>
                <c:pt idx="102">
                  <c:v>38.61</c:v>
                </c:pt>
                <c:pt idx="103">
                  <c:v>38.61</c:v>
                </c:pt>
                <c:pt idx="104">
                  <c:v>40.902839999999998</c:v>
                </c:pt>
                <c:pt idx="105">
                  <c:v>40.902839999999998</c:v>
                </c:pt>
                <c:pt idx="106">
                  <c:v>40.902839999999998</c:v>
                </c:pt>
                <c:pt idx="107">
                  <c:v>40.902839999999998</c:v>
                </c:pt>
                <c:pt idx="108">
                  <c:v>40.902839999999998</c:v>
                </c:pt>
                <c:pt idx="109">
                  <c:v>40.902839999999998</c:v>
                </c:pt>
                <c:pt idx="110">
                  <c:v>40.902839999999998</c:v>
                </c:pt>
                <c:pt idx="111">
                  <c:v>40.902839999999998</c:v>
                </c:pt>
                <c:pt idx="112">
                  <c:v>40.902839999999998</c:v>
                </c:pt>
                <c:pt idx="113">
                  <c:v>40.902839999999998</c:v>
                </c:pt>
                <c:pt idx="114">
                  <c:v>40.902839999999998</c:v>
                </c:pt>
                <c:pt idx="115">
                  <c:v>40.902839999999998</c:v>
                </c:pt>
                <c:pt idx="116">
                  <c:v>40.902839999999998</c:v>
                </c:pt>
                <c:pt idx="117">
                  <c:v>40.902839999999998</c:v>
                </c:pt>
                <c:pt idx="118">
                  <c:v>40.902839999999998</c:v>
                </c:pt>
                <c:pt idx="119">
                  <c:v>40.902839999999998</c:v>
                </c:pt>
                <c:pt idx="120">
                  <c:v>40.902839999999998</c:v>
                </c:pt>
                <c:pt idx="121">
                  <c:v>40.902839999999998</c:v>
                </c:pt>
                <c:pt idx="122">
                  <c:v>40.902839999999998</c:v>
                </c:pt>
                <c:pt idx="123">
                  <c:v>40.902839999999998</c:v>
                </c:pt>
                <c:pt idx="124">
                  <c:v>40.902839999999998</c:v>
                </c:pt>
                <c:pt idx="125">
                  <c:v>40.902839999999998</c:v>
                </c:pt>
                <c:pt idx="126">
                  <c:v>40.902839999999998</c:v>
                </c:pt>
                <c:pt idx="127">
                  <c:v>40.902839999999998</c:v>
                </c:pt>
                <c:pt idx="128">
                  <c:v>40.902839999999998</c:v>
                </c:pt>
                <c:pt idx="129">
                  <c:v>27.225000000000001</c:v>
                </c:pt>
                <c:pt idx="130">
                  <c:v>27.225000000000001</c:v>
                </c:pt>
                <c:pt idx="131">
                  <c:v>27.225000000000001</c:v>
                </c:pt>
                <c:pt idx="132">
                  <c:v>27.225000000000001</c:v>
                </c:pt>
                <c:pt idx="133">
                  <c:v>27.225000000000001</c:v>
                </c:pt>
                <c:pt idx="134">
                  <c:v>27.225000000000001</c:v>
                </c:pt>
                <c:pt idx="135">
                  <c:v>27.225000000000001</c:v>
                </c:pt>
                <c:pt idx="136">
                  <c:v>27.225000000000001</c:v>
                </c:pt>
                <c:pt idx="137">
                  <c:v>27.225000000000001</c:v>
                </c:pt>
                <c:pt idx="138">
                  <c:v>27.225000000000001</c:v>
                </c:pt>
                <c:pt idx="139">
                  <c:v>27.225000000000001</c:v>
                </c:pt>
                <c:pt idx="140">
                  <c:v>27.225000000000001</c:v>
                </c:pt>
                <c:pt idx="141">
                  <c:v>27.225000000000001</c:v>
                </c:pt>
                <c:pt idx="142">
                  <c:v>27.225000000000001</c:v>
                </c:pt>
                <c:pt idx="143">
                  <c:v>27.225000000000001</c:v>
                </c:pt>
                <c:pt idx="144">
                  <c:v>27.225000000000001</c:v>
                </c:pt>
                <c:pt idx="145">
                  <c:v>27.225000000000001</c:v>
                </c:pt>
                <c:pt idx="146">
                  <c:v>27.225000000000001</c:v>
                </c:pt>
                <c:pt idx="147">
                  <c:v>27.225000000000001</c:v>
                </c:pt>
                <c:pt idx="148">
                  <c:v>27.225000000000001</c:v>
                </c:pt>
                <c:pt idx="149">
                  <c:v>27.225000000000001</c:v>
                </c:pt>
                <c:pt idx="150">
                  <c:v>29.402999999999999</c:v>
                </c:pt>
                <c:pt idx="151">
                  <c:v>29.402999999999999</c:v>
                </c:pt>
                <c:pt idx="152">
                  <c:v>29.402999999999999</c:v>
                </c:pt>
                <c:pt idx="153">
                  <c:v>29.402999999999999</c:v>
                </c:pt>
                <c:pt idx="154">
                  <c:v>29.402999999999999</c:v>
                </c:pt>
                <c:pt idx="155">
                  <c:v>23.56907142857143</c:v>
                </c:pt>
                <c:pt idx="156">
                  <c:v>23.56907142857143</c:v>
                </c:pt>
                <c:pt idx="157">
                  <c:v>23.56907142857143</c:v>
                </c:pt>
                <c:pt idx="158">
                  <c:v>23.56907142857143</c:v>
                </c:pt>
                <c:pt idx="159">
                  <c:v>23.56907142857143</c:v>
                </c:pt>
                <c:pt idx="160">
                  <c:v>23.56907142857143</c:v>
                </c:pt>
                <c:pt idx="161">
                  <c:v>23.56907142857143</c:v>
                </c:pt>
                <c:pt idx="162">
                  <c:v>23.56907142857143</c:v>
                </c:pt>
                <c:pt idx="163">
                  <c:v>23.56907142857143</c:v>
                </c:pt>
                <c:pt idx="164">
                  <c:v>23.56907142857143</c:v>
                </c:pt>
                <c:pt idx="165">
                  <c:v>23.56907142857143</c:v>
                </c:pt>
                <c:pt idx="166">
                  <c:v>23.56907142857143</c:v>
                </c:pt>
                <c:pt idx="167">
                  <c:v>23.56907142857143</c:v>
                </c:pt>
                <c:pt idx="168">
                  <c:v>23.56907142857143</c:v>
                </c:pt>
                <c:pt idx="169">
                  <c:v>27.878399999999999</c:v>
                </c:pt>
                <c:pt idx="170">
                  <c:v>27.878399999999999</c:v>
                </c:pt>
                <c:pt idx="171">
                  <c:v>27.878399999999999</c:v>
                </c:pt>
                <c:pt idx="172">
                  <c:v>27.878399999999999</c:v>
                </c:pt>
                <c:pt idx="173">
                  <c:v>27.878399999999999</c:v>
                </c:pt>
                <c:pt idx="174">
                  <c:v>27.878399999999999</c:v>
                </c:pt>
                <c:pt idx="175">
                  <c:v>27.878399999999999</c:v>
                </c:pt>
                <c:pt idx="176">
                  <c:v>27.878399999999999</c:v>
                </c:pt>
                <c:pt idx="177">
                  <c:v>27.878399999999999</c:v>
                </c:pt>
                <c:pt idx="178">
                  <c:v>27.878399999999999</c:v>
                </c:pt>
                <c:pt idx="179">
                  <c:v>27.878399999999999</c:v>
                </c:pt>
                <c:pt idx="180">
                  <c:v>27.878399999999999</c:v>
                </c:pt>
                <c:pt idx="181">
                  <c:v>27.878399999999999</c:v>
                </c:pt>
                <c:pt idx="182">
                  <c:v>27.878399999999999</c:v>
                </c:pt>
                <c:pt idx="183">
                  <c:v>27.878399999999999</c:v>
                </c:pt>
                <c:pt idx="184">
                  <c:v>32.67</c:v>
                </c:pt>
                <c:pt idx="185">
                  <c:v>32.67</c:v>
                </c:pt>
                <c:pt idx="186">
                  <c:v>32.67</c:v>
                </c:pt>
                <c:pt idx="187">
                  <c:v>32.67</c:v>
                </c:pt>
                <c:pt idx="188">
                  <c:v>32.67</c:v>
                </c:pt>
                <c:pt idx="189">
                  <c:v>32.67</c:v>
                </c:pt>
                <c:pt idx="190">
                  <c:v>32.67</c:v>
                </c:pt>
                <c:pt idx="191">
                  <c:v>32.67</c:v>
                </c:pt>
                <c:pt idx="192">
                  <c:v>32.67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E13-8245-9994-4C830182B6FC}"/>
            </c:ext>
          </c:extLst>
        </c:ser>
        <c:ser>
          <c:idx val="2"/>
          <c:order val="2"/>
          <c:tx>
            <c:strRef>
              <c:f>'schertz_violent_and_non XmR '!$M$1</c:f>
              <c:strCache>
                <c:ptCount val="1"/>
                <c:pt idx="0">
                  <c:v> +2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'schertz_violent_and_non XmR '!$A$2:$A$194</c:f>
              <c:numCache>
                <c:formatCode>mmm\-yy</c:formatCode>
                <c:ptCount val="193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  <c:pt idx="51">
                  <c:v>41730</c:v>
                </c:pt>
                <c:pt idx="52">
                  <c:v>41760</c:v>
                </c:pt>
                <c:pt idx="53">
                  <c:v>41791</c:v>
                </c:pt>
                <c:pt idx="54">
                  <c:v>41821</c:v>
                </c:pt>
                <c:pt idx="55">
                  <c:v>41852</c:v>
                </c:pt>
                <c:pt idx="56">
                  <c:v>41883</c:v>
                </c:pt>
                <c:pt idx="57">
                  <c:v>41913</c:v>
                </c:pt>
                <c:pt idx="58">
                  <c:v>41944</c:v>
                </c:pt>
                <c:pt idx="59">
                  <c:v>41974</c:v>
                </c:pt>
                <c:pt idx="60">
                  <c:v>42005</c:v>
                </c:pt>
                <c:pt idx="61">
                  <c:v>42036</c:v>
                </c:pt>
                <c:pt idx="62">
                  <c:v>42064</c:v>
                </c:pt>
                <c:pt idx="63">
                  <c:v>42095</c:v>
                </c:pt>
                <c:pt idx="64">
                  <c:v>42125</c:v>
                </c:pt>
                <c:pt idx="65">
                  <c:v>42156</c:v>
                </c:pt>
                <c:pt idx="66">
                  <c:v>42186</c:v>
                </c:pt>
                <c:pt idx="67">
                  <c:v>42217</c:v>
                </c:pt>
                <c:pt idx="68">
                  <c:v>42248</c:v>
                </c:pt>
                <c:pt idx="69">
                  <c:v>42278</c:v>
                </c:pt>
                <c:pt idx="70">
                  <c:v>42309</c:v>
                </c:pt>
                <c:pt idx="71">
                  <c:v>42339</c:v>
                </c:pt>
                <c:pt idx="72">
                  <c:v>42370</c:v>
                </c:pt>
                <c:pt idx="73">
                  <c:v>42401</c:v>
                </c:pt>
                <c:pt idx="74">
                  <c:v>42430</c:v>
                </c:pt>
                <c:pt idx="75">
                  <c:v>42461</c:v>
                </c:pt>
                <c:pt idx="76">
                  <c:v>42491</c:v>
                </c:pt>
                <c:pt idx="77">
                  <c:v>42522</c:v>
                </c:pt>
                <c:pt idx="78">
                  <c:v>42552</c:v>
                </c:pt>
                <c:pt idx="79">
                  <c:v>42583</c:v>
                </c:pt>
                <c:pt idx="80">
                  <c:v>42614</c:v>
                </c:pt>
                <c:pt idx="81">
                  <c:v>42644</c:v>
                </c:pt>
                <c:pt idx="82">
                  <c:v>42675</c:v>
                </c:pt>
                <c:pt idx="83">
                  <c:v>42705</c:v>
                </c:pt>
                <c:pt idx="84">
                  <c:v>42736</c:v>
                </c:pt>
                <c:pt idx="85">
                  <c:v>42767</c:v>
                </c:pt>
                <c:pt idx="86">
                  <c:v>42795</c:v>
                </c:pt>
                <c:pt idx="87">
                  <c:v>42826</c:v>
                </c:pt>
                <c:pt idx="88">
                  <c:v>42856</c:v>
                </c:pt>
                <c:pt idx="89">
                  <c:v>42887</c:v>
                </c:pt>
                <c:pt idx="90">
                  <c:v>42917</c:v>
                </c:pt>
                <c:pt idx="91">
                  <c:v>42948</c:v>
                </c:pt>
                <c:pt idx="92">
                  <c:v>42979</c:v>
                </c:pt>
                <c:pt idx="93">
                  <c:v>43009</c:v>
                </c:pt>
                <c:pt idx="94">
                  <c:v>43040</c:v>
                </c:pt>
                <c:pt idx="95">
                  <c:v>43070</c:v>
                </c:pt>
                <c:pt idx="96">
                  <c:v>43101</c:v>
                </c:pt>
                <c:pt idx="97">
                  <c:v>43132</c:v>
                </c:pt>
                <c:pt idx="98">
                  <c:v>43160</c:v>
                </c:pt>
                <c:pt idx="99">
                  <c:v>43191</c:v>
                </c:pt>
                <c:pt idx="100">
                  <c:v>43221</c:v>
                </c:pt>
                <c:pt idx="101">
                  <c:v>43252</c:v>
                </c:pt>
                <c:pt idx="102">
                  <c:v>43282</c:v>
                </c:pt>
                <c:pt idx="103">
                  <c:v>43313</c:v>
                </c:pt>
                <c:pt idx="104">
                  <c:v>43344</c:v>
                </c:pt>
                <c:pt idx="105">
                  <c:v>43374</c:v>
                </c:pt>
                <c:pt idx="106">
                  <c:v>43405</c:v>
                </c:pt>
                <c:pt idx="107">
                  <c:v>43435</c:v>
                </c:pt>
                <c:pt idx="108">
                  <c:v>43466</c:v>
                </c:pt>
                <c:pt idx="109">
                  <c:v>43497</c:v>
                </c:pt>
                <c:pt idx="110">
                  <c:v>43525</c:v>
                </c:pt>
                <c:pt idx="111">
                  <c:v>43556</c:v>
                </c:pt>
                <c:pt idx="112">
                  <c:v>43586</c:v>
                </c:pt>
                <c:pt idx="113">
                  <c:v>43617</c:v>
                </c:pt>
                <c:pt idx="114">
                  <c:v>43647</c:v>
                </c:pt>
                <c:pt idx="115">
                  <c:v>43678</c:v>
                </c:pt>
                <c:pt idx="116">
                  <c:v>43709</c:v>
                </c:pt>
                <c:pt idx="117">
                  <c:v>43739</c:v>
                </c:pt>
                <c:pt idx="118">
                  <c:v>43770</c:v>
                </c:pt>
                <c:pt idx="119">
                  <c:v>43800</c:v>
                </c:pt>
                <c:pt idx="120">
                  <c:v>43831</c:v>
                </c:pt>
                <c:pt idx="121">
                  <c:v>43862</c:v>
                </c:pt>
                <c:pt idx="122">
                  <c:v>43891</c:v>
                </c:pt>
                <c:pt idx="123">
                  <c:v>43922</c:v>
                </c:pt>
                <c:pt idx="124">
                  <c:v>43952</c:v>
                </c:pt>
                <c:pt idx="125">
                  <c:v>43983</c:v>
                </c:pt>
                <c:pt idx="126">
                  <c:v>44013</c:v>
                </c:pt>
                <c:pt idx="127">
                  <c:v>44044</c:v>
                </c:pt>
                <c:pt idx="128">
                  <c:v>44075</c:v>
                </c:pt>
                <c:pt idx="129">
                  <c:v>44105</c:v>
                </c:pt>
                <c:pt idx="130">
                  <c:v>44136</c:v>
                </c:pt>
                <c:pt idx="131">
                  <c:v>44166</c:v>
                </c:pt>
                <c:pt idx="132">
                  <c:v>44197</c:v>
                </c:pt>
                <c:pt idx="133">
                  <c:v>44228</c:v>
                </c:pt>
                <c:pt idx="134">
                  <c:v>44256</c:v>
                </c:pt>
                <c:pt idx="135">
                  <c:v>44287</c:v>
                </c:pt>
                <c:pt idx="136">
                  <c:v>44317</c:v>
                </c:pt>
                <c:pt idx="137">
                  <c:v>44348</c:v>
                </c:pt>
                <c:pt idx="138">
                  <c:v>44378</c:v>
                </c:pt>
                <c:pt idx="139">
                  <c:v>44409</c:v>
                </c:pt>
                <c:pt idx="140">
                  <c:v>44440</c:v>
                </c:pt>
                <c:pt idx="141">
                  <c:v>44470</c:v>
                </c:pt>
                <c:pt idx="142">
                  <c:v>44501</c:v>
                </c:pt>
                <c:pt idx="143">
                  <c:v>44531</c:v>
                </c:pt>
                <c:pt idx="144">
                  <c:v>44562</c:v>
                </c:pt>
                <c:pt idx="145">
                  <c:v>44593</c:v>
                </c:pt>
                <c:pt idx="146">
                  <c:v>44621</c:v>
                </c:pt>
                <c:pt idx="147">
                  <c:v>44652</c:v>
                </c:pt>
                <c:pt idx="148">
                  <c:v>44682</c:v>
                </c:pt>
                <c:pt idx="149">
                  <c:v>44713</c:v>
                </c:pt>
                <c:pt idx="150">
                  <c:v>44743</c:v>
                </c:pt>
                <c:pt idx="151">
                  <c:v>44774</c:v>
                </c:pt>
                <c:pt idx="152">
                  <c:v>44805</c:v>
                </c:pt>
                <c:pt idx="153">
                  <c:v>44835</c:v>
                </c:pt>
                <c:pt idx="154">
                  <c:v>44866</c:v>
                </c:pt>
                <c:pt idx="155">
                  <c:v>44896</c:v>
                </c:pt>
                <c:pt idx="156">
                  <c:v>44927</c:v>
                </c:pt>
                <c:pt idx="157">
                  <c:v>44958</c:v>
                </c:pt>
                <c:pt idx="158">
                  <c:v>44986</c:v>
                </c:pt>
                <c:pt idx="159">
                  <c:v>45017</c:v>
                </c:pt>
                <c:pt idx="160">
                  <c:v>45047</c:v>
                </c:pt>
                <c:pt idx="161">
                  <c:v>45078</c:v>
                </c:pt>
                <c:pt idx="162">
                  <c:v>45108</c:v>
                </c:pt>
                <c:pt idx="163">
                  <c:v>45139</c:v>
                </c:pt>
                <c:pt idx="164">
                  <c:v>45170</c:v>
                </c:pt>
                <c:pt idx="165">
                  <c:v>45200</c:v>
                </c:pt>
                <c:pt idx="166">
                  <c:v>45231</c:v>
                </c:pt>
                <c:pt idx="167">
                  <c:v>45261</c:v>
                </c:pt>
                <c:pt idx="168">
                  <c:v>45292</c:v>
                </c:pt>
                <c:pt idx="169">
                  <c:v>45323</c:v>
                </c:pt>
                <c:pt idx="170">
                  <c:v>45352</c:v>
                </c:pt>
                <c:pt idx="171">
                  <c:v>45383</c:v>
                </c:pt>
                <c:pt idx="172">
                  <c:v>45413</c:v>
                </c:pt>
                <c:pt idx="173">
                  <c:v>45444</c:v>
                </c:pt>
                <c:pt idx="174">
                  <c:v>45474</c:v>
                </c:pt>
                <c:pt idx="175">
                  <c:v>45505</c:v>
                </c:pt>
                <c:pt idx="176">
                  <c:v>45536</c:v>
                </c:pt>
                <c:pt idx="177">
                  <c:v>45566</c:v>
                </c:pt>
                <c:pt idx="178">
                  <c:v>45597</c:v>
                </c:pt>
                <c:pt idx="179">
                  <c:v>45627</c:v>
                </c:pt>
                <c:pt idx="180">
                  <c:v>45658</c:v>
                </c:pt>
                <c:pt idx="181">
                  <c:v>45689</c:v>
                </c:pt>
                <c:pt idx="182">
                  <c:v>45717</c:v>
                </c:pt>
                <c:pt idx="183">
                  <c:v>45748</c:v>
                </c:pt>
                <c:pt idx="184">
                  <c:v>45778</c:v>
                </c:pt>
                <c:pt idx="185">
                  <c:v>45809</c:v>
                </c:pt>
                <c:pt idx="186">
                  <c:v>45839</c:v>
                </c:pt>
                <c:pt idx="187">
                  <c:v>45870</c:v>
                </c:pt>
                <c:pt idx="188">
                  <c:v>45901</c:v>
                </c:pt>
                <c:pt idx="189">
                  <c:v>45931</c:v>
                </c:pt>
                <c:pt idx="190">
                  <c:v>45962</c:v>
                </c:pt>
                <c:pt idx="191">
                  <c:v>45992</c:v>
                </c:pt>
                <c:pt idx="192">
                  <c:v>46023</c:v>
                </c:pt>
              </c:numCache>
            </c:numRef>
          </c:cat>
          <c:val>
            <c:numRef>
              <c:f>'schertz_violent_and_non XmR '!$M$2:$M$194</c:f>
              <c:numCache>
                <c:formatCode>0.0</c:formatCode>
                <c:ptCount val="193"/>
                <c:pt idx="1">
                  <c:v>28.363294117647058</c:v>
                </c:pt>
                <c:pt idx="2">
                  <c:v>28.363294117647058</c:v>
                </c:pt>
                <c:pt idx="3">
                  <c:v>28.363294117647058</c:v>
                </c:pt>
                <c:pt idx="4">
                  <c:v>28.363294117647058</c:v>
                </c:pt>
                <c:pt idx="5">
                  <c:v>28.363294117647058</c:v>
                </c:pt>
                <c:pt idx="6">
                  <c:v>28.363294117647058</c:v>
                </c:pt>
                <c:pt idx="7">
                  <c:v>28.363294117647058</c:v>
                </c:pt>
                <c:pt idx="8">
                  <c:v>28.363294117647058</c:v>
                </c:pt>
                <c:pt idx="9">
                  <c:v>28.363294117647058</c:v>
                </c:pt>
                <c:pt idx="10">
                  <c:v>28.363294117647058</c:v>
                </c:pt>
                <c:pt idx="11">
                  <c:v>28.363294117647058</c:v>
                </c:pt>
                <c:pt idx="12">
                  <c:v>28.363294117647058</c:v>
                </c:pt>
                <c:pt idx="13">
                  <c:v>28.363294117647058</c:v>
                </c:pt>
                <c:pt idx="14">
                  <c:v>28.363294117647058</c:v>
                </c:pt>
                <c:pt idx="15">
                  <c:v>28.363294117647058</c:v>
                </c:pt>
                <c:pt idx="16">
                  <c:v>28.363294117647058</c:v>
                </c:pt>
                <c:pt idx="17">
                  <c:v>28.363294117647058</c:v>
                </c:pt>
                <c:pt idx="18">
                  <c:v>19.373142857142856</c:v>
                </c:pt>
                <c:pt idx="19">
                  <c:v>19.373142857142856</c:v>
                </c:pt>
                <c:pt idx="20">
                  <c:v>19.373142857142856</c:v>
                </c:pt>
                <c:pt idx="21">
                  <c:v>19.373142857142856</c:v>
                </c:pt>
                <c:pt idx="22">
                  <c:v>19.373142857142856</c:v>
                </c:pt>
                <c:pt idx="23">
                  <c:v>19.373142857142856</c:v>
                </c:pt>
                <c:pt idx="24">
                  <c:v>19.373142857142856</c:v>
                </c:pt>
                <c:pt idx="25">
                  <c:v>19.373142857142856</c:v>
                </c:pt>
                <c:pt idx="26">
                  <c:v>19.373142857142856</c:v>
                </c:pt>
                <c:pt idx="27">
                  <c:v>19.373142857142856</c:v>
                </c:pt>
                <c:pt idx="28">
                  <c:v>19.373142857142856</c:v>
                </c:pt>
                <c:pt idx="29">
                  <c:v>19.373142857142856</c:v>
                </c:pt>
                <c:pt idx="30">
                  <c:v>19.373142857142856</c:v>
                </c:pt>
                <c:pt idx="31">
                  <c:v>19.373142857142856</c:v>
                </c:pt>
                <c:pt idx="32">
                  <c:v>22.663252032520322</c:v>
                </c:pt>
                <c:pt idx="33">
                  <c:v>22.663252032520322</c:v>
                </c:pt>
                <c:pt idx="34">
                  <c:v>22.663252032520322</c:v>
                </c:pt>
                <c:pt idx="35">
                  <c:v>22.663252032520322</c:v>
                </c:pt>
                <c:pt idx="36">
                  <c:v>22.663252032520322</c:v>
                </c:pt>
                <c:pt idx="37">
                  <c:v>22.663252032520322</c:v>
                </c:pt>
                <c:pt idx="38">
                  <c:v>22.663252032520322</c:v>
                </c:pt>
                <c:pt idx="39">
                  <c:v>22.663252032520322</c:v>
                </c:pt>
                <c:pt idx="40">
                  <c:v>22.663252032520322</c:v>
                </c:pt>
                <c:pt idx="41">
                  <c:v>22.663252032520322</c:v>
                </c:pt>
                <c:pt idx="42">
                  <c:v>22.663252032520322</c:v>
                </c:pt>
                <c:pt idx="43">
                  <c:v>22.663252032520322</c:v>
                </c:pt>
                <c:pt idx="44">
                  <c:v>22.663252032520322</c:v>
                </c:pt>
                <c:pt idx="45">
                  <c:v>22.663252032520322</c:v>
                </c:pt>
                <c:pt idx="46">
                  <c:v>22.663252032520322</c:v>
                </c:pt>
                <c:pt idx="47">
                  <c:v>22.663252032520322</c:v>
                </c:pt>
                <c:pt idx="48">
                  <c:v>22.663252032520322</c:v>
                </c:pt>
                <c:pt idx="49">
                  <c:v>22.663252032520322</c:v>
                </c:pt>
                <c:pt idx="50">
                  <c:v>22.663252032520322</c:v>
                </c:pt>
                <c:pt idx="51">
                  <c:v>22.663252032520322</c:v>
                </c:pt>
                <c:pt idx="52">
                  <c:v>22.663252032520322</c:v>
                </c:pt>
                <c:pt idx="53">
                  <c:v>22.663252032520322</c:v>
                </c:pt>
                <c:pt idx="54">
                  <c:v>22.663252032520322</c:v>
                </c:pt>
                <c:pt idx="55">
                  <c:v>22.663252032520322</c:v>
                </c:pt>
                <c:pt idx="56">
                  <c:v>22.663252032520322</c:v>
                </c:pt>
                <c:pt idx="57">
                  <c:v>22.663252032520322</c:v>
                </c:pt>
                <c:pt idx="58">
                  <c:v>22.663252032520322</c:v>
                </c:pt>
                <c:pt idx="59">
                  <c:v>22.663252032520322</c:v>
                </c:pt>
                <c:pt idx="60">
                  <c:v>22.663252032520322</c:v>
                </c:pt>
                <c:pt idx="61">
                  <c:v>22.663252032520322</c:v>
                </c:pt>
                <c:pt idx="62">
                  <c:v>22.663252032520322</c:v>
                </c:pt>
                <c:pt idx="63">
                  <c:v>22.663252032520322</c:v>
                </c:pt>
                <c:pt idx="64">
                  <c:v>22.663252032520322</c:v>
                </c:pt>
                <c:pt idx="65">
                  <c:v>22.663252032520322</c:v>
                </c:pt>
                <c:pt idx="66">
                  <c:v>22.663252032520322</c:v>
                </c:pt>
                <c:pt idx="67">
                  <c:v>22.663252032520322</c:v>
                </c:pt>
                <c:pt idx="68">
                  <c:v>22.663252032520322</c:v>
                </c:pt>
                <c:pt idx="69">
                  <c:v>22.663252032520322</c:v>
                </c:pt>
                <c:pt idx="70">
                  <c:v>22.663252032520322</c:v>
                </c:pt>
                <c:pt idx="71">
                  <c:v>22.663252032520322</c:v>
                </c:pt>
                <c:pt idx="72">
                  <c:v>22.663252032520322</c:v>
                </c:pt>
                <c:pt idx="73">
                  <c:v>15.454358974358975</c:v>
                </c:pt>
                <c:pt idx="74">
                  <c:v>15.454358974358975</c:v>
                </c:pt>
                <c:pt idx="75">
                  <c:v>15.454358974358975</c:v>
                </c:pt>
                <c:pt idx="76">
                  <c:v>15.454358974358975</c:v>
                </c:pt>
                <c:pt idx="77">
                  <c:v>15.454358974358975</c:v>
                </c:pt>
                <c:pt idx="78">
                  <c:v>15.454358974358975</c:v>
                </c:pt>
                <c:pt idx="79">
                  <c:v>15.454358974358975</c:v>
                </c:pt>
                <c:pt idx="80">
                  <c:v>15.454358974358975</c:v>
                </c:pt>
                <c:pt idx="81">
                  <c:v>15.454358974358975</c:v>
                </c:pt>
                <c:pt idx="82">
                  <c:v>15.454358974358975</c:v>
                </c:pt>
                <c:pt idx="83">
                  <c:v>15.454358974358975</c:v>
                </c:pt>
                <c:pt idx="84">
                  <c:v>15.454358974358975</c:v>
                </c:pt>
                <c:pt idx="85">
                  <c:v>15.454358974358975</c:v>
                </c:pt>
                <c:pt idx="86">
                  <c:v>30.494761904761901</c:v>
                </c:pt>
                <c:pt idx="87">
                  <c:v>30.494761904761901</c:v>
                </c:pt>
                <c:pt idx="88">
                  <c:v>30.494761904761901</c:v>
                </c:pt>
                <c:pt idx="89">
                  <c:v>30.494761904761901</c:v>
                </c:pt>
                <c:pt idx="90">
                  <c:v>30.494761904761901</c:v>
                </c:pt>
                <c:pt idx="91">
                  <c:v>30.494761904761901</c:v>
                </c:pt>
                <c:pt idx="92">
                  <c:v>30.494761904761901</c:v>
                </c:pt>
                <c:pt idx="93">
                  <c:v>29.67939393939394</c:v>
                </c:pt>
                <c:pt idx="94">
                  <c:v>29.67939393939394</c:v>
                </c:pt>
                <c:pt idx="95">
                  <c:v>29.67939393939394</c:v>
                </c:pt>
                <c:pt idx="96">
                  <c:v>29.67939393939394</c:v>
                </c:pt>
                <c:pt idx="97">
                  <c:v>29.67939393939394</c:v>
                </c:pt>
                <c:pt idx="98">
                  <c:v>29.67939393939394</c:v>
                </c:pt>
                <c:pt idx="99">
                  <c:v>29.67939393939394</c:v>
                </c:pt>
                <c:pt idx="100">
                  <c:v>29.67939393939394</c:v>
                </c:pt>
                <c:pt idx="101">
                  <c:v>29.67939393939394</c:v>
                </c:pt>
                <c:pt idx="102">
                  <c:v>29.67939393939394</c:v>
                </c:pt>
                <c:pt idx="103">
                  <c:v>29.67939393939394</c:v>
                </c:pt>
                <c:pt idx="104">
                  <c:v>31.441893333333329</c:v>
                </c:pt>
                <c:pt idx="105">
                  <c:v>31.441893333333329</c:v>
                </c:pt>
                <c:pt idx="106">
                  <c:v>31.441893333333329</c:v>
                </c:pt>
                <c:pt idx="107">
                  <c:v>31.441893333333329</c:v>
                </c:pt>
                <c:pt idx="108">
                  <c:v>31.441893333333329</c:v>
                </c:pt>
                <c:pt idx="109">
                  <c:v>31.441893333333329</c:v>
                </c:pt>
                <c:pt idx="110">
                  <c:v>31.441893333333329</c:v>
                </c:pt>
                <c:pt idx="111">
                  <c:v>31.441893333333329</c:v>
                </c:pt>
                <c:pt idx="112">
                  <c:v>31.441893333333329</c:v>
                </c:pt>
                <c:pt idx="113">
                  <c:v>31.441893333333329</c:v>
                </c:pt>
                <c:pt idx="114">
                  <c:v>31.441893333333329</c:v>
                </c:pt>
                <c:pt idx="115">
                  <c:v>31.441893333333329</c:v>
                </c:pt>
                <c:pt idx="116">
                  <c:v>31.441893333333329</c:v>
                </c:pt>
                <c:pt idx="117">
                  <c:v>31.441893333333329</c:v>
                </c:pt>
                <c:pt idx="118">
                  <c:v>31.441893333333329</c:v>
                </c:pt>
                <c:pt idx="119">
                  <c:v>31.441893333333329</c:v>
                </c:pt>
                <c:pt idx="120">
                  <c:v>31.441893333333329</c:v>
                </c:pt>
                <c:pt idx="121">
                  <c:v>31.441893333333329</c:v>
                </c:pt>
                <c:pt idx="122">
                  <c:v>31.441893333333329</c:v>
                </c:pt>
                <c:pt idx="123">
                  <c:v>31.441893333333329</c:v>
                </c:pt>
                <c:pt idx="124">
                  <c:v>31.441893333333329</c:v>
                </c:pt>
                <c:pt idx="125">
                  <c:v>31.441893333333329</c:v>
                </c:pt>
                <c:pt idx="126">
                  <c:v>31.441893333333329</c:v>
                </c:pt>
                <c:pt idx="127">
                  <c:v>31.441893333333329</c:v>
                </c:pt>
                <c:pt idx="128">
                  <c:v>31.441893333333329</c:v>
                </c:pt>
                <c:pt idx="129">
                  <c:v>20.927777777777777</c:v>
                </c:pt>
                <c:pt idx="130">
                  <c:v>20.927777777777777</c:v>
                </c:pt>
                <c:pt idx="131">
                  <c:v>20.927777777777777</c:v>
                </c:pt>
                <c:pt idx="132">
                  <c:v>20.927777777777777</c:v>
                </c:pt>
                <c:pt idx="133">
                  <c:v>20.927777777777777</c:v>
                </c:pt>
                <c:pt idx="134">
                  <c:v>20.927777777777777</c:v>
                </c:pt>
                <c:pt idx="135">
                  <c:v>20.927777777777777</c:v>
                </c:pt>
                <c:pt idx="136">
                  <c:v>20.927777777777777</c:v>
                </c:pt>
                <c:pt idx="137">
                  <c:v>20.927777777777777</c:v>
                </c:pt>
                <c:pt idx="138">
                  <c:v>20.927777777777777</c:v>
                </c:pt>
                <c:pt idx="139">
                  <c:v>20.927777777777777</c:v>
                </c:pt>
                <c:pt idx="140">
                  <c:v>20.927777777777777</c:v>
                </c:pt>
                <c:pt idx="141">
                  <c:v>20.927777777777777</c:v>
                </c:pt>
                <c:pt idx="142">
                  <c:v>20.927777777777777</c:v>
                </c:pt>
                <c:pt idx="143">
                  <c:v>20.927777777777777</c:v>
                </c:pt>
                <c:pt idx="144">
                  <c:v>20.927777777777777</c:v>
                </c:pt>
                <c:pt idx="145">
                  <c:v>20.927777777777777</c:v>
                </c:pt>
                <c:pt idx="146">
                  <c:v>20.927777777777777</c:v>
                </c:pt>
                <c:pt idx="147">
                  <c:v>20.927777777777777</c:v>
                </c:pt>
                <c:pt idx="148">
                  <c:v>20.927777777777777</c:v>
                </c:pt>
                <c:pt idx="149">
                  <c:v>20.927777777777777</c:v>
                </c:pt>
                <c:pt idx="150">
                  <c:v>22.601999999999997</c:v>
                </c:pt>
                <c:pt idx="151">
                  <c:v>22.601999999999997</c:v>
                </c:pt>
                <c:pt idx="152">
                  <c:v>22.601999999999997</c:v>
                </c:pt>
                <c:pt idx="153">
                  <c:v>22.601999999999997</c:v>
                </c:pt>
                <c:pt idx="154">
                  <c:v>22.601999999999997</c:v>
                </c:pt>
                <c:pt idx="155">
                  <c:v>18.117476190476189</c:v>
                </c:pt>
                <c:pt idx="156">
                  <c:v>18.117476190476189</c:v>
                </c:pt>
                <c:pt idx="157">
                  <c:v>18.117476190476189</c:v>
                </c:pt>
                <c:pt idx="158">
                  <c:v>18.117476190476189</c:v>
                </c:pt>
                <c:pt idx="159">
                  <c:v>18.117476190476189</c:v>
                </c:pt>
                <c:pt idx="160">
                  <c:v>18.117476190476189</c:v>
                </c:pt>
                <c:pt idx="161">
                  <c:v>18.117476190476189</c:v>
                </c:pt>
                <c:pt idx="162">
                  <c:v>18.117476190476189</c:v>
                </c:pt>
                <c:pt idx="163">
                  <c:v>18.117476190476189</c:v>
                </c:pt>
                <c:pt idx="164">
                  <c:v>18.117476190476189</c:v>
                </c:pt>
                <c:pt idx="165">
                  <c:v>18.117476190476189</c:v>
                </c:pt>
                <c:pt idx="166">
                  <c:v>18.117476190476189</c:v>
                </c:pt>
                <c:pt idx="167">
                  <c:v>18.117476190476189</c:v>
                </c:pt>
                <c:pt idx="168">
                  <c:v>18.117476190476189</c:v>
                </c:pt>
                <c:pt idx="169">
                  <c:v>21.430044444444444</c:v>
                </c:pt>
                <c:pt idx="170">
                  <c:v>21.430044444444444</c:v>
                </c:pt>
                <c:pt idx="171">
                  <c:v>21.430044444444444</c:v>
                </c:pt>
                <c:pt idx="172">
                  <c:v>21.430044444444444</c:v>
                </c:pt>
                <c:pt idx="173">
                  <c:v>21.430044444444444</c:v>
                </c:pt>
                <c:pt idx="174">
                  <c:v>21.430044444444444</c:v>
                </c:pt>
                <c:pt idx="175">
                  <c:v>21.430044444444444</c:v>
                </c:pt>
                <c:pt idx="176">
                  <c:v>21.430044444444444</c:v>
                </c:pt>
                <c:pt idx="177">
                  <c:v>21.430044444444444</c:v>
                </c:pt>
                <c:pt idx="178">
                  <c:v>21.430044444444444</c:v>
                </c:pt>
                <c:pt idx="179">
                  <c:v>21.430044444444444</c:v>
                </c:pt>
                <c:pt idx="180">
                  <c:v>21.430044444444444</c:v>
                </c:pt>
                <c:pt idx="181">
                  <c:v>21.430044444444444</c:v>
                </c:pt>
                <c:pt idx="182">
                  <c:v>21.430044444444444</c:v>
                </c:pt>
                <c:pt idx="183">
                  <c:v>21.430044444444444</c:v>
                </c:pt>
                <c:pt idx="184">
                  <c:v>25.113333333333333</c:v>
                </c:pt>
                <c:pt idx="185">
                  <c:v>25.113333333333333</c:v>
                </c:pt>
                <c:pt idx="186">
                  <c:v>25.113333333333333</c:v>
                </c:pt>
                <c:pt idx="187">
                  <c:v>25.113333333333333</c:v>
                </c:pt>
                <c:pt idx="188">
                  <c:v>25.113333333333333</c:v>
                </c:pt>
                <c:pt idx="189">
                  <c:v>25.113333333333333</c:v>
                </c:pt>
                <c:pt idx="190">
                  <c:v>25.113333333333333</c:v>
                </c:pt>
                <c:pt idx="191">
                  <c:v>25.113333333333333</c:v>
                </c:pt>
                <c:pt idx="192">
                  <c:v>25.113333333333333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E13-8245-9994-4C830182B6FC}"/>
            </c:ext>
          </c:extLst>
        </c:ser>
        <c:ser>
          <c:idx val="3"/>
          <c:order val="3"/>
          <c:tx>
            <c:strRef>
              <c:f>'schertz_violent_and_non XmR '!$N$1</c:f>
              <c:strCache>
                <c:ptCount val="1"/>
                <c:pt idx="0">
                  <c:v> +1 Sigma</c:v>
                </c:pt>
              </c:strCache>
            </c:strRef>
          </c:tx>
          <c:spPr>
            <a:ln w="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'schertz_violent_and_non XmR '!$A$2:$A$194</c:f>
              <c:numCache>
                <c:formatCode>mmm\-yy</c:formatCode>
                <c:ptCount val="193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  <c:pt idx="51">
                  <c:v>41730</c:v>
                </c:pt>
                <c:pt idx="52">
                  <c:v>41760</c:v>
                </c:pt>
                <c:pt idx="53">
                  <c:v>41791</c:v>
                </c:pt>
                <c:pt idx="54">
                  <c:v>41821</c:v>
                </c:pt>
                <c:pt idx="55">
                  <c:v>41852</c:v>
                </c:pt>
                <c:pt idx="56">
                  <c:v>41883</c:v>
                </c:pt>
                <c:pt idx="57">
                  <c:v>41913</c:v>
                </c:pt>
                <c:pt idx="58">
                  <c:v>41944</c:v>
                </c:pt>
                <c:pt idx="59">
                  <c:v>41974</c:v>
                </c:pt>
                <c:pt idx="60">
                  <c:v>42005</c:v>
                </c:pt>
                <c:pt idx="61">
                  <c:v>42036</c:v>
                </c:pt>
                <c:pt idx="62">
                  <c:v>42064</c:v>
                </c:pt>
                <c:pt idx="63">
                  <c:v>42095</c:v>
                </c:pt>
                <c:pt idx="64">
                  <c:v>42125</c:v>
                </c:pt>
                <c:pt idx="65">
                  <c:v>42156</c:v>
                </c:pt>
                <c:pt idx="66">
                  <c:v>42186</c:v>
                </c:pt>
                <c:pt idx="67">
                  <c:v>42217</c:v>
                </c:pt>
                <c:pt idx="68">
                  <c:v>42248</c:v>
                </c:pt>
                <c:pt idx="69">
                  <c:v>42278</c:v>
                </c:pt>
                <c:pt idx="70">
                  <c:v>42309</c:v>
                </c:pt>
                <c:pt idx="71">
                  <c:v>42339</c:v>
                </c:pt>
                <c:pt idx="72">
                  <c:v>42370</c:v>
                </c:pt>
                <c:pt idx="73">
                  <c:v>42401</c:v>
                </c:pt>
                <c:pt idx="74">
                  <c:v>42430</c:v>
                </c:pt>
                <c:pt idx="75">
                  <c:v>42461</c:v>
                </c:pt>
                <c:pt idx="76">
                  <c:v>42491</c:v>
                </c:pt>
                <c:pt idx="77">
                  <c:v>42522</c:v>
                </c:pt>
                <c:pt idx="78">
                  <c:v>42552</c:v>
                </c:pt>
                <c:pt idx="79">
                  <c:v>42583</c:v>
                </c:pt>
                <c:pt idx="80">
                  <c:v>42614</c:v>
                </c:pt>
                <c:pt idx="81">
                  <c:v>42644</c:v>
                </c:pt>
                <c:pt idx="82">
                  <c:v>42675</c:v>
                </c:pt>
                <c:pt idx="83">
                  <c:v>42705</c:v>
                </c:pt>
                <c:pt idx="84">
                  <c:v>42736</c:v>
                </c:pt>
                <c:pt idx="85">
                  <c:v>42767</c:v>
                </c:pt>
                <c:pt idx="86">
                  <c:v>42795</c:v>
                </c:pt>
                <c:pt idx="87">
                  <c:v>42826</c:v>
                </c:pt>
                <c:pt idx="88">
                  <c:v>42856</c:v>
                </c:pt>
                <c:pt idx="89">
                  <c:v>42887</c:v>
                </c:pt>
                <c:pt idx="90">
                  <c:v>42917</c:v>
                </c:pt>
                <c:pt idx="91">
                  <c:v>42948</c:v>
                </c:pt>
                <c:pt idx="92">
                  <c:v>42979</c:v>
                </c:pt>
                <c:pt idx="93">
                  <c:v>43009</c:v>
                </c:pt>
                <c:pt idx="94">
                  <c:v>43040</c:v>
                </c:pt>
                <c:pt idx="95">
                  <c:v>43070</c:v>
                </c:pt>
                <c:pt idx="96">
                  <c:v>43101</c:v>
                </c:pt>
                <c:pt idx="97">
                  <c:v>43132</c:v>
                </c:pt>
                <c:pt idx="98">
                  <c:v>43160</c:v>
                </c:pt>
                <c:pt idx="99">
                  <c:v>43191</c:v>
                </c:pt>
                <c:pt idx="100">
                  <c:v>43221</c:v>
                </c:pt>
                <c:pt idx="101">
                  <c:v>43252</c:v>
                </c:pt>
                <c:pt idx="102">
                  <c:v>43282</c:v>
                </c:pt>
                <c:pt idx="103">
                  <c:v>43313</c:v>
                </c:pt>
                <c:pt idx="104">
                  <c:v>43344</c:v>
                </c:pt>
                <c:pt idx="105">
                  <c:v>43374</c:v>
                </c:pt>
                <c:pt idx="106">
                  <c:v>43405</c:v>
                </c:pt>
                <c:pt idx="107">
                  <c:v>43435</c:v>
                </c:pt>
                <c:pt idx="108">
                  <c:v>43466</c:v>
                </c:pt>
                <c:pt idx="109">
                  <c:v>43497</c:v>
                </c:pt>
                <c:pt idx="110">
                  <c:v>43525</c:v>
                </c:pt>
                <c:pt idx="111">
                  <c:v>43556</c:v>
                </c:pt>
                <c:pt idx="112">
                  <c:v>43586</c:v>
                </c:pt>
                <c:pt idx="113">
                  <c:v>43617</c:v>
                </c:pt>
                <c:pt idx="114">
                  <c:v>43647</c:v>
                </c:pt>
                <c:pt idx="115">
                  <c:v>43678</c:v>
                </c:pt>
                <c:pt idx="116">
                  <c:v>43709</c:v>
                </c:pt>
                <c:pt idx="117">
                  <c:v>43739</c:v>
                </c:pt>
                <c:pt idx="118">
                  <c:v>43770</c:v>
                </c:pt>
                <c:pt idx="119">
                  <c:v>43800</c:v>
                </c:pt>
                <c:pt idx="120">
                  <c:v>43831</c:v>
                </c:pt>
                <c:pt idx="121">
                  <c:v>43862</c:v>
                </c:pt>
                <c:pt idx="122">
                  <c:v>43891</c:v>
                </c:pt>
                <c:pt idx="123">
                  <c:v>43922</c:v>
                </c:pt>
                <c:pt idx="124">
                  <c:v>43952</c:v>
                </c:pt>
                <c:pt idx="125">
                  <c:v>43983</c:v>
                </c:pt>
                <c:pt idx="126">
                  <c:v>44013</c:v>
                </c:pt>
                <c:pt idx="127">
                  <c:v>44044</c:v>
                </c:pt>
                <c:pt idx="128">
                  <c:v>44075</c:v>
                </c:pt>
                <c:pt idx="129">
                  <c:v>44105</c:v>
                </c:pt>
                <c:pt idx="130">
                  <c:v>44136</c:v>
                </c:pt>
                <c:pt idx="131">
                  <c:v>44166</c:v>
                </c:pt>
                <c:pt idx="132">
                  <c:v>44197</c:v>
                </c:pt>
                <c:pt idx="133">
                  <c:v>44228</c:v>
                </c:pt>
                <c:pt idx="134">
                  <c:v>44256</c:v>
                </c:pt>
                <c:pt idx="135">
                  <c:v>44287</c:v>
                </c:pt>
                <c:pt idx="136">
                  <c:v>44317</c:v>
                </c:pt>
                <c:pt idx="137">
                  <c:v>44348</c:v>
                </c:pt>
                <c:pt idx="138">
                  <c:v>44378</c:v>
                </c:pt>
                <c:pt idx="139">
                  <c:v>44409</c:v>
                </c:pt>
                <c:pt idx="140">
                  <c:v>44440</c:v>
                </c:pt>
                <c:pt idx="141">
                  <c:v>44470</c:v>
                </c:pt>
                <c:pt idx="142">
                  <c:v>44501</c:v>
                </c:pt>
                <c:pt idx="143">
                  <c:v>44531</c:v>
                </c:pt>
                <c:pt idx="144">
                  <c:v>44562</c:v>
                </c:pt>
                <c:pt idx="145">
                  <c:v>44593</c:v>
                </c:pt>
                <c:pt idx="146">
                  <c:v>44621</c:v>
                </c:pt>
                <c:pt idx="147">
                  <c:v>44652</c:v>
                </c:pt>
                <c:pt idx="148">
                  <c:v>44682</c:v>
                </c:pt>
                <c:pt idx="149">
                  <c:v>44713</c:v>
                </c:pt>
                <c:pt idx="150">
                  <c:v>44743</c:v>
                </c:pt>
                <c:pt idx="151">
                  <c:v>44774</c:v>
                </c:pt>
                <c:pt idx="152">
                  <c:v>44805</c:v>
                </c:pt>
                <c:pt idx="153">
                  <c:v>44835</c:v>
                </c:pt>
                <c:pt idx="154">
                  <c:v>44866</c:v>
                </c:pt>
                <c:pt idx="155">
                  <c:v>44896</c:v>
                </c:pt>
                <c:pt idx="156">
                  <c:v>44927</c:v>
                </c:pt>
                <c:pt idx="157">
                  <c:v>44958</c:v>
                </c:pt>
                <c:pt idx="158">
                  <c:v>44986</c:v>
                </c:pt>
                <c:pt idx="159">
                  <c:v>45017</c:v>
                </c:pt>
                <c:pt idx="160">
                  <c:v>45047</c:v>
                </c:pt>
                <c:pt idx="161">
                  <c:v>45078</c:v>
                </c:pt>
                <c:pt idx="162">
                  <c:v>45108</c:v>
                </c:pt>
                <c:pt idx="163">
                  <c:v>45139</c:v>
                </c:pt>
                <c:pt idx="164">
                  <c:v>45170</c:v>
                </c:pt>
                <c:pt idx="165">
                  <c:v>45200</c:v>
                </c:pt>
                <c:pt idx="166">
                  <c:v>45231</c:v>
                </c:pt>
                <c:pt idx="167">
                  <c:v>45261</c:v>
                </c:pt>
                <c:pt idx="168">
                  <c:v>45292</c:v>
                </c:pt>
                <c:pt idx="169">
                  <c:v>45323</c:v>
                </c:pt>
                <c:pt idx="170">
                  <c:v>45352</c:v>
                </c:pt>
                <c:pt idx="171">
                  <c:v>45383</c:v>
                </c:pt>
                <c:pt idx="172">
                  <c:v>45413</c:v>
                </c:pt>
                <c:pt idx="173">
                  <c:v>45444</c:v>
                </c:pt>
                <c:pt idx="174">
                  <c:v>45474</c:v>
                </c:pt>
                <c:pt idx="175">
                  <c:v>45505</c:v>
                </c:pt>
                <c:pt idx="176">
                  <c:v>45536</c:v>
                </c:pt>
                <c:pt idx="177">
                  <c:v>45566</c:v>
                </c:pt>
                <c:pt idx="178">
                  <c:v>45597</c:v>
                </c:pt>
                <c:pt idx="179">
                  <c:v>45627</c:v>
                </c:pt>
                <c:pt idx="180">
                  <c:v>45658</c:v>
                </c:pt>
                <c:pt idx="181">
                  <c:v>45689</c:v>
                </c:pt>
                <c:pt idx="182">
                  <c:v>45717</c:v>
                </c:pt>
                <c:pt idx="183">
                  <c:v>45748</c:v>
                </c:pt>
                <c:pt idx="184">
                  <c:v>45778</c:v>
                </c:pt>
                <c:pt idx="185">
                  <c:v>45809</c:v>
                </c:pt>
                <c:pt idx="186">
                  <c:v>45839</c:v>
                </c:pt>
                <c:pt idx="187">
                  <c:v>45870</c:v>
                </c:pt>
                <c:pt idx="188">
                  <c:v>45901</c:v>
                </c:pt>
                <c:pt idx="189">
                  <c:v>45931</c:v>
                </c:pt>
                <c:pt idx="190">
                  <c:v>45962</c:v>
                </c:pt>
                <c:pt idx="191">
                  <c:v>45992</c:v>
                </c:pt>
                <c:pt idx="192">
                  <c:v>46023</c:v>
                </c:pt>
              </c:numCache>
            </c:numRef>
          </c:cat>
          <c:val>
            <c:numRef>
              <c:f>'schertz_violent_and_non XmR '!$N$2:$N$194</c:f>
              <c:numCache>
                <c:formatCode>0.0</c:formatCode>
                <c:ptCount val="193"/>
                <c:pt idx="1">
                  <c:v>19.828705882352942</c:v>
                </c:pt>
                <c:pt idx="2">
                  <c:v>19.828705882352942</c:v>
                </c:pt>
                <c:pt idx="3">
                  <c:v>19.828705882352942</c:v>
                </c:pt>
                <c:pt idx="4">
                  <c:v>19.828705882352942</c:v>
                </c:pt>
                <c:pt idx="5">
                  <c:v>19.828705882352942</c:v>
                </c:pt>
                <c:pt idx="6">
                  <c:v>19.828705882352942</c:v>
                </c:pt>
                <c:pt idx="7">
                  <c:v>19.828705882352942</c:v>
                </c:pt>
                <c:pt idx="8">
                  <c:v>19.828705882352942</c:v>
                </c:pt>
                <c:pt idx="9">
                  <c:v>19.828705882352942</c:v>
                </c:pt>
                <c:pt idx="10">
                  <c:v>19.828705882352942</c:v>
                </c:pt>
                <c:pt idx="11">
                  <c:v>19.828705882352942</c:v>
                </c:pt>
                <c:pt idx="12">
                  <c:v>19.828705882352942</c:v>
                </c:pt>
                <c:pt idx="13">
                  <c:v>19.828705882352942</c:v>
                </c:pt>
                <c:pt idx="14">
                  <c:v>19.828705882352942</c:v>
                </c:pt>
                <c:pt idx="15">
                  <c:v>19.828705882352942</c:v>
                </c:pt>
                <c:pt idx="16">
                  <c:v>19.828705882352942</c:v>
                </c:pt>
                <c:pt idx="17">
                  <c:v>19.828705882352942</c:v>
                </c:pt>
                <c:pt idx="18">
                  <c:v>13.543714285714284</c:v>
                </c:pt>
                <c:pt idx="19">
                  <c:v>13.543714285714284</c:v>
                </c:pt>
                <c:pt idx="20">
                  <c:v>13.543714285714284</c:v>
                </c:pt>
                <c:pt idx="21">
                  <c:v>13.543714285714284</c:v>
                </c:pt>
                <c:pt idx="22">
                  <c:v>13.543714285714284</c:v>
                </c:pt>
                <c:pt idx="23">
                  <c:v>13.543714285714284</c:v>
                </c:pt>
                <c:pt idx="24">
                  <c:v>13.543714285714284</c:v>
                </c:pt>
                <c:pt idx="25">
                  <c:v>13.543714285714284</c:v>
                </c:pt>
                <c:pt idx="26">
                  <c:v>13.543714285714284</c:v>
                </c:pt>
                <c:pt idx="27">
                  <c:v>13.543714285714284</c:v>
                </c:pt>
                <c:pt idx="28">
                  <c:v>13.543714285714284</c:v>
                </c:pt>
                <c:pt idx="29">
                  <c:v>13.543714285714284</c:v>
                </c:pt>
                <c:pt idx="30">
                  <c:v>13.543714285714284</c:v>
                </c:pt>
                <c:pt idx="31">
                  <c:v>13.543714285714284</c:v>
                </c:pt>
                <c:pt idx="32">
                  <c:v>15.84382113821138</c:v>
                </c:pt>
                <c:pt idx="33">
                  <c:v>15.84382113821138</c:v>
                </c:pt>
                <c:pt idx="34">
                  <c:v>15.84382113821138</c:v>
                </c:pt>
                <c:pt idx="35">
                  <c:v>15.84382113821138</c:v>
                </c:pt>
                <c:pt idx="36">
                  <c:v>15.84382113821138</c:v>
                </c:pt>
                <c:pt idx="37">
                  <c:v>15.84382113821138</c:v>
                </c:pt>
                <c:pt idx="38">
                  <c:v>15.84382113821138</c:v>
                </c:pt>
                <c:pt idx="39">
                  <c:v>15.84382113821138</c:v>
                </c:pt>
                <c:pt idx="40">
                  <c:v>15.84382113821138</c:v>
                </c:pt>
                <c:pt idx="41">
                  <c:v>15.84382113821138</c:v>
                </c:pt>
                <c:pt idx="42">
                  <c:v>15.84382113821138</c:v>
                </c:pt>
                <c:pt idx="43">
                  <c:v>15.84382113821138</c:v>
                </c:pt>
                <c:pt idx="44">
                  <c:v>15.84382113821138</c:v>
                </c:pt>
                <c:pt idx="45">
                  <c:v>15.84382113821138</c:v>
                </c:pt>
                <c:pt idx="46">
                  <c:v>15.84382113821138</c:v>
                </c:pt>
                <c:pt idx="47">
                  <c:v>15.84382113821138</c:v>
                </c:pt>
                <c:pt idx="48">
                  <c:v>15.84382113821138</c:v>
                </c:pt>
                <c:pt idx="49">
                  <c:v>15.84382113821138</c:v>
                </c:pt>
                <c:pt idx="50">
                  <c:v>15.84382113821138</c:v>
                </c:pt>
                <c:pt idx="51">
                  <c:v>15.84382113821138</c:v>
                </c:pt>
                <c:pt idx="52">
                  <c:v>15.84382113821138</c:v>
                </c:pt>
                <c:pt idx="53">
                  <c:v>15.84382113821138</c:v>
                </c:pt>
                <c:pt idx="54">
                  <c:v>15.84382113821138</c:v>
                </c:pt>
                <c:pt idx="55">
                  <c:v>15.84382113821138</c:v>
                </c:pt>
                <c:pt idx="56">
                  <c:v>15.84382113821138</c:v>
                </c:pt>
                <c:pt idx="57">
                  <c:v>15.84382113821138</c:v>
                </c:pt>
                <c:pt idx="58">
                  <c:v>15.84382113821138</c:v>
                </c:pt>
                <c:pt idx="59">
                  <c:v>15.84382113821138</c:v>
                </c:pt>
                <c:pt idx="60">
                  <c:v>15.84382113821138</c:v>
                </c:pt>
                <c:pt idx="61">
                  <c:v>15.84382113821138</c:v>
                </c:pt>
                <c:pt idx="62">
                  <c:v>15.84382113821138</c:v>
                </c:pt>
                <c:pt idx="63">
                  <c:v>15.84382113821138</c:v>
                </c:pt>
                <c:pt idx="64">
                  <c:v>15.84382113821138</c:v>
                </c:pt>
                <c:pt idx="65">
                  <c:v>15.84382113821138</c:v>
                </c:pt>
                <c:pt idx="66">
                  <c:v>15.84382113821138</c:v>
                </c:pt>
                <c:pt idx="67">
                  <c:v>15.84382113821138</c:v>
                </c:pt>
                <c:pt idx="68">
                  <c:v>15.84382113821138</c:v>
                </c:pt>
                <c:pt idx="69">
                  <c:v>15.84382113821138</c:v>
                </c:pt>
                <c:pt idx="70">
                  <c:v>15.84382113821138</c:v>
                </c:pt>
                <c:pt idx="71">
                  <c:v>15.84382113821138</c:v>
                </c:pt>
                <c:pt idx="72">
                  <c:v>15.84382113821138</c:v>
                </c:pt>
                <c:pt idx="73">
                  <c:v>10.804102564102564</c:v>
                </c:pt>
                <c:pt idx="74">
                  <c:v>10.804102564102564</c:v>
                </c:pt>
                <c:pt idx="75">
                  <c:v>10.804102564102564</c:v>
                </c:pt>
                <c:pt idx="76">
                  <c:v>10.804102564102564</c:v>
                </c:pt>
                <c:pt idx="77">
                  <c:v>10.804102564102564</c:v>
                </c:pt>
                <c:pt idx="78">
                  <c:v>10.804102564102564</c:v>
                </c:pt>
                <c:pt idx="79">
                  <c:v>10.804102564102564</c:v>
                </c:pt>
                <c:pt idx="80">
                  <c:v>10.804102564102564</c:v>
                </c:pt>
                <c:pt idx="81">
                  <c:v>10.804102564102564</c:v>
                </c:pt>
                <c:pt idx="82">
                  <c:v>10.804102564102564</c:v>
                </c:pt>
                <c:pt idx="83">
                  <c:v>10.804102564102564</c:v>
                </c:pt>
                <c:pt idx="84">
                  <c:v>10.804102564102564</c:v>
                </c:pt>
                <c:pt idx="85">
                  <c:v>10.804102564102564</c:v>
                </c:pt>
                <c:pt idx="86">
                  <c:v>21.31880952380952</c:v>
                </c:pt>
                <c:pt idx="87">
                  <c:v>21.31880952380952</c:v>
                </c:pt>
                <c:pt idx="88">
                  <c:v>21.31880952380952</c:v>
                </c:pt>
                <c:pt idx="89">
                  <c:v>21.31880952380952</c:v>
                </c:pt>
                <c:pt idx="90">
                  <c:v>21.31880952380952</c:v>
                </c:pt>
                <c:pt idx="91">
                  <c:v>21.31880952380952</c:v>
                </c:pt>
                <c:pt idx="92">
                  <c:v>21.31880952380952</c:v>
                </c:pt>
                <c:pt idx="93">
                  <c:v>20.74878787878788</c:v>
                </c:pt>
                <c:pt idx="94">
                  <c:v>20.74878787878788</c:v>
                </c:pt>
                <c:pt idx="95">
                  <c:v>20.74878787878788</c:v>
                </c:pt>
                <c:pt idx="96">
                  <c:v>20.74878787878788</c:v>
                </c:pt>
                <c:pt idx="97">
                  <c:v>20.74878787878788</c:v>
                </c:pt>
                <c:pt idx="98">
                  <c:v>20.74878787878788</c:v>
                </c:pt>
                <c:pt idx="99">
                  <c:v>20.74878787878788</c:v>
                </c:pt>
                <c:pt idx="100">
                  <c:v>20.74878787878788</c:v>
                </c:pt>
                <c:pt idx="101">
                  <c:v>20.74878787878788</c:v>
                </c:pt>
                <c:pt idx="102">
                  <c:v>20.74878787878788</c:v>
                </c:pt>
                <c:pt idx="103">
                  <c:v>20.74878787878788</c:v>
                </c:pt>
                <c:pt idx="104">
                  <c:v>21.980946666666664</c:v>
                </c:pt>
                <c:pt idx="105">
                  <c:v>21.980946666666664</c:v>
                </c:pt>
                <c:pt idx="106">
                  <c:v>21.980946666666664</c:v>
                </c:pt>
                <c:pt idx="107">
                  <c:v>21.980946666666664</c:v>
                </c:pt>
                <c:pt idx="108">
                  <c:v>21.980946666666664</c:v>
                </c:pt>
                <c:pt idx="109">
                  <c:v>21.980946666666664</c:v>
                </c:pt>
                <c:pt idx="110">
                  <c:v>21.980946666666664</c:v>
                </c:pt>
                <c:pt idx="111">
                  <c:v>21.980946666666664</c:v>
                </c:pt>
                <c:pt idx="112">
                  <c:v>21.980946666666664</c:v>
                </c:pt>
                <c:pt idx="113">
                  <c:v>21.980946666666664</c:v>
                </c:pt>
                <c:pt idx="114">
                  <c:v>21.980946666666664</c:v>
                </c:pt>
                <c:pt idx="115">
                  <c:v>21.980946666666664</c:v>
                </c:pt>
                <c:pt idx="116">
                  <c:v>21.980946666666664</c:v>
                </c:pt>
                <c:pt idx="117">
                  <c:v>21.980946666666664</c:v>
                </c:pt>
                <c:pt idx="118">
                  <c:v>21.980946666666664</c:v>
                </c:pt>
                <c:pt idx="119">
                  <c:v>21.980946666666664</c:v>
                </c:pt>
                <c:pt idx="120">
                  <c:v>21.980946666666664</c:v>
                </c:pt>
                <c:pt idx="121">
                  <c:v>21.980946666666664</c:v>
                </c:pt>
                <c:pt idx="122">
                  <c:v>21.980946666666664</c:v>
                </c:pt>
                <c:pt idx="123">
                  <c:v>21.980946666666664</c:v>
                </c:pt>
                <c:pt idx="124">
                  <c:v>21.980946666666664</c:v>
                </c:pt>
                <c:pt idx="125">
                  <c:v>21.980946666666664</c:v>
                </c:pt>
                <c:pt idx="126">
                  <c:v>21.980946666666664</c:v>
                </c:pt>
                <c:pt idx="127">
                  <c:v>21.980946666666664</c:v>
                </c:pt>
                <c:pt idx="128">
                  <c:v>21.980946666666664</c:v>
                </c:pt>
                <c:pt idx="129">
                  <c:v>14.630555555555556</c:v>
                </c:pt>
                <c:pt idx="130">
                  <c:v>14.630555555555556</c:v>
                </c:pt>
                <c:pt idx="131">
                  <c:v>14.630555555555556</c:v>
                </c:pt>
                <c:pt idx="132">
                  <c:v>14.630555555555556</c:v>
                </c:pt>
                <c:pt idx="133">
                  <c:v>14.630555555555556</c:v>
                </c:pt>
                <c:pt idx="134">
                  <c:v>14.630555555555556</c:v>
                </c:pt>
                <c:pt idx="135">
                  <c:v>14.630555555555556</c:v>
                </c:pt>
                <c:pt idx="136">
                  <c:v>14.630555555555556</c:v>
                </c:pt>
                <c:pt idx="137">
                  <c:v>14.630555555555556</c:v>
                </c:pt>
                <c:pt idx="138">
                  <c:v>14.630555555555556</c:v>
                </c:pt>
                <c:pt idx="139">
                  <c:v>14.630555555555556</c:v>
                </c:pt>
                <c:pt idx="140">
                  <c:v>14.630555555555556</c:v>
                </c:pt>
                <c:pt idx="141">
                  <c:v>14.630555555555556</c:v>
                </c:pt>
                <c:pt idx="142">
                  <c:v>14.630555555555556</c:v>
                </c:pt>
                <c:pt idx="143">
                  <c:v>14.630555555555556</c:v>
                </c:pt>
                <c:pt idx="144">
                  <c:v>14.630555555555556</c:v>
                </c:pt>
                <c:pt idx="145">
                  <c:v>14.630555555555556</c:v>
                </c:pt>
                <c:pt idx="146">
                  <c:v>14.630555555555556</c:v>
                </c:pt>
                <c:pt idx="147">
                  <c:v>14.630555555555556</c:v>
                </c:pt>
                <c:pt idx="148">
                  <c:v>14.630555555555556</c:v>
                </c:pt>
                <c:pt idx="149">
                  <c:v>14.630555555555556</c:v>
                </c:pt>
                <c:pt idx="150">
                  <c:v>15.800999999999998</c:v>
                </c:pt>
                <c:pt idx="151">
                  <c:v>15.800999999999998</c:v>
                </c:pt>
                <c:pt idx="152">
                  <c:v>15.800999999999998</c:v>
                </c:pt>
                <c:pt idx="153">
                  <c:v>15.800999999999998</c:v>
                </c:pt>
                <c:pt idx="154">
                  <c:v>15.800999999999998</c:v>
                </c:pt>
                <c:pt idx="155">
                  <c:v>12.665880952380952</c:v>
                </c:pt>
                <c:pt idx="156">
                  <c:v>12.665880952380952</c:v>
                </c:pt>
                <c:pt idx="157">
                  <c:v>12.665880952380952</c:v>
                </c:pt>
                <c:pt idx="158">
                  <c:v>12.665880952380952</c:v>
                </c:pt>
                <c:pt idx="159">
                  <c:v>12.665880952380952</c:v>
                </c:pt>
                <c:pt idx="160">
                  <c:v>12.665880952380952</c:v>
                </c:pt>
                <c:pt idx="161">
                  <c:v>12.665880952380952</c:v>
                </c:pt>
                <c:pt idx="162">
                  <c:v>12.665880952380952</c:v>
                </c:pt>
                <c:pt idx="163">
                  <c:v>12.665880952380952</c:v>
                </c:pt>
                <c:pt idx="164">
                  <c:v>12.665880952380952</c:v>
                </c:pt>
                <c:pt idx="165">
                  <c:v>12.665880952380952</c:v>
                </c:pt>
                <c:pt idx="166">
                  <c:v>12.665880952380952</c:v>
                </c:pt>
                <c:pt idx="167">
                  <c:v>12.665880952380952</c:v>
                </c:pt>
                <c:pt idx="168">
                  <c:v>12.665880952380952</c:v>
                </c:pt>
                <c:pt idx="169">
                  <c:v>14.98168888888889</c:v>
                </c:pt>
                <c:pt idx="170">
                  <c:v>14.98168888888889</c:v>
                </c:pt>
                <c:pt idx="171">
                  <c:v>14.98168888888889</c:v>
                </c:pt>
                <c:pt idx="172">
                  <c:v>14.98168888888889</c:v>
                </c:pt>
                <c:pt idx="173">
                  <c:v>14.98168888888889</c:v>
                </c:pt>
                <c:pt idx="174">
                  <c:v>14.98168888888889</c:v>
                </c:pt>
                <c:pt idx="175">
                  <c:v>14.98168888888889</c:v>
                </c:pt>
                <c:pt idx="176">
                  <c:v>14.98168888888889</c:v>
                </c:pt>
                <c:pt idx="177">
                  <c:v>14.98168888888889</c:v>
                </c:pt>
                <c:pt idx="178">
                  <c:v>14.98168888888889</c:v>
                </c:pt>
                <c:pt idx="179">
                  <c:v>14.98168888888889</c:v>
                </c:pt>
                <c:pt idx="180">
                  <c:v>14.98168888888889</c:v>
                </c:pt>
                <c:pt idx="181">
                  <c:v>14.98168888888889</c:v>
                </c:pt>
                <c:pt idx="182">
                  <c:v>14.98168888888889</c:v>
                </c:pt>
                <c:pt idx="183">
                  <c:v>14.98168888888889</c:v>
                </c:pt>
                <c:pt idx="184">
                  <c:v>17.556666666666665</c:v>
                </c:pt>
                <c:pt idx="185">
                  <c:v>17.556666666666665</c:v>
                </c:pt>
                <c:pt idx="186">
                  <c:v>17.556666666666665</c:v>
                </c:pt>
                <c:pt idx="187">
                  <c:v>17.556666666666665</c:v>
                </c:pt>
                <c:pt idx="188">
                  <c:v>17.556666666666665</c:v>
                </c:pt>
                <c:pt idx="189">
                  <c:v>17.556666666666665</c:v>
                </c:pt>
                <c:pt idx="190">
                  <c:v>17.556666666666665</c:v>
                </c:pt>
                <c:pt idx="191">
                  <c:v>17.556666666666665</c:v>
                </c:pt>
                <c:pt idx="192">
                  <c:v>17.556666666666665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E13-8245-9994-4C830182B6FC}"/>
            </c:ext>
          </c:extLst>
        </c:ser>
        <c:ser>
          <c:idx val="4"/>
          <c:order val="4"/>
          <c:tx>
            <c:strRef>
              <c:f>'schertz_violent_and_non XmR '!$O$1</c:f>
              <c:strCache>
                <c:ptCount val="1"/>
                <c:pt idx="0">
                  <c:v>Average</c:v>
                </c:pt>
              </c:strCache>
            </c:strRef>
          </c:tx>
          <c:spPr>
            <a:ln w="12700">
              <a:solidFill>
                <a:srgbClr val="009999"/>
              </a:solidFill>
              <a:prstDash val="solid"/>
            </a:ln>
            <a:effectLst/>
          </c:spPr>
          <c:marker>
            <c:symbol val="none"/>
          </c:marker>
          <c:dPt>
            <c:idx val="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7-BE13-8245-9994-4C830182B6FC}"/>
              </c:ext>
            </c:extLst>
          </c:dPt>
          <c:dPt>
            <c:idx val="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9-BE13-8245-9994-4C830182B6FC}"/>
              </c:ext>
            </c:extLst>
          </c:dPt>
          <c:dPt>
            <c:idx val="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B-BE13-8245-9994-4C830182B6FC}"/>
              </c:ext>
            </c:extLst>
          </c:dPt>
          <c:dPt>
            <c:idx val="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D-BE13-8245-9994-4C830182B6FC}"/>
              </c:ext>
            </c:extLst>
          </c:dPt>
          <c:dPt>
            <c:idx val="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F-BE13-8245-9994-4C830182B6FC}"/>
              </c:ext>
            </c:extLst>
          </c:dPt>
          <c:dPt>
            <c:idx val="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1-BE13-8245-9994-4C830182B6FC}"/>
              </c:ext>
            </c:extLst>
          </c:dPt>
          <c:dPt>
            <c:idx val="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3-BE13-8245-9994-4C830182B6FC}"/>
              </c:ext>
            </c:extLst>
          </c:dPt>
          <c:dPt>
            <c:idx val="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5-BE13-8245-9994-4C830182B6FC}"/>
              </c:ext>
            </c:extLst>
          </c:dPt>
          <c:dPt>
            <c:idx val="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7-BE13-8245-9994-4C830182B6FC}"/>
              </c:ext>
            </c:extLst>
          </c:dPt>
          <c:dPt>
            <c:idx val="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9-BE13-8245-9994-4C830182B6FC}"/>
              </c:ext>
            </c:extLst>
          </c:dPt>
          <c:dPt>
            <c:idx val="1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B-BE13-8245-9994-4C830182B6FC}"/>
              </c:ext>
            </c:extLst>
          </c:dPt>
          <c:dPt>
            <c:idx val="1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D-BE13-8245-9994-4C830182B6FC}"/>
              </c:ext>
            </c:extLst>
          </c:dPt>
          <c:dPt>
            <c:idx val="1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F-BE13-8245-9994-4C830182B6FC}"/>
              </c:ext>
            </c:extLst>
          </c:dPt>
          <c:dPt>
            <c:idx val="1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21-BE13-8245-9994-4C830182B6FC}"/>
              </c:ext>
            </c:extLst>
          </c:dPt>
          <c:dPt>
            <c:idx val="1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23-BE13-8245-9994-4C830182B6FC}"/>
              </c:ext>
            </c:extLst>
          </c:dPt>
          <c:dPt>
            <c:idx val="1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25-BE13-8245-9994-4C830182B6FC}"/>
              </c:ext>
            </c:extLst>
          </c:dPt>
          <c:dPt>
            <c:idx val="1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27-BE13-8245-9994-4C830182B6FC}"/>
              </c:ext>
            </c:extLst>
          </c:dPt>
          <c:dPt>
            <c:idx val="1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29-BE13-8245-9994-4C830182B6FC}"/>
              </c:ext>
            </c:extLst>
          </c:dPt>
          <c:dPt>
            <c:idx val="1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2B-BE13-8245-9994-4C830182B6FC}"/>
              </c:ext>
            </c:extLst>
          </c:dPt>
          <c:dPt>
            <c:idx val="1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2D-BE13-8245-9994-4C830182B6FC}"/>
              </c:ext>
            </c:extLst>
          </c:dPt>
          <c:dPt>
            <c:idx val="2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2F-BE13-8245-9994-4C830182B6FC}"/>
              </c:ext>
            </c:extLst>
          </c:dPt>
          <c:dPt>
            <c:idx val="2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31-BE13-8245-9994-4C830182B6FC}"/>
              </c:ext>
            </c:extLst>
          </c:dPt>
          <c:dPt>
            <c:idx val="2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33-BE13-8245-9994-4C830182B6FC}"/>
              </c:ext>
            </c:extLst>
          </c:dPt>
          <c:dPt>
            <c:idx val="2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35-BE13-8245-9994-4C830182B6FC}"/>
              </c:ext>
            </c:extLst>
          </c:dPt>
          <c:dPt>
            <c:idx val="2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37-BE13-8245-9994-4C830182B6FC}"/>
              </c:ext>
            </c:extLst>
          </c:dPt>
          <c:dPt>
            <c:idx val="2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39-BE13-8245-9994-4C830182B6FC}"/>
              </c:ext>
            </c:extLst>
          </c:dPt>
          <c:dPt>
            <c:idx val="2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3B-BE13-8245-9994-4C830182B6FC}"/>
              </c:ext>
            </c:extLst>
          </c:dPt>
          <c:dPt>
            <c:idx val="2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3D-BE13-8245-9994-4C830182B6FC}"/>
              </c:ext>
            </c:extLst>
          </c:dPt>
          <c:dPt>
            <c:idx val="2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3F-BE13-8245-9994-4C830182B6FC}"/>
              </c:ext>
            </c:extLst>
          </c:dPt>
          <c:dPt>
            <c:idx val="2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41-BE13-8245-9994-4C830182B6FC}"/>
              </c:ext>
            </c:extLst>
          </c:dPt>
          <c:dPt>
            <c:idx val="3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43-BE13-8245-9994-4C830182B6FC}"/>
              </c:ext>
            </c:extLst>
          </c:dPt>
          <c:dPt>
            <c:idx val="3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45-BE13-8245-9994-4C830182B6FC}"/>
              </c:ext>
            </c:extLst>
          </c:dPt>
          <c:dPt>
            <c:idx val="3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47-BE13-8245-9994-4C830182B6FC}"/>
              </c:ext>
            </c:extLst>
          </c:dPt>
          <c:dPt>
            <c:idx val="3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49-BE13-8245-9994-4C830182B6FC}"/>
              </c:ext>
            </c:extLst>
          </c:dPt>
          <c:dPt>
            <c:idx val="3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4B-BE13-8245-9994-4C830182B6FC}"/>
              </c:ext>
            </c:extLst>
          </c:dPt>
          <c:dPt>
            <c:idx val="3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4D-BE13-8245-9994-4C830182B6FC}"/>
              </c:ext>
            </c:extLst>
          </c:dPt>
          <c:dPt>
            <c:idx val="3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4F-BE13-8245-9994-4C830182B6FC}"/>
              </c:ext>
            </c:extLst>
          </c:dPt>
          <c:dPt>
            <c:idx val="3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51-BE13-8245-9994-4C830182B6FC}"/>
              </c:ext>
            </c:extLst>
          </c:dPt>
          <c:dPt>
            <c:idx val="3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53-BE13-8245-9994-4C830182B6FC}"/>
              </c:ext>
            </c:extLst>
          </c:dPt>
          <c:dPt>
            <c:idx val="3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55-BE13-8245-9994-4C830182B6FC}"/>
              </c:ext>
            </c:extLst>
          </c:dPt>
          <c:dPt>
            <c:idx val="4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57-BE13-8245-9994-4C830182B6FC}"/>
              </c:ext>
            </c:extLst>
          </c:dPt>
          <c:dPt>
            <c:idx val="4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59-BE13-8245-9994-4C830182B6FC}"/>
              </c:ext>
            </c:extLst>
          </c:dPt>
          <c:dPt>
            <c:idx val="4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5B-BE13-8245-9994-4C830182B6FC}"/>
              </c:ext>
            </c:extLst>
          </c:dPt>
          <c:dPt>
            <c:idx val="4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5D-BE13-8245-9994-4C830182B6FC}"/>
              </c:ext>
            </c:extLst>
          </c:dPt>
          <c:dPt>
            <c:idx val="4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5F-BE13-8245-9994-4C830182B6FC}"/>
              </c:ext>
            </c:extLst>
          </c:dPt>
          <c:dPt>
            <c:idx val="4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61-BE13-8245-9994-4C830182B6FC}"/>
              </c:ext>
            </c:extLst>
          </c:dPt>
          <c:dPt>
            <c:idx val="4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63-BE13-8245-9994-4C830182B6FC}"/>
              </c:ext>
            </c:extLst>
          </c:dPt>
          <c:dPt>
            <c:idx val="4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65-BE13-8245-9994-4C830182B6FC}"/>
              </c:ext>
            </c:extLst>
          </c:dPt>
          <c:dPt>
            <c:idx val="4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67-BE13-8245-9994-4C830182B6FC}"/>
              </c:ext>
            </c:extLst>
          </c:dPt>
          <c:dPt>
            <c:idx val="4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69-BE13-8245-9994-4C830182B6FC}"/>
              </c:ext>
            </c:extLst>
          </c:dPt>
          <c:dPt>
            <c:idx val="5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6B-BE13-8245-9994-4C830182B6FC}"/>
              </c:ext>
            </c:extLst>
          </c:dPt>
          <c:dPt>
            <c:idx val="5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6D-BE13-8245-9994-4C830182B6FC}"/>
              </c:ext>
            </c:extLst>
          </c:dPt>
          <c:dPt>
            <c:idx val="5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6F-BE13-8245-9994-4C830182B6FC}"/>
              </c:ext>
            </c:extLst>
          </c:dPt>
          <c:dPt>
            <c:idx val="5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71-BE13-8245-9994-4C830182B6FC}"/>
              </c:ext>
            </c:extLst>
          </c:dPt>
          <c:dPt>
            <c:idx val="5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73-BE13-8245-9994-4C830182B6FC}"/>
              </c:ext>
            </c:extLst>
          </c:dPt>
          <c:dPt>
            <c:idx val="5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75-BE13-8245-9994-4C830182B6FC}"/>
              </c:ext>
            </c:extLst>
          </c:dPt>
          <c:dPt>
            <c:idx val="5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77-BE13-8245-9994-4C830182B6FC}"/>
              </c:ext>
            </c:extLst>
          </c:dPt>
          <c:dPt>
            <c:idx val="5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79-BE13-8245-9994-4C830182B6FC}"/>
              </c:ext>
            </c:extLst>
          </c:dPt>
          <c:dPt>
            <c:idx val="5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7B-BE13-8245-9994-4C830182B6FC}"/>
              </c:ext>
            </c:extLst>
          </c:dPt>
          <c:dPt>
            <c:idx val="5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7D-BE13-8245-9994-4C830182B6FC}"/>
              </c:ext>
            </c:extLst>
          </c:dPt>
          <c:dPt>
            <c:idx val="6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7F-BE13-8245-9994-4C830182B6FC}"/>
              </c:ext>
            </c:extLst>
          </c:dPt>
          <c:dPt>
            <c:idx val="6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81-BE13-8245-9994-4C830182B6FC}"/>
              </c:ext>
            </c:extLst>
          </c:dPt>
          <c:dPt>
            <c:idx val="6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83-BE13-8245-9994-4C830182B6FC}"/>
              </c:ext>
            </c:extLst>
          </c:dPt>
          <c:dPt>
            <c:idx val="6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85-BE13-8245-9994-4C830182B6FC}"/>
              </c:ext>
            </c:extLst>
          </c:dPt>
          <c:dPt>
            <c:idx val="6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87-BE13-8245-9994-4C830182B6FC}"/>
              </c:ext>
            </c:extLst>
          </c:dPt>
          <c:dPt>
            <c:idx val="6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89-BE13-8245-9994-4C830182B6FC}"/>
              </c:ext>
            </c:extLst>
          </c:dPt>
          <c:dPt>
            <c:idx val="6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8B-BE13-8245-9994-4C830182B6FC}"/>
              </c:ext>
            </c:extLst>
          </c:dPt>
          <c:dPt>
            <c:idx val="6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8D-BE13-8245-9994-4C830182B6FC}"/>
              </c:ext>
            </c:extLst>
          </c:dPt>
          <c:dPt>
            <c:idx val="6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8F-BE13-8245-9994-4C830182B6FC}"/>
              </c:ext>
            </c:extLst>
          </c:dPt>
          <c:dPt>
            <c:idx val="6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91-BE13-8245-9994-4C830182B6FC}"/>
              </c:ext>
            </c:extLst>
          </c:dPt>
          <c:dPt>
            <c:idx val="7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93-BE13-8245-9994-4C830182B6FC}"/>
              </c:ext>
            </c:extLst>
          </c:dPt>
          <c:dPt>
            <c:idx val="7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95-BE13-8245-9994-4C830182B6FC}"/>
              </c:ext>
            </c:extLst>
          </c:dPt>
          <c:dPt>
            <c:idx val="7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97-BE13-8245-9994-4C830182B6FC}"/>
              </c:ext>
            </c:extLst>
          </c:dPt>
          <c:dPt>
            <c:idx val="7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99-BE13-8245-9994-4C830182B6FC}"/>
              </c:ext>
            </c:extLst>
          </c:dPt>
          <c:dPt>
            <c:idx val="7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9B-BE13-8245-9994-4C830182B6FC}"/>
              </c:ext>
            </c:extLst>
          </c:dPt>
          <c:dPt>
            <c:idx val="7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9D-BE13-8245-9994-4C830182B6FC}"/>
              </c:ext>
            </c:extLst>
          </c:dPt>
          <c:dPt>
            <c:idx val="7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9F-BE13-8245-9994-4C830182B6FC}"/>
              </c:ext>
            </c:extLst>
          </c:dPt>
          <c:dPt>
            <c:idx val="7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A1-BE13-8245-9994-4C830182B6FC}"/>
              </c:ext>
            </c:extLst>
          </c:dPt>
          <c:dPt>
            <c:idx val="7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A3-BE13-8245-9994-4C830182B6FC}"/>
              </c:ext>
            </c:extLst>
          </c:dPt>
          <c:dPt>
            <c:idx val="7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A5-BE13-8245-9994-4C830182B6FC}"/>
              </c:ext>
            </c:extLst>
          </c:dPt>
          <c:dPt>
            <c:idx val="8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A7-BE13-8245-9994-4C830182B6FC}"/>
              </c:ext>
            </c:extLst>
          </c:dPt>
          <c:dPt>
            <c:idx val="8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A9-BE13-8245-9994-4C830182B6FC}"/>
              </c:ext>
            </c:extLst>
          </c:dPt>
          <c:dPt>
            <c:idx val="8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AB-BE13-8245-9994-4C830182B6FC}"/>
              </c:ext>
            </c:extLst>
          </c:dPt>
          <c:dPt>
            <c:idx val="8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AD-BE13-8245-9994-4C830182B6FC}"/>
              </c:ext>
            </c:extLst>
          </c:dPt>
          <c:dPt>
            <c:idx val="8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AF-BE13-8245-9994-4C830182B6FC}"/>
              </c:ext>
            </c:extLst>
          </c:dPt>
          <c:dPt>
            <c:idx val="8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B1-BE13-8245-9994-4C830182B6FC}"/>
              </c:ext>
            </c:extLst>
          </c:dPt>
          <c:dPt>
            <c:idx val="8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B3-BE13-8245-9994-4C830182B6FC}"/>
              </c:ext>
            </c:extLst>
          </c:dPt>
          <c:dPt>
            <c:idx val="8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B5-BE13-8245-9994-4C830182B6FC}"/>
              </c:ext>
            </c:extLst>
          </c:dPt>
          <c:dPt>
            <c:idx val="8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B7-BE13-8245-9994-4C830182B6FC}"/>
              </c:ext>
            </c:extLst>
          </c:dPt>
          <c:dPt>
            <c:idx val="8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B9-BE13-8245-9994-4C830182B6FC}"/>
              </c:ext>
            </c:extLst>
          </c:dPt>
          <c:dPt>
            <c:idx val="9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BB-BE13-8245-9994-4C830182B6FC}"/>
              </c:ext>
            </c:extLst>
          </c:dPt>
          <c:dPt>
            <c:idx val="9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BD-BE13-8245-9994-4C830182B6FC}"/>
              </c:ext>
            </c:extLst>
          </c:dPt>
          <c:dPt>
            <c:idx val="9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BF-BE13-8245-9994-4C830182B6FC}"/>
              </c:ext>
            </c:extLst>
          </c:dPt>
          <c:dPt>
            <c:idx val="9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C1-BE13-8245-9994-4C830182B6FC}"/>
              </c:ext>
            </c:extLst>
          </c:dPt>
          <c:dPt>
            <c:idx val="9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C3-BE13-8245-9994-4C830182B6FC}"/>
              </c:ext>
            </c:extLst>
          </c:dPt>
          <c:dPt>
            <c:idx val="9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C5-BE13-8245-9994-4C830182B6FC}"/>
              </c:ext>
            </c:extLst>
          </c:dPt>
          <c:dPt>
            <c:idx val="9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C7-BE13-8245-9994-4C830182B6FC}"/>
              </c:ext>
            </c:extLst>
          </c:dPt>
          <c:dPt>
            <c:idx val="9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C9-BE13-8245-9994-4C830182B6FC}"/>
              </c:ext>
            </c:extLst>
          </c:dPt>
          <c:dPt>
            <c:idx val="9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CB-BE13-8245-9994-4C830182B6FC}"/>
              </c:ext>
            </c:extLst>
          </c:dPt>
          <c:dPt>
            <c:idx val="9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CD-BE13-8245-9994-4C830182B6FC}"/>
              </c:ext>
            </c:extLst>
          </c:dPt>
          <c:dPt>
            <c:idx val="10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CF-BE13-8245-9994-4C830182B6FC}"/>
              </c:ext>
            </c:extLst>
          </c:dPt>
          <c:dPt>
            <c:idx val="10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D1-BE13-8245-9994-4C830182B6FC}"/>
              </c:ext>
            </c:extLst>
          </c:dPt>
          <c:dPt>
            <c:idx val="10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D3-BE13-8245-9994-4C830182B6FC}"/>
              </c:ext>
            </c:extLst>
          </c:dPt>
          <c:dPt>
            <c:idx val="10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D5-BE13-8245-9994-4C830182B6FC}"/>
              </c:ext>
            </c:extLst>
          </c:dPt>
          <c:dPt>
            <c:idx val="10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D7-BE13-8245-9994-4C830182B6FC}"/>
              </c:ext>
            </c:extLst>
          </c:dPt>
          <c:dPt>
            <c:idx val="10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D9-BE13-8245-9994-4C830182B6FC}"/>
              </c:ext>
            </c:extLst>
          </c:dPt>
          <c:dPt>
            <c:idx val="10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DB-BE13-8245-9994-4C830182B6FC}"/>
              </c:ext>
            </c:extLst>
          </c:dPt>
          <c:dPt>
            <c:idx val="10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DD-BE13-8245-9994-4C830182B6FC}"/>
              </c:ext>
            </c:extLst>
          </c:dPt>
          <c:dPt>
            <c:idx val="10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DF-BE13-8245-9994-4C830182B6FC}"/>
              </c:ext>
            </c:extLst>
          </c:dPt>
          <c:dPt>
            <c:idx val="10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E1-BE13-8245-9994-4C830182B6FC}"/>
              </c:ext>
            </c:extLst>
          </c:dPt>
          <c:dPt>
            <c:idx val="11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E3-BE13-8245-9994-4C830182B6FC}"/>
              </c:ext>
            </c:extLst>
          </c:dPt>
          <c:dPt>
            <c:idx val="11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E5-BE13-8245-9994-4C830182B6FC}"/>
              </c:ext>
            </c:extLst>
          </c:dPt>
          <c:dPt>
            <c:idx val="11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E7-BE13-8245-9994-4C830182B6FC}"/>
              </c:ext>
            </c:extLst>
          </c:dPt>
          <c:dPt>
            <c:idx val="11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E9-BE13-8245-9994-4C830182B6FC}"/>
              </c:ext>
            </c:extLst>
          </c:dPt>
          <c:dPt>
            <c:idx val="11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EB-BE13-8245-9994-4C830182B6FC}"/>
              </c:ext>
            </c:extLst>
          </c:dPt>
          <c:dPt>
            <c:idx val="11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ED-BE13-8245-9994-4C830182B6FC}"/>
              </c:ext>
            </c:extLst>
          </c:dPt>
          <c:dPt>
            <c:idx val="11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EF-BE13-8245-9994-4C830182B6FC}"/>
              </c:ext>
            </c:extLst>
          </c:dPt>
          <c:dPt>
            <c:idx val="11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F1-BE13-8245-9994-4C830182B6FC}"/>
              </c:ext>
            </c:extLst>
          </c:dPt>
          <c:dPt>
            <c:idx val="11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F3-BE13-8245-9994-4C830182B6FC}"/>
              </c:ext>
            </c:extLst>
          </c:dPt>
          <c:dPt>
            <c:idx val="11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F5-BE13-8245-9994-4C830182B6FC}"/>
              </c:ext>
            </c:extLst>
          </c:dPt>
          <c:dPt>
            <c:idx val="12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F7-BE13-8245-9994-4C830182B6FC}"/>
              </c:ext>
            </c:extLst>
          </c:dPt>
          <c:dPt>
            <c:idx val="12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F9-BE13-8245-9994-4C830182B6FC}"/>
              </c:ext>
            </c:extLst>
          </c:dPt>
          <c:dPt>
            <c:idx val="12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FB-BE13-8245-9994-4C830182B6FC}"/>
              </c:ext>
            </c:extLst>
          </c:dPt>
          <c:dPt>
            <c:idx val="12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FD-BE13-8245-9994-4C830182B6FC}"/>
              </c:ext>
            </c:extLst>
          </c:dPt>
          <c:dPt>
            <c:idx val="12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FF-BE13-8245-9994-4C830182B6FC}"/>
              </c:ext>
            </c:extLst>
          </c:dPt>
          <c:dPt>
            <c:idx val="12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01-BE13-8245-9994-4C830182B6FC}"/>
              </c:ext>
            </c:extLst>
          </c:dPt>
          <c:dPt>
            <c:idx val="12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03-BE13-8245-9994-4C830182B6FC}"/>
              </c:ext>
            </c:extLst>
          </c:dPt>
          <c:dPt>
            <c:idx val="12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05-BE13-8245-9994-4C830182B6FC}"/>
              </c:ext>
            </c:extLst>
          </c:dPt>
          <c:dPt>
            <c:idx val="12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07-BE13-8245-9994-4C830182B6FC}"/>
              </c:ext>
            </c:extLst>
          </c:dPt>
          <c:dPt>
            <c:idx val="12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09-BE13-8245-9994-4C830182B6FC}"/>
              </c:ext>
            </c:extLst>
          </c:dPt>
          <c:dPt>
            <c:idx val="13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0B-BE13-8245-9994-4C830182B6FC}"/>
              </c:ext>
            </c:extLst>
          </c:dPt>
          <c:dPt>
            <c:idx val="13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0D-BE13-8245-9994-4C830182B6FC}"/>
              </c:ext>
            </c:extLst>
          </c:dPt>
          <c:dPt>
            <c:idx val="13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0F-BE13-8245-9994-4C830182B6FC}"/>
              </c:ext>
            </c:extLst>
          </c:dPt>
          <c:dPt>
            <c:idx val="13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11-BE13-8245-9994-4C830182B6FC}"/>
              </c:ext>
            </c:extLst>
          </c:dPt>
          <c:dPt>
            <c:idx val="13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13-BE13-8245-9994-4C830182B6FC}"/>
              </c:ext>
            </c:extLst>
          </c:dPt>
          <c:dPt>
            <c:idx val="13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15-BE13-8245-9994-4C830182B6FC}"/>
              </c:ext>
            </c:extLst>
          </c:dPt>
          <c:dPt>
            <c:idx val="13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17-BE13-8245-9994-4C830182B6FC}"/>
              </c:ext>
            </c:extLst>
          </c:dPt>
          <c:dPt>
            <c:idx val="13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19-BE13-8245-9994-4C830182B6FC}"/>
              </c:ext>
            </c:extLst>
          </c:dPt>
          <c:dPt>
            <c:idx val="13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1B-BE13-8245-9994-4C830182B6FC}"/>
              </c:ext>
            </c:extLst>
          </c:dPt>
          <c:dPt>
            <c:idx val="13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1D-BE13-8245-9994-4C830182B6FC}"/>
              </c:ext>
            </c:extLst>
          </c:dPt>
          <c:dPt>
            <c:idx val="14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1F-BE13-8245-9994-4C830182B6FC}"/>
              </c:ext>
            </c:extLst>
          </c:dPt>
          <c:dPt>
            <c:idx val="14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21-BE13-8245-9994-4C830182B6FC}"/>
              </c:ext>
            </c:extLst>
          </c:dPt>
          <c:dPt>
            <c:idx val="14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23-BE13-8245-9994-4C830182B6FC}"/>
              </c:ext>
            </c:extLst>
          </c:dPt>
          <c:dPt>
            <c:idx val="14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25-BE13-8245-9994-4C830182B6FC}"/>
              </c:ext>
            </c:extLst>
          </c:dPt>
          <c:dPt>
            <c:idx val="14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27-BE13-8245-9994-4C830182B6FC}"/>
              </c:ext>
            </c:extLst>
          </c:dPt>
          <c:dPt>
            <c:idx val="14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29-BE13-8245-9994-4C830182B6FC}"/>
              </c:ext>
            </c:extLst>
          </c:dPt>
          <c:dPt>
            <c:idx val="14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2B-BE13-8245-9994-4C830182B6FC}"/>
              </c:ext>
            </c:extLst>
          </c:dPt>
          <c:dPt>
            <c:idx val="14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2D-BE13-8245-9994-4C830182B6FC}"/>
              </c:ext>
            </c:extLst>
          </c:dPt>
          <c:dPt>
            <c:idx val="14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2F-BE13-8245-9994-4C830182B6FC}"/>
              </c:ext>
            </c:extLst>
          </c:dPt>
          <c:dPt>
            <c:idx val="14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31-BE13-8245-9994-4C830182B6FC}"/>
              </c:ext>
            </c:extLst>
          </c:dPt>
          <c:dPt>
            <c:idx val="15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33-BE13-8245-9994-4C830182B6FC}"/>
              </c:ext>
            </c:extLst>
          </c:dPt>
          <c:dPt>
            <c:idx val="15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35-BE13-8245-9994-4C830182B6FC}"/>
              </c:ext>
            </c:extLst>
          </c:dPt>
          <c:dPt>
            <c:idx val="15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37-BE13-8245-9994-4C830182B6FC}"/>
              </c:ext>
            </c:extLst>
          </c:dPt>
          <c:dPt>
            <c:idx val="15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39-BE13-8245-9994-4C830182B6FC}"/>
              </c:ext>
            </c:extLst>
          </c:dPt>
          <c:dPt>
            <c:idx val="15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3B-BE13-8245-9994-4C830182B6FC}"/>
              </c:ext>
            </c:extLst>
          </c:dPt>
          <c:dPt>
            <c:idx val="15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3D-BE13-8245-9994-4C830182B6FC}"/>
              </c:ext>
            </c:extLst>
          </c:dPt>
          <c:dPt>
            <c:idx val="15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3F-BE13-8245-9994-4C830182B6FC}"/>
              </c:ext>
            </c:extLst>
          </c:dPt>
          <c:dPt>
            <c:idx val="15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41-BE13-8245-9994-4C830182B6FC}"/>
              </c:ext>
            </c:extLst>
          </c:dPt>
          <c:dPt>
            <c:idx val="15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43-BE13-8245-9994-4C830182B6FC}"/>
              </c:ext>
            </c:extLst>
          </c:dPt>
          <c:dPt>
            <c:idx val="15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45-BE13-8245-9994-4C830182B6FC}"/>
              </c:ext>
            </c:extLst>
          </c:dPt>
          <c:dPt>
            <c:idx val="16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47-BE13-8245-9994-4C830182B6FC}"/>
              </c:ext>
            </c:extLst>
          </c:dPt>
          <c:dPt>
            <c:idx val="16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49-BE13-8245-9994-4C830182B6FC}"/>
              </c:ext>
            </c:extLst>
          </c:dPt>
          <c:dPt>
            <c:idx val="16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4B-BE13-8245-9994-4C830182B6FC}"/>
              </c:ext>
            </c:extLst>
          </c:dPt>
          <c:dPt>
            <c:idx val="16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4D-BE13-8245-9994-4C830182B6FC}"/>
              </c:ext>
            </c:extLst>
          </c:dPt>
          <c:dPt>
            <c:idx val="16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4F-BE13-8245-9994-4C830182B6FC}"/>
              </c:ext>
            </c:extLst>
          </c:dPt>
          <c:dPt>
            <c:idx val="16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51-BE13-8245-9994-4C830182B6FC}"/>
              </c:ext>
            </c:extLst>
          </c:dPt>
          <c:dPt>
            <c:idx val="16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53-BE13-8245-9994-4C830182B6FC}"/>
              </c:ext>
            </c:extLst>
          </c:dPt>
          <c:dPt>
            <c:idx val="16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55-BE13-8245-9994-4C830182B6FC}"/>
              </c:ext>
            </c:extLst>
          </c:dPt>
          <c:dPt>
            <c:idx val="16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57-BE13-8245-9994-4C830182B6FC}"/>
              </c:ext>
            </c:extLst>
          </c:dPt>
          <c:dPt>
            <c:idx val="16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59-BE13-8245-9994-4C830182B6FC}"/>
              </c:ext>
            </c:extLst>
          </c:dPt>
          <c:dPt>
            <c:idx val="17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5B-BE13-8245-9994-4C830182B6FC}"/>
              </c:ext>
            </c:extLst>
          </c:dPt>
          <c:dPt>
            <c:idx val="17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5D-BE13-8245-9994-4C830182B6FC}"/>
              </c:ext>
            </c:extLst>
          </c:dPt>
          <c:dPt>
            <c:idx val="17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5F-BE13-8245-9994-4C830182B6FC}"/>
              </c:ext>
            </c:extLst>
          </c:dPt>
          <c:dPt>
            <c:idx val="17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61-BE13-8245-9994-4C830182B6FC}"/>
              </c:ext>
            </c:extLst>
          </c:dPt>
          <c:dPt>
            <c:idx val="17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63-BE13-8245-9994-4C830182B6FC}"/>
              </c:ext>
            </c:extLst>
          </c:dPt>
          <c:dPt>
            <c:idx val="17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65-BE13-8245-9994-4C830182B6FC}"/>
              </c:ext>
            </c:extLst>
          </c:dPt>
          <c:dPt>
            <c:idx val="17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67-BE13-8245-9994-4C830182B6FC}"/>
              </c:ext>
            </c:extLst>
          </c:dPt>
          <c:dPt>
            <c:idx val="17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69-BE13-8245-9994-4C830182B6FC}"/>
              </c:ext>
            </c:extLst>
          </c:dPt>
          <c:dPt>
            <c:idx val="17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6B-BE13-8245-9994-4C830182B6FC}"/>
              </c:ext>
            </c:extLst>
          </c:dPt>
          <c:dPt>
            <c:idx val="17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6D-BE13-8245-9994-4C830182B6FC}"/>
              </c:ext>
            </c:extLst>
          </c:dPt>
          <c:dPt>
            <c:idx val="18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6F-BE13-8245-9994-4C830182B6FC}"/>
              </c:ext>
            </c:extLst>
          </c:dPt>
          <c:dPt>
            <c:idx val="18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71-BE13-8245-9994-4C830182B6FC}"/>
              </c:ext>
            </c:extLst>
          </c:dPt>
          <c:dPt>
            <c:idx val="18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73-BE13-8245-9994-4C830182B6FC}"/>
              </c:ext>
            </c:extLst>
          </c:dPt>
          <c:dPt>
            <c:idx val="18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75-BE13-8245-9994-4C830182B6FC}"/>
              </c:ext>
            </c:extLst>
          </c:dPt>
          <c:dPt>
            <c:idx val="18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77-BE13-8245-9994-4C830182B6FC}"/>
              </c:ext>
            </c:extLst>
          </c:dPt>
          <c:dPt>
            <c:idx val="18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79-BE13-8245-9994-4C830182B6FC}"/>
              </c:ext>
            </c:extLst>
          </c:dPt>
          <c:dPt>
            <c:idx val="18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7B-BE13-8245-9994-4C830182B6FC}"/>
              </c:ext>
            </c:extLst>
          </c:dPt>
          <c:dPt>
            <c:idx val="18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7D-BE13-8245-9994-4C830182B6FC}"/>
              </c:ext>
            </c:extLst>
          </c:dPt>
          <c:dPt>
            <c:idx val="18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7F-BE13-8245-9994-4C830182B6FC}"/>
              </c:ext>
            </c:extLst>
          </c:dPt>
          <c:dPt>
            <c:idx val="18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81-BE13-8245-9994-4C830182B6FC}"/>
              </c:ext>
            </c:extLst>
          </c:dPt>
          <c:dPt>
            <c:idx val="19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83-BE13-8245-9994-4C830182B6FC}"/>
              </c:ext>
            </c:extLst>
          </c:dPt>
          <c:dPt>
            <c:idx val="19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85-BE13-8245-9994-4C830182B6FC}"/>
              </c:ext>
            </c:extLst>
          </c:dPt>
          <c:dPt>
            <c:idx val="19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87-BE13-8245-9994-4C830182B6FC}"/>
              </c:ext>
            </c:extLst>
          </c:dPt>
          <c:dLbls>
            <c:dLbl>
              <c:idx val="1"/>
              <c:layout>
                <c:manualLayout>
                  <c:x val="-1.4642856689900384E-2"/>
                  <c:y val="-2.0197043629908026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BE13-8245-9994-4C830182B6FC}"/>
                </c:ext>
              </c:extLst>
            </c:dLbl>
            <c:dLbl>
              <c:idx val="191"/>
              <c:layout>
                <c:manualLayout>
                  <c:x val="-1.4642856689900384E-2"/>
                  <c:y val="-2.0197043629908026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5-BE13-8245-9994-4C830182B6F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'schertz_violent_and_non XmR '!$A$2:$A$194</c:f>
              <c:numCache>
                <c:formatCode>mmm\-yy</c:formatCode>
                <c:ptCount val="193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  <c:pt idx="51">
                  <c:v>41730</c:v>
                </c:pt>
                <c:pt idx="52">
                  <c:v>41760</c:v>
                </c:pt>
                <c:pt idx="53">
                  <c:v>41791</c:v>
                </c:pt>
                <c:pt idx="54">
                  <c:v>41821</c:v>
                </c:pt>
                <c:pt idx="55">
                  <c:v>41852</c:v>
                </c:pt>
                <c:pt idx="56">
                  <c:v>41883</c:v>
                </c:pt>
                <c:pt idx="57">
                  <c:v>41913</c:v>
                </c:pt>
                <c:pt idx="58">
                  <c:v>41944</c:v>
                </c:pt>
                <c:pt idx="59">
                  <c:v>41974</c:v>
                </c:pt>
                <c:pt idx="60">
                  <c:v>42005</c:v>
                </c:pt>
                <c:pt idx="61">
                  <c:v>42036</c:v>
                </c:pt>
                <c:pt idx="62">
                  <c:v>42064</c:v>
                </c:pt>
                <c:pt idx="63">
                  <c:v>42095</c:v>
                </c:pt>
                <c:pt idx="64">
                  <c:v>42125</c:v>
                </c:pt>
                <c:pt idx="65">
                  <c:v>42156</c:v>
                </c:pt>
                <c:pt idx="66">
                  <c:v>42186</c:v>
                </c:pt>
                <c:pt idx="67">
                  <c:v>42217</c:v>
                </c:pt>
                <c:pt idx="68">
                  <c:v>42248</c:v>
                </c:pt>
                <c:pt idx="69">
                  <c:v>42278</c:v>
                </c:pt>
                <c:pt idx="70">
                  <c:v>42309</c:v>
                </c:pt>
                <c:pt idx="71">
                  <c:v>42339</c:v>
                </c:pt>
                <c:pt idx="72">
                  <c:v>42370</c:v>
                </c:pt>
                <c:pt idx="73">
                  <c:v>42401</c:v>
                </c:pt>
                <c:pt idx="74">
                  <c:v>42430</c:v>
                </c:pt>
                <c:pt idx="75">
                  <c:v>42461</c:v>
                </c:pt>
                <c:pt idx="76">
                  <c:v>42491</c:v>
                </c:pt>
                <c:pt idx="77">
                  <c:v>42522</c:v>
                </c:pt>
                <c:pt idx="78">
                  <c:v>42552</c:v>
                </c:pt>
                <c:pt idx="79">
                  <c:v>42583</c:v>
                </c:pt>
                <c:pt idx="80">
                  <c:v>42614</c:v>
                </c:pt>
                <c:pt idx="81">
                  <c:v>42644</c:v>
                </c:pt>
                <c:pt idx="82">
                  <c:v>42675</c:v>
                </c:pt>
                <c:pt idx="83">
                  <c:v>42705</c:v>
                </c:pt>
                <c:pt idx="84">
                  <c:v>42736</c:v>
                </c:pt>
                <c:pt idx="85">
                  <c:v>42767</c:v>
                </c:pt>
                <c:pt idx="86">
                  <c:v>42795</c:v>
                </c:pt>
                <c:pt idx="87">
                  <c:v>42826</c:v>
                </c:pt>
                <c:pt idx="88">
                  <c:v>42856</c:v>
                </c:pt>
                <c:pt idx="89">
                  <c:v>42887</c:v>
                </c:pt>
                <c:pt idx="90">
                  <c:v>42917</c:v>
                </c:pt>
                <c:pt idx="91">
                  <c:v>42948</c:v>
                </c:pt>
                <c:pt idx="92">
                  <c:v>42979</c:v>
                </c:pt>
                <c:pt idx="93">
                  <c:v>43009</c:v>
                </c:pt>
                <c:pt idx="94">
                  <c:v>43040</c:v>
                </c:pt>
                <c:pt idx="95">
                  <c:v>43070</c:v>
                </c:pt>
                <c:pt idx="96">
                  <c:v>43101</c:v>
                </c:pt>
                <c:pt idx="97">
                  <c:v>43132</c:v>
                </c:pt>
                <c:pt idx="98">
                  <c:v>43160</c:v>
                </c:pt>
                <c:pt idx="99">
                  <c:v>43191</c:v>
                </c:pt>
                <c:pt idx="100">
                  <c:v>43221</c:v>
                </c:pt>
                <c:pt idx="101">
                  <c:v>43252</c:v>
                </c:pt>
                <c:pt idx="102">
                  <c:v>43282</c:v>
                </c:pt>
                <c:pt idx="103">
                  <c:v>43313</c:v>
                </c:pt>
                <c:pt idx="104">
                  <c:v>43344</c:v>
                </c:pt>
                <c:pt idx="105">
                  <c:v>43374</c:v>
                </c:pt>
                <c:pt idx="106">
                  <c:v>43405</c:v>
                </c:pt>
                <c:pt idx="107">
                  <c:v>43435</c:v>
                </c:pt>
                <c:pt idx="108">
                  <c:v>43466</c:v>
                </c:pt>
                <c:pt idx="109">
                  <c:v>43497</c:v>
                </c:pt>
                <c:pt idx="110">
                  <c:v>43525</c:v>
                </c:pt>
                <c:pt idx="111">
                  <c:v>43556</c:v>
                </c:pt>
                <c:pt idx="112">
                  <c:v>43586</c:v>
                </c:pt>
                <c:pt idx="113">
                  <c:v>43617</c:v>
                </c:pt>
                <c:pt idx="114">
                  <c:v>43647</c:v>
                </c:pt>
                <c:pt idx="115">
                  <c:v>43678</c:v>
                </c:pt>
                <c:pt idx="116">
                  <c:v>43709</c:v>
                </c:pt>
                <c:pt idx="117">
                  <c:v>43739</c:v>
                </c:pt>
                <c:pt idx="118">
                  <c:v>43770</c:v>
                </c:pt>
                <c:pt idx="119">
                  <c:v>43800</c:v>
                </c:pt>
                <c:pt idx="120">
                  <c:v>43831</c:v>
                </c:pt>
                <c:pt idx="121">
                  <c:v>43862</c:v>
                </c:pt>
                <c:pt idx="122">
                  <c:v>43891</c:v>
                </c:pt>
                <c:pt idx="123">
                  <c:v>43922</c:v>
                </c:pt>
                <c:pt idx="124">
                  <c:v>43952</c:v>
                </c:pt>
                <c:pt idx="125">
                  <c:v>43983</c:v>
                </c:pt>
                <c:pt idx="126">
                  <c:v>44013</c:v>
                </c:pt>
                <c:pt idx="127">
                  <c:v>44044</c:v>
                </c:pt>
                <c:pt idx="128">
                  <c:v>44075</c:v>
                </c:pt>
                <c:pt idx="129">
                  <c:v>44105</c:v>
                </c:pt>
                <c:pt idx="130">
                  <c:v>44136</c:v>
                </c:pt>
                <c:pt idx="131">
                  <c:v>44166</c:v>
                </c:pt>
                <c:pt idx="132">
                  <c:v>44197</c:v>
                </c:pt>
                <c:pt idx="133">
                  <c:v>44228</c:v>
                </c:pt>
                <c:pt idx="134">
                  <c:v>44256</c:v>
                </c:pt>
                <c:pt idx="135">
                  <c:v>44287</c:v>
                </c:pt>
                <c:pt idx="136">
                  <c:v>44317</c:v>
                </c:pt>
                <c:pt idx="137">
                  <c:v>44348</c:v>
                </c:pt>
                <c:pt idx="138">
                  <c:v>44378</c:v>
                </c:pt>
                <c:pt idx="139">
                  <c:v>44409</c:v>
                </c:pt>
                <c:pt idx="140">
                  <c:v>44440</c:v>
                </c:pt>
                <c:pt idx="141">
                  <c:v>44470</c:v>
                </c:pt>
                <c:pt idx="142">
                  <c:v>44501</c:v>
                </c:pt>
                <c:pt idx="143">
                  <c:v>44531</c:v>
                </c:pt>
                <c:pt idx="144">
                  <c:v>44562</c:v>
                </c:pt>
                <c:pt idx="145">
                  <c:v>44593</c:v>
                </c:pt>
                <c:pt idx="146">
                  <c:v>44621</c:v>
                </c:pt>
                <c:pt idx="147">
                  <c:v>44652</c:v>
                </c:pt>
                <c:pt idx="148">
                  <c:v>44682</c:v>
                </c:pt>
                <c:pt idx="149">
                  <c:v>44713</c:v>
                </c:pt>
                <c:pt idx="150">
                  <c:v>44743</c:v>
                </c:pt>
                <c:pt idx="151">
                  <c:v>44774</c:v>
                </c:pt>
                <c:pt idx="152">
                  <c:v>44805</c:v>
                </c:pt>
                <c:pt idx="153">
                  <c:v>44835</c:v>
                </c:pt>
                <c:pt idx="154">
                  <c:v>44866</c:v>
                </c:pt>
                <c:pt idx="155">
                  <c:v>44896</c:v>
                </c:pt>
                <c:pt idx="156">
                  <c:v>44927</c:v>
                </c:pt>
                <c:pt idx="157">
                  <c:v>44958</c:v>
                </c:pt>
                <c:pt idx="158">
                  <c:v>44986</c:v>
                </c:pt>
                <c:pt idx="159">
                  <c:v>45017</c:v>
                </c:pt>
                <c:pt idx="160">
                  <c:v>45047</c:v>
                </c:pt>
                <c:pt idx="161">
                  <c:v>45078</c:v>
                </c:pt>
                <c:pt idx="162">
                  <c:v>45108</c:v>
                </c:pt>
                <c:pt idx="163">
                  <c:v>45139</c:v>
                </c:pt>
                <c:pt idx="164">
                  <c:v>45170</c:v>
                </c:pt>
                <c:pt idx="165">
                  <c:v>45200</c:v>
                </c:pt>
                <c:pt idx="166">
                  <c:v>45231</c:v>
                </c:pt>
                <c:pt idx="167">
                  <c:v>45261</c:v>
                </c:pt>
                <c:pt idx="168">
                  <c:v>45292</c:v>
                </c:pt>
                <c:pt idx="169">
                  <c:v>45323</c:v>
                </c:pt>
                <c:pt idx="170">
                  <c:v>45352</c:v>
                </c:pt>
                <c:pt idx="171">
                  <c:v>45383</c:v>
                </c:pt>
                <c:pt idx="172">
                  <c:v>45413</c:v>
                </c:pt>
                <c:pt idx="173">
                  <c:v>45444</c:v>
                </c:pt>
                <c:pt idx="174">
                  <c:v>45474</c:v>
                </c:pt>
                <c:pt idx="175">
                  <c:v>45505</c:v>
                </c:pt>
                <c:pt idx="176">
                  <c:v>45536</c:v>
                </c:pt>
                <c:pt idx="177">
                  <c:v>45566</c:v>
                </c:pt>
                <c:pt idx="178">
                  <c:v>45597</c:v>
                </c:pt>
                <c:pt idx="179">
                  <c:v>45627</c:v>
                </c:pt>
                <c:pt idx="180">
                  <c:v>45658</c:v>
                </c:pt>
                <c:pt idx="181">
                  <c:v>45689</c:v>
                </c:pt>
                <c:pt idx="182">
                  <c:v>45717</c:v>
                </c:pt>
                <c:pt idx="183">
                  <c:v>45748</c:v>
                </c:pt>
                <c:pt idx="184">
                  <c:v>45778</c:v>
                </c:pt>
                <c:pt idx="185">
                  <c:v>45809</c:v>
                </c:pt>
                <c:pt idx="186">
                  <c:v>45839</c:v>
                </c:pt>
                <c:pt idx="187">
                  <c:v>45870</c:v>
                </c:pt>
                <c:pt idx="188">
                  <c:v>45901</c:v>
                </c:pt>
                <c:pt idx="189">
                  <c:v>45931</c:v>
                </c:pt>
                <c:pt idx="190">
                  <c:v>45962</c:v>
                </c:pt>
                <c:pt idx="191">
                  <c:v>45992</c:v>
                </c:pt>
                <c:pt idx="192">
                  <c:v>46023</c:v>
                </c:pt>
              </c:numCache>
            </c:numRef>
          </c:cat>
          <c:val>
            <c:numRef>
              <c:f>'schertz_violent_and_non XmR '!$O$2:$O$194</c:f>
              <c:numCache>
                <c:formatCode>0.0</c:formatCode>
                <c:ptCount val="193"/>
                <c:pt idx="0">
                  <c:v>11.294117647058824</c:v>
                </c:pt>
                <c:pt idx="1">
                  <c:v>11.294117647058824</c:v>
                </c:pt>
                <c:pt idx="2">
                  <c:v>11.294117647058824</c:v>
                </c:pt>
                <c:pt idx="3">
                  <c:v>11.294117647058824</c:v>
                </c:pt>
                <c:pt idx="4">
                  <c:v>11.294117647058824</c:v>
                </c:pt>
                <c:pt idx="5">
                  <c:v>11.294117647058824</c:v>
                </c:pt>
                <c:pt idx="6">
                  <c:v>11.294117647058824</c:v>
                </c:pt>
                <c:pt idx="7">
                  <c:v>11.294117647058824</c:v>
                </c:pt>
                <c:pt idx="8">
                  <c:v>11.294117647058824</c:v>
                </c:pt>
                <c:pt idx="9">
                  <c:v>11.294117647058824</c:v>
                </c:pt>
                <c:pt idx="10">
                  <c:v>11.294117647058824</c:v>
                </c:pt>
                <c:pt idx="11">
                  <c:v>11.294117647058824</c:v>
                </c:pt>
                <c:pt idx="12">
                  <c:v>11.294117647058824</c:v>
                </c:pt>
                <c:pt idx="13">
                  <c:v>11.294117647058824</c:v>
                </c:pt>
                <c:pt idx="14">
                  <c:v>11.294117647058824</c:v>
                </c:pt>
                <c:pt idx="15">
                  <c:v>11.294117647058824</c:v>
                </c:pt>
                <c:pt idx="16">
                  <c:v>11.294117647058824</c:v>
                </c:pt>
                <c:pt idx="17">
                  <c:v>11.294117647058824</c:v>
                </c:pt>
                <c:pt idx="18">
                  <c:v>7.7142857142857144</c:v>
                </c:pt>
                <c:pt idx="19">
                  <c:v>7.7142857142857144</c:v>
                </c:pt>
                <c:pt idx="20">
                  <c:v>7.7142857142857144</c:v>
                </c:pt>
                <c:pt idx="21">
                  <c:v>7.7142857142857144</c:v>
                </c:pt>
                <c:pt idx="22">
                  <c:v>7.7142857142857144</c:v>
                </c:pt>
                <c:pt idx="23">
                  <c:v>7.7142857142857144</c:v>
                </c:pt>
                <c:pt idx="24">
                  <c:v>7.7142857142857144</c:v>
                </c:pt>
                <c:pt idx="25">
                  <c:v>7.7142857142857144</c:v>
                </c:pt>
                <c:pt idx="26">
                  <c:v>7.7142857142857144</c:v>
                </c:pt>
                <c:pt idx="27">
                  <c:v>7.7142857142857144</c:v>
                </c:pt>
                <c:pt idx="28">
                  <c:v>7.7142857142857144</c:v>
                </c:pt>
                <c:pt idx="29">
                  <c:v>7.7142857142857144</c:v>
                </c:pt>
                <c:pt idx="30">
                  <c:v>7.7142857142857144</c:v>
                </c:pt>
                <c:pt idx="31">
                  <c:v>7.7142857142857144</c:v>
                </c:pt>
                <c:pt idx="32">
                  <c:v>9.0243902439024382</c:v>
                </c:pt>
                <c:pt idx="33">
                  <c:v>9.0243902439024382</c:v>
                </c:pt>
                <c:pt idx="34">
                  <c:v>9.0243902439024382</c:v>
                </c:pt>
                <c:pt idx="35">
                  <c:v>9.0243902439024382</c:v>
                </c:pt>
                <c:pt idx="36">
                  <c:v>9.0243902439024382</c:v>
                </c:pt>
                <c:pt idx="37">
                  <c:v>9.0243902439024382</c:v>
                </c:pt>
                <c:pt idx="38">
                  <c:v>9.0243902439024382</c:v>
                </c:pt>
                <c:pt idx="39">
                  <c:v>9.0243902439024382</c:v>
                </c:pt>
                <c:pt idx="40">
                  <c:v>9.0243902439024382</c:v>
                </c:pt>
                <c:pt idx="41">
                  <c:v>9.0243902439024382</c:v>
                </c:pt>
                <c:pt idx="42">
                  <c:v>9.0243902439024382</c:v>
                </c:pt>
                <c:pt idx="43">
                  <c:v>9.0243902439024382</c:v>
                </c:pt>
                <c:pt idx="44">
                  <c:v>9.0243902439024382</c:v>
                </c:pt>
                <c:pt idx="45">
                  <c:v>9.0243902439024382</c:v>
                </c:pt>
                <c:pt idx="46">
                  <c:v>9.0243902439024382</c:v>
                </c:pt>
                <c:pt idx="47">
                  <c:v>9.0243902439024382</c:v>
                </c:pt>
                <c:pt idx="48">
                  <c:v>9.0243902439024382</c:v>
                </c:pt>
                <c:pt idx="49">
                  <c:v>9.0243902439024382</c:v>
                </c:pt>
                <c:pt idx="50">
                  <c:v>9.0243902439024382</c:v>
                </c:pt>
                <c:pt idx="51">
                  <c:v>9.0243902439024382</c:v>
                </c:pt>
                <c:pt idx="52">
                  <c:v>9.0243902439024382</c:v>
                </c:pt>
                <c:pt idx="53">
                  <c:v>9.0243902439024382</c:v>
                </c:pt>
                <c:pt idx="54">
                  <c:v>9.0243902439024382</c:v>
                </c:pt>
                <c:pt idx="55">
                  <c:v>9.0243902439024382</c:v>
                </c:pt>
                <c:pt idx="56">
                  <c:v>9.0243902439024382</c:v>
                </c:pt>
                <c:pt idx="57">
                  <c:v>9.0243902439024382</c:v>
                </c:pt>
                <c:pt idx="58">
                  <c:v>9.0243902439024382</c:v>
                </c:pt>
                <c:pt idx="59">
                  <c:v>9.0243902439024382</c:v>
                </c:pt>
                <c:pt idx="60">
                  <c:v>9.0243902439024382</c:v>
                </c:pt>
                <c:pt idx="61">
                  <c:v>9.0243902439024382</c:v>
                </c:pt>
                <c:pt idx="62">
                  <c:v>9.0243902439024382</c:v>
                </c:pt>
                <c:pt idx="63">
                  <c:v>9.0243902439024382</c:v>
                </c:pt>
                <c:pt idx="64">
                  <c:v>9.0243902439024382</c:v>
                </c:pt>
                <c:pt idx="65">
                  <c:v>9.0243902439024382</c:v>
                </c:pt>
                <c:pt idx="66">
                  <c:v>9.0243902439024382</c:v>
                </c:pt>
                <c:pt idx="67">
                  <c:v>9.0243902439024382</c:v>
                </c:pt>
                <c:pt idx="68">
                  <c:v>9.0243902439024382</c:v>
                </c:pt>
                <c:pt idx="69">
                  <c:v>9.0243902439024382</c:v>
                </c:pt>
                <c:pt idx="70">
                  <c:v>9.0243902439024382</c:v>
                </c:pt>
                <c:pt idx="71">
                  <c:v>9.0243902439024382</c:v>
                </c:pt>
                <c:pt idx="72">
                  <c:v>9.0243902439024382</c:v>
                </c:pt>
                <c:pt idx="73">
                  <c:v>6.1538461538461542</c:v>
                </c:pt>
                <c:pt idx="74">
                  <c:v>6.1538461538461542</c:v>
                </c:pt>
                <c:pt idx="75">
                  <c:v>6.1538461538461542</c:v>
                </c:pt>
                <c:pt idx="76">
                  <c:v>6.1538461538461542</c:v>
                </c:pt>
                <c:pt idx="77">
                  <c:v>6.1538461538461542</c:v>
                </c:pt>
                <c:pt idx="78">
                  <c:v>6.1538461538461542</c:v>
                </c:pt>
                <c:pt idx="79">
                  <c:v>6.1538461538461542</c:v>
                </c:pt>
                <c:pt idx="80">
                  <c:v>6.1538461538461542</c:v>
                </c:pt>
                <c:pt idx="81">
                  <c:v>6.1538461538461542</c:v>
                </c:pt>
                <c:pt idx="82">
                  <c:v>6.1538461538461542</c:v>
                </c:pt>
                <c:pt idx="83">
                  <c:v>6.1538461538461542</c:v>
                </c:pt>
                <c:pt idx="84">
                  <c:v>6.1538461538461542</c:v>
                </c:pt>
                <c:pt idx="85">
                  <c:v>6.1538461538461542</c:v>
                </c:pt>
                <c:pt idx="86">
                  <c:v>12.142857142857142</c:v>
                </c:pt>
                <c:pt idx="87">
                  <c:v>12.142857142857142</c:v>
                </c:pt>
                <c:pt idx="88">
                  <c:v>12.142857142857142</c:v>
                </c:pt>
                <c:pt idx="89">
                  <c:v>12.142857142857142</c:v>
                </c:pt>
                <c:pt idx="90">
                  <c:v>12.142857142857142</c:v>
                </c:pt>
                <c:pt idx="91">
                  <c:v>12.142857142857142</c:v>
                </c:pt>
                <c:pt idx="92">
                  <c:v>12.142857142857142</c:v>
                </c:pt>
                <c:pt idx="93">
                  <c:v>11.818181818181818</c:v>
                </c:pt>
                <c:pt idx="94">
                  <c:v>11.818181818181818</c:v>
                </c:pt>
                <c:pt idx="95">
                  <c:v>11.818181818181818</c:v>
                </c:pt>
                <c:pt idx="96">
                  <c:v>11.818181818181818</c:v>
                </c:pt>
                <c:pt idx="97">
                  <c:v>11.818181818181818</c:v>
                </c:pt>
                <c:pt idx="98">
                  <c:v>11.818181818181818</c:v>
                </c:pt>
                <c:pt idx="99">
                  <c:v>11.818181818181818</c:v>
                </c:pt>
                <c:pt idx="100">
                  <c:v>11.818181818181818</c:v>
                </c:pt>
                <c:pt idx="101">
                  <c:v>11.818181818181818</c:v>
                </c:pt>
                <c:pt idx="102">
                  <c:v>11.818181818181818</c:v>
                </c:pt>
                <c:pt idx="103">
                  <c:v>11.818181818181818</c:v>
                </c:pt>
                <c:pt idx="104">
                  <c:v>12.52</c:v>
                </c:pt>
                <c:pt idx="105">
                  <c:v>12.52</c:v>
                </c:pt>
                <c:pt idx="106">
                  <c:v>12.52</c:v>
                </c:pt>
                <c:pt idx="107">
                  <c:v>12.52</c:v>
                </c:pt>
                <c:pt idx="108">
                  <c:v>12.52</c:v>
                </c:pt>
                <c:pt idx="109">
                  <c:v>12.52</c:v>
                </c:pt>
                <c:pt idx="110">
                  <c:v>12.52</c:v>
                </c:pt>
                <c:pt idx="111">
                  <c:v>12.52</c:v>
                </c:pt>
                <c:pt idx="112">
                  <c:v>12.52</c:v>
                </c:pt>
                <c:pt idx="113">
                  <c:v>12.52</c:v>
                </c:pt>
                <c:pt idx="114">
                  <c:v>12.52</c:v>
                </c:pt>
                <c:pt idx="115">
                  <c:v>12.52</c:v>
                </c:pt>
                <c:pt idx="116">
                  <c:v>12.52</c:v>
                </c:pt>
                <c:pt idx="117">
                  <c:v>12.52</c:v>
                </c:pt>
                <c:pt idx="118">
                  <c:v>12.52</c:v>
                </c:pt>
                <c:pt idx="119">
                  <c:v>12.52</c:v>
                </c:pt>
                <c:pt idx="120">
                  <c:v>12.52</c:v>
                </c:pt>
                <c:pt idx="121">
                  <c:v>12.52</c:v>
                </c:pt>
                <c:pt idx="122">
                  <c:v>12.52</c:v>
                </c:pt>
                <c:pt idx="123">
                  <c:v>12.52</c:v>
                </c:pt>
                <c:pt idx="124">
                  <c:v>12.52</c:v>
                </c:pt>
                <c:pt idx="125">
                  <c:v>12.52</c:v>
                </c:pt>
                <c:pt idx="126">
                  <c:v>12.52</c:v>
                </c:pt>
                <c:pt idx="127">
                  <c:v>12.52</c:v>
                </c:pt>
                <c:pt idx="128">
                  <c:v>12.52</c:v>
                </c:pt>
                <c:pt idx="129">
                  <c:v>8.3333333333333339</c:v>
                </c:pt>
                <c:pt idx="130">
                  <c:v>8.3333333333333339</c:v>
                </c:pt>
                <c:pt idx="131">
                  <c:v>8.3333333333333339</c:v>
                </c:pt>
                <c:pt idx="132">
                  <c:v>8.3333333333333339</c:v>
                </c:pt>
                <c:pt idx="133">
                  <c:v>8.3333333333333339</c:v>
                </c:pt>
                <c:pt idx="134">
                  <c:v>8.3333333333333339</c:v>
                </c:pt>
                <c:pt idx="135">
                  <c:v>8.3333333333333339</c:v>
                </c:pt>
                <c:pt idx="136">
                  <c:v>8.3333333333333339</c:v>
                </c:pt>
                <c:pt idx="137">
                  <c:v>8.3333333333333339</c:v>
                </c:pt>
                <c:pt idx="138">
                  <c:v>8.3333333333333339</c:v>
                </c:pt>
                <c:pt idx="139">
                  <c:v>8.3333333333333339</c:v>
                </c:pt>
                <c:pt idx="140">
                  <c:v>8.3333333333333339</c:v>
                </c:pt>
                <c:pt idx="141">
                  <c:v>8.3333333333333339</c:v>
                </c:pt>
                <c:pt idx="142">
                  <c:v>8.3333333333333339</c:v>
                </c:pt>
                <c:pt idx="143">
                  <c:v>8.3333333333333339</c:v>
                </c:pt>
                <c:pt idx="144">
                  <c:v>8.3333333333333339</c:v>
                </c:pt>
                <c:pt idx="145">
                  <c:v>8.3333333333333339</c:v>
                </c:pt>
                <c:pt idx="146">
                  <c:v>8.3333333333333339</c:v>
                </c:pt>
                <c:pt idx="147">
                  <c:v>8.3333333333333339</c:v>
                </c:pt>
                <c:pt idx="148">
                  <c:v>8.3333333333333339</c:v>
                </c:pt>
                <c:pt idx="149">
                  <c:v>8.3333333333333339</c:v>
                </c:pt>
                <c:pt idx="150">
                  <c:v>9</c:v>
                </c:pt>
                <c:pt idx="151">
                  <c:v>9</c:v>
                </c:pt>
                <c:pt idx="152">
                  <c:v>9</c:v>
                </c:pt>
                <c:pt idx="153">
                  <c:v>9</c:v>
                </c:pt>
                <c:pt idx="154">
                  <c:v>9</c:v>
                </c:pt>
                <c:pt idx="155">
                  <c:v>7.2142857142857144</c:v>
                </c:pt>
                <c:pt idx="156">
                  <c:v>7.2142857142857144</c:v>
                </c:pt>
                <c:pt idx="157">
                  <c:v>7.2142857142857144</c:v>
                </c:pt>
                <c:pt idx="158">
                  <c:v>7.2142857142857144</c:v>
                </c:pt>
                <c:pt idx="159">
                  <c:v>7.2142857142857144</c:v>
                </c:pt>
                <c:pt idx="160">
                  <c:v>7.2142857142857144</c:v>
                </c:pt>
                <c:pt idx="161">
                  <c:v>7.2142857142857144</c:v>
                </c:pt>
                <c:pt idx="162">
                  <c:v>7.2142857142857144</c:v>
                </c:pt>
                <c:pt idx="163">
                  <c:v>7.2142857142857144</c:v>
                </c:pt>
                <c:pt idx="164">
                  <c:v>7.2142857142857144</c:v>
                </c:pt>
                <c:pt idx="165">
                  <c:v>7.2142857142857144</c:v>
                </c:pt>
                <c:pt idx="166">
                  <c:v>7.2142857142857144</c:v>
                </c:pt>
                <c:pt idx="167">
                  <c:v>7.2142857142857144</c:v>
                </c:pt>
                <c:pt idx="168">
                  <c:v>7.2142857142857144</c:v>
                </c:pt>
                <c:pt idx="169">
                  <c:v>8.5333333333333332</c:v>
                </c:pt>
                <c:pt idx="170">
                  <c:v>8.5333333333333332</c:v>
                </c:pt>
                <c:pt idx="171">
                  <c:v>8.5333333333333332</c:v>
                </c:pt>
                <c:pt idx="172">
                  <c:v>8.5333333333333332</c:v>
                </c:pt>
                <c:pt idx="173">
                  <c:v>8.5333333333333332</c:v>
                </c:pt>
                <c:pt idx="174">
                  <c:v>8.5333333333333332</c:v>
                </c:pt>
                <c:pt idx="175">
                  <c:v>8.5333333333333332</c:v>
                </c:pt>
                <c:pt idx="176">
                  <c:v>8.5333333333333332</c:v>
                </c:pt>
                <c:pt idx="177">
                  <c:v>8.5333333333333332</c:v>
                </c:pt>
                <c:pt idx="178">
                  <c:v>8.5333333333333332</c:v>
                </c:pt>
                <c:pt idx="179">
                  <c:v>8.5333333333333332</c:v>
                </c:pt>
                <c:pt idx="180">
                  <c:v>8.5333333333333332</c:v>
                </c:pt>
                <c:pt idx="181">
                  <c:v>8.5333333333333332</c:v>
                </c:pt>
                <c:pt idx="182">
                  <c:v>8.5333333333333332</c:v>
                </c:pt>
                <c:pt idx="183">
                  <c:v>8.5333333333333332</c:v>
                </c:pt>
                <c:pt idx="184">
                  <c:v>10</c:v>
                </c:pt>
                <c:pt idx="185">
                  <c:v>10</c:v>
                </c:pt>
                <c:pt idx="186">
                  <c:v>10</c:v>
                </c:pt>
                <c:pt idx="187">
                  <c:v>10</c:v>
                </c:pt>
                <c:pt idx="188">
                  <c:v>10</c:v>
                </c:pt>
                <c:pt idx="189">
                  <c:v>10</c:v>
                </c:pt>
                <c:pt idx="190">
                  <c:v>10</c:v>
                </c:pt>
                <c:pt idx="191">
                  <c:v>10</c:v>
                </c:pt>
                <c:pt idx="192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88-BE13-8245-9994-4C830182B6FC}"/>
            </c:ext>
          </c:extLst>
        </c:ser>
        <c:ser>
          <c:idx val="5"/>
          <c:order val="5"/>
          <c:tx>
            <c:strRef>
              <c:f>'schertz_violent_and_non XmR '!$P$1</c:f>
              <c:strCache>
                <c:ptCount val="1"/>
                <c:pt idx="0">
                  <c:v> -1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'schertz_violent_and_non XmR '!$A$2:$A$194</c:f>
              <c:numCache>
                <c:formatCode>mmm\-yy</c:formatCode>
                <c:ptCount val="193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  <c:pt idx="51">
                  <c:v>41730</c:v>
                </c:pt>
                <c:pt idx="52">
                  <c:v>41760</c:v>
                </c:pt>
                <c:pt idx="53">
                  <c:v>41791</c:v>
                </c:pt>
                <c:pt idx="54">
                  <c:v>41821</c:v>
                </c:pt>
                <c:pt idx="55">
                  <c:v>41852</c:v>
                </c:pt>
                <c:pt idx="56">
                  <c:v>41883</c:v>
                </c:pt>
                <c:pt idx="57">
                  <c:v>41913</c:v>
                </c:pt>
                <c:pt idx="58">
                  <c:v>41944</c:v>
                </c:pt>
                <c:pt idx="59">
                  <c:v>41974</c:v>
                </c:pt>
                <c:pt idx="60">
                  <c:v>42005</c:v>
                </c:pt>
                <c:pt idx="61">
                  <c:v>42036</c:v>
                </c:pt>
                <c:pt idx="62">
                  <c:v>42064</c:v>
                </c:pt>
                <c:pt idx="63">
                  <c:v>42095</c:v>
                </c:pt>
                <c:pt idx="64">
                  <c:v>42125</c:v>
                </c:pt>
                <c:pt idx="65">
                  <c:v>42156</c:v>
                </c:pt>
                <c:pt idx="66">
                  <c:v>42186</c:v>
                </c:pt>
                <c:pt idx="67">
                  <c:v>42217</c:v>
                </c:pt>
                <c:pt idx="68">
                  <c:v>42248</c:v>
                </c:pt>
                <c:pt idx="69">
                  <c:v>42278</c:v>
                </c:pt>
                <c:pt idx="70">
                  <c:v>42309</c:v>
                </c:pt>
                <c:pt idx="71">
                  <c:v>42339</c:v>
                </c:pt>
                <c:pt idx="72">
                  <c:v>42370</c:v>
                </c:pt>
                <c:pt idx="73">
                  <c:v>42401</c:v>
                </c:pt>
                <c:pt idx="74">
                  <c:v>42430</c:v>
                </c:pt>
                <c:pt idx="75">
                  <c:v>42461</c:v>
                </c:pt>
                <c:pt idx="76">
                  <c:v>42491</c:v>
                </c:pt>
                <c:pt idx="77">
                  <c:v>42522</c:v>
                </c:pt>
                <c:pt idx="78">
                  <c:v>42552</c:v>
                </c:pt>
                <c:pt idx="79">
                  <c:v>42583</c:v>
                </c:pt>
                <c:pt idx="80">
                  <c:v>42614</c:v>
                </c:pt>
                <c:pt idx="81">
                  <c:v>42644</c:v>
                </c:pt>
                <c:pt idx="82">
                  <c:v>42675</c:v>
                </c:pt>
                <c:pt idx="83">
                  <c:v>42705</c:v>
                </c:pt>
                <c:pt idx="84">
                  <c:v>42736</c:v>
                </c:pt>
                <c:pt idx="85">
                  <c:v>42767</c:v>
                </c:pt>
                <c:pt idx="86">
                  <c:v>42795</c:v>
                </c:pt>
                <c:pt idx="87">
                  <c:v>42826</c:v>
                </c:pt>
                <c:pt idx="88">
                  <c:v>42856</c:v>
                </c:pt>
                <c:pt idx="89">
                  <c:v>42887</c:v>
                </c:pt>
                <c:pt idx="90">
                  <c:v>42917</c:v>
                </c:pt>
                <c:pt idx="91">
                  <c:v>42948</c:v>
                </c:pt>
                <c:pt idx="92">
                  <c:v>42979</c:v>
                </c:pt>
                <c:pt idx="93">
                  <c:v>43009</c:v>
                </c:pt>
                <c:pt idx="94">
                  <c:v>43040</c:v>
                </c:pt>
                <c:pt idx="95">
                  <c:v>43070</c:v>
                </c:pt>
                <c:pt idx="96">
                  <c:v>43101</c:v>
                </c:pt>
                <c:pt idx="97">
                  <c:v>43132</c:v>
                </c:pt>
                <c:pt idx="98">
                  <c:v>43160</c:v>
                </c:pt>
                <c:pt idx="99">
                  <c:v>43191</c:v>
                </c:pt>
                <c:pt idx="100">
                  <c:v>43221</c:v>
                </c:pt>
                <c:pt idx="101">
                  <c:v>43252</c:v>
                </c:pt>
                <c:pt idx="102">
                  <c:v>43282</c:v>
                </c:pt>
                <c:pt idx="103">
                  <c:v>43313</c:v>
                </c:pt>
                <c:pt idx="104">
                  <c:v>43344</c:v>
                </c:pt>
                <c:pt idx="105">
                  <c:v>43374</c:v>
                </c:pt>
                <c:pt idx="106">
                  <c:v>43405</c:v>
                </c:pt>
                <c:pt idx="107">
                  <c:v>43435</c:v>
                </c:pt>
                <c:pt idx="108">
                  <c:v>43466</c:v>
                </c:pt>
                <c:pt idx="109">
                  <c:v>43497</c:v>
                </c:pt>
                <c:pt idx="110">
                  <c:v>43525</c:v>
                </c:pt>
                <c:pt idx="111">
                  <c:v>43556</c:v>
                </c:pt>
                <c:pt idx="112">
                  <c:v>43586</c:v>
                </c:pt>
                <c:pt idx="113">
                  <c:v>43617</c:v>
                </c:pt>
                <c:pt idx="114">
                  <c:v>43647</c:v>
                </c:pt>
                <c:pt idx="115">
                  <c:v>43678</c:v>
                </c:pt>
                <c:pt idx="116">
                  <c:v>43709</c:v>
                </c:pt>
                <c:pt idx="117">
                  <c:v>43739</c:v>
                </c:pt>
                <c:pt idx="118">
                  <c:v>43770</c:v>
                </c:pt>
                <c:pt idx="119">
                  <c:v>43800</c:v>
                </c:pt>
                <c:pt idx="120">
                  <c:v>43831</c:v>
                </c:pt>
                <c:pt idx="121">
                  <c:v>43862</c:v>
                </c:pt>
                <c:pt idx="122">
                  <c:v>43891</c:v>
                </c:pt>
                <c:pt idx="123">
                  <c:v>43922</c:v>
                </c:pt>
                <c:pt idx="124">
                  <c:v>43952</c:v>
                </c:pt>
                <c:pt idx="125">
                  <c:v>43983</c:v>
                </c:pt>
                <c:pt idx="126">
                  <c:v>44013</c:v>
                </c:pt>
                <c:pt idx="127">
                  <c:v>44044</c:v>
                </c:pt>
                <c:pt idx="128">
                  <c:v>44075</c:v>
                </c:pt>
                <c:pt idx="129">
                  <c:v>44105</c:v>
                </c:pt>
                <c:pt idx="130">
                  <c:v>44136</c:v>
                </c:pt>
                <c:pt idx="131">
                  <c:v>44166</c:v>
                </c:pt>
                <c:pt idx="132">
                  <c:v>44197</c:v>
                </c:pt>
                <c:pt idx="133">
                  <c:v>44228</c:v>
                </c:pt>
                <c:pt idx="134">
                  <c:v>44256</c:v>
                </c:pt>
                <c:pt idx="135">
                  <c:v>44287</c:v>
                </c:pt>
                <c:pt idx="136">
                  <c:v>44317</c:v>
                </c:pt>
                <c:pt idx="137">
                  <c:v>44348</c:v>
                </c:pt>
                <c:pt idx="138">
                  <c:v>44378</c:v>
                </c:pt>
                <c:pt idx="139">
                  <c:v>44409</c:v>
                </c:pt>
                <c:pt idx="140">
                  <c:v>44440</c:v>
                </c:pt>
                <c:pt idx="141">
                  <c:v>44470</c:v>
                </c:pt>
                <c:pt idx="142">
                  <c:v>44501</c:v>
                </c:pt>
                <c:pt idx="143">
                  <c:v>44531</c:v>
                </c:pt>
                <c:pt idx="144">
                  <c:v>44562</c:v>
                </c:pt>
                <c:pt idx="145">
                  <c:v>44593</c:v>
                </c:pt>
                <c:pt idx="146">
                  <c:v>44621</c:v>
                </c:pt>
                <c:pt idx="147">
                  <c:v>44652</c:v>
                </c:pt>
                <c:pt idx="148">
                  <c:v>44682</c:v>
                </c:pt>
                <c:pt idx="149">
                  <c:v>44713</c:v>
                </c:pt>
                <c:pt idx="150">
                  <c:v>44743</c:v>
                </c:pt>
                <c:pt idx="151">
                  <c:v>44774</c:v>
                </c:pt>
                <c:pt idx="152">
                  <c:v>44805</c:v>
                </c:pt>
                <c:pt idx="153">
                  <c:v>44835</c:v>
                </c:pt>
                <c:pt idx="154">
                  <c:v>44866</c:v>
                </c:pt>
                <c:pt idx="155">
                  <c:v>44896</c:v>
                </c:pt>
                <c:pt idx="156">
                  <c:v>44927</c:v>
                </c:pt>
                <c:pt idx="157">
                  <c:v>44958</c:v>
                </c:pt>
                <c:pt idx="158">
                  <c:v>44986</c:v>
                </c:pt>
                <c:pt idx="159">
                  <c:v>45017</c:v>
                </c:pt>
                <c:pt idx="160">
                  <c:v>45047</c:v>
                </c:pt>
                <c:pt idx="161">
                  <c:v>45078</c:v>
                </c:pt>
                <c:pt idx="162">
                  <c:v>45108</c:v>
                </c:pt>
                <c:pt idx="163">
                  <c:v>45139</c:v>
                </c:pt>
                <c:pt idx="164">
                  <c:v>45170</c:v>
                </c:pt>
                <c:pt idx="165">
                  <c:v>45200</c:v>
                </c:pt>
                <c:pt idx="166">
                  <c:v>45231</c:v>
                </c:pt>
                <c:pt idx="167">
                  <c:v>45261</c:v>
                </c:pt>
                <c:pt idx="168">
                  <c:v>45292</c:v>
                </c:pt>
                <c:pt idx="169">
                  <c:v>45323</c:v>
                </c:pt>
                <c:pt idx="170">
                  <c:v>45352</c:v>
                </c:pt>
                <c:pt idx="171">
                  <c:v>45383</c:v>
                </c:pt>
                <c:pt idx="172">
                  <c:v>45413</c:v>
                </c:pt>
                <c:pt idx="173">
                  <c:v>45444</c:v>
                </c:pt>
                <c:pt idx="174">
                  <c:v>45474</c:v>
                </c:pt>
                <c:pt idx="175">
                  <c:v>45505</c:v>
                </c:pt>
                <c:pt idx="176">
                  <c:v>45536</c:v>
                </c:pt>
                <c:pt idx="177">
                  <c:v>45566</c:v>
                </c:pt>
                <c:pt idx="178">
                  <c:v>45597</c:v>
                </c:pt>
                <c:pt idx="179">
                  <c:v>45627</c:v>
                </c:pt>
                <c:pt idx="180">
                  <c:v>45658</c:v>
                </c:pt>
                <c:pt idx="181">
                  <c:v>45689</c:v>
                </c:pt>
                <c:pt idx="182">
                  <c:v>45717</c:v>
                </c:pt>
                <c:pt idx="183">
                  <c:v>45748</c:v>
                </c:pt>
                <c:pt idx="184">
                  <c:v>45778</c:v>
                </c:pt>
                <c:pt idx="185">
                  <c:v>45809</c:v>
                </c:pt>
                <c:pt idx="186">
                  <c:v>45839</c:v>
                </c:pt>
                <c:pt idx="187">
                  <c:v>45870</c:v>
                </c:pt>
                <c:pt idx="188">
                  <c:v>45901</c:v>
                </c:pt>
                <c:pt idx="189">
                  <c:v>45931</c:v>
                </c:pt>
                <c:pt idx="190">
                  <c:v>45962</c:v>
                </c:pt>
                <c:pt idx="191">
                  <c:v>45992</c:v>
                </c:pt>
                <c:pt idx="192">
                  <c:v>46023</c:v>
                </c:pt>
              </c:numCache>
            </c:numRef>
          </c:cat>
          <c:val>
            <c:numRef>
              <c:f>'schertz_violent_and_non XmR '!$P$2:$P$194</c:f>
              <c:numCache>
                <c:formatCode>0.0</c:formatCode>
                <c:ptCount val="193"/>
                <c:pt idx="1">
                  <c:v>2.7595294117647065</c:v>
                </c:pt>
                <c:pt idx="2">
                  <c:v>2.7595294117647065</c:v>
                </c:pt>
                <c:pt idx="3">
                  <c:v>2.7595294117647065</c:v>
                </c:pt>
                <c:pt idx="4">
                  <c:v>2.7595294117647065</c:v>
                </c:pt>
                <c:pt idx="5">
                  <c:v>2.7595294117647065</c:v>
                </c:pt>
                <c:pt idx="6">
                  <c:v>2.7595294117647065</c:v>
                </c:pt>
                <c:pt idx="7">
                  <c:v>2.7595294117647065</c:v>
                </c:pt>
                <c:pt idx="8">
                  <c:v>2.7595294117647065</c:v>
                </c:pt>
                <c:pt idx="9">
                  <c:v>2.7595294117647065</c:v>
                </c:pt>
                <c:pt idx="10">
                  <c:v>2.7595294117647065</c:v>
                </c:pt>
                <c:pt idx="11">
                  <c:v>2.7595294117647065</c:v>
                </c:pt>
                <c:pt idx="12">
                  <c:v>2.7595294117647065</c:v>
                </c:pt>
                <c:pt idx="13">
                  <c:v>2.7595294117647065</c:v>
                </c:pt>
                <c:pt idx="14">
                  <c:v>2.7595294117647065</c:v>
                </c:pt>
                <c:pt idx="15">
                  <c:v>2.7595294117647065</c:v>
                </c:pt>
                <c:pt idx="16">
                  <c:v>2.7595294117647065</c:v>
                </c:pt>
                <c:pt idx="17">
                  <c:v>2.7595294117647065</c:v>
                </c:pt>
                <c:pt idx="18">
                  <c:v>1.8848571428571441</c:v>
                </c:pt>
                <c:pt idx="19">
                  <c:v>1.8848571428571441</c:v>
                </c:pt>
                <c:pt idx="20">
                  <c:v>1.8848571428571441</c:v>
                </c:pt>
                <c:pt idx="21">
                  <c:v>1.8848571428571441</c:v>
                </c:pt>
                <c:pt idx="22">
                  <c:v>1.8848571428571441</c:v>
                </c:pt>
                <c:pt idx="23">
                  <c:v>1.8848571428571441</c:v>
                </c:pt>
                <c:pt idx="24">
                  <c:v>1.8848571428571441</c:v>
                </c:pt>
                <c:pt idx="25">
                  <c:v>1.8848571428571441</c:v>
                </c:pt>
                <c:pt idx="26">
                  <c:v>1.8848571428571441</c:v>
                </c:pt>
                <c:pt idx="27">
                  <c:v>1.8848571428571441</c:v>
                </c:pt>
                <c:pt idx="28">
                  <c:v>1.8848571428571441</c:v>
                </c:pt>
                <c:pt idx="29">
                  <c:v>1.8848571428571441</c:v>
                </c:pt>
                <c:pt idx="30">
                  <c:v>1.8848571428571441</c:v>
                </c:pt>
                <c:pt idx="31">
                  <c:v>1.8848571428571441</c:v>
                </c:pt>
                <c:pt idx="32">
                  <c:v>2.204959349593496</c:v>
                </c:pt>
                <c:pt idx="33">
                  <c:v>2.204959349593496</c:v>
                </c:pt>
                <c:pt idx="34">
                  <c:v>2.204959349593496</c:v>
                </c:pt>
                <c:pt idx="35">
                  <c:v>2.204959349593496</c:v>
                </c:pt>
                <c:pt idx="36">
                  <c:v>2.204959349593496</c:v>
                </c:pt>
                <c:pt idx="37">
                  <c:v>2.204959349593496</c:v>
                </c:pt>
                <c:pt idx="38">
                  <c:v>2.204959349593496</c:v>
                </c:pt>
                <c:pt idx="39">
                  <c:v>2.204959349593496</c:v>
                </c:pt>
                <c:pt idx="40">
                  <c:v>2.204959349593496</c:v>
                </c:pt>
                <c:pt idx="41">
                  <c:v>2.204959349593496</c:v>
                </c:pt>
                <c:pt idx="42">
                  <c:v>2.204959349593496</c:v>
                </c:pt>
                <c:pt idx="43">
                  <c:v>2.204959349593496</c:v>
                </c:pt>
                <c:pt idx="44">
                  <c:v>2.204959349593496</c:v>
                </c:pt>
                <c:pt idx="45">
                  <c:v>2.204959349593496</c:v>
                </c:pt>
                <c:pt idx="46">
                  <c:v>2.204959349593496</c:v>
                </c:pt>
                <c:pt idx="47">
                  <c:v>2.204959349593496</c:v>
                </c:pt>
                <c:pt idx="48">
                  <c:v>2.204959349593496</c:v>
                </c:pt>
                <c:pt idx="49">
                  <c:v>2.204959349593496</c:v>
                </c:pt>
                <c:pt idx="50">
                  <c:v>2.204959349593496</c:v>
                </c:pt>
                <c:pt idx="51">
                  <c:v>2.204959349593496</c:v>
                </c:pt>
                <c:pt idx="52">
                  <c:v>2.204959349593496</c:v>
                </c:pt>
                <c:pt idx="53">
                  <c:v>2.204959349593496</c:v>
                </c:pt>
                <c:pt idx="54">
                  <c:v>2.204959349593496</c:v>
                </c:pt>
                <c:pt idx="55">
                  <c:v>2.204959349593496</c:v>
                </c:pt>
                <c:pt idx="56">
                  <c:v>2.204959349593496</c:v>
                </c:pt>
                <c:pt idx="57">
                  <c:v>2.204959349593496</c:v>
                </c:pt>
                <c:pt idx="58">
                  <c:v>2.204959349593496</c:v>
                </c:pt>
                <c:pt idx="59">
                  <c:v>2.204959349593496</c:v>
                </c:pt>
                <c:pt idx="60">
                  <c:v>2.204959349593496</c:v>
                </c:pt>
                <c:pt idx="61">
                  <c:v>2.204959349593496</c:v>
                </c:pt>
                <c:pt idx="62">
                  <c:v>2.204959349593496</c:v>
                </c:pt>
                <c:pt idx="63">
                  <c:v>2.204959349593496</c:v>
                </c:pt>
                <c:pt idx="64">
                  <c:v>2.204959349593496</c:v>
                </c:pt>
                <c:pt idx="65">
                  <c:v>2.204959349593496</c:v>
                </c:pt>
                <c:pt idx="66">
                  <c:v>2.204959349593496</c:v>
                </c:pt>
                <c:pt idx="67">
                  <c:v>2.204959349593496</c:v>
                </c:pt>
                <c:pt idx="68">
                  <c:v>2.204959349593496</c:v>
                </c:pt>
                <c:pt idx="69">
                  <c:v>2.204959349593496</c:v>
                </c:pt>
                <c:pt idx="70">
                  <c:v>2.204959349593496</c:v>
                </c:pt>
                <c:pt idx="71">
                  <c:v>2.204959349593496</c:v>
                </c:pt>
                <c:pt idx="72">
                  <c:v>2.204959349593496</c:v>
                </c:pt>
                <c:pt idx="73">
                  <c:v>1.5035897435897434</c:v>
                </c:pt>
                <c:pt idx="74">
                  <c:v>1.5035897435897434</c:v>
                </c:pt>
                <c:pt idx="75">
                  <c:v>1.5035897435897434</c:v>
                </c:pt>
                <c:pt idx="76">
                  <c:v>1.5035897435897434</c:v>
                </c:pt>
                <c:pt idx="77">
                  <c:v>1.5035897435897434</c:v>
                </c:pt>
                <c:pt idx="78">
                  <c:v>1.5035897435897434</c:v>
                </c:pt>
                <c:pt idx="79">
                  <c:v>1.5035897435897434</c:v>
                </c:pt>
                <c:pt idx="80">
                  <c:v>1.5035897435897434</c:v>
                </c:pt>
                <c:pt idx="81">
                  <c:v>1.5035897435897434</c:v>
                </c:pt>
                <c:pt idx="82">
                  <c:v>1.5035897435897434</c:v>
                </c:pt>
                <c:pt idx="83">
                  <c:v>1.5035897435897434</c:v>
                </c:pt>
                <c:pt idx="84">
                  <c:v>1.5035897435897434</c:v>
                </c:pt>
                <c:pt idx="85">
                  <c:v>1.5035897435897434</c:v>
                </c:pt>
                <c:pt idx="86">
                  <c:v>2.9669047619047628</c:v>
                </c:pt>
                <c:pt idx="87">
                  <c:v>2.9669047619047628</c:v>
                </c:pt>
                <c:pt idx="88">
                  <c:v>2.9669047619047628</c:v>
                </c:pt>
                <c:pt idx="89">
                  <c:v>2.9669047619047628</c:v>
                </c:pt>
                <c:pt idx="90">
                  <c:v>2.9669047619047628</c:v>
                </c:pt>
                <c:pt idx="91">
                  <c:v>2.9669047619047628</c:v>
                </c:pt>
                <c:pt idx="92">
                  <c:v>2.9669047619047628</c:v>
                </c:pt>
                <c:pt idx="93">
                  <c:v>2.8875757575757586</c:v>
                </c:pt>
                <c:pt idx="94">
                  <c:v>2.8875757575757586</c:v>
                </c:pt>
                <c:pt idx="95">
                  <c:v>2.8875757575757586</c:v>
                </c:pt>
                <c:pt idx="96">
                  <c:v>2.8875757575757586</c:v>
                </c:pt>
                <c:pt idx="97">
                  <c:v>2.8875757575757586</c:v>
                </c:pt>
                <c:pt idx="98">
                  <c:v>2.8875757575757586</c:v>
                </c:pt>
                <c:pt idx="99">
                  <c:v>2.8875757575757586</c:v>
                </c:pt>
                <c:pt idx="100">
                  <c:v>2.8875757575757586</c:v>
                </c:pt>
                <c:pt idx="101">
                  <c:v>2.8875757575757586</c:v>
                </c:pt>
                <c:pt idx="102">
                  <c:v>2.8875757575757586</c:v>
                </c:pt>
                <c:pt idx="103">
                  <c:v>2.8875757575757586</c:v>
                </c:pt>
                <c:pt idx="104">
                  <c:v>3.0590533333333347</c:v>
                </c:pt>
                <c:pt idx="105">
                  <c:v>3.0590533333333347</c:v>
                </c:pt>
                <c:pt idx="106">
                  <c:v>3.0590533333333347</c:v>
                </c:pt>
                <c:pt idx="107">
                  <c:v>3.0590533333333347</c:v>
                </c:pt>
                <c:pt idx="108">
                  <c:v>3.0590533333333347</c:v>
                </c:pt>
                <c:pt idx="109">
                  <c:v>3.0590533333333347</c:v>
                </c:pt>
                <c:pt idx="110">
                  <c:v>3.0590533333333347</c:v>
                </c:pt>
                <c:pt idx="111">
                  <c:v>3.0590533333333347</c:v>
                </c:pt>
                <c:pt idx="112">
                  <c:v>3.0590533333333347</c:v>
                </c:pt>
                <c:pt idx="113">
                  <c:v>3.0590533333333347</c:v>
                </c:pt>
                <c:pt idx="114">
                  <c:v>3.0590533333333347</c:v>
                </c:pt>
                <c:pt idx="115">
                  <c:v>3.0590533333333347</c:v>
                </c:pt>
                <c:pt idx="116">
                  <c:v>3.0590533333333347</c:v>
                </c:pt>
                <c:pt idx="117">
                  <c:v>3.0590533333333347</c:v>
                </c:pt>
                <c:pt idx="118">
                  <c:v>3.0590533333333347</c:v>
                </c:pt>
                <c:pt idx="119">
                  <c:v>3.0590533333333347</c:v>
                </c:pt>
                <c:pt idx="120">
                  <c:v>3.0590533333333347</c:v>
                </c:pt>
                <c:pt idx="121">
                  <c:v>3.0590533333333347</c:v>
                </c:pt>
                <c:pt idx="122">
                  <c:v>3.0590533333333347</c:v>
                </c:pt>
                <c:pt idx="123">
                  <c:v>3.0590533333333347</c:v>
                </c:pt>
                <c:pt idx="124">
                  <c:v>3.0590533333333347</c:v>
                </c:pt>
                <c:pt idx="125">
                  <c:v>3.0590533333333347</c:v>
                </c:pt>
                <c:pt idx="126">
                  <c:v>3.0590533333333347</c:v>
                </c:pt>
                <c:pt idx="127">
                  <c:v>3.0590533333333347</c:v>
                </c:pt>
                <c:pt idx="128">
                  <c:v>3.0590533333333347</c:v>
                </c:pt>
                <c:pt idx="129">
                  <c:v>2.0361111111111123</c:v>
                </c:pt>
                <c:pt idx="130">
                  <c:v>2.0361111111111123</c:v>
                </c:pt>
                <c:pt idx="131">
                  <c:v>2.0361111111111123</c:v>
                </c:pt>
                <c:pt idx="132">
                  <c:v>2.0361111111111123</c:v>
                </c:pt>
                <c:pt idx="133">
                  <c:v>2.0361111111111123</c:v>
                </c:pt>
                <c:pt idx="134">
                  <c:v>2.0361111111111123</c:v>
                </c:pt>
                <c:pt idx="135">
                  <c:v>2.0361111111111123</c:v>
                </c:pt>
                <c:pt idx="136">
                  <c:v>2.0361111111111123</c:v>
                </c:pt>
                <c:pt idx="137">
                  <c:v>2.0361111111111123</c:v>
                </c:pt>
                <c:pt idx="138">
                  <c:v>2.0361111111111123</c:v>
                </c:pt>
                <c:pt idx="139">
                  <c:v>2.0361111111111123</c:v>
                </c:pt>
                <c:pt idx="140">
                  <c:v>2.0361111111111123</c:v>
                </c:pt>
                <c:pt idx="141">
                  <c:v>2.0361111111111123</c:v>
                </c:pt>
                <c:pt idx="142">
                  <c:v>2.0361111111111123</c:v>
                </c:pt>
                <c:pt idx="143">
                  <c:v>2.0361111111111123</c:v>
                </c:pt>
                <c:pt idx="144">
                  <c:v>2.0361111111111123</c:v>
                </c:pt>
                <c:pt idx="145">
                  <c:v>2.0361111111111123</c:v>
                </c:pt>
                <c:pt idx="146">
                  <c:v>2.0361111111111123</c:v>
                </c:pt>
                <c:pt idx="147">
                  <c:v>2.0361111111111123</c:v>
                </c:pt>
                <c:pt idx="148">
                  <c:v>2.0361111111111123</c:v>
                </c:pt>
                <c:pt idx="149">
                  <c:v>2.0361111111111123</c:v>
                </c:pt>
                <c:pt idx="150">
                  <c:v>2.1990000000000007</c:v>
                </c:pt>
                <c:pt idx="151">
                  <c:v>2.1990000000000007</c:v>
                </c:pt>
                <c:pt idx="152">
                  <c:v>2.1990000000000007</c:v>
                </c:pt>
                <c:pt idx="153">
                  <c:v>2.1990000000000007</c:v>
                </c:pt>
                <c:pt idx="154">
                  <c:v>2.1990000000000007</c:v>
                </c:pt>
                <c:pt idx="155">
                  <c:v>1.7626904761904765</c:v>
                </c:pt>
                <c:pt idx="156">
                  <c:v>1.7626904761904765</c:v>
                </c:pt>
                <c:pt idx="157">
                  <c:v>1.7626904761904765</c:v>
                </c:pt>
                <c:pt idx="158">
                  <c:v>1.7626904761904765</c:v>
                </c:pt>
                <c:pt idx="159">
                  <c:v>1.7626904761904765</c:v>
                </c:pt>
                <c:pt idx="160">
                  <c:v>1.7626904761904765</c:v>
                </c:pt>
                <c:pt idx="161">
                  <c:v>1.7626904761904765</c:v>
                </c:pt>
                <c:pt idx="162">
                  <c:v>1.7626904761904765</c:v>
                </c:pt>
                <c:pt idx="163">
                  <c:v>1.7626904761904765</c:v>
                </c:pt>
                <c:pt idx="164">
                  <c:v>1.7626904761904765</c:v>
                </c:pt>
                <c:pt idx="165">
                  <c:v>1.7626904761904765</c:v>
                </c:pt>
                <c:pt idx="166">
                  <c:v>1.7626904761904765</c:v>
                </c:pt>
                <c:pt idx="167">
                  <c:v>1.7626904761904765</c:v>
                </c:pt>
                <c:pt idx="168">
                  <c:v>1.7626904761904765</c:v>
                </c:pt>
                <c:pt idx="169">
                  <c:v>2.0849777777777776</c:v>
                </c:pt>
                <c:pt idx="170">
                  <c:v>2.0849777777777776</c:v>
                </c:pt>
                <c:pt idx="171">
                  <c:v>2.0849777777777776</c:v>
                </c:pt>
                <c:pt idx="172">
                  <c:v>2.0849777777777776</c:v>
                </c:pt>
                <c:pt idx="173">
                  <c:v>2.0849777777777776</c:v>
                </c:pt>
                <c:pt idx="174">
                  <c:v>2.0849777777777776</c:v>
                </c:pt>
                <c:pt idx="175">
                  <c:v>2.0849777777777776</c:v>
                </c:pt>
                <c:pt idx="176">
                  <c:v>2.0849777777777776</c:v>
                </c:pt>
                <c:pt idx="177">
                  <c:v>2.0849777777777776</c:v>
                </c:pt>
                <c:pt idx="178">
                  <c:v>2.0849777777777776</c:v>
                </c:pt>
                <c:pt idx="179">
                  <c:v>2.0849777777777776</c:v>
                </c:pt>
                <c:pt idx="180">
                  <c:v>2.0849777777777776</c:v>
                </c:pt>
                <c:pt idx="181">
                  <c:v>2.0849777777777776</c:v>
                </c:pt>
                <c:pt idx="182">
                  <c:v>2.0849777777777776</c:v>
                </c:pt>
                <c:pt idx="183">
                  <c:v>2.0849777777777776</c:v>
                </c:pt>
                <c:pt idx="184">
                  <c:v>2.4433333333333334</c:v>
                </c:pt>
                <c:pt idx="185">
                  <c:v>2.4433333333333334</c:v>
                </c:pt>
                <c:pt idx="186">
                  <c:v>2.4433333333333334</c:v>
                </c:pt>
                <c:pt idx="187">
                  <c:v>2.4433333333333334</c:v>
                </c:pt>
                <c:pt idx="188">
                  <c:v>2.4433333333333334</c:v>
                </c:pt>
                <c:pt idx="189">
                  <c:v>2.4433333333333334</c:v>
                </c:pt>
                <c:pt idx="190">
                  <c:v>2.4433333333333334</c:v>
                </c:pt>
                <c:pt idx="191">
                  <c:v>2.4433333333333334</c:v>
                </c:pt>
                <c:pt idx="192">
                  <c:v>2.4433333333333334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89-BE13-8245-9994-4C830182B6FC}"/>
            </c:ext>
          </c:extLst>
        </c:ser>
        <c:ser>
          <c:idx val="6"/>
          <c:order val="6"/>
          <c:tx>
            <c:strRef>
              <c:f>'schertz_violent_and_non XmR '!$Q$1</c:f>
              <c:strCache>
                <c:ptCount val="1"/>
                <c:pt idx="0">
                  <c:v> -2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'schertz_violent_and_non XmR '!$A$2:$A$194</c:f>
              <c:numCache>
                <c:formatCode>mmm\-yy</c:formatCode>
                <c:ptCount val="193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  <c:pt idx="51">
                  <c:v>41730</c:v>
                </c:pt>
                <c:pt idx="52">
                  <c:v>41760</c:v>
                </c:pt>
                <c:pt idx="53">
                  <c:v>41791</c:v>
                </c:pt>
                <c:pt idx="54">
                  <c:v>41821</c:v>
                </c:pt>
                <c:pt idx="55">
                  <c:v>41852</c:v>
                </c:pt>
                <c:pt idx="56">
                  <c:v>41883</c:v>
                </c:pt>
                <c:pt idx="57">
                  <c:v>41913</c:v>
                </c:pt>
                <c:pt idx="58">
                  <c:v>41944</c:v>
                </c:pt>
                <c:pt idx="59">
                  <c:v>41974</c:v>
                </c:pt>
                <c:pt idx="60">
                  <c:v>42005</c:v>
                </c:pt>
                <c:pt idx="61">
                  <c:v>42036</c:v>
                </c:pt>
                <c:pt idx="62">
                  <c:v>42064</c:v>
                </c:pt>
                <c:pt idx="63">
                  <c:v>42095</c:v>
                </c:pt>
                <c:pt idx="64">
                  <c:v>42125</c:v>
                </c:pt>
                <c:pt idx="65">
                  <c:v>42156</c:v>
                </c:pt>
                <c:pt idx="66">
                  <c:v>42186</c:v>
                </c:pt>
                <c:pt idx="67">
                  <c:v>42217</c:v>
                </c:pt>
                <c:pt idx="68">
                  <c:v>42248</c:v>
                </c:pt>
                <c:pt idx="69">
                  <c:v>42278</c:v>
                </c:pt>
                <c:pt idx="70">
                  <c:v>42309</c:v>
                </c:pt>
                <c:pt idx="71">
                  <c:v>42339</c:v>
                </c:pt>
                <c:pt idx="72">
                  <c:v>42370</c:v>
                </c:pt>
                <c:pt idx="73">
                  <c:v>42401</c:v>
                </c:pt>
                <c:pt idx="74">
                  <c:v>42430</c:v>
                </c:pt>
                <c:pt idx="75">
                  <c:v>42461</c:v>
                </c:pt>
                <c:pt idx="76">
                  <c:v>42491</c:v>
                </c:pt>
                <c:pt idx="77">
                  <c:v>42522</c:v>
                </c:pt>
                <c:pt idx="78">
                  <c:v>42552</c:v>
                </c:pt>
                <c:pt idx="79">
                  <c:v>42583</c:v>
                </c:pt>
                <c:pt idx="80">
                  <c:v>42614</c:v>
                </c:pt>
                <c:pt idx="81">
                  <c:v>42644</c:v>
                </c:pt>
                <c:pt idx="82">
                  <c:v>42675</c:v>
                </c:pt>
                <c:pt idx="83">
                  <c:v>42705</c:v>
                </c:pt>
                <c:pt idx="84">
                  <c:v>42736</c:v>
                </c:pt>
                <c:pt idx="85">
                  <c:v>42767</c:v>
                </c:pt>
                <c:pt idx="86">
                  <c:v>42795</c:v>
                </c:pt>
                <c:pt idx="87">
                  <c:v>42826</c:v>
                </c:pt>
                <c:pt idx="88">
                  <c:v>42856</c:v>
                </c:pt>
                <c:pt idx="89">
                  <c:v>42887</c:v>
                </c:pt>
                <c:pt idx="90">
                  <c:v>42917</c:v>
                </c:pt>
                <c:pt idx="91">
                  <c:v>42948</c:v>
                </c:pt>
                <c:pt idx="92">
                  <c:v>42979</c:v>
                </c:pt>
                <c:pt idx="93">
                  <c:v>43009</c:v>
                </c:pt>
                <c:pt idx="94">
                  <c:v>43040</c:v>
                </c:pt>
                <c:pt idx="95">
                  <c:v>43070</c:v>
                </c:pt>
                <c:pt idx="96">
                  <c:v>43101</c:v>
                </c:pt>
                <c:pt idx="97">
                  <c:v>43132</c:v>
                </c:pt>
                <c:pt idx="98">
                  <c:v>43160</c:v>
                </c:pt>
                <c:pt idx="99">
                  <c:v>43191</c:v>
                </c:pt>
                <c:pt idx="100">
                  <c:v>43221</c:v>
                </c:pt>
                <c:pt idx="101">
                  <c:v>43252</c:v>
                </c:pt>
                <c:pt idx="102">
                  <c:v>43282</c:v>
                </c:pt>
                <c:pt idx="103">
                  <c:v>43313</c:v>
                </c:pt>
                <c:pt idx="104">
                  <c:v>43344</c:v>
                </c:pt>
                <c:pt idx="105">
                  <c:v>43374</c:v>
                </c:pt>
                <c:pt idx="106">
                  <c:v>43405</c:v>
                </c:pt>
                <c:pt idx="107">
                  <c:v>43435</c:v>
                </c:pt>
                <c:pt idx="108">
                  <c:v>43466</c:v>
                </c:pt>
                <c:pt idx="109">
                  <c:v>43497</c:v>
                </c:pt>
                <c:pt idx="110">
                  <c:v>43525</c:v>
                </c:pt>
                <c:pt idx="111">
                  <c:v>43556</c:v>
                </c:pt>
                <c:pt idx="112">
                  <c:v>43586</c:v>
                </c:pt>
                <c:pt idx="113">
                  <c:v>43617</c:v>
                </c:pt>
                <c:pt idx="114">
                  <c:v>43647</c:v>
                </c:pt>
                <c:pt idx="115">
                  <c:v>43678</c:v>
                </c:pt>
                <c:pt idx="116">
                  <c:v>43709</c:v>
                </c:pt>
                <c:pt idx="117">
                  <c:v>43739</c:v>
                </c:pt>
                <c:pt idx="118">
                  <c:v>43770</c:v>
                </c:pt>
                <c:pt idx="119">
                  <c:v>43800</c:v>
                </c:pt>
                <c:pt idx="120">
                  <c:v>43831</c:v>
                </c:pt>
                <c:pt idx="121">
                  <c:v>43862</c:v>
                </c:pt>
                <c:pt idx="122">
                  <c:v>43891</c:v>
                </c:pt>
                <c:pt idx="123">
                  <c:v>43922</c:v>
                </c:pt>
                <c:pt idx="124">
                  <c:v>43952</c:v>
                </c:pt>
                <c:pt idx="125">
                  <c:v>43983</c:v>
                </c:pt>
                <c:pt idx="126">
                  <c:v>44013</c:v>
                </c:pt>
                <c:pt idx="127">
                  <c:v>44044</c:v>
                </c:pt>
                <c:pt idx="128">
                  <c:v>44075</c:v>
                </c:pt>
                <c:pt idx="129">
                  <c:v>44105</c:v>
                </c:pt>
                <c:pt idx="130">
                  <c:v>44136</c:v>
                </c:pt>
                <c:pt idx="131">
                  <c:v>44166</c:v>
                </c:pt>
                <c:pt idx="132">
                  <c:v>44197</c:v>
                </c:pt>
                <c:pt idx="133">
                  <c:v>44228</c:v>
                </c:pt>
                <c:pt idx="134">
                  <c:v>44256</c:v>
                </c:pt>
                <c:pt idx="135">
                  <c:v>44287</c:v>
                </c:pt>
                <c:pt idx="136">
                  <c:v>44317</c:v>
                </c:pt>
                <c:pt idx="137">
                  <c:v>44348</c:v>
                </c:pt>
                <c:pt idx="138">
                  <c:v>44378</c:v>
                </c:pt>
                <c:pt idx="139">
                  <c:v>44409</c:v>
                </c:pt>
                <c:pt idx="140">
                  <c:v>44440</c:v>
                </c:pt>
                <c:pt idx="141">
                  <c:v>44470</c:v>
                </c:pt>
                <c:pt idx="142">
                  <c:v>44501</c:v>
                </c:pt>
                <c:pt idx="143">
                  <c:v>44531</c:v>
                </c:pt>
                <c:pt idx="144">
                  <c:v>44562</c:v>
                </c:pt>
                <c:pt idx="145">
                  <c:v>44593</c:v>
                </c:pt>
                <c:pt idx="146">
                  <c:v>44621</c:v>
                </c:pt>
                <c:pt idx="147">
                  <c:v>44652</c:v>
                </c:pt>
                <c:pt idx="148">
                  <c:v>44682</c:v>
                </c:pt>
                <c:pt idx="149">
                  <c:v>44713</c:v>
                </c:pt>
                <c:pt idx="150">
                  <c:v>44743</c:v>
                </c:pt>
                <c:pt idx="151">
                  <c:v>44774</c:v>
                </c:pt>
                <c:pt idx="152">
                  <c:v>44805</c:v>
                </c:pt>
                <c:pt idx="153">
                  <c:v>44835</c:v>
                </c:pt>
                <c:pt idx="154">
                  <c:v>44866</c:v>
                </c:pt>
                <c:pt idx="155">
                  <c:v>44896</c:v>
                </c:pt>
                <c:pt idx="156">
                  <c:v>44927</c:v>
                </c:pt>
                <c:pt idx="157">
                  <c:v>44958</c:v>
                </c:pt>
                <c:pt idx="158">
                  <c:v>44986</c:v>
                </c:pt>
                <c:pt idx="159">
                  <c:v>45017</c:v>
                </c:pt>
                <c:pt idx="160">
                  <c:v>45047</c:v>
                </c:pt>
                <c:pt idx="161">
                  <c:v>45078</c:v>
                </c:pt>
                <c:pt idx="162">
                  <c:v>45108</c:v>
                </c:pt>
                <c:pt idx="163">
                  <c:v>45139</c:v>
                </c:pt>
                <c:pt idx="164">
                  <c:v>45170</c:v>
                </c:pt>
                <c:pt idx="165">
                  <c:v>45200</c:v>
                </c:pt>
                <c:pt idx="166">
                  <c:v>45231</c:v>
                </c:pt>
                <c:pt idx="167">
                  <c:v>45261</c:v>
                </c:pt>
                <c:pt idx="168">
                  <c:v>45292</c:v>
                </c:pt>
                <c:pt idx="169">
                  <c:v>45323</c:v>
                </c:pt>
                <c:pt idx="170">
                  <c:v>45352</c:v>
                </c:pt>
                <c:pt idx="171">
                  <c:v>45383</c:v>
                </c:pt>
                <c:pt idx="172">
                  <c:v>45413</c:v>
                </c:pt>
                <c:pt idx="173">
                  <c:v>45444</c:v>
                </c:pt>
                <c:pt idx="174">
                  <c:v>45474</c:v>
                </c:pt>
                <c:pt idx="175">
                  <c:v>45505</c:v>
                </c:pt>
                <c:pt idx="176">
                  <c:v>45536</c:v>
                </c:pt>
                <c:pt idx="177">
                  <c:v>45566</c:v>
                </c:pt>
                <c:pt idx="178">
                  <c:v>45597</c:v>
                </c:pt>
                <c:pt idx="179">
                  <c:v>45627</c:v>
                </c:pt>
                <c:pt idx="180">
                  <c:v>45658</c:v>
                </c:pt>
                <c:pt idx="181">
                  <c:v>45689</c:v>
                </c:pt>
                <c:pt idx="182">
                  <c:v>45717</c:v>
                </c:pt>
                <c:pt idx="183">
                  <c:v>45748</c:v>
                </c:pt>
                <c:pt idx="184">
                  <c:v>45778</c:v>
                </c:pt>
                <c:pt idx="185">
                  <c:v>45809</c:v>
                </c:pt>
                <c:pt idx="186">
                  <c:v>45839</c:v>
                </c:pt>
                <c:pt idx="187">
                  <c:v>45870</c:v>
                </c:pt>
                <c:pt idx="188">
                  <c:v>45901</c:v>
                </c:pt>
                <c:pt idx="189">
                  <c:v>45931</c:v>
                </c:pt>
                <c:pt idx="190">
                  <c:v>45962</c:v>
                </c:pt>
                <c:pt idx="191">
                  <c:v>45992</c:v>
                </c:pt>
                <c:pt idx="192">
                  <c:v>46023</c:v>
                </c:pt>
              </c:numCache>
            </c:numRef>
          </c:cat>
          <c:val>
            <c:numRef>
              <c:f>'schertz_violent_and_non XmR '!$Q$2:$Q$194</c:f>
              <c:numCache>
                <c:formatCode>0.0</c:formatCode>
                <c:ptCount val="193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8A-BE13-8245-9994-4C830182B6FC}"/>
            </c:ext>
          </c:extLst>
        </c:ser>
        <c:ser>
          <c:idx val="7"/>
          <c:order val="7"/>
          <c:tx>
            <c:strRef>
              <c:f>'schertz_violent_and_non XmR '!$R$1</c:f>
              <c:strCache>
                <c:ptCount val="1"/>
                <c:pt idx="0">
                  <c:v>LCL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cat>
            <c:numRef>
              <c:f>'schertz_violent_and_non XmR '!$A$2:$A$194</c:f>
              <c:numCache>
                <c:formatCode>mmm\-yy</c:formatCode>
                <c:ptCount val="193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  <c:pt idx="51">
                  <c:v>41730</c:v>
                </c:pt>
                <c:pt idx="52">
                  <c:v>41760</c:v>
                </c:pt>
                <c:pt idx="53">
                  <c:v>41791</c:v>
                </c:pt>
                <c:pt idx="54">
                  <c:v>41821</c:v>
                </c:pt>
                <c:pt idx="55">
                  <c:v>41852</c:v>
                </c:pt>
                <c:pt idx="56">
                  <c:v>41883</c:v>
                </c:pt>
                <c:pt idx="57">
                  <c:v>41913</c:v>
                </c:pt>
                <c:pt idx="58">
                  <c:v>41944</c:v>
                </c:pt>
                <c:pt idx="59">
                  <c:v>41974</c:v>
                </c:pt>
                <c:pt idx="60">
                  <c:v>42005</c:v>
                </c:pt>
                <c:pt idx="61">
                  <c:v>42036</c:v>
                </c:pt>
                <c:pt idx="62">
                  <c:v>42064</c:v>
                </c:pt>
                <c:pt idx="63">
                  <c:v>42095</c:v>
                </c:pt>
                <c:pt idx="64">
                  <c:v>42125</c:v>
                </c:pt>
                <c:pt idx="65">
                  <c:v>42156</c:v>
                </c:pt>
                <c:pt idx="66">
                  <c:v>42186</c:v>
                </c:pt>
                <c:pt idx="67">
                  <c:v>42217</c:v>
                </c:pt>
                <c:pt idx="68">
                  <c:v>42248</c:v>
                </c:pt>
                <c:pt idx="69">
                  <c:v>42278</c:v>
                </c:pt>
                <c:pt idx="70">
                  <c:v>42309</c:v>
                </c:pt>
                <c:pt idx="71">
                  <c:v>42339</c:v>
                </c:pt>
                <c:pt idx="72">
                  <c:v>42370</c:v>
                </c:pt>
                <c:pt idx="73">
                  <c:v>42401</c:v>
                </c:pt>
                <c:pt idx="74">
                  <c:v>42430</c:v>
                </c:pt>
                <c:pt idx="75">
                  <c:v>42461</c:v>
                </c:pt>
                <c:pt idx="76">
                  <c:v>42491</c:v>
                </c:pt>
                <c:pt idx="77">
                  <c:v>42522</c:v>
                </c:pt>
                <c:pt idx="78">
                  <c:v>42552</c:v>
                </c:pt>
                <c:pt idx="79">
                  <c:v>42583</c:v>
                </c:pt>
                <c:pt idx="80">
                  <c:v>42614</c:v>
                </c:pt>
                <c:pt idx="81">
                  <c:v>42644</c:v>
                </c:pt>
                <c:pt idx="82">
                  <c:v>42675</c:v>
                </c:pt>
                <c:pt idx="83">
                  <c:v>42705</c:v>
                </c:pt>
                <c:pt idx="84">
                  <c:v>42736</c:v>
                </c:pt>
                <c:pt idx="85">
                  <c:v>42767</c:v>
                </c:pt>
                <c:pt idx="86">
                  <c:v>42795</c:v>
                </c:pt>
                <c:pt idx="87">
                  <c:v>42826</c:v>
                </c:pt>
                <c:pt idx="88">
                  <c:v>42856</c:v>
                </c:pt>
                <c:pt idx="89">
                  <c:v>42887</c:v>
                </c:pt>
                <c:pt idx="90">
                  <c:v>42917</c:v>
                </c:pt>
                <c:pt idx="91">
                  <c:v>42948</c:v>
                </c:pt>
                <c:pt idx="92">
                  <c:v>42979</c:v>
                </c:pt>
                <c:pt idx="93">
                  <c:v>43009</c:v>
                </c:pt>
                <c:pt idx="94">
                  <c:v>43040</c:v>
                </c:pt>
                <c:pt idx="95">
                  <c:v>43070</c:v>
                </c:pt>
                <c:pt idx="96">
                  <c:v>43101</c:v>
                </c:pt>
                <c:pt idx="97">
                  <c:v>43132</c:v>
                </c:pt>
                <c:pt idx="98">
                  <c:v>43160</c:v>
                </c:pt>
                <c:pt idx="99">
                  <c:v>43191</c:v>
                </c:pt>
                <c:pt idx="100">
                  <c:v>43221</c:v>
                </c:pt>
                <c:pt idx="101">
                  <c:v>43252</c:v>
                </c:pt>
                <c:pt idx="102">
                  <c:v>43282</c:v>
                </c:pt>
                <c:pt idx="103">
                  <c:v>43313</c:v>
                </c:pt>
                <c:pt idx="104">
                  <c:v>43344</c:v>
                </c:pt>
                <c:pt idx="105">
                  <c:v>43374</c:v>
                </c:pt>
                <c:pt idx="106">
                  <c:v>43405</c:v>
                </c:pt>
                <c:pt idx="107">
                  <c:v>43435</c:v>
                </c:pt>
                <c:pt idx="108">
                  <c:v>43466</c:v>
                </c:pt>
                <c:pt idx="109">
                  <c:v>43497</c:v>
                </c:pt>
                <c:pt idx="110">
                  <c:v>43525</c:v>
                </c:pt>
                <c:pt idx="111">
                  <c:v>43556</c:v>
                </c:pt>
                <c:pt idx="112">
                  <c:v>43586</c:v>
                </c:pt>
                <c:pt idx="113">
                  <c:v>43617</c:v>
                </c:pt>
                <c:pt idx="114">
                  <c:v>43647</c:v>
                </c:pt>
                <c:pt idx="115">
                  <c:v>43678</c:v>
                </c:pt>
                <c:pt idx="116">
                  <c:v>43709</c:v>
                </c:pt>
                <c:pt idx="117">
                  <c:v>43739</c:v>
                </c:pt>
                <c:pt idx="118">
                  <c:v>43770</c:v>
                </c:pt>
                <c:pt idx="119">
                  <c:v>43800</c:v>
                </c:pt>
                <c:pt idx="120">
                  <c:v>43831</c:v>
                </c:pt>
                <c:pt idx="121">
                  <c:v>43862</c:v>
                </c:pt>
                <c:pt idx="122">
                  <c:v>43891</c:v>
                </c:pt>
                <c:pt idx="123">
                  <c:v>43922</c:v>
                </c:pt>
                <c:pt idx="124">
                  <c:v>43952</c:v>
                </c:pt>
                <c:pt idx="125">
                  <c:v>43983</c:v>
                </c:pt>
                <c:pt idx="126">
                  <c:v>44013</c:v>
                </c:pt>
                <c:pt idx="127">
                  <c:v>44044</c:v>
                </c:pt>
                <c:pt idx="128">
                  <c:v>44075</c:v>
                </c:pt>
                <c:pt idx="129">
                  <c:v>44105</c:v>
                </c:pt>
                <c:pt idx="130">
                  <c:v>44136</c:v>
                </c:pt>
                <c:pt idx="131">
                  <c:v>44166</c:v>
                </c:pt>
                <c:pt idx="132">
                  <c:v>44197</c:v>
                </c:pt>
                <c:pt idx="133">
                  <c:v>44228</c:v>
                </c:pt>
                <c:pt idx="134">
                  <c:v>44256</c:v>
                </c:pt>
                <c:pt idx="135">
                  <c:v>44287</c:v>
                </c:pt>
                <c:pt idx="136">
                  <c:v>44317</c:v>
                </c:pt>
                <c:pt idx="137">
                  <c:v>44348</c:v>
                </c:pt>
                <c:pt idx="138">
                  <c:v>44378</c:v>
                </c:pt>
                <c:pt idx="139">
                  <c:v>44409</c:v>
                </c:pt>
                <c:pt idx="140">
                  <c:v>44440</c:v>
                </c:pt>
                <c:pt idx="141">
                  <c:v>44470</c:v>
                </c:pt>
                <c:pt idx="142">
                  <c:v>44501</c:v>
                </c:pt>
                <c:pt idx="143">
                  <c:v>44531</c:v>
                </c:pt>
                <c:pt idx="144">
                  <c:v>44562</c:v>
                </c:pt>
                <c:pt idx="145">
                  <c:v>44593</c:v>
                </c:pt>
                <c:pt idx="146">
                  <c:v>44621</c:v>
                </c:pt>
                <c:pt idx="147">
                  <c:v>44652</c:v>
                </c:pt>
                <c:pt idx="148">
                  <c:v>44682</c:v>
                </c:pt>
                <c:pt idx="149">
                  <c:v>44713</c:v>
                </c:pt>
                <c:pt idx="150">
                  <c:v>44743</c:v>
                </c:pt>
                <c:pt idx="151">
                  <c:v>44774</c:v>
                </c:pt>
                <c:pt idx="152">
                  <c:v>44805</c:v>
                </c:pt>
                <c:pt idx="153">
                  <c:v>44835</c:v>
                </c:pt>
                <c:pt idx="154">
                  <c:v>44866</c:v>
                </c:pt>
                <c:pt idx="155">
                  <c:v>44896</c:v>
                </c:pt>
                <c:pt idx="156">
                  <c:v>44927</c:v>
                </c:pt>
                <c:pt idx="157">
                  <c:v>44958</c:v>
                </c:pt>
                <c:pt idx="158">
                  <c:v>44986</c:v>
                </c:pt>
                <c:pt idx="159">
                  <c:v>45017</c:v>
                </c:pt>
                <c:pt idx="160">
                  <c:v>45047</c:v>
                </c:pt>
                <c:pt idx="161">
                  <c:v>45078</c:v>
                </c:pt>
                <c:pt idx="162">
                  <c:v>45108</c:v>
                </c:pt>
                <c:pt idx="163">
                  <c:v>45139</c:v>
                </c:pt>
                <c:pt idx="164">
                  <c:v>45170</c:v>
                </c:pt>
                <c:pt idx="165">
                  <c:v>45200</c:v>
                </c:pt>
                <c:pt idx="166">
                  <c:v>45231</c:v>
                </c:pt>
                <c:pt idx="167">
                  <c:v>45261</c:v>
                </c:pt>
                <c:pt idx="168">
                  <c:v>45292</c:v>
                </c:pt>
                <c:pt idx="169">
                  <c:v>45323</c:v>
                </c:pt>
                <c:pt idx="170">
                  <c:v>45352</c:v>
                </c:pt>
                <c:pt idx="171">
                  <c:v>45383</c:v>
                </c:pt>
                <c:pt idx="172">
                  <c:v>45413</c:v>
                </c:pt>
                <c:pt idx="173">
                  <c:v>45444</c:v>
                </c:pt>
                <c:pt idx="174">
                  <c:v>45474</c:v>
                </c:pt>
                <c:pt idx="175">
                  <c:v>45505</c:v>
                </c:pt>
                <c:pt idx="176">
                  <c:v>45536</c:v>
                </c:pt>
                <c:pt idx="177">
                  <c:v>45566</c:v>
                </c:pt>
                <c:pt idx="178">
                  <c:v>45597</c:v>
                </c:pt>
                <c:pt idx="179">
                  <c:v>45627</c:v>
                </c:pt>
                <c:pt idx="180">
                  <c:v>45658</c:v>
                </c:pt>
                <c:pt idx="181">
                  <c:v>45689</c:v>
                </c:pt>
                <c:pt idx="182">
                  <c:v>45717</c:v>
                </c:pt>
                <c:pt idx="183">
                  <c:v>45748</c:v>
                </c:pt>
                <c:pt idx="184">
                  <c:v>45778</c:v>
                </c:pt>
                <c:pt idx="185">
                  <c:v>45809</c:v>
                </c:pt>
                <c:pt idx="186">
                  <c:v>45839</c:v>
                </c:pt>
                <c:pt idx="187">
                  <c:v>45870</c:v>
                </c:pt>
                <c:pt idx="188">
                  <c:v>45901</c:v>
                </c:pt>
                <c:pt idx="189">
                  <c:v>45931</c:v>
                </c:pt>
                <c:pt idx="190">
                  <c:v>45962</c:v>
                </c:pt>
                <c:pt idx="191">
                  <c:v>45992</c:v>
                </c:pt>
                <c:pt idx="192">
                  <c:v>46023</c:v>
                </c:pt>
              </c:numCache>
            </c:numRef>
          </c:cat>
          <c:val>
            <c:numRef>
              <c:f>'schertz_violent_and_non XmR '!$R$2:$R$194</c:f>
              <c:numCache>
                <c:formatCode>0.0</c:formatCode>
                <c:ptCount val="193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8B-BE13-8245-9994-4C830182B6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4529295"/>
        <c:axId val="492939711"/>
      </c:lineChart>
      <c:catAx>
        <c:axId val="18145292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+mn-lt"/>
                  </a:rPr>
                  <a:t>Jan-10 - Jan-26</a:t>
                </a:r>
              </a:p>
            </c:rich>
          </c:tx>
          <c:overlay val="0"/>
        </c:title>
        <c:numFmt formatCode="mmm\-yy" sourceLinked="1"/>
        <c:majorTickMark val="out"/>
        <c:minorTickMark val="none"/>
        <c:tickLblPos val="nextTo"/>
        <c:crossAx val="492939711"/>
        <c:crosses val="autoZero"/>
        <c:auto val="0"/>
        <c:lblAlgn val="ctr"/>
        <c:lblOffset val="100"/>
        <c:noMultiLvlLbl val="0"/>
      </c:catAx>
      <c:valAx>
        <c:axId val="49293971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 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 +mn-lt"/>
                  </a:rPr>
                  <a:t>Range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1814529295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>
                <a:solidFill>
                  <a:srgbClr val="000000"/>
                </a:solidFill>
                <a:latin typeface=" +mn-lt"/>
              </a:defRPr>
            </a:pPr>
            <a:r>
              <a:rPr lang="en-US" sz="2000" b="1" i="0">
                <a:solidFill>
                  <a:srgbClr val="000000"/>
                </a:solidFill>
                <a:latin typeface=" +mn-lt"/>
              </a:rPr>
              <a:t>schertz_violent_and_nonviolent_ query1 - X Chart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'schertz_violent_and_non XmR '!$B$1</c:f>
              <c:strCache>
                <c:ptCount val="1"/>
                <c:pt idx="0">
                  <c:v>query1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  <a:effectLst/>
          </c:spPr>
          <c:marker>
            <c:symbol val="circle"/>
            <c:size val="5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dPt>
            <c:idx val="4"/>
            <c:marker>
              <c:symbol val="diamond"/>
              <c:size val="5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8E-F024-6F4B-A084-58E0707C656F}"/>
              </c:ext>
            </c:extLst>
          </c:dPt>
          <c:dPt>
            <c:idx val="5"/>
            <c:marker>
              <c:symbol val="diamond"/>
              <c:size val="5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8F-F024-6F4B-A084-58E0707C656F}"/>
              </c:ext>
            </c:extLst>
          </c:dPt>
          <c:dPt>
            <c:idx val="73"/>
            <c:marker>
              <c:symbol val="diamond"/>
              <c:size val="5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AB-F024-6F4B-A084-58E0707C656F}"/>
              </c:ext>
            </c:extLst>
          </c:dPt>
          <c:dPt>
            <c:idx val="74"/>
            <c:marker>
              <c:symbol val="diamond"/>
              <c:size val="5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AC-F024-6F4B-A084-58E0707C656F}"/>
              </c:ext>
            </c:extLst>
          </c:dPt>
          <c:dPt>
            <c:idx val="75"/>
            <c:marker>
              <c:symbol val="diamond"/>
              <c:size val="5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AD-F024-6F4B-A084-58E0707C656F}"/>
              </c:ext>
            </c:extLst>
          </c:dPt>
          <c:dPt>
            <c:idx val="76"/>
            <c:marker>
              <c:symbol val="diamond"/>
              <c:size val="5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AE-F024-6F4B-A084-58E0707C656F}"/>
              </c:ext>
            </c:extLst>
          </c:dPt>
          <c:dPt>
            <c:idx val="77"/>
            <c:marker>
              <c:symbol val="diamond"/>
              <c:size val="5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AF-F024-6F4B-A084-58E0707C656F}"/>
              </c:ext>
            </c:extLst>
          </c:dPt>
          <c:dPt>
            <c:idx val="80"/>
            <c:marker>
              <c:symbol val="diamond"/>
              <c:size val="5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B2-F024-6F4B-A084-58E0707C656F}"/>
              </c:ext>
            </c:extLst>
          </c:dPt>
          <c:dPt>
            <c:idx val="81"/>
            <c:marker>
              <c:symbol val="diamond"/>
              <c:size val="5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90-F024-6F4B-A084-58E0707C656F}"/>
              </c:ext>
            </c:extLst>
          </c:dPt>
          <c:dPt>
            <c:idx val="82"/>
            <c:marker>
              <c:symbol val="diamond"/>
              <c:size val="5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91-F024-6F4B-A084-58E0707C656F}"/>
              </c:ext>
            </c:extLst>
          </c:dPt>
          <c:dPt>
            <c:idx val="83"/>
            <c:marker>
              <c:symbol val="diamond"/>
              <c:size val="5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92-F024-6F4B-A084-58E0707C656F}"/>
              </c:ext>
            </c:extLst>
          </c:dPt>
          <c:dPt>
            <c:idx val="84"/>
            <c:marker>
              <c:symbol val="diamond"/>
              <c:size val="5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93-F024-6F4B-A084-58E0707C656F}"/>
              </c:ext>
            </c:extLst>
          </c:dPt>
          <c:dPt>
            <c:idx val="168"/>
            <c:marker>
              <c:symbol val="diamond"/>
              <c:size val="5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FF-F024-6F4B-A084-58E0707C656F}"/>
              </c:ext>
            </c:extLst>
          </c:dPt>
          <c:dLbls>
            <c:dLbl>
              <c:idx val="81"/>
              <c:tx>
                <c:rich>
                  <a:bodyPr/>
                  <a:lstStyle/>
                  <a:p>
                    <a:r>
                      <a:rPr lang="en-US"/>
                      <a:t> 1</a:t>
                    </a:r>
                  </a:p>
                </c:rich>
              </c:tx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90-F024-6F4B-A084-58E0707C656F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r>
                      <a:rPr lang="en-US"/>
                      <a:t> 1</a:t>
                    </a:r>
                  </a:p>
                </c:rich>
              </c:tx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91-F024-6F4B-A084-58E0707C656F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r>
                      <a:rPr lang="en-US"/>
                      <a:t> 1</a:t>
                    </a:r>
                  </a:p>
                </c:rich>
              </c:tx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92-F024-6F4B-A084-58E0707C656F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r>
                      <a:rPr lang="en-US"/>
                      <a:t> 1</a:t>
                    </a:r>
                  </a:p>
                </c:rich>
              </c:tx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93-F024-6F4B-A084-58E0707C656F}"/>
                </c:ext>
              </c:extLst>
            </c:dLbl>
            <c:dLbl>
              <c:idx val="177"/>
              <c:tx>
                <c:rich>
                  <a:bodyPr/>
                  <a:lstStyle/>
                  <a:p>
                    <a:r>
                      <a:rPr lang="en-US"/>
                      <a:t> 1</a:t>
                    </a:r>
                  </a:p>
                </c:rich>
              </c:tx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96-F024-6F4B-A084-58E0707C656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'schertz_violent_and_non XmR '!$A$2:$A$194</c:f>
              <c:numCache>
                <c:formatCode>mmm\-yy</c:formatCode>
                <c:ptCount val="193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  <c:pt idx="51">
                  <c:v>41730</c:v>
                </c:pt>
                <c:pt idx="52">
                  <c:v>41760</c:v>
                </c:pt>
                <c:pt idx="53">
                  <c:v>41791</c:v>
                </c:pt>
                <c:pt idx="54">
                  <c:v>41821</c:v>
                </c:pt>
                <c:pt idx="55">
                  <c:v>41852</c:v>
                </c:pt>
                <c:pt idx="56">
                  <c:v>41883</c:v>
                </c:pt>
                <c:pt idx="57">
                  <c:v>41913</c:v>
                </c:pt>
                <c:pt idx="58">
                  <c:v>41944</c:v>
                </c:pt>
                <c:pt idx="59">
                  <c:v>41974</c:v>
                </c:pt>
                <c:pt idx="60">
                  <c:v>42005</c:v>
                </c:pt>
                <c:pt idx="61">
                  <c:v>42036</c:v>
                </c:pt>
                <c:pt idx="62">
                  <c:v>42064</c:v>
                </c:pt>
                <c:pt idx="63">
                  <c:v>42095</c:v>
                </c:pt>
                <c:pt idx="64">
                  <c:v>42125</c:v>
                </c:pt>
                <c:pt idx="65">
                  <c:v>42156</c:v>
                </c:pt>
                <c:pt idx="66">
                  <c:v>42186</c:v>
                </c:pt>
                <c:pt idx="67">
                  <c:v>42217</c:v>
                </c:pt>
                <c:pt idx="68">
                  <c:v>42248</c:v>
                </c:pt>
                <c:pt idx="69">
                  <c:v>42278</c:v>
                </c:pt>
                <c:pt idx="70">
                  <c:v>42309</c:v>
                </c:pt>
                <c:pt idx="71">
                  <c:v>42339</c:v>
                </c:pt>
                <c:pt idx="72">
                  <c:v>42370</c:v>
                </c:pt>
                <c:pt idx="73">
                  <c:v>42401</c:v>
                </c:pt>
                <c:pt idx="74">
                  <c:v>42430</c:v>
                </c:pt>
                <c:pt idx="75">
                  <c:v>42461</c:v>
                </c:pt>
                <c:pt idx="76">
                  <c:v>42491</c:v>
                </c:pt>
                <c:pt idx="77">
                  <c:v>42522</c:v>
                </c:pt>
                <c:pt idx="78">
                  <c:v>42552</c:v>
                </c:pt>
                <c:pt idx="79">
                  <c:v>42583</c:v>
                </c:pt>
                <c:pt idx="80">
                  <c:v>42614</c:v>
                </c:pt>
                <c:pt idx="81">
                  <c:v>42644</c:v>
                </c:pt>
                <c:pt idx="82">
                  <c:v>42675</c:v>
                </c:pt>
                <c:pt idx="83">
                  <c:v>42705</c:v>
                </c:pt>
                <c:pt idx="84">
                  <c:v>42736</c:v>
                </c:pt>
                <c:pt idx="85">
                  <c:v>42767</c:v>
                </c:pt>
                <c:pt idx="86">
                  <c:v>42795</c:v>
                </c:pt>
                <c:pt idx="87">
                  <c:v>42826</c:v>
                </c:pt>
                <c:pt idx="88">
                  <c:v>42856</c:v>
                </c:pt>
                <c:pt idx="89">
                  <c:v>42887</c:v>
                </c:pt>
                <c:pt idx="90">
                  <c:v>42917</c:v>
                </c:pt>
                <c:pt idx="91">
                  <c:v>42948</c:v>
                </c:pt>
                <c:pt idx="92">
                  <c:v>42979</c:v>
                </c:pt>
                <c:pt idx="93">
                  <c:v>43009</c:v>
                </c:pt>
                <c:pt idx="94">
                  <c:v>43040</c:v>
                </c:pt>
                <c:pt idx="95">
                  <c:v>43070</c:v>
                </c:pt>
                <c:pt idx="96">
                  <c:v>43101</c:v>
                </c:pt>
                <c:pt idx="97">
                  <c:v>43132</c:v>
                </c:pt>
                <c:pt idx="98">
                  <c:v>43160</c:v>
                </c:pt>
                <c:pt idx="99">
                  <c:v>43191</c:v>
                </c:pt>
                <c:pt idx="100">
                  <c:v>43221</c:v>
                </c:pt>
                <c:pt idx="101">
                  <c:v>43252</c:v>
                </c:pt>
                <c:pt idx="102">
                  <c:v>43282</c:v>
                </c:pt>
                <c:pt idx="103">
                  <c:v>43313</c:v>
                </c:pt>
                <c:pt idx="104">
                  <c:v>43344</c:v>
                </c:pt>
                <c:pt idx="105">
                  <c:v>43374</c:v>
                </c:pt>
                <c:pt idx="106">
                  <c:v>43405</c:v>
                </c:pt>
                <c:pt idx="107">
                  <c:v>43435</c:v>
                </c:pt>
                <c:pt idx="108">
                  <c:v>43466</c:v>
                </c:pt>
                <c:pt idx="109">
                  <c:v>43497</c:v>
                </c:pt>
                <c:pt idx="110">
                  <c:v>43525</c:v>
                </c:pt>
                <c:pt idx="111">
                  <c:v>43556</c:v>
                </c:pt>
                <c:pt idx="112">
                  <c:v>43586</c:v>
                </c:pt>
                <c:pt idx="113">
                  <c:v>43617</c:v>
                </c:pt>
                <c:pt idx="114">
                  <c:v>43647</c:v>
                </c:pt>
                <c:pt idx="115">
                  <c:v>43678</c:v>
                </c:pt>
                <c:pt idx="116">
                  <c:v>43709</c:v>
                </c:pt>
                <c:pt idx="117">
                  <c:v>43739</c:v>
                </c:pt>
                <c:pt idx="118">
                  <c:v>43770</c:v>
                </c:pt>
                <c:pt idx="119">
                  <c:v>43800</c:v>
                </c:pt>
                <c:pt idx="120">
                  <c:v>43831</c:v>
                </c:pt>
                <c:pt idx="121">
                  <c:v>43862</c:v>
                </c:pt>
                <c:pt idx="122">
                  <c:v>43891</c:v>
                </c:pt>
                <c:pt idx="123">
                  <c:v>43922</c:v>
                </c:pt>
                <c:pt idx="124">
                  <c:v>43952</c:v>
                </c:pt>
                <c:pt idx="125">
                  <c:v>43983</c:v>
                </c:pt>
                <c:pt idx="126">
                  <c:v>44013</c:v>
                </c:pt>
                <c:pt idx="127">
                  <c:v>44044</c:v>
                </c:pt>
                <c:pt idx="128">
                  <c:v>44075</c:v>
                </c:pt>
                <c:pt idx="129">
                  <c:v>44105</c:v>
                </c:pt>
                <c:pt idx="130">
                  <c:v>44136</c:v>
                </c:pt>
                <c:pt idx="131">
                  <c:v>44166</c:v>
                </c:pt>
                <c:pt idx="132">
                  <c:v>44197</c:v>
                </c:pt>
                <c:pt idx="133">
                  <c:v>44228</c:v>
                </c:pt>
                <c:pt idx="134">
                  <c:v>44256</c:v>
                </c:pt>
                <c:pt idx="135">
                  <c:v>44287</c:v>
                </c:pt>
                <c:pt idx="136">
                  <c:v>44317</c:v>
                </c:pt>
                <c:pt idx="137">
                  <c:v>44348</c:v>
                </c:pt>
                <c:pt idx="138">
                  <c:v>44378</c:v>
                </c:pt>
                <c:pt idx="139">
                  <c:v>44409</c:v>
                </c:pt>
                <c:pt idx="140">
                  <c:v>44440</c:v>
                </c:pt>
                <c:pt idx="141">
                  <c:v>44470</c:v>
                </c:pt>
                <c:pt idx="142">
                  <c:v>44501</c:v>
                </c:pt>
                <c:pt idx="143">
                  <c:v>44531</c:v>
                </c:pt>
                <c:pt idx="144">
                  <c:v>44562</c:v>
                </c:pt>
                <c:pt idx="145">
                  <c:v>44593</c:v>
                </c:pt>
                <c:pt idx="146">
                  <c:v>44621</c:v>
                </c:pt>
                <c:pt idx="147">
                  <c:v>44652</c:v>
                </c:pt>
                <c:pt idx="148">
                  <c:v>44682</c:v>
                </c:pt>
                <c:pt idx="149">
                  <c:v>44713</c:v>
                </c:pt>
                <c:pt idx="150">
                  <c:v>44743</c:v>
                </c:pt>
                <c:pt idx="151">
                  <c:v>44774</c:v>
                </c:pt>
                <c:pt idx="152">
                  <c:v>44805</c:v>
                </c:pt>
                <c:pt idx="153">
                  <c:v>44835</c:v>
                </c:pt>
                <c:pt idx="154">
                  <c:v>44866</c:v>
                </c:pt>
                <c:pt idx="155">
                  <c:v>44896</c:v>
                </c:pt>
                <c:pt idx="156">
                  <c:v>44927</c:v>
                </c:pt>
                <c:pt idx="157">
                  <c:v>44958</c:v>
                </c:pt>
                <c:pt idx="158">
                  <c:v>44986</c:v>
                </c:pt>
                <c:pt idx="159">
                  <c:v>45017</c:v>
                </c:pt>
                <c:pt idx="160">
                  <c:v>45047</c:v>
                </c:pt>
                <c:pt idx="161">
                  <c:v>45078</c:v>
                </c:pt>
                <c:pt idx="162">
                  <c:v>45108</c:v>
                </c:pt>
                <c:pt idx="163">
                  <c:v>45139</c:v>
                </c:pt>
                <c:pt idx="164">
                  <c:v>45170</c:v>
                </c:pt>
                <c:pt idx="165">
                  <c:v>45200</c:v>
                </c:pt>
                <c:pt idx="166">
                  <c:v>45231</c:v>
                </c:pt>
                <c:pt idx="167">
                  <c:v>45261</c:v>
                </c:pt>
                <c:pt idx="168">
                  <c:v>45292</c:v>
                </c:pt>
                <c:pt idx="169">
                  <c:v>45323</c:v>
                </c:pt>
                <c:pt idx="170">
                  <c:v>45352</c:v>
                </c:pt>
                <c:pt idx="171">
                  <c:v>45383</c:v>
                </c:pt>
                <c:pt idx="172">
                  <c:v>45413</c:v>
                </c:pt>
                <c:pt idx="173">
                  <c:v>45444</c:v>
                </c:pt>
                <c:pt idx="174">
                  <c:v>45474</c:v>
                </c:pt>
                <c:pt idx="175">
                  <c:v>45505</c:v>
                </c:pt>
                <c:pt idx="176">
                  <c:v>45536</c:v>
                </c:pt>
                <c:pt idx="177">
                  <c:v>45566</c:v>
                </c:pt>
                <c:pt idx="178">
                  <c:v>45597</c:v>
                </c:pt>
                <c:pt idx="179">
                  <c:v>45627</c:v>
                </c:pt>
                <c:pt idx="180">
                  <c:v>45658</c:v>
                </c:pt>
                <c:pt idx="181">
                  <c:v>45689</c:v>
                </c:pt>
                <c:pt idx="182">
                  <c:v>45717</c:v>
                </c:pt>
                <c:pt idx="183">
                  <c:v>45748</c:v>
                </c:pt>
                <c:pt idx="184">
                  <c:v>45778</c:v>
                </c:pt>
                <c:pt idx="185">
                  <c:v>45809</c:v>
                </c:pt>
                <c:pt idx="186">
                  <c:v>45839</c:v>
                </c:pt>
                <c:pt idx="187">
                  <c:v>45870</c:v>
                </c:pt>
                <c:pt idx="188">
                  <c:v>45901</c:v>
                </c:pt>
                <c:pt idx="189">
                  <c:v>45931</c:v>
                </c:pt>
                <c:pt idx="190">
                  <c:v>45962</c:v>
                </c:pt>
                <c:pt idx="191">
                  <c:v>45992</c:v>
                </c:pt>
                <c:pt idx="192">
                  <c:v>46023</c:v>
                </c:pt>
              </c:numCache>
            </c:numRef>
          </c:cat>
          <c:val>
            <c:numRef>
              <c:f>'schertz_violent_and_non XmR '!$B$2:$B$194</c:f>
              <c:numCache>
                <c:formatCode>0.0</c:formatCode>
                <c:ptCount val="193"/>
                <c:pt idx="0">
                  <c:v>58</c:v>
                </c:pt>
                <c:pt idx="1">
                  <c:v>53</c:v>
                </c:pt>
                <c:pt idx="2">
                  <c:v>40</c:v>
                </c:pt>
                <c:pt idx="3">
                  <c:v>48</c:v>
                </c:pt>
                <c:pt idx="4">
                  <c:v>81</c:v>
                </c:pt>
                <c:pt idx="5">
                  <c:v>85</c:v>
                </c:pt>
                <c:pt idx="6">
                  <c:v>62</c:v>
                </c:pt>
                <c:pt idx="7">
                  <c:v>52</c:v>
                </c:pt>
                <c:pt idx="8">
                  <c:v>53</c:v>
                </c:pt>
                <c:pt idx="9">
                  <c:v>52</c:v>
                </c:pt>
                <c:pt idx="10">
                  <c:v>45</c:v>
                </c:pt>
                <c:pt idx="11">
                  <c:v>56</c:v>
                </c:pt>
                <c:pt idx="12">
                  <c:v>53</c:v>
                </c:pt>
                <c:pt idx="13">
                  <c:v>40</c:v>
                </c:pt>
                <c:pt idx="14">
                  <c:v>61</c:v>
                </c:pt>
                <c:pt idx="15">
                  <c:v>48</c:v>
                </c:pt>
                <c:pt idx="16">
                  <c:v>63</c:v>
                </c:pt>
                <c:pt idx="17">
                  <c:v>52</c:v>
                </c:pt>
                <c:pt idx="18">
                  <c:v>66</c:v>
                </c:pt>
                <c:pt idx="19">
                  <c:v>74</c:v>
                </c:pt>
                <c:pt idx="20">
                  <c:v>65</c:v>
                </c:pt>
                <c:pt idx="21">
                  <c:v>65</c:v>
                </c:pt>
                <c:pt idx="22">
                  <c:v>66</c:v>
                </c:pt>
                <c:pt idx="23">
                  <c:v>57</c:v>
                </c:pt>
                <c:pt idx="24">
                  <c:v>55</c:v>
                </c:pt>
                <c:pt idx="25">
                  <c:v>56</c:v>
                </c:pt>
                <c:pt idx="26">
                  <c:v>72</c:v>
                </c:pt>
                <c:pt idx="27">
                  <c:v>53</c:v>
                </c:pt>
                <c:pt idx="28">
                  <c:v>68</c:v>
                </c:pt>
                <c:pt idx="29">
                  <c:v>61</c:v>
                </c:pt>
                <c:pt idx="30">
                  <c:v>61</c:v>
                </c:pt>
                <c:pt idx="31">
                  <c:v>68</c:v>
                </c:pt>
                <c:pt idx="32">
                  <c:v>46</c:v>
                </c:pt>
                <c:pt idx="33">
                  <c:v>60</c:v>
                </c:pt>
                <c:pt idx="34">
                  <c:v>52</c:v>
                </c:pt>
                <c:pt idx="35">
                  <c:v>58</c:v>
                </c:pt>
                <c:pt idx="36">
                  <c:v>59</c:v>
                </c:pt>
                <c:pt idx="37">
                  <c:v>64</c:v>
                </c:pt>
                <c:pt idx="38">
                  <c:v>56</c:v>
                </c:pt>
                <c:pt idx="39">
                  <c:v>58</c:v>
                </c:pt>
                <c:pt idx="40">
                  <c:v>66</c:v>
                </c:pt>
                <c:pt idx="41">
                  <c:v>52</c:v>
                </c:pt>
                <c:pt idx="42">
                  <c:v>57</c:v>
                </c:pt>
                <c:pt idx="43">
                  <c:v>55</c:v>
                </c:pt>
                <c:pt idx="44">
                  <c:v>52</c:v>
                </c:pt>
                <c:pt idx="45">
                  <c:v>46</c:v>
                </c:pt>
                <c:pt idx="46">
                  <c:v>45</c:v>
                </c:pt>
                <c:pt idx="47">
                  <c:v>45</c:v>
                </c:pt>
                <c:pt idx="48">
                  <c:v>66</c:v>
                </c:pt>
                <c:pt idx="49">
                  <c:v>53</c:v>
                </c:pt>
                <c:pt idx="50">
                  <c:v>49</c:v>
                </c:pt>
                <c:pt idx="51">
                  <c:v>73</c:v>
                </c:pt>
                <c:pt idx="52">
                  <c:v>70</c:v>
                </c:pt>
                <c:pt idx="53">
                  <c:v>52</c:v>
                </c:pt>
                <c:pt idx="54">
                  <c:v>68</c:v>
                </c:pt>
                <c:pt idx="55">
                  <c:v>49</c:v>
                </c:pt>
                <c:pt idx="56">
                  <c:v>59</c:v>
                </c:pt>
                <c:pt idx="57">
                  <c:v>57</c:v>
                </c:pt>
                <c:pt idx="58">
                  <c:v>60</c:v>
                </c:pt>
                <c:pt idx="59">
                  <c:v>65</c:v>
                </c:pt>
                <c:pt idx="60">
                  <c:v>61</c:v>
                </c:pt>
                <c:pt idx="61">
                  <c:v>48</c:v>
                </c:pt>
                <c:pt idx="62">
                  <c:v>55</c:v>
                </c:pt>
                <c:pt idx="63">
                  <c:v>52</c:v>
                </c:pt>
                <c:pt idx="64">
                  <c:v>49</c:v>
                </c:pt>
                <c:pt idx="65">
                  <c:v>66</c:v>
                </c:pt>
                <c:pt idx="66">
                  <c:v>60</c:v>
                </c:pt>
                <c:pt idx="67">
                  <c:v>57</c:v>
                </c:pt>
                <c:pt idx="68">
                  <c:v>62</c:v>
                </c:pt>
                <c:pt idx="69">
                  <c:v>48</c:v>
                </c:pt>
                <c:pt idx="70">
                  <c:v>52</c:v>
                </c:pt>
                <c:pt idx="71">
                  <c:v>72</c:v>
                </c:pt>
                <c:pt idx="72">
                  <c:v>44</c:v>
                </c:pt>
                <c:pt idx="73">
                  <c:v>57</c:v>
                </c:pt>
                <c:pt idx="74">
                  <c:v>54</c:v>
                </c:pt>
                <c:pt idx="75">
                  <c:v>68</c:v>
                </c:pt>
                <c:pt idx="76">
                  <c:v>65</c:v>
                </c:pt>
                <c:pt idx="77">
                  <c:v>62</c:v>
                </c:pt>
                <c:pt idx="78">
                  <c:v>68</c:v>
                </c:pt>
                <c:pt idx="79">
                  <c:v>71</c:v>
                </c:pt>
                <c:pt idx="80">
                  <c:v>77</c:v>
                </c:pt>
                <c:pt idx="81">
                  <c:v>78</c:v>
                </c:pt>
                <c:pt idx="82">
                  <c:v>84</c:v>
                </c:pt>
                <c:pt idx="83">
                  <c:v>86</c:v>
                </c:pt>
                <c:pt idx="84">
                  <c:v>87</c:v>
                </c:pt>
                <c:pt idx="85">
                  <c:v>68</c:v>
                </c:pt>
                <c:pt idx="86">
                  <c:v>43</c:v>
                </c:pt>
                <c:pt idx="87">
                  <c:v>70</c:v>
                </c:pt>
                <c:pt idx="88">
                  <c:v>63</c:v>
                </c:pt>
                <c:pt idx="89">
                  <c:v>65</c:v>
                </c:pt>
                <c:pt idx="90">
                  <c:v>68</c:v>
                </c:pt>
                <c:pt idx="91">
                  <c:v>67</c:v>
                </c:pt>
                <c:pt idx="92">
                  <c:v>47</c:v>
                </c:pt>
                <c:pt idx="93">
                  <c:v>77</c:v>
                </c:pt>
                <c:pt idx="94">
                  <c:v>63</c:v>
                </c:pt>
                <c:pt idx="95">
                  <c:v>76</c:v>
                </c:pt>
                <c:pt idx="96">
                  <c:v>60</c:v>
                </c:pt>
                <c:pt idx="97">
                  <c:v>66</c:v>
                </c:pt>
                <c:pt idx="98">
                  <c:v>62</c:v>
                </c:pt>
                <c:pt idx="99">
                  <c:v>76</c:v>
                </c:pt>
                <c:pt idx="100">
                  <c:v>57</c:v>
                </c:pt>
                <c:pt idx="101">
                  <c:v>65</c:v>
                </c:pt>
                <c:pt idx="102">
                  <c:v>63</c:v>
                </c:pt>
                <c:pt idx="103">
                  <c:v>67</c:v>
                </c:pt>
                <c:pt idx="104">
                  <c:v>41</c:v>
                </c:pt>
                <c:pt idx="105">
                  <c:v>62</c:v>
                </c:pt>
                <c:pt idx="106">
                  <c:v>84</c:v>
                </c:pt>
                <c:pt idx="107">
                  <c:v>63</c:v>
                </c:pt>
                <c:pt idx="108">
                  <c:v>58</c:v>
                </c:pt>
                <c:pt idx="109">
                  <c:v>36</c:v>
                </c:pt>
                <c:pt idx="110">
                  <c:v>53</c:v>
                </c:pt>
                <c:pt idx="111">
                  <c:v>74</c:v>
                </c:pt>
                <c:pt idx="112">
                  <c:v>72</c:v>
                </c:pt>
                <c:pt idx="113">
                  <c:v>59</c:v>
                </c:pt>
                <c:pt idx="114">
                  <c:v>50</c:v>
                </c:pt>
                <c:pt idx="115">
                  <c:v>42</c:v>
                </c:pt>
                <c:pt idx="116">
                  <c:v>41</c:v>
                </c:pt>
                <c:pt idx="117">
                  <c:v>47</c:v>
                </c:pt>
                <c:pt idx="118">
                  <c:v>42</c:v>
                </c:pt>
                <c:pt idx="119">
                  <c:v>64</c:v>
                </c:pt>
                <c:pt idx="120">
                  <c:v>44</c:v>
                </c:pt>
                <c:pt idx="121">
                  <c:v>55</c:v>
                </c:pt>
                <c:pt idx="122">
                  <c:v>50</c:v>
                </c:pt>
                <c:pt idx="123">
                  <c:v>31</c:v>
                </c:pt>
                <c:pt idx="124">
                  <c:v>44</c:v>
                </c:pt>
                <c:pt idx="125">
                  <c:v>37</c:v>
                </c:pt>
                <c:pt idx="126">
                  <c:v>42</c:v>
                </c:pt>
                <c:pt idx="127">
                  <c:v>44</c:v>
                </c:pt>
                <c:pt idx="128">
                  <c:v>54</c:v>
                </c:pt>
                <c:pt idx="129">
                  <c:v>50</c:v>
                </c:pt>
                <c:pt idx="130">
                  <c:v>33</c:v>
                </c:pt>
                <c:pt idx="131">
                  <c:v>37</c:v>
                </c:pt>
                <c:pt idx="132">
                  <c:v>27</c:v>
                </c:pt>
                <c:pt idx="133">
                  <c:v>32</c:v>
                </c:pt>
                <c:pt idx="134">
                  <c:v>41</c:v>
                </c:pt>
                <c:pt idx="135">
                  <c:v>23</c:v>
                </c:pt>
                <c:pt idx="136">
                  <c:v>40</c:v>
                </c:pt>
                <c:pt idx="137">
                  <c:v>29</c:v>
                </c:pt>
                <c:pt idx="138">
                  <c:v>29</c:v>
                </c:pt>
                <c:pt idx="139">
                  <c:v>36</c:v>
                </c:pt>
                <c:pt idx="140">
                  <c:v>34</c:v>
                </c:pt>
                <c:pt idx="141">
                  <c:v>32</c:v>
                </c:pt>
                <c:pt idx="142">
                  <c:v>35</c:v>
                </c:pt>
                <c:pt idx="143">
                  <c:v>51</c:v>
                </c:pt>
                <c:pt idx="144">
                  <c:v>32</c:v>
                </c:pt>
                <c:pt idx="145">
                  <c:v>28</c:v>
                </c:pt>
                <c:pt idx="146">
                  <c:v>40</c:v>
                </c:pt>
                <c:pt idx="147">
                  <c:v>52</c:v>
                </c:pt>
                <c:pt idx="148">
                  <c:v>51</c:v>
                </c:pt>
                <c:pt idx="149">
                  <c:v>49</c:v>
                </c:pt>
                <c:pt idx="150">
                  <c:v>53</c:v>
                </c:pt>
                <c:pt idx="151">
                  <c:v>39</c:v>
                </c:pt>
                <c:pt idx="152">
                  <c:v>38</c:v>
                </c:pt>
                <c:pt idx="153">
                  <c:v>72</c:v>
                </c:pt>
                <c:pt idx="154">
                  <c:v>55</c:v>
                </c:pt>
                <c:pt idx="155">
                  <c:v>49</c:v>
                </c:pt>
                <c:pt idx="156">
                  <c:v>47</c:v>
                </c:pt>
                <c:pt idx="157">
                  <c:v>39</c:v>
                </c:pt>
                <c:pt idx="158">
                  <c:v>37</c:v>
                </c:pt>
                <c:pt idx="159">
                  <c:v>43</c:v>
                </c:pt>
                <c:pt idx="160">
                  <c:v>44</c:v>
                </c:pt>
                <c:pt idx="161">
                  <c:v>38</c:v>
                </c:pt>
                <c:pt idx="162">
                  <c:v>37</c:v>
                </c:pt>
                <c:pt idx="163">
                  <c:v>53</c:v>
                </c:pt>
                <c:pt idx="164">
                  <c:v>34</c:v>
                </c:pt>
                <c:pt idx="165">
                  <c:v>36</c:v>
                </c:pt>
                <c:pt idx="166">
                  <c:v>38</c:v>
                </c:pt>
                <c:pt idx="167">
                  <c:v>48</c:v>
                </c:pt>
                <c:pt idx="168">
                  <c:v>68</c:v>
                </c:pt>
                <c:pt idx="169">
                  <c:v>35</c:v>
                </c:pt>
                <c:pt idx="170">
                  <c:v>47</c:v>
                </c:pt>
                <c:pt idx="171">
                  <c:v>36</c:v>
                </c:pt>
                <c:pt idx="172">
                  <c:v>36</c:v>
                </c:pt>
                <c:pt idx="173">
                  <c:v>52</c:v>
                </c:pt>
                <c:pt idx="174">
                  <c:v>43</c:v>
                </c:pt>
                <c:pt idx="175">
                  <c:v>31</c:v>
                </c:pt>
                <c:pt idx="176">
                  <c:v>32</c:v>
                </c:pt>
                <c:pt idx="177">
                  <c:v>24</c:v>
                </c:pt>
                <c:pt idx="178">
                  <c:v>28</c:v>
                </c:pt>
                <c:pt idx="179">
                  <c:v>27</c:v>
                </c:pt>
                <c:pt idx="180">
                  <c:v>41</c:v>
                </c:pt>
                <c:pt idx="181">
                  <c:v>36</c:v>
                </c:pt>
                <c:pt idx="182">
                  <c:v>36</c:v>
                </c:pt>
                <c:pt idx="183">
                  <c:v>34</c:v>
                </c:pt>
                <c:pt idx="184">
                  <c:v>55</c:v>
                </c:pt>
                <c:pt idx="185">
                  <c:v>45</c:v>
                </c:pt>
                <c:pt idx="186">
                  <c:v>37</c:v>
                </c:pt>
                <c:pt idx="187">
                  <c:v>34</c:v>
                </c:pt>
                <c:pt idx="188">
                  <c:v>30</c:v>
                </c:pt>
                <c:pt idx="189">
                  <c:v>31</c:v>
                </c:pt>
                <c:pt idx="190">
                  <c:v>31</c:v>
                </c:pt>
                <c:pt idx="191">
                  <c:v>52</c:v>
                </c:pt>
                <c:pt idx="192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24-6F4B-A084-58E0707C656F}"/>
            </c:ext>
          </c:extLst>
        </c:ser>
        <c:ser>
          <c:idx val="1"/>
          <c:order val="1"/>
          <c:tx>
            <c:strRef>
              <c:f>'schertz_violent_and_non XmR '!$C$1</c:f>
              <c:strCache>
                <c:ptCount val="1"/>
                <c:pt idx="0">
                  <c:v>UCL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42856689900396E-2"/>
                  <c:y val="-2.019704362990809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UCL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F024-6F4B-A084-58E0707C656F}"/>
                </c:ext>
              </c:extLst>
            </c:dLbl>
            <c:dLbl>
              <c:idx val="191"/>
              <c:layout>
                <c:manualLayout>
                  <c:x val="-1.464285668990049E-2"/>
                  <c:y val="-2.0197043629908099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024-6F4B-A084-58E0707C656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'schertz_violent_and_non XmR '!$A$2:$A$194</c:f>
              <c:numCache>
                <c:formatCode>mmm\-yy</c:formatCode>
                <c:ptCount val="193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  <c:pt idx="51">
                  <c:v>41730</c:v>
                </c:pt>
                <c:pt idx="52">
                  <c:v>41760</c:v>
                </c:pt>
                <c:pt idx="53">
                  <c:v>41791</c:v>
                </c:pt>
                <c:pt idx="54">
                  <c:v>41821</c:v>
                </c:pt>
                <c:pt idx="55">
                  <c:v>41852</c:v>
                </c:pt>
                <c:pt idx="56">
                  <c:v>41883</c:v>
                </c:pt>
                <c:pt idx="57">
                  <c:v>41913</c:v>
                </c:pt>
                <c:pt idx="58">
                  <c:v>41944</c:v>
                </c:pt>
                <c:pt idx="59">
                  <c:v>41974</c:v>
                </c:pt>
                <c:pt idx="60">
                  <c:v>42005</c:v>
                </c:pt>
                <c:pt idx="61">
                  <c:v>42036</c:v>
                </c:pt>
                <c:pt idx="62">
                  <c:v>42064</c:v>
                </c:pt>
                <c:pt idx="63">
                  <c:v>42095</c:v>
                </c:pt>
                <c:pt idx="64">
                  <c:v>42125</c:v>
                </c:pt>
                <c:pt idx="65">
                  <c:v>42156</c:v>
                </c:pt>
                <c:pt idx="66">
                  <c:v>42186</c:v>
                </c:pt>
                <c:pt idx="67">
                  <c:v>42217</c:v>
                </c:pt>
                <c:pt idx="68">
                  <c:v>42248</c:v>
                </c:pt>
                <c:pt idx="69">
                  <c:v>42278</c:v>
                </c:pt>
                <c:pt idx="70">
                  <c:v>42309</c:v>
                </c:pt>
                <c:pt idx="71">
                  <c:v>42339</c:v>
                </c:pt>
                <c:pt idx="72">
                  <c:v>42370</c:v>
                </c:pt>
                <c:pt idx="73">
                  <c:v>42401</c:v>
                </c:pt>
                <c:pt idx="74">
                  <c:v>42430</c:v>
                </c:pt>
                <c:pt idx="75">
                  <c:v>42461</c:v>
                </c:pt>
                <c:pt idx="76">
                  <c:v>42491</c:v>
                </c:pt>
                <c:pt idx="77">
                  <c:v>42522</c:v>
                </c:pt>
                <c:pt idx="78">
                  <c:v>42552</c:v>
                </c:pt>
                <c:pt idx="79">
                  <c:v>42583</c:v>
                </c:pt>
                <c:pt idx="80">
                  <c:v>42614</c:v>
                </c:pt>
                <c:pt idx="81">
                  <c:v>42644</c:v>
                </c:pt>
                <c:pt idx="82">
                  <c:v>42675</c:v>
                </c:pt>
                <c:pt idx="83">
                  <c:v>42705</c:v>
                </c:pt>
                <c:pt idx="84">
                  <c:v>42736</c:v>
                </c:pt>
                <c:pt idx="85">
                  <c:v>42767</c:v>
                </c:pt>
                <c:pt idx="86">
                  <c:v>42795</c:v>
                </c:pt>
                <c:pt idx="87">
                  <c:v>42826</c:v>
                </c:pt>
                <c:pt idx="88">
                  <c:v>42856</c:v>
                </c:pt>
                <c:pt idx="89">
                  <c:v>42887</c:v>
                </c:pt>
                <c:pt idx="90">
                  <c:v>42917</c:v>
                </c:pt>
                <c:pt idx="91">
                  <c:v>42948</c:v>
                </c:pt>
                <c:pt idx="92">
                  <c:v>42979</c:v>
                </c:pt>
                <c:pt idx="93">
                  <c:v>43009</c:v>
                </c:pt>
                <c:pt idx="94">
                  <c:v>43040</c:v>
                </c:pt>
                <c:pt idx="95">
                  <c:v>43070</c:v>
                </c:pt>
                <c:pt idx="96">
                  <c:v>43101</c:v>
                </c:pt>
                <c:pt idx="97">
                  <c:v>43132</c:v>
                </c:pt>
                <c:pt idx="98">
                  <c:v>43160</c:v>
                </c:pt>
                <c:pt idx="99">
                  <c:v>43191</c:v>
                </c:pt>
                <c:pt idx="100">
                  <c:v>43221</c:v>
                </c:pt>
                <c:pt idx="101">
                  <c:v>43252</c:v>
                </c:pt>
                <c:pt idx="102">
                  <c:v>43282</c:v>
                </c:pt>
                <c:pt idx="103">
                  <c:v>43313</c:v>
                </c:pt>
                <c:pt idx="104">
                  <c:v>43344</c:v>
                </c:pt>
                <c:pt idx="105">
                  <c:v>43374</c:v>
                </c:pt>
                <c:pt idx="106">
                  <c:v>43405</c:v>
                </c:pt>
                <c:pt idx="107">
                  <c:v>43435</c:v>
                </c:pt>
                <c:pt idx="108">
                  <c:v>43466</c:v>
                </c:pt>
                <c:pt idx="109">
                  <c:v>43497</c:v>
                </c:pt>
                <c:pt idx="110">
                  <c:v>43525</c:v>
                </c:pt>
                <c:pt idx="111">
                  <c:v>43556</c:v>
                </c:pt>
                <c:pt idx="112">
                  <c:v>43586</c:v>
                </c:pt>
                <c:pt idx="113">
                  <c:v>43617</c:v>
                </c:pt>
                <c:pt idx="114">
                  <c:v>43647</c:v>
                </c:pt>
                <c:pt idx="115">
                  <c:v>43678</c:v>
                </c:pt>
                <c:pt idx="116">
                  <c:v>43709</c:v>
                </c:pt>
                <c:pt idx="117">
                  <c:v>43739</c:v>
                </c:pt>
                <c:pt idx="118">
                  <c:v>43770</c:v>
                </c:pt>
                <c:pt idx="119">
                  <c:v>43800</c:v>
                </c:pt>
                <c:pt idx="120">
                  <c:v>43831</c:v>
                </c:pt>
                <c:pt idx="121">
                  <c:v>43862</c:v>
                </c:pt>
                <c:pt idx="122">
                  <c:v>43891</c:v>
                </c:pt>
                <c:pt idx="123">
                  <c:v>43922</c:v>
                </c:pt>
                <c:pt idx="124">
                  <c:v>43952</c:v>
                </c:pt>
                <c:pt idx="125">
                  <c:v>43983</c:v>
                </c:pt>
                <c:pt idx="126">
                  <c:v>44013</c:v>
                </c:pt>
                <c:pt idx="127">
                  <c:v>44044</c:v>
                </c:pt>
                <c:pt idx="128">
                  <c:v>44075</c:v>
                </c:pt>
                <c:pt idx="129">
                  <c:v>44105</c:v>
                </c:pt>
                <c:pt idx="130">
                  <c:v>44136</c:v>
                </c:pt>
                <c:pt idx="131">
                  <c:v>44166</c:v>
                </c:pt>
                <c:pt idx="132">
                  <c:v>44197</c:v>
                </c:pt>
                <c:pt idx="133">
                  <c:v>44228</c:v>
                </c:pt>
                <c:pt idx="134">
                  <c:v>44256</c:v>
                </c:pt>
                <c:pt idx="135">
                  <c:v>44287</c:v>
                </c:pt>
                <c:pt idx="136">
                  <c:v>44317</c:v>
                </c:pt>
                <c:pt idx="137">
                  <c:v>44348</c:v>
                </c:pt>
                <c:pt idx="138">
                  <c:v>44378</c:v>
                </c:pt>
                <c:pt idx="139">
                  <c:v>44409</c:v>
                </c:pt>
                <c:pt idx="140">
                  <c:v>44440</c:v>
                </c:pt>
                <c:pt idx="141">
                  <c:v>44470</c:v>
                </c:pt>
                <c:pt idx="142">
                  <c:v>44501</c:v>
                </c:pt>
                <c:pt idx="143">
                  <c:v>44531</c:v>
                </c:pt>
                <c:pt idx="144">
                  <c:v>44562</c:v>
                </c:pt>
                <c:pt idx="145">
                  <c:v>44593</c:v>
                </c:pt>
                <c:pt idx="146">
                  <c:v>44621</c:v>
                </c:pt>
                <c:pt idx="147">
                  <c:v>44652</c:v>
                </c:pt>
                <c:pt idx="148">
                  <c:v>44682</c:v>
                </c:pt>
                <c:pt idx="149">
                  <c:v>44713</c:v>
                </c:pt>
                <c:pt idx="150">
                  <c:v>44743</c:v>
                </c:pt>
                <c:pt idx="151">
                  <c:v>44774</c:v>
                </c:pt>
                <c:pt idx="152">
                  <c:v>44805</c:v>
                </c:pt>
                <c:pt idx="153">
                  <c:v>44835</c:v>
                </c:pt>
                <c:pt idx="154">
                  <c:v>44866</c:v>
                </c:pt>
                <c:pt idx="155">
                  <c:v>44896</c:v>
                </c:pt>
                <c:pt idx="156">
                  <c:v>44927</c:v>
                </c:pt>
                <c:pt idx="157">
                  <c:v>44958</c:v>
                </c:pt>
                <c:pt idx="158">
                  <c:v>44986</c:v>
                </c:pt>
                <c:pt idx="159">
                  <c:v>45017</c:v>
                </c:pt>
                <c:pt idx="160">
                  <c:v>45047</c:v>
                </c:pt>
                <c:pt idx="161">
                  <c:v>45078</c:v>
                </c:pt>
                <c:pt idx="162">
                  <c:v>45108</c:v>
                </c:pt>
                <c:pt idx="163">
                  <c:v>45139</c:v>
                </c:pt>
                <c:pt idx="164">
                  <c:v>45170</c:v>
                </c:pt>
                <c:pt idx="165">
                  <c:v>45200</c:v>
                </c:pt>
                <c:pt idx="166">
                  <c:v>45231</c:v>
                </c:pt>
                <c:pt idx="167">
                  <c:v>45261</c:v>
                </c:pt>
                <c:pt idx="168">
                  <c:v>45292</c:v>
                </c:pt>
                <c:pt idx="169">
                  <c:v>45323</c:v>
                </c:pt>
                <c:pt idx="170">
                  <c:v>45352</c:v>
                </c:pt>
                <c:pt idx="171">
                  <c:v>45383</c:v>
                </c:pt>
                <c:pt idx="172">
                  <c:v>45413</c:v>
                </c:pt>
                <c:pt idx="173">
                  <c:v>45444</c:v>
                </c:pt>
                <c:pt idx="174">
                  <c:v>45474</c:v>
                </c:pt>
                <c:pt idx="175">
                  <c:v>45505</c:v>
                </c:pt>
                <c:pt idx="176">
                  <c:v>45536</c:v>
                </c:pt>
                <c:pt idx="177">
                  <c:v>45566</c:v>
                </c:pt>
                <c:pt idx="178">
                  <c:v>45597</c:v>
                </c:pt>
                <c:pt idx="179">
                  <c:v>45627</c:v>
                </c:pt>
                <c:pt idx="180">
                  <c:v>45658</c:v>
                </c:pt>
                <c:pt idx="181">
                  <c:v>45689</c:v>
                </c:pt>
                <c:pt idx="182">
                  <c:v>45717</c:v>
                </c:pt>
                <c:pt idx="183">
                  <c:v>45748</c:v>
                </c:pt>
                <c:pt idx="184">
                  <c:v>45778</c:v>
                </c:pt>
                <c:pt idx="185">
                  <c:v>45809</c:v>
                </c:pt>
                <c:pt idx="186">
                  <c:v>45839</c:v>
                </c:pt>
                <c:pt idx="187">
                  <c:v>45870</c:v>
                </c:pt>
                <c:pt idx="188">
                  <c:v>45901</c:v>
                </c:pt>
                <c:pt idx="189">
                  <c:v>45931</c:v>
                </c:pt>
                <c:pt idx="190">
                  <c:v>45962</c:v>
                </c:pt>
                <c:pt idx="191">
                  <c:v>45992</c:v>
                </c:pt>
                <c:pt idx="192">
                  <c:v>46023</c:v>
                </c:pt>
              </c:numCache>
            </c:numRef>
          </c:cat>
          <c:val>
            <c:numRef>
              <c:f>'schertz_violent_and_non XmR '!$C$2:$C$194</c:f>
              <c:numCache>
                <c:formatCode>0.0</c:formatCode>
                <c:ptCount val="193"/>
                <c:pt idx="0">
                  <c:v>85.709019607843146</c:v>
                </c:pt>
                <c:pt idx="1">
                  <c:v>85.709019607843146</c:v>
                </c:pt>
                <c:pt idx="2">
                  <c:v>85.709019607843146</c:v>
                </c:pt>
                <c:pt idx="3">
                  <c:v>85.709019607843146</c:v>
                </c:pt>
                <c:pt idx="4">
                  <c:v>85.709019607843146</c:v>
                </c:pt>
                <c:pt idx="5">
                  <c:v>85.709019607843146</c:v>
                </c:pt>
                <c:pt idx="6">
                  <c:v>85.709019607843146</c:v>
                </c:pt>
                <c:pt idx="7">
                  <c:v>85.709019607843146</c:v>
                </c:pt>
                <c:pt idx="8">
                  <c:v>85.709019607843146</c:v>
                </c:pt>
                <c:pt idx="9">
                  <c:v>85.709019607843146</c:v>
                </c:pt>
                <c:pt idx="10">
                  <c:v>85.709019607843146</c:v>
                </c:pt>
                <c:pt idx="11">
                  <c:v>85.709019607843146</c:v>
                </c:pt>
                <c:pt idx="12">
                  <c:v>85.709019607843146</c:v>
                </c:pt>
                <c:pt idx="13">
                  <c:v>85.709019607843146</c:v>
                </c:pt>
                <c:pt idx="14">
                  <c:v>85.709019607843146</c:v>
                </c:pt>
                <c:pt idx="15">
                  <c:v>85.709019607843146</c:v>
                </c:pt>
                <c:pt idx="16">
                  <c:v>85.709019607843146</c:v>
                </c:pt>
                <c:pt idx="17">
                  <c:v>85.709019607843146</c:v>
                </c:pt>
                <c:pt idx="18">
                  <c:v>83.877142857142857</c:v>
                </c:pt>
                <c:pt idx="19">
                  <c:v>83.877142857142857</c:v>
                </c:pt>
                <c:pt idx="20">
                  <c:v>83.877142857142857</c:v>
                </c:pt>
                <c:pt idx="21">
                  <c:v>83.877142857142857</c:v>
                </c:pt>
                <c:pt idx="22">
                  <c:v>83.877142857142857</c:v>
                </c:pt>
                <c:pt idx="23">
                  <c:v>83.877142857142857</c:v>
                </c:pt>
                <c:pt idx="24">
                  <c:v>83.877142857142857</c:v>
                </c:pt>
                <c:pt idx="25">
                  <c:v>83.877142857142857</c:v>
                </c:pt>
                <c:pt idx="26">
                  <c:v>83.877142857142857</c:v>
                </c:pt>
                <c:pt idx="27">
                  <c:v>83.877142857142857</c:v>
                </c:pt>
                <c:pt idx="28">
                  <c:v>83.877142857142857</c:v>
                </c:pt>
                <c:pt idx="29">
                  <c:v>83.877142857142857</c:v>
                </c:pt>
                <c:pt idx="30">
                  <c:v>83.877142857142857</c:v>
                </c:pt>
                <c:pt idx="31">
                  <c:v>83.877142857142857</c:v>
                </c:pt>
                <c:pt idx="32">
                  <c:v>80.541463414634151</c:v>
                </c:pt>
                <c:pt idx="33">
                  <c:v>80.541463414634151</c:v>
                </c:pt>
                <c:pt idx="34">
                  <c:v>80.541463414634151</c:v>
                </c:pt>
                <c:pt idx="35">
                  <c:v>80.541463414634151</c:v>
                </c:pt>
                <c:pt idx="36">
                  <c:v>80.541463414634151</c:v>
                </c:pt>
                <c:pt idx="37">
                  <c:v>80.541463414634151</c:v>
                </c:pt>
                <c:pt idx="38">
                  <c:v>80.541463414634151</c:v>
                </c:pt>
                <c:pt idx="39">
                  <c:v>80.541463414634151</c:v>
                </c:pt>
                <c:pt idx="40">
                  <c:v>80.541463414634151</c:v>
                </c:pt>
                <c:pt idx="41">
                  <c:v>80.541463414634151</c:v>
                </c:pt>
                <c:pt idx="42">
                  <c:v>80.541463414634151</c:v>
                </c:pt>
                <c:pt idx="43">
                  <c:v>80.541463414634151</c:v>
                </c:pt>
                <c:pt idx="44">
                  <c:v>80.541463414634151</c:v>
                </c:pt>
                <c:pt idx="45">
                  <c:v>80.541463414634151</c:v>
                </c:pt>
                <c:pt idx="46">
                  <c:v>80.541463414634151</c:v>
                </c:pt>
                <c:pt idx="47">
                  <c:v>80.541463414634151</c:v>
                </c:pt>
                <c:pt idx="48">
                  <c:v>80.541463414634151</c:v>
                </c:pt>
                <c:pt idx="49">
                  <c:v>80.541463414634151</c:v>
                </c:pt>
                <c:pt idx="50">
                  <c:v>80.541463414634151</c:v>
                </c:pt>
                <c:pt idx="51">
                  <c:v>80.541463414634151</c:v>
                </c:pt>
                <c:pt idx="52">
                  <c:v>80.541463414634151</c:v>
                </c:pt>
                <c:pt idx="53">
                  <c:v>80.541463414634151</c:v>
                </c:pt>
                <c:pt idx="54">
                  <c:v>80.541463414634151</c:v>
                </c:pt>
                <c:pt idx="55">
                  <c:v>80.541463414634151</c:v>
                </c:pt>
                <c:pt idx="56">
                  <c:v>80.541463414634151</c:v>
                </c:pt>
                <c:pt idx="57">
                  <c:v>80.541463414634151</c:v>
                </c:pt>
                <c:pt idx="58">
                  <c:v>80.541463414634151</c:v>
                </c:pt>
                <c:pt idx="59">
                  <c:v>80.541463414634151</c:v>
                </c:pt>
                <c:pt idx="60">
                  <c:v>80.541463414634151</c:v>
                </c:pt>
                <c:pt idx="61">
                  <c:v>80.541463414634151</c:v>
                </c:pt>
                <c:pt idx="62">
                  <c:v>80.541463414634151</c:v>
                </c:pt>
                <c:pt idx="63">
                  <c:v>80.541463414634151</c:v>
                </c:pt>
                <c:pt idx="64">
                  <c:v>80.541463414634151</c:v>
                </c:pt>
                <c:pt idx="65">
                  <c:v>80.541463414634151</c:v>
                </c:pt>
                <c:pt idx="66">
                  <c:v>80.541463414634151</c:v>
                </c:pt>
                <c:pt idx="67">
                  <c:v>80.541463414634151</c:v>
                </c:pt>
                <c:pt idx="68">
                  <c:v>80.541463414634151</c:v>
                </c:pt>
                <c:pt idx="69">
                  <c:v>80.541463414634151</c:v>
                </c:pt>
                <c:pt idx="70">
                  <c:v>80.541463414634151</c:v>
                </c:pt>
                <c:pt idx="71">
                  <c:v>80.541463414634151</c:v>
                </c:pt>
                <c:pt idx="72">
                  <c:v>80.541463414634151</c:v>
                </c:pt>
                <c:pt idx="73">
                  <c:v>87.523076923076928</c:v>
                </c:pt>
                <c:pt idx="74">
                  <c:v>87.523076923076928</c:v>
                </c:pt>
                <c:pt idx="75">
                  <c:v>87.523076923076928</c:v>
                </c:pt>
                <c:pt idx="76">
                  <c:v>87.523076923076928</c:v>
                </c:pt>
                <c:pt idx="77">
                  <c:v>87.523076923076928</c:v>
                </c:pt>
                <c:pt idx="78">
                  <c:v>87.523076923076928</c:v>
                </c:pt>
                <c:pt idx="79">
                  <c:v>87.523076923076928</c:v>
                </c:pt>
                <c:pt idx="80">
                  <c:v>87.523076923076928</c:v>
                </c:pt>
                <c:pt idx="81">
                  <c:v>87.523076923076928</c:v>
                </c:pt>
                <c:pt idx="82">
                  <c:v>87.523076923076928</c:v>
                </c:pt>
                <c:pt idx="83">
                  <c:v>87.523076923076928</c:v>
                </c:pt>
                <c:pt idx="84">
                  <c:v>87.523076923076928</c:v>
                </c:pt>
                <c:pt idx="85">
                  <c:v>87.523076923076928</c:v>
                </c:pt>
                <c:pt idx="86">
                  <c:v>92.728571428571428</c:v>
                </c:pt>
                <c:pt idx="87">
                  <c:v>92.728571428571428</c:v>
                </c:pt>
                <c:pt idx="88">
                  <c:v>92.728571428571428</c:v>
                </c:pt>
                <c:pt idx="89">
                  <c:v>92.728571428571428</c:v>
                </c:pt>
                <c:pt idx="90">
                  <c:v>92.728571428571428</c:v>
                </c:pt>
                <c:pt idx="91">
                  <c:v>92.728571428571428</c:v>
                </c:pt>
                <c:pt idx="92">
                  <c:v>92.728571428571428</c:v>
                </c:pt>
                <c:pt idx="93">
                  <c:v>97.981818181818184</c:v>
                </c:pt>
                <c:pt idx="94">
                  <c:v>97.981818181818184</c:v>
                </c:pt>
                <c:pt idx="95">
                  <c:v>97.981818181818184</c:v>
                </c:pt>
                <c:pt idx="96">
                  <c:v>97.981818181818184</c:v>
                </c:pt>
                <c:pt idx="97">
                  <c:v>97.981818181818184</c:v>
                </c:pt>
                <c:pt idx="98">
                  <c:v>97.981818181818184</c:v>
                </c:pt>
                <c:pt idx="99">
                  <c:v>97.981818181818184</c:v>
                </c:pt>
                <c:pt idx="100">
                  <c:v>97.981818181818184</c:v>
                </c:pt>
                <c:pt idx="101">
                  <c:v>97.981818181818184</c:v>
                </c:pt>
                <c:pt idx="102">
                  <c:v>97.981818181818184</c:v>
                </c:pt>
                <c:pt idx="103">
                  <c:v>97.981818181818184</c:v>
                </c:pt>
                <c:pt idx="104">
                  <c:v>84.863200000000006</c:v>
                </c:pt>
                <c:pt idx="105">
                  <c:v>84.863200000000006</c:v>
                </c:pt>
                <c:pt idx="106">
                  <c:v>84.863200000000006</c:v>
                </c:pt>
                <c:pt idx="107">
                  <c:v>84.863200000000006</c:v>
                </c:pt>
                <c:pt idx="108">
                  <c:v>84.863200000000006</c:v>
                </c:pt>
                <c:pt idx="109">
                  <c:v>84.863200000000006</c:v>
                </c:pt>
                <c:pt idx="110">
                  <c:v>84.863200000000006</c:v>
                </c:pt>
                <c:pt idx="111">
                  <c:v>84.863200000000006</c:v>
                </c:pt>
                <c:pt idx="112">
                  <c:v>84.863200000000006</c:v>
                </c:pt>
                <c:pt idx="113">
                  <c:v>84.863200000000006</c:v>
                </c:pt>
                <c:pt idx="114">
                  <c:v>84.863200000000006</c:v>
                </c:pt>
                <c:pt idx="115">
                  <c:v>84.863200000000006</c:v>
                </c:pt>
                <c:pt idx="116">
                  <c:v>84.863200000000006</c:v>
                </c:pt>
                <c:pt idx="117">
                  <c:v>84.863200000000006</c:v>
                </c:pt>
                <c:pt idx="118">
                  <c:v>84.863200000000006</c:v>
                </c:pt>
                <c:pt idx="119">
                  <c:v>84.863200000000006</c:v>
                </c:pt>
                <c:pt idx="120">
                  <c:v>84.863200000000006</c:v>
                </c:pt>
                <c:pt idx="121">
                  <c:v>84.863200000000006</c:v>
                </c:pt>
                <c:pt idx="122">
                  <c:v>84.863200000000006</c:v>
                </c:pt>
                <c:pt idx="123">
                  <c:v>84.863200000000006</c:v>
                </c:pt>
                <c:pt idx="124">
                  <c:v>84.863200000000006</c:v>
                </c:pt>
                <c:pt idx="125">
                  <c:v>84.863200000000006</c:v>
                </c:pt>
                <c:pt idx="126">
                  <c:v>84.863200000000006</c:v>
                </c:pt>
                <c:pt idx="127">
                  <c:v>84.863200000000006</c:v>
                </c:pt>
                <c:pt idx="128">
                  <c:v>84.863200000000006</c:v>
                </c:pt>
                <c:pt idx="129">
                  <c:v>59.357142857142861</c:v>
                </c:pt>
                <c:pt idx="130">
                  <c:v>59.357142857142861</c:v>
                </c:pt>
                <c:pt idx="131">
                  <c:v>59.357142857142861</c:v>
                </c:pt>
                <c:pt idx="132">
                  <c:v>59.357142857142861</c:v>
                </c:pt>
                <c:pt idx="133">
                  <c:v>59.357142857142861</c:v>
                </c:pt>
                <c:pt idx="134">
                  <c:v>59.357142857142861</c:v>
                </c:pt>
                <c:pt idx="135">
                  <c:v>59.357142857142861</c:v>
                </c:pt>
                <c:pt idx="136">
                  <c:v>59.357142857142861</c:v>
                </c:pt>
                <c:pt idx="137">
                  <c:v>59.357142857142861</c:v>
                </c:pt>
                <c:pt idx="138">
                  <c:v>59.357142857142861</c:v>
                </c:pt>
                <c:pt idx="139">
                  <c:v>59.357142857142861</c:v>
                </c:pt>
                <c:pt idx="140">
                  <c:v>59.357142857142861</c:v>
                </c:pt>
                <c:pt idx="141">
                  <c:v>59.357142857142861</c:v>
                </c:pt>
                <c:pt idx="142">
                  <c:v>59.357142857142861</c:v>
                </c:pt>
                <c:pt idx="143">
                  <c:v>59.357142857142861</c:v>
                </c:pt>
                <c:pt idx="144">
                  <c:v>59.357142857142861</c:v>
                </c:pt>
                <c:pt idx="145">
                  <c:v>59.357142857142861</c:v>
                </c:pt>
                <c:pt idx="146">
                  <c:v>59.357142857142861</c:v>
                </c:pt>
                <c:pt idx="147">
                  <c:v>59.357142857142861</c:v>
                </c:pt>
                <c:pt idx="148">
                  <c:v>59.357142857142861</c:v>
                </c:pt>
                <c:pt idx="149">
                  <c:v>59.357142857142861</c:v>
                </c:pt>
                <c:pt idx="150">
                  <c:v>75.34</c:v>
                </c:pt>
                <c:pt idx="151">
                  <c:v>75.34</c:v>
                </c:pt>
                <c:pt idx="152">
                  <c:v>75.34</c:v>
                </c:pt>
                <c:pt idx="153">
                  <c:v>75.34</c:v>
                </c:pt>
                <c:pt idx="154">
                  <c:v>75.34</c:v>
                </c:pt>
                <c:pt idx="155">
                  <c:v>62.832857142857151</c:v>
                </c:pt>
                <c:pt idx="156">
                  <c:v>62.832857142857151</c:v>
                </c:pt>
                <c:pt idx="157">
                  <c:v>62.832857142857151</c:v>
                </c:pt>
                <c:pt idx="158">
                  <c:v>62.832857142857151</c:v>
                </c:pt>
                <c:pt idx="159">
                  <c:v>62.832857142857151</c:v>
                </c:pt>
                <c:pt idx="160">
                  <c:v>62.832857142857151</c:v>
                </c:pt>
                <c:pt idx="161">
                  <c:v>62.832857142857151</c:v>
                </c:pt>
                <c:pt idx="162">
                  <c:v>62.832857142857151</c:v>
                </c:pt>
                <c:pt idx="163">
                  <c:v>62.832857142857151</c:v>
                </c:pt>
                <c:pt idx="164">
                  <c:v>62.832857142857151</c:v>
                </c:pt>
                <c:pt idx="165">
                  <c:v>62.832857142857151</c:v>
                </c:pt>
                <c:pt idx="166">
                  <c:v>62.832857142857151</c:v>
                </c:pt>
                <c:pt idx="167">
                  <c:v>62.832857142857151</c:v>
                </c:pt>
                <c:pt idx="168">
                  <c:v>62.832857142857151</c:v>
                </c:pt>
                <c:pt idx="169">
                  <c:v>58.565333333333335</c:v>
                </c:pt>
                <c:pt idx="170">
                  <c:v>58.565333333333335</c:v>
                </c:pt>
                <c:pt idx="171">
                  <c:v>58.565333333333335</c:v>
                </c:pt>
                <c:pt idx="172">
                  <c:v>58.565333333333335</c:v>
                </c:pt>
                <c:pt idx="173">
                  <c:v>58.565333333333335</c:v>
                </c:pt>
                <c:pt idx="174">
                  <c:v>58.565333333333335</c:v>
                </c:pt>
                <c:pt idx="175">
                  <c:v>58.565333333333335</c:v>
                </c:pt>
                <c:pt idx="176">
                  <c:v>58.565333333333335</c:v>
                </c:pt>
                <c:pt idx="177">
                  <c:v>58.565333333333335</c:v>
                </c:pt>
                <c:pt idx="178">
                  <c:v>58.565333333333335</c:v>
                </c:pt>
                <c:pt idx="179">
                  <c:v>58.565333333333335</c:v>
                </c:pt>
                <c:pt idx="180">
                  <c:v>58.565333333333335</c:v>
                </c:pt>
                <c:pt idx="181">
                  <c:v>58.565333333333335</c:v>
                </c:pt>
                <c:pt idx="182">
                  <c:v>58.565333333333335</c:v>
                </c:pt>
                <c:pt idx="183">
                  <c:v>58.565333333333335</c:v>
                </c:pt>
                <c:pt idx="184">
                  <c:v>64.933333333333337</c:v>
                </c:pt>
                <c:pt idx="185">
                  <c:v>64.933333333333337</c:v>
                </c:pt>
                <c:pt idx="186">
                  <c:v>64.933333333333337</c:v>
                </c:pt>
                <c:pt idx="187">
                  <c:v>64.933333333333337</c:v>
                </c:pt>
                <c:pt idx="188">
                  <c:v>64.933333333333337</c:v>
                </c:pt>
                <c:pt idx="189">
                  <c:v>64.933333333333337</c:v>
                </c:pt>
                <c:pt idx="190">
                  <c:v>64.933333333333337</c:v>
                </c:pt>
                <c:pt idx="191">
                  <c:v>64.933333333333337</c:v>
                </c:pt>
                <c:pt idx="192">
                  <c:v>64.933333333333337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024-6F4B-A084-58E0707C656F}"/>
            </c:ext>
          </c:extLst>
        </c:ser>
        <c:ser>
          <c:idx val="2"/>
          <c:order val="2"/>
          <c:tx>
            <c:strRef>
              <c:f>'schertz_violent_and_non XmR '!$D$1</c:f>
              <c:strCache>
                <c:ptCount val="1"/>
                <c:pt idx="0">
                  <c:v> +2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'schertz_violent_and_non XmR '!$A$2:$A$194</c:f>
              <c:numCache>
                <c:formatCode>mmm\-yy</c:formatCode>
                <c:ptCount val="193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  <c:pt idx="51">
                  <c:v>41730</c:v>
                </c:pt>
                <c:pt idx="52">
                  <c:v>41760</c:v>
                </c:pt>
                <c:pt idx="53">
                  <c:v>41791</c:v>
                </c:pt>
                <c:pt idx="54">
                  <c:v>41821</c:v>
                </c:pt>
                <c:pt idx="55">
                  <c:v>41852</c:v>
                </c:pt>
                <c:pt idx="56">
                  <c:v>41883</c:v>
                </c:pt>
                <c:pt idx="57">
                  <c:v>41913</c:v>
                </c:pt>
                <c:pt idx="58">
                  <c:v>41944</c:v>
                </c:pt>
                <c:pt idx="59">
                  <c:v>41974</c:v>
                </c:pt>
                <c:pt idx="60">
                  <c:v>42005</c:v>
                </c:pt>
                <c:pt idx="61">
                  <c:v>42036</c:v>
                </c:pt>
                <c:pt idx="62">
                  <c:v>42064</c:v>
                </c:pt>
                <c:pt idx="63">
                  <c:v>42095</c:v>
                </c:pt>
                <c:pt idx="64">
                  <c:v>42125</c:v>
                </c:pt>
                <c:pt idx="65">
                  <c:v>42156</c:v>
                </c:pt>
                <c:pt idx="66">
                  <c:v>42186</c:v>
                </c:pt>
                <c:pt idx="67">
                  <c:v>42217</c:v>
                </c:pt>
                <c:pt idx="68">
                  <c:v>42248</c:v>
                </c:pt>
                <c:pt idx="69">
                  <c:v>42278</c:v>
                </c:pt>
                <c:pt idx="70">
                  <c:v>42309</c:v>
                </c:pt>
                <c:pt idx="71">
                  <c:v>42339</c:v>
                </c:pt>
                <c:pt idx="72">
                  <c:v>42370</c:v>
                </c:pt>
                <c:pt idx="73">
                  <c:v>42401</c:v>
                </c:pt>
                <c:pt idx="74">
                  <c:v>42430</c:v>
                </c:pt>
                <c:pt idx="75">
                  <c:v>42461</c:v>
                </c:pt>
                <c:pt idx="76">
                  <c:v>42491</c:v>
                </c:pt>
                <c:pt idx="77">
                  <c:v>42522</c:v>
                </c:pt>
                <c:pt idx="78">
                  <c:v>42552</c:v>
                </c:pt>
                <c:pt idx="79">
                  <c:v>42583</c:v>
                </c:pt>
                <c:pt idx="80">
                  <c:v>42614</c:v>
                </c:pt>
                <c:pt idx="81">
                  <c:v>42644</c:v>
                </c:pt>
                <c:pt idx="82">
                  <c:v>42675</c:v>
                </c:pt>
                <c:pt idx="83">
                  <c:v>42705</c:v>
                </c:pt>
                <c:pt idx="84">
                  <c:v>42736</c:v>
                </c:pt>
                <c:pt idx="85">
                  <c:v>42767</c:v>
                </c:pt>
                <c:pt idx="86">
                  <c:v>42795</c:v>
                </c:pt>
                <c:pt idx="87">
                  <c:v>42826</c:v>
                </c:pt>
                <c:pt idx="88">
                  <c:v>42856</c:v>
                </c:pt>
                <c:pt idx="89">
                  <c:v>42887</c:v>
                </c:pt>
                <c:pt idx="90">
                  <c:v>42917</c:v>
                </c:pt>
                <c:pt idx="91">
                  <c:v>42948</c:v>
                </c:pt>
                <c:pt idx="92">
                  <c:v>42979</c:v>
                </c:pt>
                <c:pt idx="93">
                  <c:v>43009</c:v>
                </c:pt>
                <c:pt idx="94">
                  <c:v>43040</c:v>
                </c:pt>
                <c:pt idx="95">
                  <c:v>43070</c:v>
                </c:pt>
                <c:pt idx="96">
                  <c:v>43101</c:v>
                </c:pt>
                <c:pt idx="97">
                  <c:v>43132</c:v>
                </c:pt>
                <c:pt idx="98">
                  <c:v>43160</c:v>
                </c:pt>
                <c:pt idx="99">
                  <c:v>43191</c:v>
                </c:pt>
                <c:pt idx="100">
                  <c:v>43221</c:v>
                </c:pt>
                <c:pt idx="101">
                  <c:v>43252</c:v>
                </c:pt>
                <c:pt idx="102">
                  <c:v>43282</c:v>
                </c:pt>
                <c:pt idx="103">
                  <c:v>43313</c:v>
                </c:pt>
                <c:pt idx="104">
                  <c:v>43344</c:v>
                </c:pt>
                <c:pt idx="105">
                  <c:v>43374</c:v>
                </c:pt>
                <c:pt idx="106">
                  <c:v>43405</c:v>
                </c:pt>
                <c:pt idx="107">
                  <c:v>43435</c:v>
                </c:pt>
                <c:pt idx="108">
                  <c:v>43466</c:v>
                </c:pt>
                <c:pt idx="109">
                  <c:v>43497</c:v>
                </c:pt>
                <c:pt idx="110">
                  <c:v>43525</c:v>
                </c:pt>
                <c:pt idx="111">
                  <c:v>43556</c:v>
                </c:pt>
                <c:pt idx="112">
                  <c:v>43586</c:v>
                </c:pt>
                <c:pt idx="113">
                  <c:v>43617</c:v>
                </c:pt>
                <c:pt idx="114">
                  <c:v>43647</c:v>
                </c:pt>
                <c:pt idx="115">
                  <c:v>43678</c:v>
                </c:pt>
                <c:pt idx="116">
                  <c:v>43709</c:v>
                </c:pt>
                <c:pt idx="117">
                  <c:v>43739</c:v>
                </c:pt>
                <c:pt idx="118">
                  <c:v>43770</c:v>
                </c:pt>
                <c:pt idx="119">
                  <c:v>43800</c:v>
                </c:pt>
                <c:pt idx="120">
                  <c:v>43831</c:v>
                </c:pt>
                <c:pt idx="121">
                  <c:v>43862</c:v>
                </c:pt>
                <c:pt idx="122">
                  <c:v>43891</c:v>
                </c:pt>
                <c:pt idx="123">
                  <c:v>43922</c:v>
                </c:pt>
                <c:pt idx="124">
                  <c:v>43952</c:v>
                </c:pt>
                <c:pt idx="125">
                  <c:v>43983</c:v>
                </c:pt>
                <c:pt idx="126">
                  <c:v>44013</c:v>
                </c:pt>
                <c:pt idx="127">
                  <c:v>44044</c:v>
                </c:pt>
                <c:pt idx="128">
                  <c:v>44075</c:v>
                </c:pt>
                <c:pt idx="129">
                  <c:v>44105</c:v>
                </c:pt>
                <c:pt idx="130">
                  <c:v>44136</c:v>
                </c:pt>
                <c:pt idx="131">
                  <c:v>44166</c:v>
                </c:pt>
                <c:pt idx="132">
                  <c:v>44197</c:v>
                </c:pt>
                <c:pt idx="133">
                  <c:v>44228</c:v>
                </c:pt>
                <c:pt idx="134">
                  <c:v>44256</c:v>
                </c:pt>
                <c:pt idx="135">
                  <c:v>44287</c:v>
                </c:pt>
                <c:pt idx="136">
                  <c:v>44317</c:v>
                </c:pt>
                <c:pt idx="137">
                  <c:v>44348</c:v>
                </c:pt>
                <c:pt idx="138">
                  <c:v>44378</c:v>
                </c:pt>
                <c:pt idx="139">
                  <c:v>44409</c:v>
                </c:pt>
                <c:pt idx="140">
                  <c:v>44440</c:v>
                </c:pt>
                <c:pt idx="141">
                  <c:v>44470</c:v>
                </c:pt>
                <c:pt idx="142">
                  <c:v>44501</c:v>
                </c:pt>
                <c:pt idx="143">
                  <c:v>44531</c:v>
                </c:pt>
                <c:pt idx="144">
                  <c:v>44562</c:v>
                </c:pt>
                <c:pt idx="145">
                  <c:v>44593</c:v>
                </c:pt>
                <c:pt idx="146">
                  <c:v>44621</c:v>
                </c:pt>
                <c:pt idx="147">
                  <c:v>44652</c:v>
                </c:pt>
                <c:pt idx="148">
                  <c:v>44682</c:v>
                </c:pt>
                <c:pt idx="149">
                  <c:v>44713</c:v>
                </c:pt>
                <c:pt idx="150">
                  <c:v>44743</c:v>
                </c:pt>
                <c:pt idx="151">
                  <c:v>44774</c:v>
                </c:pt>
                <c:pt idx="152">
                  <c:v>44805</c:v>
                </c:pt>
                <c:pt idx="153">
                  <c:v>44835</c:v>
                </c:pt>
                <c:pt idx="154">
                  <c:v>44866</c:v>
                </c:pt>
                <c:pt idx="155">
                  <c:v>44896</c:v>
                </c:pt>
                <c:pt idx="156">
                  <c:v>44927</c:v>
                </c:pt>
                <c:pt idx="157">
                  <c:v>44958</c:v>
                </c:pt>
                <c:pt idx="158">
                  <c:v>44986</c:v>
                </c:pt>
                <c:pt idx="159">
                  <c:v>45017</c:v>
                </c:pt>
                <c:pt idx="160">
                  <c:v>45047</c:v>
                </c:pt>
                <c:pt idx="161">
                  <c:v>45078</c:v>
                </c:pt>
                <c:pt idx="162">
                  <c:v>45108</c:v>
                </c:pt>
                <c:pt idx="163">
                  <c:v>45139</c:v>
                </c:pt>
                <c:pt idx="164">
                  <c:v>45170</c:v>
                </c:pt>
                <c:pt idx="165">
                  <c:v>45200</c:v>
                </c:pt>
                <c:pt idx="166">
                  <c:v>45231</c:v>
                </c:pt>
                <c:pt idx="167">
                  <c:v>45261</c:v>
                </c:pt>
                <c:pt idx="168">
                  <c:v>45292</c:v>
                </c:pt>
                <c:pt idx="169">
                  <c:v>45323</c:v>
                </c:pt>
                <c:pt idx="170">
                  <c:v>45352</c:v>
                </c:pt>
                <c:pt idx="171">
                  <c:v>45383</c:v>
                </c:pt>
                <c:pt idx="172">
                  <c:v>45413</c:v>
                </c:pt>
                <c:pt idx="173">
                  <c:v>45444</c:v>
                </c:pt>
                <c:pt idx="174">
                  <c:v>45474</c:v>
                </c:pt>
                <c:pt idx="175">
                  <c:v>45505</c:v>
                </c:pt>
                <c:pt idx="176">
                  <c:v>45536</c:v>
                </c:pt>
                <c:pt idx="177">
                  <c:v>45566</c:v>
                </c:pt>
                <c:pt idx="178">
                  <c:v>45597</c:v>
                </c:pt>
                <c:pt idx="179">
                  <c:v>45627</c:v>
                </c:pt>
                <c:pt idx="180">
                  <c:v>45658</c:v>
                </c:pt>
                <c:pt idx="181">
                  <c:v>45689</c:v>
                </c:pt>
                <c:pt idx="182">
                  <c:v>45717</c:v>
                </c:pt>
                <c:pt idx="183">
                  <c:v>45748</c:v>
                </c:pt>
                <c:pt idx="184">
                  <c:v>45778</c:v>
                </c:pt>
                <c:pt idx="185">
                  <c:v>45809</c:v>
                </c:pt>
                <c:pt idx="186">
                  <c:v>45839</c:v>
                </c:pt>
                <c:pt idx="187">
                  <c:v>45870</c:v>
                </c:pt>
                <c:pt idx="188">
                  <c:v>45901</c:v>
                </c:pt>
                <c:pt idx="189">
                  <c:v>45931</c:v>
                </c:pt>
                <c:pt idx="190">
                  <c:v>45962</c:v>
                </c:pt>
                <c:pt idx="191">
                  <c:v>45992</c:v>
                </c:pt>
                <c:pt idx="192">
                  <c:v>46023</c:v>
                </c:pt>
              </c:numCache>
            </c:numRef>
          </c:cat>
          <c:val>
            <c:numRef>
              <c:f>'schertz_violent_and_non XmR '!$D$2:$D$194</c:f>
              <c:numCache>
                <c:formatCode>0.0</c:formatCode>
                <c:ptCount val="193"/>
                <c:pt idx="0">
                  <c:v>75.694901960784307</c:v>
                </c:pt>
                <c:pt idx="1">
                  <c:v>75.694901960784307</c:v>
                </c:pt>
                <c:pt idx="2">
                  <c:v>75.694901960784307</c:v>
                </c:pt>
                <c:pt idx="3">
                  <c:v>75.694901960784307</c:v>
                </c:pt>
                <c:pt idx="4">
                  <c:v>75.694901960784307</c:v>
                </c:pt>
                <c:pt idx="5">
                  <c:v>75.694901960784307</c:v>
                </c:pt>
                <c:pt idx="6">
                  <c:v>75.694901960784307</c:v>
                </c:pt>
                <c:pt idx="7">
                  <c:v>75.694901960784307</c:v>
                </c:pt>
                <c:pt idx="8">
                  <c:v>75.694901960784307</c:v>
                </c:pt>
                <c:pt idx="9">
                  <c:v>75.694901960784307</c:v>
                </c:pt>
                <c:pt idx="10">
                  <c:v>75.694901960784307</c:v>
                </c:pt>
                <c:pt idx="11">
                  <c:v>75.694901960784307</c:v>
                </c:pt>
                <c:pt idx="12">
                  <c:v>75.694901960784307</c:v>
                </c:pt>
                <c:pt idx="13">
                  <c:v>75.694901960784307</c:v>
                </c:pt>
                <c:pt idx="14">
                  <c:v>75.694901960784307</c:v>
                </c:pt>
                <c:pt idx="15">
                  <c:v>75.694901960784307</c:v>
                </c:pt>
                <c:pt idx="16">
                  <c:v>75.694901960784307</c:v>
                </c:pt>
                <c:pt idx="17">
                  <c:v>75.694901960784307</c:v>
                </c:pt>
                <c:pt idx="18">
                  <c:v>77.037142857142854</c:v>
                </c:pt>
                <c:pt idx="19">
                  <c:v>77.037142857142854</c:v>
                </c:pt>
                <c:pt idx="20">
                  <c:v>77.037142857142854</c:v>
                </c:pt>
                <c:pt idx="21">
                  <c:v>77.037142857142854</c:v>
                </c:pt>
                <c:pt idx="22">
                  <c:v>77.037142857142854</c:v>
                </c:pt>
                <c:pt idx="23">
                  <c:v>77.037142857142854</c:v>
                </c:pt>
                <c:pt idx="24">
                  <c:v>77.037142857142854</c:v>
                </c:pt>
                <c:pt idx="25">
                  <c:v>77.037142857142854</c:v>
                </c:pt>
                <c:pt idx="26">
                  <c:v>77.037142857142854</c:v>
                </c:pt>
                <c:pt idx="27">
                  <c:v>77.037142857142854</c:v>
                </c:pt>
                <c:pt idx="28">
                  <c:v>77.037142857142854</c:v>
                </c:pt>
                <c:pt idx="29">
                  <c:v>77.037142857142854</c:v>
                </c:pt>
                <c:pt idx="30">
                  <c:v>77.037142857142854</c:v>
                </c:pt>
                <c:pt idx="31">
                  <c:v>77.037142857142854</c:v>
                </c:pt>
                <c:pt idx="32">
                  <c:v>72.53983739837399</c:v>
                </c:pt>
                <c:pt idx="33">
                  <c:v>72.53983739837399</c:v>
                </c:pt>
                <c:pt idx="34">
                  <c:v>72.53983739837399</c:v>
                </c:pt>
                <c:pt idx="35">
                  <c:v>72.53983739837399</c:v>
                </c:pt>
                <c:pt idx="36">
                  <c:v>72.53983739837399</c:v>
                </c:pt>
                <c:pt idx="37">
                  <c:v>72.53983739837399</c:v>
                </c:pt>
                <c:pt idx="38">
                  <c:v>72.53983739837399</c:v>
                </c:pt>
                <c:pt idx="39">
                  <c:v>72.53983739837399</c:v>
                </c:pt>
                <c:pt idx="40">
                  <c:v>72.53983739837399</c:v>
                </c:pt>
                <c:pt idx="41">
                  <c:v>72.53983739837399</c:v>
                </c:pt>
                <c:pt idx="42">
                  <c:v>72.53983739837399</c:v>
                </c:pt>
                <c:pt idx="43">
                  <c:v>72.53983739837399</c:v>
                </c:pt>
                <c:pt idx="44">
                  <c:v>72.53983739837399</c:v>
                </c:pt>
                <c:pt idx="45">
                  <c:v>72.53983739837399</c:v>
                </c:pt>
                <c:pt idx="46">
                  <c:v>72.53983739837399</c:v>
                </c:pt>
                <c:pt idx="47">
                  <c:v>72.53983739837399</c:v>
                </c:pt>
                <c:pt idx="48">
                  <c:v>72.53983739837399</c:v>
                </c:pt>
                <c:pt idx="49">
                  <c:v>72.53983739837399</c:v>
                </c:pt>
                <c:pt idx="50">
                  <c:v>72.53983739837399</c:v>
                </c:pt>
                <c:pt idx="51">
                  <c:v>72.53983739837399</c:v>
                </c:pt>
                <c:pt idx="52">
                  <c:v>72.53983739837399</c:v>
                </c:pt>
                <c:pt idx="53">
                  <c:v>72.53983739837399</c:v>
                </c:pt>
                <c:pt idx="54">
                  <c:v>72.53983739837399</c:v>
                </c:pt>
                <c:pt idx="55">
                  <c:v>72.53983739837399</c:v>
                </c:pt>
                <c:pt idx="56">
                  <c:v>72.53983739837399</c:v>
                </c:pt>
                <c:pt idx="57">
                  <c:v>72.53983739837399</c:v>
                </c:pt>
                <c:pt idx="58">
                  <c:v>72.53983739837399</c:v>
                </c:pt>
                <c:pt idx="59">
                  <c:v>72.53983739837399</c:v>
                </c:pt>
                <c:pt idx="60">
                  <c:v>72.53983739837399</c:v>
                </c:pt>
                <c:pt idx="61">
                  <c:v>72.53983739837399</c:v>
                </c:pt>
                <c:pt idx="62">
                  <c:v>72.53983739837399</c:v>
                </c:pt>
                <c:pt idx="63">
                  <c:v>72.53983739837399</c:v>
                </c:pt>
                <c:pt idx="64">
                  <c:v>72.53983739837399</c:v>
                </c:pt>
                <c:pt idx="65">
                  <c:v>72.53983739837399</c:v>
                </c:pt>
                <c:pt idx="66">
                  <c:v>72.53983739837399</c:v>
                </c:pt>
                <c:pt idx="67">
                  <c:v>72.53983739837399</c:v>
                </c:pt>
                <c:pt idx="68">
                  <c:v>72.53983739837399</c:v>
                </c:pt>
                <c:pt idx="69">
                  <c:v>72.53983739837399</c:v>
                </c:pt>
                <c:pt idx="70">
                  <c:v>72.53983739837399</c:v>
                </c:pt>
                <c:pt idx="71">
                  <c:v>72.53983739837399</c:v>
                </c:pt>
                <c:pt idx="72">
                  <c:v>72.53983739837399</c:v>
                </c:pt>
                <c:pt idx="73">
                  <c:v>82.066666666666677</c:v>
                </c:pt>
                <c:pt idx="74">
                  <c:v>82.066666666666677</c:v>
                </c:pt>
                <c:pt idx="75">
                  <c:v>82.066666666666677</c:v>
                </c:pt>
                <c:pt idx="76">
                  <c:v>82.066666666666677</c:v>
                </c:pt>
                <c:pt idx="77">
                  <c:v>82.066666666666677</c:v>
                </c:pt>
                <c:pt idx="78">
                  <c:v>82.066666666666677</c:v>
                </c:pt>
                <c:pt idx="79">
                  <c:v>82.066666666666677</c:v>
                </c:pt>
                <c:pt idx="80">
                  <c:v>82.066666666666677</c:v>
                </c:pt>
                <c:pt idx="81">
                  <c:v>82.066666666666677</c:v>
                </c:pt>
                <c:pt idx="82">
                  <c:v>82.066666666666677</c:v>
                </c:pt>
                <c:pt idx="83">
                  <c:v>82.066666666666677</c:v>
                </c:pt>
                <c:pt idx="84">
                  <c:v>82.066666666666677</c:v>
                </c:pt>
                <c:pt idx="85">
                  <c:v>82.066666666666677</c:v>
                </c:pt>
                <c:pt idx="86">
                  <c:v>81.961904761904762</c:v>
                </c:pt>
                <c:pt idx="87">
                  <c:v>81.961904761904762</c:v>
                </c:pt>
                <c:pt idx="88">
                  <c:v>81.961904761904762</c:v>
                </c:pt>
                <c:pt idx="89">
                  <c:v>81.961904761904762</c:v>
                </c:pt>
                <c:pt idx="90">
                  <c:v>81.961904761904762</c:v>
                </c:pt>
                <c:pt idx="91">
                  <c:v>81.961904761904762</c:v>
                </c:pt>
                <c:pt idx="92">
                  <c:v>81.961904761904762</c:v>
                </c:pt>
                <c:pt idx="93">
                  <c:v>87.5030303030303</c:v>
                </c:pt>
                <c:pt idx="94">
                  <c:v>87.5030303030303</c:v>
                </c:pt>
                <c:pt idx="95">
                  <c:v>87.5030303030303</c:v>
                </c:pt>
                <c:pt idx="96">
                  <c:v>87.5030303030303</c:v>
                </c:pt>
                <c:pt idx="97">
                  <c:v>87.5030303030303</c:v>
                </c:pt>
                <c:pt idx="98">
                  <c:v>87.5030303030303</c:v>
                </c:pt>
                <c:pt idx="99">
                  <c:v>87.5030303030303</c:v>
                </c:pt>
                <c:pt idx="100">
                  <c:v>87.5030303030303</c:v>
                </c:pt>
                <c:pt idx="101">
                  <c:v>87.5030303030303</c:v>
                </c:pt>
                <c:pt idx="102">
                  <c:v>87.5030303030303</c:v>
                </c:pt>
                <c:pt idx="103">
                  <c:v>87.5030303030303</c:v>
                </c:pt>
                <c:pt idx="104">
                  <c:v>73.762133333333338</c:v>
                </c:pt>
                <c:pt idx="105">
                  <c:v>73.762133333333338</c:v>
                </c:pt>
                <c:pt idx="106">
                  <c:v>73.762133333333338</c:v>
                </c:pt>
                <c:pt idx="107">
                  <c:v>73.762133333333338</c:v>
                </c:pt>
                <c:pt idx="108">
                  <c:v>73.762133333333338</c:v>
                </c:pt>
                <c:pt idx="109">
                  <c:v>73.762133333333338</c:v>
                </c:pt>
                <c:pt idx="110">
                  <c:v>73.762133333333338</c:v>
                </c:pt>
                <c:pt idx="111">
                  <c:v>73.762133333333338</c:v>
                </c:pt>
                <c:pt idx="112">
                  <c:v>73.762133333333338</c:v>
                </c:pt>
                <c:pt idx="113">
                  <c:v>73.762133333333338</c:v>
                </c:pt>
                <c:pt idx="114">
                  <c:v>73.762133333333338</c:v>
                </c:pt>
                <c:pt idx="115">
                  <c:v>73.762133333333338</c:v>
                </c:pt>
                <c:pt idx="116">
                  <c:v>73.762133333333338</c:v>
                </c:pt>
                <c:pt idx="117">
                  <c:v>73.762133333333338</c:v>
                </c:pt>
                <c:pt idx="118">
                  <c:v>73.762133333333338</c:v>
                </c:pt>
                <c:pt idx="119">
                  <c:v>73.762133333333338</c:v>
                </c:pt>
                <c:pt idx="120">
                  <c:v>73.762133333333338</c:v>
                </c:pt>
                <c:pt idx="121">
                  <c:v>73.762133333333338</c:v>
                </c:pt>
                <c:pt idx="122">
                  <c:v>73.762133333333338</c:v>
                </c:pt>
                <c:pt idx="123">
                  <c:v>73.762133333333338</c:v>
                </c:pt>
                <c:pt idx="124">
                  <c:v>73.762133333333338</c:v>
                </c:pt>
                <c:pt idx="125">
                  <c:v>73.762133333333338</c:v>
                </c:pt>
                <c:pt idx="126">
                  <c:v>73.762133333333338</c:v>
                </c:pt>
                <c:pt idx="127">
                  <c:v>73.762133333333338</c:v>
                </c:pt>
                <c:pt idx="128">
                  <c:v>73.762133333333338</c:v>
                </c:pt>
                <c:pt idx="129">
                  <c:v>51.968253968253968</c:v>
                </c:pt>
                <c:pt idx="130">
                  <c:v>51.968253968253968</c:v>
                </c:pt>
                <c:pt idx="131">
                  <c:v>51.968253968253968</c:v>
                </c:pt>
                <c:pt idx="132">
                  <c:v>51.968253968253968</c:v>
                </c:pt>
                <c:pt idx="133">
                  <c:v>51.968253968253968</c:v>
                </c:pt>
                <c:pt idx="134">
                  <c:v>51.968253968253968</c:v>
                </c:pt>
                <c:pt idx="135">
                  <c:v>51.968253968253968</c:v>
                </c:pt>
                <c:pt idx="136">
                  <c:v>51.968253968253968</c:v>
                </c:pt>
                <c:pt idx="137">
                  <c:v>51.968253968253968</c:v>
                </c:pt>
                <c:pt idx="138">
                  <c:v>51.968253968253968</c:v>
                </c:pt>
                <c:pt idx="139">
                  <c:v>51.968253968253968</c:v>
                </c:pt>
                <c:pt idx="140">
                  <c:v>51.968253968253968</c:v>
                </c:pt>
                <c:pt idx="141">
                  <c:v>51.968253968253968</c:v>
                </c:pt>
                <c:pt idx="142">
                  <c:v>51.968253968253968</c:v>
                </c:pt>
                <c:pt idx="143">
                  <c:v>51.968253968253968</c:v>
                </c:pt>
                <c:pt idx="144">
                  <c:v>51.968253968253968</c:v>
                </c:pt>
                <c:pt idx="145">
                  <c:v>51.968253968253968</c:v>
                </c:pt>
                <c:pt idx="146">
                  <c:v>51.968253968253968</c:v>
                </c:pt>
                <c:pt idx="147">
                  <c:v>51.968253968253968</c:v>
                </c:pt>
                <c:pt idx="148">
                  <c:v>51.968253968253968</c:v>
                </c:pt>
                <c:pt idx="149">
                  <c:v>51.968253968253968</c:v>
                </c:pt>
                <c:pt idx="150">
                  <c:v>67.36</c:v>
                </c:pt>
                <c:pt idx="151">
                  <c:v>67.36</c:v>
                </c:pt>
                <c:pt idx="152">
                  <c:v>67.36</c:v>
                </c:pt>
                <c:pt idx="153">
                  <c:v>67.36</c:v>
                </c:pt>
                <c:pt idx="154">
                  <c:v>67.36</c:v>
                </c:pt>
                <c:pt idx="155">
                  <c:v>56.436190476190482</c:v>
                </c:pt>
                <c:pt idx="156">
                  <c:v>56.436190476190482</c:v>
                </c:pt>
                <c:pt idx="157">
                  <c:v>56.436190476190482</c:v>
                </c:pt>
                <c:pt idx="158">
                  <c:v>56.436190476190482</c:v>
                </c:pt>
                <c:pt idx="159">
                  <c:v>56.436190476190482</c:v>
                </c:pt>
                <c:pt idx="160">
                  <c:v>56.436190476190482</c:v>
                </c:pt>
                <c:pt idx="161">
                  <c:v>56.436190476190482</c:v>
                </c:pt>
                <c:pt idx="162">
                  <c:v>56.436190476190482</c:v>
                </c:pt>
                <c:pt idx="163">
                  <c:v>56.436190476190482</c:v>
                </c:pt>
                <c:pt idx="164">
                  <c:v>56.436190476190482</c:v>
                </c:pt>
                <c:pt idx="165">
                  <c:v>56.436190476190482</c:v>
                </c:pt>
                <c:pt idx="166">
                  <c:v>56.436190476190482</c:v>
                </c:pt>
                <c:pt idx="167">
                  <c:v>56.436190476190482</c:v>
                </c:pt>
                <c:pt idx="168">
                  <c:v>56.436190476190482</c:v>
                </c:pt>
                <c:pt idx="169">
                  <c:v>50.999111111111112</c:v>
                </c:pt>
                <c:pt idx="170">
                  <c:v>50.999111111111112</c:v>
                </c:pt>
                <c:pt idx="171">
                  <c:v>50.999111111111112</c:v>
                </c:pt>
                <c:pt idx="172">
                  <c:v>50.999111111111112</c:v>
                </c:pt>
                <c:pt idx="173">
                  <c:v>50.999111111111112</c:v>
                </c:pt>
                <c:pt idx="174">
                  <c:v>50.999111111111112</c:v>
                </c:pt>
                <c:pt idx="175">
                  <c:v>50.999111111111112</c:v>
                </c:pt>
                <c:pt idx="176">
                  <c:v>50.999111111111112</c:v>
                </c:pt>
                <c:pt idx="177">
                  <c:v>50.999111111111112</c:v>
                </c:pt>
                <c:pt idx="178">
                  <c:v>50.999111111111112</c:v>
                </c:pt>
                <c:pt idx="179">
                  <c:v>50.999111111111112</c:v>
                </c:pt>
                <c:pt idx="180">
                  <c:v>50.999111111111112</c:v>
                </c:pt>
                <c:pt idx="181">
                  <c:v>50.999111111111112</c:v>
                </c:pt>
                <c:pt idx="182">
                  <c:v>50.999111111111112</c:v>
                </c:pt>
                <c:pt idx="183">
                  <c:v>50.999111111111112</c:v>
                </c:pt>
                <c:pt idx="184">
                  <c:v>56.06666666666667</c:v>
                </c:pt>
                <c:pt idx="185">
                  <c:v>56.06666666666667</c:v>
                </c:pt>
                <c:pt idx="186">
                  <c:v>56.06666666666667</c:v>
                </c:pt>
                <c:pt idx="187">
                  <c:v>56.06666666666667</c:v>
                </c:pt>
                <c:pt idx="188">
                  <c:v>56.06666666666667</c:v>
                </c:pt>
                <c:pt idx="189">
                  <c:v>56.06666666666667</c:v>
                </c:pt>
                <c:pt idx="190">
                  <c:v>56.06666666666667</c:v>
                </c:pt>
                <c:pt idx="191">
                  <c:v>56.06666666666667</c:v>
                </c:pt>
                <c:pt idx="192">
                  <c:v>56.06666666666667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024-6F4B-A084-58E0707C656F}"/>
            </c:ext>
          </c:extLst>
        </c:ser>
        <c:ser>
          <c:idx val="3"/>
          <c:order val="3"/>
          <c:tx>
            <c:strRef>
              <c:f>'schertz_violent_and_non XmR '!$E$1</c:f>
              <c:strCache>
                <c:ptCount val="1"/>
                <c:pt idx="0">
                  <c:v> +1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'schertz_violent_and_non XmR '!$A$2:$A$194</c:f>
              <c:numCache>
                <c:formatCode>mmm\-yy</c:formatCode>
                <c:ptCount val="193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  <c:pt idx="51">
                  <c:v>41730</c:v>
                </c:pt>
                <c:pt idx="52">
                  <c:v>41760</c:v>
                </c:pt>
                <c:pt idx="53">
                  <c:v>41791</c:v>
                </c:pt>
                <c:pt idx="54">
                  <c:v>41821</c:v>
                </c:pt>
                <c:pt idx="55">
                  <c:v>41852</c:v>
                </c:pt>
                <c:pt idx="56">
                  <c:v>41883</c:v>
                </c:pt>
                <c:pt idx="57">
                  <c:v>41913</c:v>
                </c:pt>
                <c:pt idx="58">
                  <c:v>41944</c:v>
                </c:pt>
                <c:pt idx="59">
                  <c:v>41974</c:v>
                </c:pt>
                <c:pt idx="60">
                  <c:v>42005</c:v>
                </c:pt>
                <c:pt idx="61">
                  <c:v>42036</c:v>
                </c:pt>
                <c:pt idx="62">
                  <c:v>42064</c:v>
                </c:pt>
                <c:pt idx="63">
                  <c:v>42095</c:v>
                </c:pt>
                <c:pt idx="64">
                  <c:v>42125</c:v>
                </c:pt>
                <c:pt idx="65">
                  <c:v>42156</c:v>
                </c:pt>
                <c:pt idx="66">
                  <c:v>42186</c:v>
                </c:pt>
                <c:pt idx="67">
                  <c:v>42217</c:v>
                </c:pt>
                <c:pt idx="68">
                  <c:v>42248</c:v>
                </c:pt>
                <c:pt idx="69">
                  <c:v>42278</c:v>
                </c:pt>
                <c:pt idx="70">
                  <c:v>42309</c:v>
                </c:pt>
                <c:pt idx="71">
                  <c:v>42339</c:v>
                </c:pt>
                <c:pt idx="72">
                  <c:v>42370</c:v>
                </c:pt>
                <c:pt idx="73">
                  <c:v>42401</c:v>
                </c:pt>
                <c:pt idx="74">
                  <c:v>42430</c:v>
                </c:pt>
                <c:pt idx="75">
                  <c:v>42461</c:v>
                </c:pt>
                <c:pt idx="76">
                  <c:v>42491</c:v>
                </c:pt>
                <c:pt idx="77">
                  <c:v>42522</c:v>
                </c:pt>
                <c:pt idx="78">
                  <c:v>42552</c:v>
                </c:pt>
                <c:pt idx="79">
                  <c:v>42583</c:v>
                </c:pt>
                <c:pt idx="80">
                  <c:v>42614</c:v>
                </c:pt>
                <c:pt idx="81">
                  <c:v>42644</c:v>
                </c:pt>
                <c:pt idx="82">
                  <c:v>42675</c:v>
                </c:pt>
                <c:pt idx="83">
                  <c:v>42705</c:v>
                </c:pt>
                <c:pt idx="84">
                  <c:v>42736</c:v>
                </c:pt>
                <c:pt idx="85">
                  <c:v>42767</c:v>
                </c:pt>
                <c:pt idx="86">
                  <c:v>42795</c:v>
                </c:pt>
                <c:pt idx="87">
                  <c:v>42826</c:v>
                </c:pt>
                <c:pt idx="88">
                  <c:v>42856</c:v>
                </c:pt>
                <c:pt idx="89">
                  <c:v>42887</c:v>
                </c:pt>
                <c:pt idx="90">
                  <c:v>42917</c:v>
                </c:pt>
                <c:pt idx="91">
                  <c:v>42948</c:v>
                </c:pt>
                <c:pt idx="92">
                  <c:v>42979</c:v>
                </c:pt>
                <c:pt idx="93">
                  <c:v>43009</c:v>
                </c:pt>
                <c:pt idx="94">
                  <c:v>43040</c:v>
                </c:pt>
                <c:pt idx="95">
                  <c:v>43070</c:v>
                </c:pt>
                <c:pt idx="96">
                  <c:v>43101</c:v>
                </c:pt>
                <c:pt idx="97">
                  <c:v>43132</c:v>
                </c:pt>
                <c:pt idx="98">
                  <c:v>43160</c:v>
                </c:pt>
                <c:pt idx="99">
                  <c:v>43191</c:v>
                </c:pt>
                <c:pt idx="100">
                  <c:v>43221</c:v>
                </c:pt>
                <c:pt idx="101">
                  <c:v>43252</c:v>
                </c:pt>
                <c:pt idx="102">
                  <c:v>43282</c:v>
                </c:pt>
                <c:pt idx="103">
                  <c:v>43313</c:v>
                </c:pt>
                <c:pt idx="104">
                  <c:v>43344</c:v>
                </c:pt>
                <c:pt idx="105">
                  <c:v>43374</c:v>
                </c:pt>
                <c:pt idx="106">
                  <c:v>43405</c:v>
                </c:pt>
                <c:pt idx="107">
                  <c:v>43435</c:v>
                </c:pt>
                <c:pt idx="108">
                  <c:v>43466</c:v>
                </c:pt>
                <c:pt idx="109">
                  <c:v>43497</c:v>
                </c:pt>
                <c:pt idx="110">
                  <c:v>43525</c:v>
                </c:pt>
                <c:pt idx="111">
                  <c:v>43556</c:v>
                </c:pt>
                <c:pt idx="112">
                  <c:v>43586</c:v>
                </c:pt>
                <c:pt idx="113">
                  <c:v>43617</c:v>
                </c:pt>
                <c:pt idx="114">
                  <c:v>43647</c:v>
                </c:pt>
                <c:pt idx="115">
                  <c:v>43678</c:v>
                </c:pt>
                <c:pt idx="116">
                  <c:v>43709</c:v>
                </c:pt>
                <c:pt idx="117">
                  <c:v>43739</c:v>
                </c:pt>
                <c:pt idx="118">
                  <c:v>43770</c:v>
                </c:pt>
                <c:pt idx="119">
                  <c:v>43800</c:v>
                </c:pt>
                <c:pt idx="120">
                  <c:v>43831</c:v>
                </c:pt>
                <c:pt idx="121">
                  <c:v>43862</c:v>
                </c:pt>
                <c:pt idx="122">
                  <c:v>43891</c:v>
                </c:pt>
                <c:pt idx="123">
                  <c:v>43922</c:v>
                </c:pt>
                <c:pt idx="124">
                  <c:v>43952</c:v>
                </c:pt>
                <c:pt idx="125">
                  <c:v>43983</c:v>
                </c:pt>
                <c:pt idx="126">
                  <c:v>44013</c:v>
                </c:pt>
                <c:pt idx="127">
                  <c:v>44044</c:v>
                </c:pt>
                <c:pt idx="128">
                  <c:v>44075</c:v>
                </c:pt>
                <c:pt idx="129">
                  <c:v>44105</c:v>
                </c:pt>
                <c:pt idx="130">
                  <c:v>44136</c:v>
                </c:pt>
                <c:pt idx="131">
                  <c:v>44166</c:v>
                </c:pt>
                <c:pt idx="132">
                  <c:v>44197</c:v>
                </c:pt>
                <c:pt idx="133">
                  <c:v>44228</c:v>
                </c:pt>
                <c:pt idx="134">
                  <c:v>44256</c:v>
                </c:pt>
                <c:pt idx="135">
                  <c:v>44287</c:v>
                </c:pt>
                <c:pt idx="136">
                  <c:v>44317</c:v>
                </c:pt>
                <c:pt idx="137">
                  <c:v>44348</c:v>
                </c:pt>
                <c:pt idx="138">
                  <c:v>44378</c:v>
                </c:pt>
                <c:pt idx="139">
                  <c:v>44409</c:v>
                </c:pt>
                <c:pt idx="140">
                  <c:v>44440</c:v>
                </c:pt>
                <c:pt idx="141">
                  <c:v>44470</c:v>
                </c:pt>
                <c:pt idx="142">
                  <c:v>44501</c:v>
                </c:pt>
                <c:pt idx="143">
                  <c:v>44531</c:v>
                </c:pt>
                <c:pt idx="144">
                  <c:v>44562</c:v>
                </c:pt>
                <c:pt idx="145">
                  <c:v>44593</c:v>
                </c:pt>
                <c:pt idx="146">
                  <c:v>44621</c:v>
                </c:pt>
                <c:pt idx="147">
                  <c:v>44652</c:v>
                </c:pt>
                <c:pt idx="148">
                  <c:v>44682</c:v>
                </c:pt>
                <c:pt idx="149">
                  <c:v>44713</c:v>
                </c:pt>
                <c:pt idx="150">
                  <c:v>44743</c:v>
                </c:pt>
                <c:pt idx="151">
                  <c:v>44774</c:v>
                </c:pt>
                <c:pt idx="152">
                  <c:v>44805</c:v>
                </c:pt>
                <c:pt idx="153">
                  <c:v>44835</c:v>
                </c:pt>
                <c:pt idx="154">
                  <c:v>44866</c:v>
                </c:pt>
                <c:pt idx="155">
                  <c:v>44896</c:v>
                </c:pt>
                <c:pt idx="156">
                  <c:v>44927</c:v>
                </c:pt>
                <c:pt idx="157">
                  <c:v>44958</c:v>
                </c:pt>
                <c:pt idx="158">
                  <c:v>44986</c:v>
                </c:pt>
                <c:pt idx="159">
                  <c:v>45017</c:v>
                </c:pt>
                <c:pt idx="160">
                  <c:v>45047</c:v>
                </c:pt>
                <c:pt idx="161">
                  <c:v>45078</c:v>
                </c:pt>
                <c:pt idx="162">
                  <c:v>45108</c:v>
                </c:pt>
                <c:pt idx="163">
                  <c:v>45139</c:v>
                </c:pt>
                <c:pt idx="164">
                  <c:v>45170</c:v>
                </c:pt>
                <c:pt idx="165">
                  <c:v>45200</c:v>
                </c:pt>
                <c:pt idx="166">
                  <c:v>45231</c:v>
                </c:pt>
                <c:pt idx="167">
                  <c:v>45261</c:v>
                </c:pt>
                <c:pt idx="168">
                  <c:v>45292</c:v>
                </c:pt>
                <c:pt idx="169">
                  <c:v>45323</c:v>
                </c:pt>
                <c:pt idx="170">
                  <c:v>45352</c:v>
                </c:pt>
                <c:pt idx="171">
                  <c:v>45383</c:v>
                </c:pt>
                <c:pt idx="172">
                  <c:v>45413</c:v>
                </c:pt>
                <c:pt idx="173">
                  <c:v>45444</c:v>
                </c:pt>
                <c:pt idx="174">
                  <c:v>45474</c:v>
                </c:pt>
                <c:pt idx="175">
                  <c:v>45505</c:v>
                </c:pt>
                <c:pt idx="176">
                  <c:v>45536</c:v>
                </c:pt>
                <c:pt idx="177">
                  <c:v>45566</c:v>
                </c:pt>
                <c:pt idx="178">
                  <c:v>45597</c:v>
                </c:pt>
                <c:pt idx="179">
                  <c:v>45627</c:v>
                </c:pt>
                <c:pt idx="180">
                  <c:v>45658</c:v>
                </c:pt>
                <c:pt idx="181">
                  <c:v>45689</c:v>
                </c:pt>
                <c:pt idx="182">
                  <c:v>45717</c:v>
                </c:pt>
                <c:pt idx="183">
                  <c:v>45748</c:v>
                </c:pt>
                <c:pt idx="184">
                  <c:v>45778</c:v>
                </c:pt>
                <c:pt idx="185">
                  <c:v>45809</c:v>
                </c:pt>
                <c:pt idx="186">
                  <c:v>45839</c:v>
                </c:pt>
                <c:pt idx="187">
                  <c:v>45870</c:v>
                </c:pt>
                <c:pt idx="188">
                  <c:v>45901</c:v>
                </c:pt>
                <c:pt idx="189">
                  <c:v>45931</c:v>
                </c:pt>
                <c:pt idx="190">
                  <c:v>45962</c:v>
                </c:pt>
                <c:pt idx="191">
                  <c:v>45992</c:v>
                </c:pt>
                <c:pt idx="192">
                  <c:v>46023</c:v>
                </c:pt>
              </c:numCache>
            </c:numRef>
          </c:cat>
          <c:val>
            <c:numRef>
              <c:f>'schertz_violent_and_non XmR '!$E$2:$E$194</c:f>
              <c:numCache>
                <c:formatCode>0.0</c:formatCode>
                <c:ptCount val="193"/>
                <c:pt idx="0">
                  <c:v>65.680784313725496</c:v>
                </c:pt>
                <c:pt idx="1">
                  <c:v>65.680784313725496</c:v>
                </c:pt>
                <c:pt idx="2">
                  <c:v>65.680784313725496</c:v>
                </c:pt>
                <c:pt idx="3">
                  <c:v>65.680784313725496</c:v>
                </c:pt>
                <c:pt idx="4">
                  <c:v>65.680784313725496</c:v>
                </c:pt>
                <c:pt idx="5">
                  <c:v>65.680784313725496</c:v>
                </c:pt>
                <c:pt idx="6">
                  <c:v>65.680784313725496</c:v>
                </c:pt>
                <c:pt idx="7">
                  <c:v>65.680784313725496</c:v>
                </c:pt>
                <c:pt idx="8">
                  <c:v>65.680784313725496</c:v>
                </c:pt>
                <c:pt idx="9">
                  <c:v>65.680784313725496</c:v>
                </c:pt>
                <c:pt idx="10">
                  <c:v>65.680784313725496</c:v>
                </c:pt>
                <c:pt idx="11">
                  <c:v>65.680784313725496</c:v>
                </c:pt>
                <c:pt idx="12">
                  <c:v>65.680784313725496</c:v>
                </c:pt>
                <c:pt idx="13">
                  <c:v>65.680784313725496</c:v>
                </c:pt>
                <c:pt idx="14">
                  <c:v>65.680784313725496</c:v>
                </c:pt>
                <c:pt idx="15">
                  <c:v>65.680784313725496</c:v>
                </c:pt>
                <c:pt idx="16">
                  <c:v>65.680784313725496</c:v>
                </c:pt>
                <c:pt idx="17">
                  <c:v>65.680784313725496</c:v>
                </c:pt>
                <c:pt idx="18">
                  <c:v>70.19714285714285</c:v>
                </c:pt>
                <c:pt idx="19">
                  <c:v>70.19714285714285</c:v>
                </c:pt>
                <c:pt idx="20">
                  <c:v>70.19714285714285</c:v>
                </c:pt>
                <c:pt idx="21">
                  <c:v>70.19714285714285</c:v>
                </c:pt>
                <c:pt idx="22">
                  <c:v>70.19714285714285</c:v>
                </c:pt>
                <c:pt idx="23">
                  <c:v>70.19714285714285</c:v>
                </c:pt>
                <c:pt idx="24">
                  <c:v>70.19714285714285</c:v>
                </c:pt>
                <c:pt idx="25">
                  <c:v>70.19714285714285</c:v>
                </c:pt>
                <c:pt idx="26">
                  <c:v>70.19714285714285</c:v>
                </c:pt>
                <c:pt idx="27">
                  <c:v>70.19714285714285</c:v>
                </c:pt>
                <c:pt idx="28">
                  <c:v>70.19714285714285</c:v>
                </c:pt>
                <c:pt idx="29">
                  <c:v>70.19714285714285</c:v>
                </c:pt>
                <c:pt idx="30">
                  <c:v>70.19714285714285</c:v>
                </c:pt>
                <c:pt idx="31">
                  <c:v>70.19714285714285</c:v>
                </c:pt>
                <c:pt idx="32">
                  <c:v>64.538211382113829</c:v>
                </c:pt>
                <c:pt idx="33">
                  <c:v>64.538211382113829</c:v>
                </c:pt>
                <c:pt idx="34">
                  <c:v>64.538211382113829</c:v>
                </c:pt>
                <c:pt idx="35">
                  <c:v>64.538211382113829</c:v>
                </c:pt>
                <c:pt idx="36">
                  <c:v>64.538211382113829</c:v>
                </c:pt>
                <c:pt idx="37">
                  <c:v>64.538211382113829</c:v>
                </c:pt>
                <c:pt idx="38">
                  <c:v>64.538211382113829</c:v>
                </c:pt>
                <c:pt idx="39">
                  <c:v>64.538211382113829</c:v>
                </c:pt>
                <c:pt idx="40">
                  <c:v>64.538211382113829</c:v>
                </c:pt>
                <c:pt idx="41">
                  <c:v>64.538211382113829</c:v>
                </c:pt>
                <c:pt idx="42">
                  <c:v>64.538211382113829</c:v>
                </c:pt>
                <c:pt idx="43">
                  <c:v>64.538211382113829</c:v>
                </c:pt>
                <c:pt idx="44">
                  <c:v>64.538211382113829</c:v>
                </c:pt>
                <c:pt idx="45">
                  <c:v>64.538211382113829</c:v>
                </c:pt>
                <c:pt idx="46">
                  <c:v>64.538211382113829</c:v>
                </c:pt>
                <c:pt idx="47">
                  <c:v>64.538211382113829</c:v>
                </c:pt>
                <c:pt idx="48">
                  <c:v>64.538211382113829</c:v>
                </c:pt>
                <c:pt idx="49">
                  <c:v>64.538211382113829</c:v>
                </c:pt>
                <c:pt idx="50">
                  <c:v>64.538211382113829</c:v>
                </c:pt>
                <c:pt idx="51">
                  <c:v>64.538211382113829</c:v>
                </c:pt>
                <c:pt idx="52">
                  <c:v>64.538211382113829</c:v>
                </c:pt>
                <c:pt idx="53">
                  <c:v>64.538211382113829</c:v>
                </c:pt>
                <c:pt idx="54">
                  <c:v>64.538211382113829</c:v>
                </c:pt>
                <c:pt idx="55">
                  <c:v>64.538211382113829</c:v>
                </c:pt>
                <c:pt idx="56">
                  <c:v>64.538211382113829</c:v>
                </c:pt>
                <c:pt idx="57">
                  <c:v>64.538211382113829</c:v>
                </c:pt>
                <c:pt idx="58">
                  <c:v>64.538211382113829</c:v>
                </c:pt>
                <c:pt idx="59">
                  <c:v>64.538211382113829</c:v>
                </c:pt>
                <c:pt idx="60">
                  <c:v>64.538211382113829</c:v>
                </c:pt>
                <c:pt idx="61">
                  <c:v>64.538211382113829</c:v>
                </c:pt>
                <c:pt idx="62">
                  <c:v>64.538211382113829</c:v>
                </c:pt>
                <c:pt idx="63">
                  <c:v>64.538211382113829</c:v>
                </c:pt>
                <c:pt idx="64">
                  <c:v>64.538211382113829</c:v>
                </c:pt>
                <c:pt idx="65">
                  <c:v>64.538211382113829</c:v>
                </c:pt>
                <c:pt idx="66">
                  <c:v>64.538211382113829</c:v>
                </c:pt>
                <c:pt idx="67">
                  <c:v>64.538211382113829</c:v>
                </c:pt>
                <c:pt idx="68">
                  <c:v>64.538211382113829</c:v>
                </c:pt>
                <c:pt idx="69">
                  <c:v>64.538211382113829</c:v>
                </c:pt>
                <c:pt idx="70">
                  <c:v>64.538211382113829</c:v>
                </c:pt>
                <c:pt idx="71">
                  <c:v>64.538211382113829</c:v>
                </c:pt>
                <c:pt idx="72">
                  <c:v>64.538211382113829</c:v>
                </c:pt>
                <c:pt idx="73">
                  <c:v>76.610256410256412</c:v>
                </c:pt>
                <c:pt idx="74">
                  <c:v>76.610256410256412</c:v>
                </c:pt>
                <c:pt idx="75">
                  <c:v>76.610256410256412</c:v>
                </c:pt>
                <c:pt idx="76">
                  <c:v>76.610256410256412</c:v>
                </c:pt>
                <c:pt idx="77">
                  <c:v>76.610256410256412</c:v>
                </c:pt>
                <c:pt idx="78">
                  <c:v>76.610256410256412</c:v>
                </c:pt>
                <c:pt idx="79">
                  <c:v>76.610256410256412</c:v>
                </c:pt>
                <c:pt idx="80">
                  <c:v>76.610256410256412</c:v>
                </c:pt>
                <c:pt idx="81">
                  <c:v>76.610256410256412</c:v>
                </c:pt>
                <c:pt idx="82">
                  <c:v>76.610256410256412</c:v>
                </c:pt>
                <c:pt idx="83">
                  <c:v>76.610256410256412</c:v>
                </c:pt>
                <c:pt idx="84">
                  <c:v>76.610256410256412</c:v>
                </c:pt>
                <c:pt idx="85">
                  <c:v>76.610256410256412</c:v>
                </c:pt>
                <c:pt idx="86">
                  <c:v>71.195238095238096</c:v>
                </c:pt>
                <c:pt idx="87">
                  <c:v>71.195238095238096</c:v>
                </c:pt>
                <c:pt idx="88">
                  <c:v>71.195238095238096</c:v>
                </c:pt>
                <c:pt idx="89">
                  <c:v>71.195238095238096</c:v>
                </c:pt>
                <c:pt idx="90">
                  <c:v>71.195238095238096</c:v>
                </c:pt>
                <c:pt idx="91">
                  <c:v>71.195238095238096</c:v>
                </c:pt>
                <c:pt idx="92">
                  <c:v>71.195238095238096</c:v>
                </c:pt>
                <c:pt idx="93">
                  <c:v>77.024242424242431</c:v>
                </c:pt>
                <c:pt idx="94">
                  <c:v>77.024242424242431</c:v>
                </c:pt>
                <c:pt idx="95">
                  <c:v>77.024242424242431</c:v>
                </c:pt>
                <c:pt idx="96">
                  <c:v>77.024242424242431</c:v>
                </c:pt>
                <c:pt idx="97">
                  <c:v>77.024242424242431</c:v>
                </c:pt>
                <c:pt idx="98">
                  <c:v>77.024242424242431</c:v>
                </c:pt>
                <c:pt idx="99">
                  <c:v>77.024242424242431</c:v>
                </c:pt>
                <c:pt idx="100">
                  <c:v>77.024242424242431</c:v>
                </c:pt>
                <c:pt idx="101">
                  <c:v>77.024242424242431</c:v>
                </c:pt>
                <c:pt idx="102">
                  <c:v>77.024242424242431</c:v>
                </c:pt>
                <c:pt idx="103">
                  <c:v>77.024242424242431</c:v>
                </c:pt>
                <c:pt idx="104">
                  <c:v>62.66106666666667</c:v>
                </c:pt>
                <c:pt idx="105">
                  <c:v>62.66106666666667</c:v>
                </c:pt>
                <c:pt idx="106">
                  <c:v>62.66106666666667</c:v>
                </c:pt>
                <c:pt idx="107">
                  <c:v>62.66106666666667</c:v>
                </c:pt>
                <c:pt idx="108">
                  <c:v>62.66106666666667</c:v>
                </c:pt>
                <c:pt idx="109">
                  <c:v>62.66106666666667</c:v>
                </c:pt>
                <c:pt idx="110">
                  <c:v>62.66106666666667</c:v>
                </c:pt>
                <c:pt idx="111">
                  <c:v>62.66106666666667</c:v>
                </c:pt>
                <c:pt idx="112">
                  <c:v>62.66106666666667</c:v>
                </c:pt>
                <c:pt idx="113">
                  <c:v>62.66106666666667</c:v>
                </c:pt>
                <c:pt idx="114">
                  <c:v>62.66106666666667</c:v>
                </c:pt>
                <c:pt idx="115">
                  <c:v>62.66106666666667</c:v>
                </c:pt>
                <c:pt idx="116">
                  <c:v>62.66106666666667</c:v>
                </c:pt>
                <c:pt idx="117">
                  <c:v>62.66106666666667</c:v>
                </c:pt>
                <c:pt idx="118">
                  <c:v>62.66106666666667</c:v>
                </c:pt>
                <c:pt idx="119">
                  <c:v>62.66106666666667</c:v>
                </c:pt>
                <c:pt idx="120">
                  <c:v>62.66106666666667</c:v>
                </c:pt>
                <c:pt idx="121">
                  <c:v>62.66106666666667</c:v>
                </c:pt>
                <c:pt idx="122">
                  <c:v>62.66106666666667</c:v>
                </c:pt>
                <c:pt idx="123">
                  <c:v>62.66106666666667</c:v>
                </c:pt>
                <c:pt idx="124">
                  <c:v>62.66106666666667</c:v>
                </c:pt>
                <c:pt idx="125">
                  <c:v>62.66106666666667</c:v>
                </c:pt>
                <c:pt idx="126">
                  <c:v>62.66106666666667</c:v>
                </c:pt>
                <c:pt idx="127">
                  <c:v>62.66106666666667</c:v>
                </c:pt>
                <c:pt idx="128">
                  <c:v>62.66106666666667</c:v>
                </c:pt>
                <c:pt idx="129">
                  <c:v>44.579365079365083</c:v>
                </c:pt>
                <c:pt idx="130">
                  <c:v>44.579365079365083</c:v>
                </c:pt>
                <c:pt idx="131">
                  <c:v>44.579365079365083</c:v>
                </c:pt>
                <c:pt idx="132">
                  <c:v>44.579365079365083</c:v>
                </c:pt>
                <c:pt idx="133">
                  <c:v>44.579365079365083</c:v>
                </c:pt>
                <c:pt idx="134">
                  <c:v>44.579365079365083</c:v>
                </c:pt>
                <c:pt idx="135">
                  <c:v>44.579365079365083</c:v>
                </c:pt>
                <c:pt idx="136">
                  <c:v>44.579365079365083</c:v>
                </c:pt>
                <c:pt idx="137">
                  <c:v>44.579365079365083</c:v>
                </c:pt>
                <c:pt idx="138">
                  <c:v>44.579365079365083</c:v>
                </c:pt>
                <c:pt idx="139">
                  <c:v>44.579365079365083</c:v>
                </c:pt>
                <c:pt idx="140">
                  <c:v>44.579365079365083</c:v>
                </c:pt>
                <c:pt idx="141">
                  <c:v>44.579365079365083</c:v>
                </c:pt>
                <c:pt idx="142">
                  <c:v>44.579365079365083</c:v>
                </c:pt>
                <c:pt idx="143">
                  <c:v>44.579365079365083</c:v>
                </c:pt>
                <c:pt idx="144">
                  <c:v>44.579365079365083</c:v>
                </c:pt>
                <c:pt idx="145">
                  <c:v>44.579365079365083</c:v>
                </c:pt>
                <c:pt idx="146">
                  <c:v>44.579365079365083</c:v>
                </c:pt>
                <c:pt idx="147">
                  <c:v>44.579365079365083</c:v>
                </c:pt>
                <c:pt idx="148">
                  <c:v>44.579365079365083</c:v>
                </c:pt>
                <c:pt idx="149">
                  <c:v>44.579365079365083</c:v>
                </c:pt>
                <c:pt idx="150">
                  <c:v>59.379999999999995</c:v>
                </c:pt>
                <c:pt idx="151">
                  <c:v>59.379999999999995</c:v>
                </c:pt>
                <c:pt idx="152">
                  <c:v>59.379999999999995</c:v>
                </c:pt>
                <c:pt idx="153">
                  <c:v>59.379999999999995</c:v>
                </c:pt>
                <c:pt idx="154">
                  <c:v>59.379999999999995</c:v>
                </c:pt>
                <c:pt idx="155">
                  <c:v>50.039523809523814</c:v>
                </c:pt>
                <c:pt idx="156">
                  <c:v>50.039523809523814</c:v>
                </c:pt>
                <c:pt idx="157">
                  <c:v>50.039523809523814</c:v>
                </c:pt>
                <c:pt idx="158">
                  <c:v>50.039523809523814</c:v>
                </c:pt>
                <c:pt idx="159">
                  <c:v>50.039523809523814</c:v>
                </c:pt>
                <c:pt idx="160">
                  <c:v>50.039523809523814</c:v>
                </c:pt>
                <c:pt idx="161">
                  <c:v>50.039523809523814</c:v>
                </c:pt>
                <c:pt idx="162">
                  <c:v>50.039523809523814</c:v>
                </c:pt>
                <c:pt idx="163">
                  <c:v>50.039523809523814</c:v>
                </c:pt>
                <c:pt idx="164">
                  <c:v>50.039523809523814</c:v>
                </c:pt>
                <c:pt idx="165">
                  <c:v>50.039523809523814</c:v>
                </c:pt>
                <c:pt idx="166">
                  <c:v>50.039523809523814</c:v>
                </c:pt>
                <c:pt idx="167">
                  <c:v>50.039523809523814</c:v>
                </c:pt>
                <c:pt idx="168">
                  <c:v>50.039523809523814</c:v>
                </c:pt>
                <c:pt idx="169">
                  <c:v>43.43288888888889</c:v>
                </c:pt>
                <c:pt idx="170">
                  <c:v>43.43288888888889</c:v>
                </c:pt>
                <c:pt idx="171">
                  <c:v>43.43288888888889</c:v>
                </c:pt>
                <c:pt idx="172">
                  <c:v>43.43288888888889</c:v>
                </c:pt>
                <c:pt idx="173">
                  <c:v>43.43288888888889</c:v>
                </c:pt>
                <c:pt idx="174">
                  <c:v>43.43288888888889</c:v>
                </c:pt>
                <c:pt idx="175">
                  <c:v>43.43288888888889</c:v>
                </c:pt>
                <c:pt idx="176">
                  <c:v>43.43288888888889</c:v>
                </c:pt>
                <c:pt idx="177">
                  <c:v>43.43288888888889</c:v>
                </c:pt>
                <c:pt idx="178">
                  <c:v>43.43288888888889</c:v>
                </c:pt>
                <c:pt idx="179">
                  <c:v>43.43288888888889</c:v>
                </c:pt>
                <c:pt idx="180">
                  <c:v>43.43288888888889</c:v>
                </c:pt>
                <c:pt idx="181">
                  <c:v>43.43288888888889</c:v>
                </c:pt>
                <c:pt idx="182">
                  <c:v>43.43288888888889</c:v>
                </c:pt>
                <c:pt idx="183">
                  <c:v>43.43288888888889</c:v>
                </c:pt>
                <c:pt idx="184">
                  <c:v>47.2</c:v>
                </c:pt>
                <c:pt idx="185">
                  <c:v>47.2</c:v>
                </c:pt>
                <c:pt idx="186">
                  <c:v>47.2</c:v>
                </c:pt>
                <c:pt idx="187">
                  <c:v>47.2</c:v>
                </c:pt>
                <c:pt idx="188">
                  <c:v>47.2</c:v>
                </c:pt>
                <c:pt idx="189">
                  <c:v>47.2</c:v>
                </c:pt>
                <c:pt idx="190">
                  <c:v>47.2</c:v>
                </c:pt>
                <c:pt idx="191">
                  <c:v>47.2</c:v>
                </c:pt>
                <c:pt idx="192">
                  <c:v>47.2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024-6F4B-A084-58E0707C656F}"/>
            </c:ext>
          </c:extLst>
        </c:ser>
        <c:ser>
          <c:idx val="4"/>
          <c:order val="4"/>
          <c:tx>
            <c:strRef>
              <c:f>'schertz_violent_and_non XmR '!$F$1</c:f>
              <c:strCache>
                <c:ptCount val="1"/>
                <c:pt idx="0">
                  <c:v>Average</c:v>
                </c:pt>
              </c:strCache>
            </c:strRef>
          </c:tx>
          <c:spPr>
            <a:ln w="12700">
              <a:solidFill>
                <a:srgbClr val="009999"/>
              </a:solidFill>
              <a:prstDash val="solid"/>
            </a:ln>
            <a:effectLst/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7-F024-6F4B-A084-58E0707C656F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9-F024-6F4B-A084-58E0707C656F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B-F024-6F4B-A084-58E0707C656F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D-F024-6F4B-A084-58E0707C656F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F-F024-6F4B-A084-58E0707C656F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11-F024-6F4B-A084-58E0707C656F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13-F024-6F4B-A084-58E0707C656F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15-F024-6F4B-A084-58E0707C656F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17-F024-6F4B-A084-58E0707C656F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19-F024-6F4B-A084-58E0707C656F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1B-F024-6F4B-A084-58E0707C656F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1D-F024-6F4B-A084-58E0707C656F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1F-F024-6F4B-A084-58E0707C656F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21-F024-6F4B-A084-58E0707C656F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23-F024-6F4B-A084-58E0707C656F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25-F024-6F4B-A084-58E0707C656F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027-F024-6F4B-A084-58E0707C656F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029-F024-6F4B-A084-58E0707C656F}"/>
              </c:ext>
            </c:extLst>
          </c:dPt>
          <c:dPt>
            <c:idx val="18"/>
            <c:bubble3D val="0"/>
            <c:extLst>
              <c:ext xmlns:c16="http://schemas.microsoft.com/office/drawing/2014/chart" uri="{C3380CC4-5D6E-409C-BE32-E72D297353CC}">
                <c16:uniqueId val="{0000002B-F024-6F4B-A084-58E0707C656F}"/>
              </c:ext>
            </c:extLst>
          </c:dPt>
          <c:dPt>
            <c:idx val="19"/>
            <c:bubble3D val="0"/>
            <c:extLst>
              <c:ext xmlns:c16="http://schemas.microsoft.com/office/drawing/2014/chart" uri="{C3380CC4-5D6E-409C-BE32-E72D297353CC}">
                <c16:uniqueId val="{0000002D-F024-6F4B-A084-58E0707C656F}"/>
              </c:ext>
            </c:extLst>
          </c:dPt>
          <c:dPt>
            <c:idx val="20"/>
            <c:bubble3D val="0"/>
            <c:extLst>
              <c:ext xmlns:c16="http://schemas.microsoft.com/office/drawing/2014/chart" uri="{C3380CC4-5D6E-409C-BE32-E72D297353CC}">
                <c16:uniqueId val="{0000002F-F024-6F4B-A084-58E0707C656F}"/>
              </c:ext>
            </c:extLst>
          </c:dPt>
          <c:dPt>
            <c:idx val="21"/>
            <c:bubble3D val="0"/>
            <c:extLst>
              <c:ext xmlns:c16="http://schemas.microsoft.com/office/drawing/2014/chart" uri="{C3380CC4-5D6E-409C-BE32-E72D297353CC}">
                <c16:uniqueId val="{00000031-F024-6F4B-A084-58E0707C656F}"/>
              </c:ext>
            </c:extLst>
          </c:dPt>
          <c:dPt>
            <c:idx val="22"/>
            <c:bubble3D val="0"/>
            <c:extLst>
              <c:ext xmlns:c16="http://schemas.microsoft.com/office/drawing/2014/chart" uri="{C3380CC4-5D6E-409C-BE32-E72D297353CC}">
                <c16:uniqueId val="{00000033-F024-6F4B-A084-58E0707C656F}"/>
              </c:ext>
            </c:extLst>
          </c:dPt>
          <c:dPt>
            <c:idx val="23"/>
            <c:bubble3D val="0"/>
            <c:extLst>
              <c:ext xmlns:c16="http://schemas.microsoft.com/office/drawing/2014/chart" uri="{C3380CC4-5D6E-409C-BE32-E72D297353CC}">
                <c16:uniqueId val="{00000035-F024-6F4B-A084-58E0707C656F}"/>
              </c:ext>
            </c:extLst>
          </c:dPt>
          <c:dPt>
            <c:idx val="24"/>
            <c:bubble3D val="0"/>
            <c:extLst>
              <c:ext xmlns:c16="http://schemas.microsoft.com/office/drawing/2014/chart" uri="{C3380CC4-5D6E-409C-BE32-E72D297353CC}">
                <c16:uniqueId val="{00000037-F024-6F4B-A084-58E0707C656F}"/>
              </c:ext>
            </c:extLst>
          </c:dPt>
          <c:dPt>
            <c:idx val="25"/>
            <c:bubble3D val="0"/>
            <c:extLst>
              <c:ext xmlns:c16="http://schemas.microsoft.com/office/drawing/2014/chart" uri="{C3380CC4-5D6E-409C-BE32-E72D297353CC}">
                <c16:uniqueId val="{00000039-F024-6F4B-A084-58E0707C656F}"/>
              </c:ext>
            </c:extLst>
          </c:dPt>
          <c:dPt>
            <c:idx val="26"/>
            <c:bubble3D val="0"/>
            <c:extLst>
              <c:ext xmlns:c16="http://schemas.microsoft.com/office/drawing/2014/chart" uri="{C3380CC4-5D6E-409C-BE32-E72D297353CC}">
                <c16:uniqueId val="{0000003B-F024-6F4B-A084-58E0707C656F}"/>
              </c:ext>
            </c:extLst>
          </c:dPt>
          <c:dPt>
            <c:idx val="27"/>
            <c:bubble3D val="0"/>
            <c:extLst>
              <c:ext xmlns:c16="http://schemas.microsoft.com/office/drawing/2014/chart" uri="{C3380CC4-5D6E-409C-BE32-E72D297353CC}">
                <c16:uniqueId val="{0000003D-F024-6F4B-A084-58E0707C656F}"/>
              </c:ext>
            </c:extLst>
          </c:dPt>
          <c:dPt>
            <c:idx val="28"/>
            <c:bubble3D val="0"/>
            <c:extLst>
              <c:ext xmlns:c16="http://schemas.microsoft.com/office/drawing/2014/chart" uri="{C3380CC4-5D6E-409C-BE32-E72D297353CC}">
                <c16:uniqueId val="{0000003F-F024-6F4B-A084-58E0707C656F}"/>
              </c:ext>
            </c:extLst>
          </c:dPt>
          <c:dPt>
            <c:idx val="29"/>
            <c:bubble3D val="0"/>
            <c:extLst>
              <c:ext xmlns:c16="http://schemas.microsoft.com/office/drawing/2014/chart" uri="{C3380CC4-5D6E-409C-BE32-E72D297353CC}">
                <c16:uniqueId val="{00000041-F024-6F4B-A084-58E0707C656F}"/>
              </c:ext>
            </c:extLst>
          </c:dPt>
          <c:dPt>
            <c:idx val="30"/>
            <c:bubble3D val="0"/>
            <c:extLst>
              <c:ext xmlns:c16="http://schemas.microsoft.com/office/drawing/2014/chart" uri="{C3380CC4-5D6E-409C-BE32-E72D297353CC}">
                <c16:uniqueId val="{00000043-F024-6F4B-A084-58E0707C656F}"/>
              </c:ext>
            </c:extLst>
          </c:dPt>
          <c:dPt>
            <c:idx val="31"/>
            <c:bubble3D val="0"/>
            <c:extLst>
              <c:ext xmlns:c16="http://schemas.microsoft.com/office/drawing/2014/chart" uri="{C3380CC4-5D6E-409C-BE32-E72D297353CC}">
                <c16:uniqueId val="{00000045-F024-6F4B-A084-58E0707C656F}"/>
              </c:ext>
            </c:extLst>
          </c:dPt>
          <c:dPt>
            <c:idx val="32"/>
            <c:bubble3D val="0"/>
            <c:extLst>
              <c:ext xmlns:c16="http://schemas.microsoft.com/office/drawing/2014/chart" uri="{C3380CC4-5D6E-409C-BE32-E72D297353CC}">
                <c16:uniqueId val="{00000047-F024-6F4B-A084-58E0707C656F}"/>
              </c:ext>
            </c:extLst>
          </c:dPt>
          <c:dPt>
            <c:idx val="33"/>
            <c:bubble3D val="0"/>
            <c:extLst>
              <c:ext xmlns:c16="http://schemas.microsoft.com/office/drawing/2014/chart" uri="{C3380CC4-5D6E-409C-BE32-E72D297353CC}">
                <c16:uniqueId val="{00000049-F024-6F4B-A084-58E0707C656F}"/>
              </c:ext>
            </c:extLst>
          </c:dPt>
          <c:dPt>
            <c:idx val="34"/>
            <c:bubble3D val="0"/>
            <c:extLst>
              <c:ext xmlns:c16="http://schemas.microsoft.com/office/drawing/2014/chart" uri="{C3380CC4-5D6E-409C-BE32-E72D297353CC}">
                <c16:uniqueId val="{0000004B-F024-6F4B-A084-58E0707C656F}"/>
              </c:ext>
            </c:extLst>
          </c:dPt>
          <c:dPt>
            <c:idx val="35"/>
            <c:bubble3D val="0"/>
            <c:extLst>
              <c:ext xmlns:c16="http://schemas.microsoft.com/office/drawing/2014/chart" uri="{C3380CC4-5D6E-409C-BE32-E72D297353CC}">
                <c16:uniqueId val="{0000004D-F024-6F4B-A084-58E0707C656F}"/>
              </c:ext>
            </c:extLst>
          </c:dPt>
          <c:dPt>
            <c:idx val="36"/>
            <c:bubble3D val="0"/>
            <c:extLst>
              <c:ext xmlns:c16="http://schemas.microsoft.com/office/drawing/2014/chart" uri="{C3380CC4-5D6E-409C-BE32-E72D297353CC}">
                <c16:uniqueId val="{0000004F-F024-6F4B-A084-58E0707C656F}"/>
              </c:ext>
            </c:extLst>
          </c:dPt>
          <c:dPt>
            <c:idx val="37"/>
            <c:bubble3D val="0"/>
            <c:extLst>
              <c:ext xmlns:c16="http://schemas.microsoft.com/office/drawing/2014/chart" uri="{C3380CC4-5D6E-409C-BE32-E72D297353CC}">
                <c16:uniqueId val="{00000051-F024-6F4B-A084-58E0707C656F}"/>
              </c:ext>
            </c:extLst>
          </c:dPt>
          <c:dPt>
            <c:idx val="38"/>
            <c:bubble3D val="0"/>
            <c:extLst>
              <c:ext xmlns:c16="http://schemas.microsoft.com/office/drawing/2014/chart" uri="{C3380CC4-5D6E-409C-BE32-E72D297353CC}">
                <c16:uniqueId val="{00000053-F024-6F4B-A084-58E0707C656F}"/>
              </c:ext>
            </c:extLst>
          </c:dPt>
          <c:dPt>
            <c:idx val="39"/>
            <c:bubble3D val="0"/>
            <c:extLst>
              <c:ext xmlns:c16="http://schemas.microsoft.com/office/drawing/2014/chart" uri="{C3380CC4-5D6E-409C-BE32-E72D297353CC}">
                <c16:uniqueId val="{00000055-F024-6F4B-A084-58E0707C656F}"/>
              </c:ext>
            </c:extLst>
          </c:dPt>
          <c:dPt>
            <c:idx val="40"/>
            <c:bubble3D val="0"/>
            <c:extLst>
              <c:ext xmlns:c16="http://schemas.microsoft.com/office/drawing/2014/chart" uri="{C3380CC4-5D6E-409C-BE32-E72D297353CC}">
                <c16:uniqueId val="{00000057-F024-6F4B-A084-58E0707C656F}"/>
              </c:ext>
            </c:extLst>
          </c:dPt>
          <c:dPt>
            <c:idx val="41"/>
            <c:bubble3D val="0"/>
            <c:extLst>
              <c:ext xmlns:c16="http://schemas.microsoft.com/office/drawing/2014/chart" uri="{C3380CC4-5D6E-409C-BE32-E72D297353CC}">
                <c16:uniqueId val="{00000059-F024-6F4B-A084-58E0707C656F}"/>
              </c:ext>
            </c:extLst>
          </c:dPt>
          <c:dPt>
            <c:idx val="42"/>
            <c:bubble3D val="0"/>
            <c:extLst>
              <c:ext xmlns:c16="http://schemas.microsoft.com/office/drawing/2014/chart" uri="{C3380CC4-5D6E-409C-BE32-E72D297353CC}">
                <c16:uniqueId val="{0000005B-F024-6F4B-A084-58E0707C656F}"/>
              </c:ext>
            </c:extLst>
          </c:dPt>
          <c:dPt>
            <c:idx val="43"/>
            <c:bubble3D val="0"/>
            <c:extLst>
              <c:ext xmlns:c16="http://schemas.microsoft.com/office/drawing/2014/chart" uri="{C3380CC4-5D6E-409C-BE32-E72D297353CC}">
                <c16:uniqueId val="{0000005D-F024-6F4B-A084-58E0707C656F}"/>
              </c:ext>
            </c:extLst>
          </c:dPt>
          <c:dPt>
            <c:idx val="44"/>
            <c:bubble3D val="0"/>
            <c:extLst>
              <c:ext xmlns:c16="http://schemas.microsoft.com/office/drawing/2014/chart" uri="{C3380CC4-5D6E-409C-BE32-E72D297353CC}">
                <c16:uniqueId val="{0000005F-F024-6F4B-A084-58E0707C656F}"/>
              </c:ext>
            </c:extLst>
          </c:dPt>
          <c:dPt>
            <c:idx val="45"/>
            <c:bubble3D val="0"/>
            <c:extLst>
              <c:ext xmlns:c16="http://schemas.microsoft.com/office/drawing/2014/chart" uri="{C3380CC4-5D6E-409C-BE32-E72D297353CC}">
                <c16:uniqueId val="{00000061-F024-6F4B-A084-58E0707C656F}"/>
              </c:ext>
            </c:extLst>
          </c:dPt>
          <c:dPt>
            <c:idx val="46"/>
            <c:bubble3D val="0"/>
            <c:extLst>
              <c:ext xmlns:c16="http://schemas.microsoft.com/office/drawing/2014/chart" uri="{C3380CC4-5D6E-409C-BE32-E72D297353CC}">
                <c16:uniqueId val="{00000063-F024-6F4B-A084-58E0707C656F}"/>
              </c:ext>
            </c:extLst>
          </c:dPt>
          <c:dPt>
            <c:idx val="47"/>
            <c:bubble3D val="0"/>
            <c:extLst>
              <c:ext xmlns:c16="http://schemas.microsoft.com/office/drawing/2014/chart" uri="{C3380CC4-5D6E-409C-BE32-E72D297353CC}">
                <c16:uniqueId val="{00000065-F024-6F4B-A084-58E0707C656F}"/>
              </c:ext>
            </c:extLst>
          </c:dPt>
          <c:dPt>
            <c:idx val="48"/>
            <c:bubble3D val="0"/>
            <c:extLst>
              <c:ext xmlns:c16="http://schemas.microsoft.com/office/drawing/2014/chart" uri="{C3380CC4-5D6E-409C-BE32-E72D297353CC}">
                <c16:uniqueId val="{00000067-F024-6F4B-A084-58E0707C656F}"/>
              </c:ext>
            </c:extLst>
          </c:dPt>
          <c:dPt>
            <c:idx val="49"/>
            <c:bubble3D val="0"/>
            <c:extLst>
              <c:ext xmlns:c16="http://schemas.microsoft.com/office/drawing/2014/chart" uri="{C3380CC4-5D6E-409C-BE32-E72D297353CC}">
                <c16:uniqueId val="{00000069-F024-6F4B-A084-58E0707C656F}"/>
              </c:ext>
            </c:extLst>
          </c:dPt>
          <c:dPt>
            <c:idx val="50"/>
            <c:bubble3D val="0"/>
            <c:extLst>
              <c:ext xmlns:c16="http://schemas.microsoft.com/office/drawing/2014/chart" uri="{C3380CC4-5D6E-409C-BE32-E72D297353CC}">
                <c16:uniqueId val="{0000006B-F024-6F4B-A084-58E0707C656F}"/>
              </c:ext>
            </c:extLst>
          </c:dPt>
          <c:dPt>
            <c:idx val="51"/>
            <c:bubble3D val="0"/>
            <c:extLst>
              <c:ext xmlns:c16="http://schemas.microsoft.com/office/drawing/2014/chart" uri="{C3380CC4-5D6E-409C-BE32-E72D297353CC}">
                <c16:uniqueId val="{0000006D-F024-6F4B-A084-58E0707C656F}"/>
              </c:ext>
            </c:extLst>
          </c:dPt>
          <c:dPt>
            <c:idx val="52"/>
            <c:bubble3D val="0"/>
            <c:extLst>
              <c:ext xmlns:c16="http://schemas.microsoft.com/office/drawing/2014/chart" uri="{C3380CC4-5D6E-409C-BE32-E72D297353CC}">
                <c16:uniqueId val="{0000006F-F024-6F4B-A084-58E0707C656F}"/>
              </c:ext>
            </c:extLst>
          </c:dPt>
          <c:dPt>
            <c:idx val="53"/>
            <c:bubble3D val="0"/>
            <c:extLst>
              <c:ext xmlns:c16="http://schemas.microsoft.com/office/drawing/2014/chart" uri="{C3380CC4-5D6E-409C-BE32-E72D297353CC}">
                <c16:uniqueId val="{00000071-F024-6F4B-A084-58E0707C656F}"/>
              </c:ext>
            </c:extLst>
          </c:dPt>
          <c:dPt>
            <c:idx val="54"/>
            <c:bubble3D val="0"/>
            <c:extLst>
              <c:ext xmlns:c16="http://schemas.microsoft.com/office/drawing/2014/chart" uri="{C3380CC4-5D6E-409C-BE32-E72D297353CC}">
                <c16:uniqueId val="{00000073-F024-6F4B-A084-58E0707C656F}"/>
              </c:ext>
            </c:extLst>
          </c:dPt>
          <c:dPt>
            <c:idx val="55"/>
            <c:bubble3D val="0"/>
            <c:extLst>
              <c:ext xmlns:c16="http://schemas.microsoft.com/office/drawing/2014/chart" uri="{C3380CC4-5D6E-409C-BE32-E72D297353CC}">
                <c16:uniqueId val="{00000075-F024-6F4B-A084-58E0707C656F}"/>
              </c:ext>
            </c:extLst>
          </c:dPt>
          <c:dPt>
            <c:idx val="56"/>
            <c:bubble3D val="0"/>
            <c:extLst>
              <c:ext xmlns:c16="http://schemas.microsoft.com/office/drawing/2014/chart" uri="{C3380CC4-5D6E-409C-BE32-E72D297353CC}">
                <c16:uniqueId val="{00000077-F024-6F4B-A084-58E0707C656F}"/>
              </c:ext>
            </c:extLst>
          </c:dPt>
          <c:dPt>
            <c:idx val="57"/>
            <c:bubble3D val="0"/>
            <c:extLst>
              <c:ext xmlns:c16="http://schemas.microsoft.com/office/drawing/2014/chart" uri="{C3380CC4-5D6E-409C-BE32-E72D297353CC}">
                <c16:uniqueId val="{00000079-F024-6F4B-A084-58E0707C656F}"/>
              </c:ext>
            </c:extLst>
          </c:dPt>
          <c:dPt>
            <c:idx val="58"/>
            <c:bubble3D val="0"/>
            <c:extLst>
              <c:ext xmlns:c16="http://schemas.microsoft.com/office/drawing/2014/chart" uri="{C3380CC4-5D6E-409C-BE32-E72D297353CC}">
                <c16:uniqueId val="{0000007B-F024-6F4B-A084-58E0707C656F}"/>
              </c:ext>
            </c:extLst>
          </c:dPt>
          <c:dPt>
            <c:idx val="59"/>
            <c:bubble3D val="0"/>
            <c:extLst>
              <c:ext xmlns:c16="http://schemas.microsoft.com/office/drawing/2014/chart" uri="{C3380CC4-5D6E-409C-BE32-E72D297353CC}">
                <c16:uniqueId val="{0000007D-F024-6F4B-A084-58E0707C656F}"/>
              </c:ext>
            </c:extLst>
          </c:dPt>
          <c:dPt>
            <c:idx val="60"/>
            <c:bubble3D val="0"/>
            <c:extLst>
              <c:ext xmlns:c16="http://schemas.microsoft.com/office/drawing/2014/chart" uri="{C3380CC4-5D6E-409C-BE32-E72D297353CC}">
                <c16:uniqueId val="{0000007F-F024-6F4B-A084-58E0707C656F}"/>
              </c:ext>
            </c:extLst>
          </c:dPt>
          <c:dPt>
            <c:idx val="61"/>
            <c:bubble3D val="0"/>
            <c:extLst>
              <c:ext xmlns:c16="http://schemas.microsoft.com/office/drawing/2014/chart" uri="{C3380CC4-5D6E-409C-BE32-E72D297353CC}">
                <c16:uniqueId val="{00000081-F024-6F4B-A084-58E0707C656F}"/>
              </c:ext>
            </c:extLst>
          </c:dPt>
          <c:dPt>
            <c:idx val="62"/>
            <c:bubble3D val="0"/>
            <c:extLst>
              <c:ext xmlns:c16="http://schemas.microsoft.com/office/drawing/2014/chart" uri="{C3380CC4-5D6E-409C-BE32-E72D297353CC}">
                <c16:uniqueId val="{00000083-F024-6F4B-A084-58E0707C656F}"/>
              </c:ext>
            </c:extLst>
          </c:dPt>
          <c:dPt>
            <c:idx val="63"/>
            <c:bubble3D val="0"/>
            <c:extLst>
              <c:ext xmlns:c16="http://schemas.microsoft.com/office/drawing/2014/chart" uri="{C3380CC4-5D6E-409C-BE32-E72D297353CC}">
                <c16:uniqueId val="{00000085-F024-6F4B-A084-58E0707C656F}"/>
              </c:ext>
            </c:extLst>
          </c:dPt>
          <c:dPt>
            <c:idx val="64"/>
            <c:bubble3D val="0"/>
            <c:extLst>
              <c:ext xmlns:c16="http://schemas.microsoft.com/office/drawing/2014/chart" uri="{C3380CC4-5D6E-409C-BE32-E72D297353CC}">
                <c16:uniqueId val="{00000087-F024-6F4B-A084-58E0707C656F}"/>
              </c:ext>
            </c:extLst>
          </c:dPt>
          <c:dPt>
            <c:idx val="65"/>
            <c:bubble3D val="0"/>
            <c:extLst>
              <c:ext xmlns:c16="http://schemas.microsoft.com/office/drawing/2014/chart" uri="{C3380CC4-5D6E-409C-BE32-E72D297353CC}">
                <c16:uniqueId val="{00000089-F024-6F4B-A084-58E0707C656F}"/>
              </c:ext>
            </c:extLst>
          </c:dPt>
          <c:dPt>
            <c:idx val="66"/>
            <c:bubble3D val="0"/>
            <c:extLst>
              <c:ext xmlns:c16="http://schemas.microsoft.com/office/drawing/2014/chart" uri="{C3380CC4-5D6E-409C-BE32-E72D297353CC}">
                <c16:uniqueId val="{0000008B-F024-6F4B-A084-58E0707C656F}"/>
              </c:ext>
            </c:extLst>
          </c:dPt>
          <c:dPt>
            <c:idx val="67"/>
            <c:bubble3D val="0"/>
            <c:extLst>
              <c:ext xmlns:c16="http://schemas.microsoft.com/office/drawing/2014/chart" uri="{C3380CC4-5D6E-409C-BE32-E72D297353CC}">
                <c16:uniqueId val="{0000008D-F024-6F4B-A084-58E0707C656F}"/>
              </c:ext>
            </c:extLst>
          </c:dPt>
          <c:dPt>
            <c:idx val="68"/>
            <c:bubble3D val="0"/>
            <c:extLst>
              <c:ext xmlns:c16="http://schemas.microsoft.com/office/drawing/2014/chart" uri="{C3380CC4-5D6E-409C-BE32-E72D297353CC}">
                <c16:uniqueId val="{0000008F-F024-6F4B-A084-58E0707C656F}"/>
              </c:ext>
            </c:extLst>
          </c:dPt>
          <c:dPt>
            <c:idx val="69"/>
            <c:bubble3D val="0"/>
            <c:extLst>
              <c:ext xmlns:c16="http://schemas.microsoft.com/office/drawing/2014/chart" uri="{C3380CC4-5D6E-409C-BE32-E72D297353CC}">
                <c16:uniqueId val="{00000091-F024-6F4B-A084-58E0707C656F}"/>
              </c:ext>
            </c:extLst>
          </c:dPt>
          <c:dPt>
            <c:idx val="70"/>
            <c:bubble3D val="0"/>
            <c:extLst>
              <c:ext xmlns:c16="http://schemas.microsoft.com/office/drawing/2014/chart" uri="{C3380CC4-5D6E-409C-BE32-E72D297353CC}">
                <c16:uniqueId val="{00000093-F024-6F4B-A084-58E0707C656F}"/>
              </c:ext>
            </c:extLst>
          </c:dPt>
          <c:dPt>
            <c:idx val="71"/>
            <c:bubble3D val="0"/>
            <c:extLst>
              <c:ext xmlns:c16="http://schemas.microsoft.com/office/drawing/2014/chart" uri="{C3380CC4-5D6E-409C-BE32-E72D297353CC}">
                <c16:uniqueId val="{00000095-F024-6F4B-A084-58E0707C656F}"/>
              </c:ext>
            </c:extLst>
          </c:dPt>
          <c:dPt>
            <c:idx val="72"/>
            <c:bubble3D val="0"/>
            <c:extLst>
              <c:ext xmlns:c16="http://schemas.microsoft.com/office/drawing/2014/chart" uri="{C3380CC4-5D6E-409C-BE32-E72D297353CC}">
                <c16:uniqueId val="{00000097-F024-6F4B-A084-58E0707C656F}"/>
              </c:ext>
            </c:extLst>
          </c:dPt>
          <c:dPt>
            <c:idx val="73"/>
            <c:bubble3D val="0"/>
            <c:extLst>
              <c:ext xmlns:c16="http://schemas.microsoft.com/office/drawing/2014/chart" uri="{C3380CC4-5D6E-409C-BE32-E72D297353CC}">
                <c16:uniqueId val="{00000099-F024-6F4B-A084-58E0707C656F}"/>
              </c:ext>
            </c:extLst>
          </c:dPt>
          <c:dPt>
            <c:idx val="74"/>
            <c:bubble3D val="0"/>
            <c:extLst>
              <c:ext xmlns:c16="http://schemas.microsoft.com/office/drawing/2014/chart" uri="{C3380CC4-5D6E-409C-BE32-E72D297353CC}">
                <c16:uniqueId val="{0000009B-F024-6F4B-A084-58E0707C656F}"/>
              </c:ext>
            </c:extLst>
          </c:dPt>
          <c:dPt>
            <c:idx val="75"/>
            <c:bubble3D val="0"/>
            <c:extLst>
              <c:ext xmlns:c16="http://schemas.microsoft.com/office/drawing/2014/chart" uri="{C3380CC4-5D6E-409C-BE32-E72D297353CC}">
                <c16:uniqueId val="{0000009D-F024-6F4B-A084-58E0707C656F}"/>
              </c:ext>
            </c:extLst>
          </c:dPt>
          <c:dPt>
            <c:idx val="76"/>
            <c:bubble3D val="0"/>
            <c:extLst>
              <c:ext xmlns:c16="http://schemas.microsoft.com/office/drawing/2014/chart" uri="{C3380CC4-5D6E-409C-BE32-E72D297353CC}">
                <c16:uniqueId val="{0000009F-F024-6F4B-A084-58E0707C656F}"/>
              </c:ext>
            </c:extLst>
          </c:dPt>
          <c:dPt>
            <c:idx val="77"/>
            <c:bubble3D val="0"/>
            <c:extLst>
              <c:ext xmlns:c16="http://schemas.microsoft.com/office/drawing/2014/chart" uri="{C3380CC4-5D6E-409C-BE32-E72D297353CC}">
                <c16:uniqueId val="{000000A1-F024-6F4B-A084-58E0707C656F}"/>
              </c:ext>
            </c:extLst>
          </c:dPt>
          <c:dPt>
            <c:idx val="78"/>
            <c:bubble3D val="0"/>
            <c:extLst>
              <c:ext xmlns:c16="http://schemas.microsoft.com/office/drawing/2014/chart" uri="{C3380CC4-5D6E-409C-BE32-E72D297353CC}">
                <c16:uniqueId val="{000000A3-F024-6F4B-A084-58E0707C656F}"/>
              </c:ext>
            </c:extLst>
          </c:dPt>
          <c:dPt>
            <c:idx val="79"/>
            <c:bubble3D val="0"/>
            <c:extLst>
              <c:ext xmlns:c16="http://schemas.microsoft.com/office/drawing/2014/chart" uri="{C3380CC4-5D6E-409C-BE32-E72D297353CC}">
                <c16:uniqueId val="{000000A5-F024-6F4B-A084-58E0707C656F}"/>
              </c:ext>
            </c:extLst>
          </c:dPt>
          <c:dPt>
            <c:idx val="80"/>
            <c:bubble3D val="0"/>
            <c:extLst>
              <c:ext xmlns:c16="http://schemas.microsoft.com/office/drawing/2014/chart" uri="{C3380CC4-5D6E-409C-BE32-E72D297353CC}">
                <c16:uniqueId val="{000000A7-F024-6F4B-A084-58E0707C656F}"/>
              </c:ext>
            </c:extLst>
          </c:dPt>
          <c:dPt>
            <c:idx val="81"/>
            <c:bubble3D val="0"/>
            <c:extLst>
              <c:ext xmlns:c16="http://schemas.microsoft.com/office/drawing/2014/chart" uri="{C3380CC4-5D6E-409C-BE32-E72D297353CC}">
                <c16:uniqueId val="{000000A9-F024-6F4B-A084-58E0707C656F}"/>
              </c:ext>
            </c:extLst>
          </c:dPt>
          <c:dPt>
            <c:idx val="82"/>
            <c:bubble3D val="0"/>
            <c:extLst>
              <c:ext xmlns:c16="http://schemas.microsoft.com/office/drawing/2014/chart" uri="{C3380CC4-5D6E-409C-BE32-E72D297353CC}">
                <c16:uniqueId val="{000000AB-F024-6F4B-A084-58E0707C656F}"/>
              </c:ext>
            </c:extLst>
          </c:dPt>
          <c:dPt>
            <c:idx val="83"/>
            <c:bubble3D val="0"/>
            <c:extLst>
              <c:ext xmlns:c16="http://schemas.microsoft.com/office/drawing/2014/chart" uri="{C3380CC4-5D6E-409C-BE32-E72D297353CC}">
                <c16:uniqueId val="{000000AD-F024-6F4B-A084-58E0707C656F}"/>
              </c:ext>
            </c:extLst>
          </c:dPt>
          <c:dPt>
            <c:idx val="84"/>
            <c:bubble3D val="0"/>
            <c:extLst>
              <c:ext xmlns:c16="http://schemas.microsoft.com/office/drawing/2014/chart" uri="{C3380CC4-5D6E-409C-BE32-E72D297353CC}">
                <c16:uniqueId val="{000000AF-F024-6F4B-A084-58E0707C656F}"/>
              </c:ext>
            </c:extLst>
          </c:dPt>
          <c:dPt>
            <c:idx val="85"/>
            <c:bubble3D val="0"/>
            <c:extLst>
              <c:ext xmlns:c16="http://schemas.microsoft.com/office/drawing/2014/chart" uri="{C3380CC4-5D6E-409C-BE32-E72D297353CC}">
                <c16:uniqueId val="{000000B1-F024-6F4B-A084-58E0707C656F}"/>
              </c:ext>
            </c:extLst>
          </c:dPt>
          <c:dPt>
            <c:idx val="86"/>
            <c:bubble3D val="0"/>
            <c:extLst>
              <c:ext xmlns:c16="http://schemas.microsoft.com/office/drawing/2014/chart" uri="{C3380CC4-5D6E-409C-BE32-E72D297353CC}">
                <c16:uniqueId val="{000000B3-F024-6F4B-A084-58E0707C656F}"/>
              </c:ext>
            </c:extLst>
          </c:dPt>
          <c:dPt>
            <c:idx val="87"/>
            <c:bubble3D val="0"/>
            <c:extLst>
              <c:ext xmlns:c16="http://schemas.microsoft.com/office/drawing/2014/chart" uri="{C3380CC4-5D6E-409C-BE32-E72D297353CC}">
                <c16:uniqueId val="{000000B5-F024-6F4B-A084-58E0707C656F}"/>
              </c:ext>
            </c:extLst>
          </c:dPt>
          <c:dPt>
            <c:idx val="88"/>
            <c:bubble3D val="0"/>
            <c:extLst>
              <c:ext xmlns:c16="http://schemas.microsoft.com/office/drawing/2014/chart" uri="{C3380CC4-5D6E-409C-BE32-E72D297353CC}">
                <c16:uniqueId val="{000000B7-F024-6F4B-A084-58E0707C656F}"/>
              </c:ext>
            </c:extLst>
          </c:dPt>
          <c:dPt>
            <c:idx val="89"/>
            <c:bubble3D val="0"/>
            <c:extLst>
              <c:ext xmlns:c16="http://schemas.microsoft.com/office/drawing/2014/chart" uri="{C3380CC4-5D6E-409C-BE32-E72D297353CC}">
                <c16:uniqueId val="{000000B9-F024-6F4B-A084-58E0707C656F}"/>
              </c:ext>
            </c:extLst>
          </c:dPt>
          <c:dPt>
            <c:idx val="90"/>
            <c:bubble3D val="0"/>
            <c:extLst>
              <c:ext xmlns:c16="http://schemas.microsoft.com/office/drawing/2014/chart" uri="{C3380CC4-5D6E-409C-BE32-E72D297353CC}">
                <c16:uniqueId val="{000000BB-F024-6F4B-A084-58E0707C656F}"/>
              </c:ext>
            </c:extLst>
          </c:dPt>
          <c:dPt>
            <c:idx val="91"/>
            <c:bubble3D val="0"/>
            <c:extLst>
              <c:ext xmlns:c16="http://schemas.microsoft.com/office/drawing/2014/chart" uri="{C3380CC4-5D6E-409C-BE32-E72D297353CC}">
                <c16:uniqueId val="{000000BD-F024-6F4B-A084-58E0707C656F}"/>
              </c:ext>
            </c:extLst>
          </c:dPt>
          <c:dPt>
            <c:idx val="92"/>
            <c:bubble3D val="0"/>
            <c:extLst>
              <c:ext xmlns:c16="http://schemas.microsoft.com/office/drawing/2014/chart" uri="{C3380CC4-5D6E-409C-BE32-E72D297353CC}">
                <c16:uniqueId val="{000000BF-F024-6F4B-A084-58E0707C656F}"/>
              </c:ext>
            </c:extLst>
          </c:dPt>
          <c:dPt>
            <c:idx val="93"/>
            <c:bubble3D val="0"/>
            <c:extLst>
              <c:ext xmlns:c16="http://schemas.microsoft.com/office/drawing/2014/chart" uri="{C3380CC4-5D6E-409C-BE32-E72D297353CC}">
                <c16:uniqueId val="{000000C1-F024-6F4B-A084-58E0707C656F}"/>
              </c:ext>
            </c:extLst>
          </c:dPt>
          <c:dPt>
            <c:idx val="94"/>
            <c:bubble3D val="0"/>
            <c:extLst>
              <c:ext xmlns:c16="http://schemas.microsoft.com/office/drawing/2014/chart" uri="{C3380CC4-5D6E-409C-BE32-E72D297353CC}">
                <c16:uniqueId val="{000000C3-F024-6F4B-A084-58E0707C656F}"/>
              </c:ext>
            </c:extLst>
          </c:dPt>
          <c:dPt>
            <c:idx val="95"/>
            <c:bubble3D val="0"/>
            <c:extLst>
              <c:ext xmlns:c16="http://schemas.microsoft.com/office/drawing/2014/chart" uri="{C3380CC4-5D6E-409C-BE32-E72D297353CC}">
                <c16:uniqueId val="{000000C5-F024-6F4B-A084-58E0707C656F}"/>
              </c:ext>
            </c:extLst>
          </c:dPt>
          <c:dPt>
            <c:idx val="96"/>
            <c:bubble3D val="0"/>
            <c:extLst>
              <c:ext xmlns:c16="http://schemas.microsoft.com/office/drawing/2014/chart" uri="{C3380CC4-5D6E-409C-BE32-E72D297353CC}">
                <c16:uniqueId val="{000000C7-F024-6F4B-A084-58E0707C656F}"/>
              </c:ext>
            </c:extLst>
          </c:dPt>
          <c:dPt>
            <c:idx val="97"/>
            <c:bubble3D val="0"/>
            <c:extLst>
              <c:ext xmlns:c16="http://schemas.microsoft.com/office/drawing/2014/chart" uri="{C3380CC4-5D6E-409C-BE32-E72D297353CC}">
                <c16:uniqueId val="{000000C9-F024-6F4B-A084-58E0707C656F}"/>
              </c:ext>
            </c:extLst>
          </c:dPt>
          <c:dPt>
            <c:idx val="98"/>
            <c:bubble3D val="0"/>
            <c:extLst>
              <c:ext xmlns:c16="http://schemas.microsoft.com/office/drawing/2014/chart" uri="{C3380CC4-5D6E-409C-BE32-E72D297353CC}">
                <c16:uniqueId val="{000000CB-F024-6F4B-A084-58E0707C656F}"/>
              </c:ext>
            </c:extLst>
          </c:dPt>
          <c:dPt>
            <c:idx val="99"/>
            <c:bubble3D val="0"/>
            <c:extLst>
              <c:ext xmlns:c16="http://schemas.microsoft.com/office/drawing/2014/chart" uri="{C3380CC4-5D6E-409C-BE32-E72D297353CC}">
                <c16:uniqueId val="{000000CD-F024-6F4B-A084-58E0707C656F}"/>
              </c:ext>
            </c:extLst>
          </c:dPt>
          <c:dPt>
            <c:idx val="100"/>
            <c:bubble3D val="0"/>
            <c:extLst>
              <c:ext xmlns:c16="http://schemas.microsoft.com/office/drawing/2014/chart" uri="{C3380CC4-5D6E-409C-BE32-E72D297353CC}">
                <c16:uniqueId val="{000000CF-F024-6F4B-A084-58E0707C656F}"/>
              </c:ext>
            </c:extLst>
          </c:dPt>
          <c:dPt>
            <c:idx val="101"/>
            <c:bubble3D val="0"/>
            <c:extLst>
              <c:ext xmlns:c16="http://schemas.microsoft.com/office/drawing/2014/chart" uri="{C3380CC4-5D6E-409C-BE32-E72D297353CC}">
                <c16:uniqueId val="{000000D1-F024-6F4B-A084-58E0707C656F}"/>
              </c:ext>
            </c:extLst>
          </c:dPt>
          <c:dPt>
            <c:idx val="102"/>
            <c:bubble3D val="0"/>
            <c:extLst>
              <c:ext xmlns:c16="http://schemas.microsoft.com/office/drawing/2014/chart" uri="{C3380CC4-5D6E-409C-BE32-E72D297353CC}">
                <c16:uniqueId val="{000000D3-F024-6F4B-A084-58E0707C656F}"/>
              </c:ext>
            </c:extLst>
          </c:dPt>
          <c:dPt>
            <c:idx val="103"/>
            <c:bubble3D val="0"/>
            <c:extLst>
              <c:ext xmlns:c16="http://schemas.microsoft.com/office/drawing/2014/chart" uri="{C3380CC4-5D6E-409C-BE32-E72D297353CC}">
                <c16:uniqueId val="{000000D5-F024-6F4B-A084-58E0707C656F}"/>
              </c:ext>
            </c:extLst>
          </c:dPt>
          <c:dPt>
            <c:idx val="104"/>
            <c:bubble3D val="0"/>
            <c:extLst>
              <c:ext xmlns:c16="http://schemas.microsoft.com/office/drawing/2014/chart" uri="{C3380CC4-5D6E-409C-BE32-E72D297353CC}">
                <c16:uniqueId val="{000000D7-F024-6F4B-A084-58E0707C656F}"/>
              </c:ext>
            </c:extLst>
          </c:dPt>
          <c:dPt>
            <c:idx val="105"/>
            <c:bubble3D val="0"/>
            <c:extLst>
              <c:ext xmlns:c16="http://schemas.microsoft.com/office/drawing/2014/chart" uri="{C3380CC4-5D6E-409C-BE32-E72D297353CC}">
                <c16:uniqueId val="{000000D9-F024-6F4B-A084-58E0707C656F}"/>
              </c:ext>
            </c:extLst>
          </c:dPt>
          <c:dPt>
            <c:idx val="106"/>
            <c:bubble3D val="0"/>
            <c:extLst>
              <c:ext xmlns:c16="http://schemas.microsoft.com/office/drawing/2014/chart" uri="{C3380CC4-5D6E-409C-BE32-E72D297353CC}">
                <c16:uniqueId val="{000000DB-F024-6F4B-A084-58E0707C656F}"/>
              </c:ext>
            </c:extLst>
          </c:dPt>
          <c:dPt>
            <c:idx val="107"/>
            <c:bubble3D val="0"/>
            <c:extLst>
              <c:ext xmlns:c16="http://schemas.microsoft.com/office/drawing/2014/chart" uri="{C3380CC4-5D6E-409C-BE32-E72D297353CC}">
                <c16:uniqueId val="{000000DD-F024-6F4B-A084-58E0707C656F}"/>
              </c:ext>
            </c:extLst>
          </c:dPt>
          <c:dPt>
            <c:idx val="108"/>
            <c:bubble3D val="0"/>
            <c:extLst>
              <c:ext xmlns:c16="http://schemas.microsoft.com/office/drawing/2014/chart" uri="{C3380CC4-5D6E-409C-BE32-E72D297353CC}">
                <c16:uniqueId val="{000000DF-F024-6F4B-A084-58E0707C656F}"/>
              </c:ext>
            </c:extLst>
          </c:dPt>
          <c:dPt>
            <c:idx val="109"/>
            <c:bubble3D val="0"/>
            <c:extLst>
              <c:ext xmlns:c16="http://schemas.microsoft.com/office/drawing/2014/chart" uri="{C3380CC4-5D6E-409C-BE32-E72D297353CC}">
                <c16:uniqueId val="{000000E1-F024-6F4B-A084-58E0707C656F}"/>
              </c:ext>
            </c:extLst>
          </c:dPt>
          <c:dPt>
            <c:idx val="110"/>
            <c:bubble3D val="0"/>
            <c:extLst>
              <c:ext xmlns:c16="http://schemas.microsoft.com/office/drawing/2014/chart" uri="{C3380CC4-5D6E-409C-BE32-E72D297353CC}">
                <c16:uniqueId val="{000000E3-F024-6F4B-A084-58E0707C656F}"/>
              </c:ext>
            </c:extLst>
          </c:dPt>
          <c:dPt>
            <c:idx val="111"/>
            <c:bubble3D val="0"/>
            <c:extLst>
              <c:ext xmlns:c16="http://schemas.microsoft.com/office/drawing/2014/chart" uri="{C3380CC4-5D6E-409C-BE32-E72D297353CC}">
                <c16:uniqueId val="{000000E5-F024-6F4B-A084-58E0707C656F}"/>
              </c:ext>
            </c:extLst>
          </c:dPt>
          <c:dPt>
            <c:idx val="112"/>
            <c:bubble3D val="0"/>
            <c:extLst>
              <c:ext xmlns:c16="http://schemas.microsoft.com/office/drawing/2014/chart" uri="{C3380CC4-5D6E-409C-BE32-E72D297353CC}">
                <c16:uniqueId val="{000000E7-F024-6F4B-A084-58E0707C656F}"/>
              </c:ext>
            </c:extLst>
          </c:dPt>
          <c:dPt>
            <c:idx val="113"/>
            <c:bubble3D val="0"/>
            <c:extLst>
              <c:ext xmlns:c16="http://schemas.microsoft.com/office/drawing/2014/chart" uri="{C3380CC4-5D6E-409C-BE32-E72D297353CC}">
                <c16:uniqueId val="{000000E9-F024-6F4B-A084-58E0707C656F}"/>
              </c:ext>
            </c:extLst>
          </c:dPt>
          <c:dPt>
            <c:idx val="114"/>
            <c:bubble3D val="0"/>
            <c:extLst>
              <c:ext xmlns:c16="http://schemas.microsoft.com/office/drawing/2014/chart" uri="{C3380CC4-5D6E-409C-BE32-E72D297353CC}">
                <c16:uniqueId val="{000000EB-F024-6F4B-A084-58E0707C656F}"/>
              </c:ext>
            </c:extLst>
          </c:dPt>
          <c:dPt>
            <c:idx val="115"/>
            <c:bubble3D val="0"/>
            <c:extLst>
              <c:ext xmlns:c16="http://schemas.microsoft.com/office/drawing/2014/chart" uri="{C3380CC4-5D6E-409C-BE32-E72D297353CC}">
                <c16:uniqueId val="{000000ED-F024-6F4B-A084-58E0707C656F}"/>
              </c:ext>
            </c:extLst>
          </c:dPt>
          <c:dPt>
            <c:idx val="116"/>
            <c:bubble3D val="0"/>
            <c:extLst>
              <c:ext xmlns:c16="http://schemas.microsoft.com/office/drawing/2014/chart" uri="{C3380CC4-5D6E-409C-BE32-E72D297353CC}">
                <c16:uniqueId val="{000000EF-F024-6F4B-A084-58E0707C656F}"/>
              </c:ext>
            </c:extLst>
          </c:dPt>
          <c:dPt>
            <c:idx val="117"/>
            <c:bubble3D val="0"/>
            <c:extLst>
              <c:ext xmlns:c16="http://schemas.microsoft.com/office/drawing/2014/chart" uri="{C3380CC4-5D6E-409C-BE32-E72D297353CC}">
                <c16:uniqueId val="{000000F1-F024-6F4B-A084-58E0707C656F}"/>
              </c:ext>
            </c:extLst>
          </c:dPt>
          <c:dPt>
            <c:idx val="118"/>
            <c:bubble3D val="0"/>
            <c:extLst>
              <c:ext xmlns:c16="http://schemas.microsoft.com/office/drawing/2014/chart" uri="{C3380CC4-5D6E-409C-BE32-E72D297353CC}">
                <c16:uniqueId val="{000000F3-F024-6F4B-A084-58E0707C656F}"/>
              </c:ext>
            </c:extLst>
          </c:dPt>
          <c:dPt>
            <c:idx val="119"/>
            <c:bubble3D val="0"/>
            <c:extLst>
              <c:ext xmlns:c16="http://schemas.microsoft.com/office/drawing/2014/chart" uri="{C3380CC4-5D6E-409C-BE32-E72D297353CC}">
                <c16:uniqueId val="{000000F5-F024-6F4B-A084-58E0707C656F}"/>
              </c:ext>
            </c:extLst>
          </c:dPt>
          <c:dPt>
            <c:idx val="120"/>
            <c:bubble3D val="0"/>
            <c:extLst>
              <c:ext xmlns:c16="http://schemas.microsoft.com/office/drawing/2014/chart" uri="{C3380CC4-5D6E-409C-BE32-E72D297353CC}">
                <c16:uniqueId val="{000000F7-F024-6F4B-A084-58E0707C656F}"/>
              </c:ext>
            </c:extLst>
          </c:dPt>
          <c:dPt>
            <c:idx val="121"/>
            <c:bubble3D val="0"/>
            <c:extLst>
              <c:ext xmlns:c16="http://schemas.microsoft.com/office/drawing/2014/chart" uri="{C3380CC4-5D6E-409C-BE32-E72D297353CC}">
                <c16:uniqueId val="{000000F9-F024-6F4B-A084-58E0707C656F}"/>
              </c:ext>
            </c:extLst>
          </c:dPt>
          <c:dPt>
            <c:idx val="122"/>
            <c:bubble3D val="0"/>
            <c:extLst>
              <c:ext xmlns:c16="http://schemas.microsoft.com/office/drawing/2014/chart" uri="{C3380CC4-5D6E-409C-BE32-E72D297353CC}">
                <c16:uniqueId val="{000000FB-F024-6F4B-A084-58E0707C656F}"/>
              </c:ext>
            </c:extLst>
          </c:dPt>
          <c:dPt>
            <c:idx val="123"/>
            <c:bubble3D val="0"/>
            <c:extLst>
              <c:ext xmlns:c16="http://schemas.microsoft.com/office/drawing/2014/chart" uri="{C3380CC4-5D6E-409C-BE32-E72D297353CC}">
                <c16:uniqueId val="{000000FD-F024-6F4B-A084-58E0707C656F}"/>
              </c:ext>
            </c:extLst>
          </c:dPt>
          <c:dPt>
            <c:idx val="124"/>
            <c:bubble3D val="0"/>
            <c:extLst>
              <c:ext xmlns:c16="http://schemas.microsoft.com/office/drawing/2014/chart" uri="{C3380CC4-5D6E-409C-BE32-E72D297353CC}">
                <c16:uniqueId val="{000000FF-F024-6F4B-A084-58E0707C656F}"/>
              </c:ext>
            </c:extLst>
          </c:dPt>
          <c:dPt>
            <c:idx val="125"/>
            <c:bubble3D val="0"/>
            <c:extLst>
              <c:ext xmlns:c16="http://schemas.microsoft.com/office/drawing/2014/chart" uri="{C3380CC4-5D6E-409C-BE32-E72D297353CC}">
                <c16:uniqueId val="{00000101-F024-6F4B-A084-58E0707C656F}"/>
              </c:ext>
            </c:extLst>
          </c:dPt>
          <c:dPt>
            <c:idx val="126"/>
            <c:bubble3D val="0"/>
            <c:extLst>
              <c:ext xmlns:c16="http://schemas.microsoft.com/office/drawing/2014/chart" uri="{C3380CC4-5D6E-409C-BE32-E72D297353CC}">
                <c16:uniqueId val="{00000103-F024-6F4B-A084-58E0707C656F}"/>
              </c:ext>
            </c:extLst>
          </c:dPt>
          <c:dPt>
            <c:idx val="127"/>
            <c:bubble3D val="0"/>
            <c:extLst>
              <c:ext xmlns:c16="http://schemas.microsoft.com/office/drawing/2014/chart" uri="{C3380CC4-5D6E-409C-BE32-E72D297353CC}">
                <c16:uniqueId val="{00000105-F024-6F4B-A084-58E0707C656F}"/>
              </c:ext>
            </c:extLst>
          </c:dPt>
          <c:dPt>
            <c:idx val="128"/>
            <c:bubble3D val="0"/>
            <c:extLst>
              <c:ext xmlns:c16="http://schemas.microsoft.com/office/drawing/2014/chart" uri="{C3380CC4-5D6E-409C-BE32-E72D297353CC}">
                <c16:uniqueId val="{00000107-F024-6F4B-A084-58E0707C656F}"/>
              </c:ext>
            </c:extLst>
          </c:dPt>
          <c:dPt>
            <c:idx val="129"/>
            <c:bubble3D val="0"/>
            <c:extLst>
              <c:ext xmlns:c16="http://schemas.microsoft.com/office/drawing/2014/chart" uri="{C3380CC4-5D6E-409C-BE32-E72D297353CC}">
                <c16:uniqueId val="{00000109-F024-6F4B-A084-58E0707C656F}"/>
              </c:ext>
            </c:extLst>
          </c:dPt>
          <c:dPt>
            <c:idx val="130"/>
            <c:bubble3D val="0"/>
            <c:extLst>
              <c:ext xmlns:c16="http://schemas.microsoft.com/office/drawing/2014/chart" uri="{C3380CC4-5D6E-409C-BE32-E72D297353CC}">
                <c16:uniqueId val="{0000010B-F024-6F4B-A084-58E0707C656F}"/>
              </c:ext>
            </c:extLst>
          </c:dPt>
          <c:dPt>
            <c:idx val="131"/>
            <c:bubble3D val="0"/>
            <c:extLst>
              <c:ext xmlns:c16="http://schemas.microsoft.com/office/drawing/2014/chart" uri="{C3380CC4-5D6E-409C-BE32-E72D297353CC}">
                <c16:uniqueId val="{0000010D-F024-6F4B-A084-58E0707C656F}"/>
              </c:ext>
            </c:extLst>
          </c:dPt>
          <c:dPt>
            <c:idx val="132"/>
            <c:bubble3D val="0"/>
            <c:extLst>
              <c:ext xmlns:c16="http://schemas.microsoft.com/office/drawing/2014/chart" uri="{C3380CC4-5D6E-409C-BE32-E72D297353CC}">
                <c16:uniqueId val="{0000010F-F024-6F4B-A084-58E0707C656F}"/>
              </c:ext>
            </c:extLst>
          </c:dPt>
          <c:dPt>
            <c:idx val="133"/>
            <c:bubble3D val="0"/>
            <c:extLst>
              <c:ext xmlns:c16="http://schemas.microsoft.com/office/drawing/2014/chart" uri="{C3380CC4-5D6E-409C-BE32-E72D297353CC}">
                <c16:uniqueId val="{00000111-F024-6F4B-A084-58E0707C656F}"/>
              </c:ext>
            </c:extLst>
          </c:dPt>
          <c:dPt>
            <c:idx val="134"/>
            <c:bubble3D val="0"/>
            <c:extLst>
              <c:ext xmlns:c16="http://schemas.microsoft.com/office/drawing/2014/chart" uri="{C3380CC4-5D6E-409C-BE32-E72D297353CC}">
                <c16:uniqueId val="{00000113-F024-6F4B-A084-58E0707C656F}"/>
              </c:ext>
            </c:extLst>
          </c:dPt>
          <c:dPt>
            <c:idx val="135"/>
            <c:bubble3D val="0"/>
            <c:extLst>
              <c:ext xmlns:c16="http://schemas.microsoft.com/office/drawing/2014/chart" uri="{C3380CC4-5D6E-409C-BE32-E72D297353CC}">
                <c16:uniqueId val="{00000115-F024-6F4B-A084-58E0707C656F}"/>
              </c:ext>
            </c:extLst>
          </c:dPt>
          <c:dPt>
            <c:idx val="136"/>
            <c:bubble3D val="0"/>
            <c:extLst>
              <c:ext xmlns:c16="http://schemas.microsoft.com/office/drawing/2014/chart" uri="{C3380CC4-5D6E-409C-BE32-E72D297353CC}">
                <c16:uniqueId val="{00000117-F024-6F4B-A084-58E0707C656F}"/>
              </c:ext>
            </c:extLst>
          </c:dPt>
          <c:dPt>
            <c:idx val="137"/>
            <c:bubble3D val="0"/>
            <c:extLst>
              <c:ext xmlns:c16="http://schemas.microsoft.com/office/drawing/2014/chart" uri="{C3380CC4-5D6E-409C-BE32-E72D297353CC}">
                <c16:uniqueId val="{00000119-F024-6F4B-A084-58E0707C656F}"/>
              </c:ext>
            </c:extLst>
          </c:dPt>
          <c:dPt>
            <c:idx val="138"/>
            <c:bubble3D val="0"/>
            <c:extLst>
              <c:ext xmlns:c16="http://schemas.microsoft.com/office/drawing/2014/chart" uri="{C3380CC4-5D6E-409C-BE32-E72D297353CC}">
                <c16:uniqueId val="{0000011B-F024-6F4B-A084-58E0707C656F}"/>
              </c:ext>
            </c:extLst>
          </c:dPt>
          <c:dPt>
            <c:idx val="139"/>
            <c:bubble3D val="0"/>
            <c:extLst>
              <c:ext xmlns:c16="http://schemas.microsoft.com/office/drawing/2014/chart" uri="{C3380CC4-5D6E-409C-BE32-E72D297353CC}">
                <c16:uniqueId val="{0000011D-F024-6F4B-A084-58E0707C656F}"/>
              </c:ext>
            </c:extLst>
          </c:dPt>
          <c:dPt>
            <c:idx val="140"/>
            <c:bubble3D val="0"/>
            <c:extLst>
              <c:ext xmlns:c16="http://schemas.microsoft.com/office/drawing/2014/chart" uri="{C3380CC4-5D6E-409C-BE32-E72D297353CC}">
                <c16:uniqueId val="{0000011F-F024-6F4B-A084-58E0707C656F}"/>
              </c:ext>
            </c:extLst>
          </c:dPt>
          <c:dPt>
            <c:idx val="141"/>
            <c:bubble3D val="0"/>
            <c:extLst>
              <c:ext xmlns:c16="http://schemas.microsoft.com/office/drawing/2014/chart" uri="{C3380CC4-5D6E-409C-BE32-E72D297353CC}">
                <c16:uniqueId val="{00000121-F024-6F4B-A084-58E0707C656F}"/>
              </c:ext>
            </c:extLst>
          </c:dPt>
          <c:dPt>
            <c:idx val="142"/>
            <c:bubble3D val="0"/>
            <c:extLst>
              <c:ext xmlns:c16="http://schemas.microsoft.com/office/drawing/2014/chart" uri="{C3380CC4-5D6E-409C-BE32-E72D297353CC}">
                <c16:uniqueId val="{00000123-F024-6F4B-A084-58E0707C656F}"/>
              </c:ext>
            </c:extLst>
          </c:dPt>
          <c:dPt>
            <c:idx val="143"/>
            <c:bubble3D val="0"/>
            <c:extLst>
              <c:ext xmlns:c16="http://schemas.microsoft.com/office/drawing/2014/chart" uri="{C3380CC4-5D6E-409C-BE32-E72D297353CC}">
                <c16:uniqueId val="{00000125-F024-6F4B-A084-58E0707C656F}"/>
              </c:ext>
            </c:extLst>
          </c:dPt>
          <c:dPt>
            <c:idx val="144"/>
            <c:bubble3D val="0"/>
            <c:extLst>
              <c:ext xmlns:c16="http://schemas.microsoft.com/office/drawing/2014/chart" uri="{C3380CC4-5D6E-409C-BE32-E72D297353CC}">
                <c16:uniqueId val="{00000127-F024-6F4B-A084-58E0707C656F}"/>
              </c:ext>
            </c:extLst>
          </c:dPt>
          <c:dPt>
            <c:idx val="145"/>
            <c:bubble3D val="0"/>
            <c:extLst>
              <c:ext xmlns:c16="http://schemas.microsoft.com/office/drawing/2014/chart" uri="{C3380CC4-5D6E-409C-BE32-E72D297353CC}">
                <c16:uniqueId val="{00000129-F024-6F4B-A084-58E0707C656F}"/>
              </c:ext>
            </c:extLst>
          </c:dPt>
          <c:dPt>
            <c:idx val="146"/>
            <c:bubble3D val="0"/>
            <c:extLst>
              <c:ext xmlns:c16="http://schemas.microsoft.com/office/drawing/2014/chart" uri="{C3380CC4-5D6E-409C-BE32-E72D297353CC}">
                <c16:uniqueId val="{0000012B-F024-6F4B-A084-58E0707C656F}"/>
              </c:ext>
            </c:extLst>
          </c:dPt>
          <c:dPt>
            <c:idx val="147"/>
            <c:bubble3D val="0"/>
            <c:extLst>
              <c:ext xmlns:c16="http://schemas.microsoft.com/office/drawing/2014/chart" uri="{C3380CC4-5D6E-409C-BE32-E72D297353CC}">
                <c16:uniqueId val="{0000012D-F024-6F4B-A084-58E0707C656F}"/>
              </c:ext>
            </c:extLst>
          </c:dPt>
          <c:dPt>
            <c:idx val="148"/>
            <c:bubble3D val="0"/>
            <c:extLst>
              <c:ext xmlns:c16="http://schemas.microsoft.com/office/drawing/2014/chart" uri="{C3380CC4-5D6E-409C-BE32-E72D297353CC}">
                <c16:uniqueId val="{0000012F-F024-6F4B-A084-58E0707C656F}"/>
              </c:ext>
            </c:extLst>
          </c:dPt>
          <c:dPt>
            <c:idx val="149"/>
            <c:bubble3D val="0"/>
            <c:extLst>
              <c:ext xmlns:c16="http://schemas.microsoft.com/office/drawing/2014/chart" uri="{C3380CC4-5D6E-409C-BE32-E72D297353CC}">
                <c16:uniqueId val="{00000131-F024-6F4B-A084-58E0707C656F}"/>
              </c:ext>
            </c:extLst>
          </c:dPt>
          <c:dPt>
            <c:idx val="150"/>
            <c:bubble3D val="0"/>
            <c:extLst>
              <c:ext xmlns:c16="http://schemas.microsoft.com/office/drawing/2014/chart" uri="{C3380CC4-5D6E-409C-BE32-E72D297353CC}">
                <c16:uniqueId val="{00000133-F024-6F4B-A084-58E0707C656F}"/>
              </c:ext>
            </c:extLst>
          </c:dPt>
          <c:dPt>
            <c:idx val="151"/>
            <c:bubble3D val="0"/>
            <c:extLst>
              <c:ext xmlns:c16="http://schemas.microsoft.com/office/drawing/2014/chart" uri="{C3380CC4-5D6E-409C-BE32-E72D297353CC}">
                <c16:uniqueId val="{00000135-F024-6F4B-A084-58E0707C656F}"/>
              </c:ext>
            </c:extLst>
          </c:dPt>
          <c:dPt>
            <c:idx val="152"/>
            <c:bubble3D val="0"/>
            <c:extLst>
              <c:ext xmlns:c16="http://schemas.microsoft.com/office/drawing/2014/chart" uri="{C3380CC4-5D6E-409C-BE32-E72D297353CC}">
                <c16:uniqueId val="{00000137-F024-6F4B-A084-58E0707C656F}"/>
              </c:ext>
            </c:extLst>
          </c:dPt>
          <c:dPt>
            <c:idx val="153"/>
            <c:bubble3D val="0"/>
            <c:extLst>
              <c:ext xmlns:c16="http://schemas.microsoft.com/office/drawing/2014/chart" uri="{C3380CC4-5D6E-409C-BE32-E72D297353CC}">
                <c16:uniqueId val="{00000139-F024-6F4B-A084-58E0707C656F}"/>
              </c:ext>
            </c:extLst>
          </c:dPt>
          <c:dPt>
            <c:idx val="154"/>
            <c:bubble3D val="0"/>
            <c:extLst>
              <c:ext xmlns:c16="http://schemas.microsoft.com/office/drawing/2014/chart" uri="{C3380CC4-5D6E-409C-BE32-E72D297353CC}">
                <c16:uniqueId val="{0000013B-F024-6F4B-A084-58E0707C656F}"/>
              </c:ext>
            </c:extLst>
          </c:dPt>
          <c:dPt>
            <c:idx val="155"/>
            <c:bubble3D val="0"/>
            <c:extLst>
              <c:ext xmlns:c16="http://schemas.microsoft.com/office/drawing/2014/chart" uri="{C3380CC4-5D6E-409C-BE32-E72D297353CC}">
                <c16:uniqueId val="{0000013D-F024-6F4B-A084-58E0707C656F}"/>
              </c:ext>
            </c:extLst>
          </c:dPt>
          <c:dPt>
            <c:idx val="156"/>
            <c:bubble3D val="0"/>
            <c:extLst>
              <c:ext xmlns:c16="http://schemas.microsoft.com/office/drawing/2014/chart" uri="{C3380CC4-5D6E-409C-BE32-E72D297353CC}">
                <c16:uniqueId val="{0000013F-F024-6F4B-A084-58E0707C656F}"/>
              </c:ext>
            </c:extLst>
          </c:dPt>
          <c:dPt>
            <c:idx val="157"/>
            <c:bubble3D val="0"/>
            <c:extLst>
              <c:ext xmlns:c16="http://schemas.microsoft.com/office/drawing/2014/chart" uri="{C3380CC4-5D6E-409C-BE32-E72D297353CC}">
                <c16:uniqueId val="{00000141-F024-6F4B-A084-58E0707C656F}"/>
              </c:ext>
            </c:extLst>
          </c:dPt>
          <c:dPt>
            <c:idx val="158"/>
            <c:bubble3D val="0"/>
            <c:extLst>
              <c:ext xmlns:c16="http://schemas.microsoft.com/office/drawing/2014/chart" uri="{C3380CC4-5D6E-409C-BE32-E72D297353CC}">
                <c16:uniqueId val="{00000143-F024-6F4B-A084-58E0707C656F}"/>
              </c:ext>
            </c:extLst>
          </c:dPt>
          <c:dPt>
            <c:idx val="159"/>
            <c:bubble3D val="0"/>
            <c:extLst>
              <c:ext xmlns:c16="http://schemas.microsoft.com/office/drawing/2014/chart" uri="{C3380CC4-5D6E-409C-BE32-E72D297353CC}">
                <c16:uniqueId val="{00000145-F024-6F4B-A084-58E0707C656F}"/>
              </c:ext>
            </c:extLst>
          </c:dPt>
          <c:dPt>
            <c:idx val="160"/>
            <c:bubble3D val="0"/>
            <c:extLst>
              <c:ext xmlns:c16="http://schemas.microsoft.com/office/drawing/2014/chart" uri="{C3380CC4-5D6E-409C-BE32-E72D297353CC}">
                <c16:uniqueId val="{00000147-F024-6F4B-A084-58E0707C656F}"/>
              </c:ext>
            </c:extLst>
          </c:dPt>
          <c:dPt>
            <c:idx val="161"/>
            <c:bubble3D val="0"/>
            <c:extLst>
              <c:ext xmlns:c16="http://schemas.microsoft.com/office/drawing/2014/chart" uri="{C3380CC4-5D6E-409C-BE32-E72D297353CC}">
                <c16:uniqueId val="{00000149-F024-6F4B-A084-58E0707C656F}"/>
              </c:ext>
            </c:extLst>
          </c:dPt>
          <c:dPt>
            <c:idx val="162"/>
            <c:bubble3D val="0"/>
            <c:extLst>
              <c:ext xmlns:c16="http://schemas.microsoft.com/office/drawing/2014/chart" uri="{C3380CC4-5D6E-409C-BE32-E72D297353CC}">
                <c16:uniqueId val="{0000014B-F024-6F4B-A084-58E0707C656F}"/>
              </c:ext>
            </c:extLst>
          </c:dPt>
          <c:dPt>
            <c:idx val="163"/>
            <c:bubble3D val="0"/>
            <c:extLst>
              <c:ext xmlns:c16="http://schemas.microsoft.com/office/drawing/2014/chart" uri="{C3380CC4-5D6E-409C-BE32-E72D297353CC}">
                <c16:uniqueId val="{0000014D-F024-6F4B-A084-58E0707C656F}"/>
              </c:ext>
            </c:extLst>
          </c:dPt>
          <c:dPt>
            <c:idx val="164"/>
            <c:bubble3D val="0"/>
            <c:extLst>
              <c:ext xmlns:c16="http://schemas.microsoft.com/office/drawing/2014/chart" uri="{C3380CC4-5D6E-409C-BE32-E72D297353CC}">
                <c16:uniqueId val="{0000014F-F024-6F4B-A084-58E0707C656F}"/>
              </c:ext>
            </c:extLst>
          </c:dPt>
          <c:dPt>
            <c:idx val="165"/>
            <c:bubble3D val="0"/>
            <c:extLst>
              <c:ext xmlns:c16="http://schemas.microsoft.com/office/drawing/2014/chart" uri="{C3380CC4-5D6E-409C-BE32-E72D297353CC}">
                <c16:uniqueId val="{00000151-F024-6F4B-A084-58E0707C656F}"/>
              </c:ext>
            </c:extLst>
          </c:dPt>
          <c:dPt>
            <c:idx val="166"/>
            <c:bubble3D val="0"/>
            <c:extLst>
              <c:ext xmlns:c16="http://schemas.microsoft.com/office/drawing/2014/chart" uri="{C3380CC4-5D6E-409C-BE32-E72D297353CC}">
                <c16:uniqueId val="{00000153-F024-6F4B-A084-58E0707C656F}"/>
              </c:ext>
            </c:extLst>
          </c:dPt>
          <c:dPt>
            <c:idx val="167"/>
            <c:bubble3D val="0"/>
            <c:extLst>
              <c:ext xmlns:c16="http://schemas.microsoft.com/office/drawing/2014/chart" uri="{C3380CC4-5D6E-409C-BE32-E72D297353CC}">
                <c16:uniqueId val="{00000155-F024-6F4B-A084-58E0707C656F}"/>
              </c:ext>
            </c:extLst>
          </c:dPt>
          <c:dPt>
            <c:idx val="168"/>
            <c:bubble3D val="0"/>
            <c:extLst>
              <c:ext xmlns:c16="http://schemas.microsoft.com/office/drawing/2014/chart" uri="{C3380CC4-5D6E-409C-BE32-E72D297353CC}">
                <c16:uniqueId val="{00000157-F024-6F4B-A084-58E0707C656F}"/>
              </c:ext>
            </c:extLst>
          </c:dPt>
          <c:dPt>
            <c:idx val="169"/>
            <c:bubble3D val="0"/>
            <c:extLst>
              <c:ext xmlns:c16="http://schemas.microsoft.com/office/drawing/2014/chart" uri="{C3380CC4-5D6E-409C-BE32-E72D297353CC}">
                <c16:uniqueId val="{00000159-F024-6F4B-A084-58E0707C656F}"/>
              </c:ext>
            </c:extLst>
          </c:dPt>
          <c:dPt>
            <c:idx val="170"/>
            <c:bubble3D val="0"/>
            <c:extLst>
              <c:ext xmlns:c16="http://schemas.microsoft.com/office/drawing/2014/chart" uri="{C3380CC4-5D6E-409C-BE32-E72D297353CC}">
                <c16:uniqueId val="{0000015B-F024-6F4B-A084-58E0707C656F}"/>
              </c:ext>
            </c:extLst>
          </c:dPt>
          <c:dPt>
            <c:idx val="171"/>
            <c:bubble3D val="0"/>
            <c:extLst>
              <c:ext xmlns:c16="http://schemas.microsoft.com/office/drawing/2014/chart" uri="{C3380CC4-5D6E-409C-BE32-E72D297353CC}">
                <c16:uniqueId val="{0000015D-F024-6F4B-A084-58E0707C656F}"/>
              </c:ext>
            </c:extLst>
          </c:dPt>
          <c:dPt>
            <c:idx val="172"/>
            <c:bubble3D val="0"/>
            <c:extLst>
              <c:ext xmlns:c16="http://schemas.microsoft.com/office/drawing/2014/chart" uri="{C3380CC4-5D6E-409C-BE32-E72D297353CC}">
                <c16:uniqueId val="{0000015F-F024-6F4B-A084-58E0707C656F}"/>
              </c:ext>
            </c:extLst>
          </c:dPt>
          <c:dPt>
            <c:idx val="173"/>
            <c:bubble3D val="0"/>
            <c:extLst>
              <c:ext xmlns:c16="http://schemas.microsoft.com/office/drawing/2014/chart" uri="{C3380CC4-5D6E-409C-BE32-E72D297353CC}">
                <c16:uniqueId val="{00000161-F024-6F4B-A084-58E0707C656F}"/>
              </c:ext>
            </c:extLst>
          </c:dPt>
          <c:dPt>
            <c:idx val="174"/>
            <c:bubble3D val="0"/>
            <c:extLst>
              <c:ext xmlns:c16="http://schemas.microsoft.com/office/drawing/2014/chart" uri="{C3380CC4-5D6E-409C-BE32-E72D297353CC}">
                <c16:uniqueId val="{00000163-F024-6F4B-A084-58E0707C656F}"/>
              </c:ext>
            </c:extLst>
          </c:dPt>
          <c:dPt>
            <c:idx val="175"/>
            <c:bubble3D val="0"/>
            <c:extLst>
              <c:ext xmlns:c16="http://schemas.microsoft.com/office/drawing/2014/chart" uri="{C3380CC4-5D6E-409C-BE32-E72D297353CC}">
                <c16:uniqueId val="{00000165-F024-6F4B-A084-58E0707C656F}"/>
              </c:ext>
            </c:extLst>
          </c:dPt>
          <c:dPt>
            <c:idx val="176"/>
            <c:bubble3D val="0"/>
            <c:extLst>
              <c:ext xmlns:c16="http://schemas.microsoft.com/office/drawing/2014/chart" uri="{C3380CC4-5D6E-409C-BE32-E72D297353CC}">
                <c16:uniqueId val="{00000167-F024-6F4B-A084-58E0707C656F}"/>
              </c:ext>
            </c:extLst>
          </c:dPt>
          <c:dPt>
            <c:idx val="177"/>
            <c:bubble3D val="0"/>
            <c:extLst>
              <c:ext xmlns:c16="http://schemas.microsoft.com/office/drawing/2014/chart" uri="{C3380CC4-5D6E-409C-BE32-E72D297353CC}">
                <c16:uniqueId val="{00000169-F024-6F4B-A084-58E0707C656F}"/>
              </c:ext>
            </c:extLst>
          </c:dPt>
          <c:dPt>
            <c:idx val="178"/>
            <c:bubble3D val="0"/>
            <c:extLst>
              <c:ext xmlns:c16="http://schemas.microsoft.com/office/drawing/2014/chart" uri="{C3380CC4-5D6E-409C-BE32-E72D297353CC}">
                <c16:uniqueId val="{0000016B-F024-6F4B-A084-58E0707C656F}"/>
              </c:ext>
            </c:extLst>
          </c:dPt>
          <c:dPt>
            <c:idx val="179"/>
            <c:bubble3D val="0"/>
            <c:extLst>
              <c:ext xmlns:c16="http://schemas.microsoft.com/office/drawing/2014/chart" uri="{C3380CC4-5D6E-409C-BE32-E72D297353CC}">
                <c16:uniqueId val="{0000016D-F024-6F4B-A084-58E0707C656F}"/>
              </c:ext>
            </c:extLst>
          </c:dPt>
          <c:dPt>
            <c:idx val="180"/>
            <c:bubble3D val="0"/>
            <c:extLst>
              <c:ext xmlns:c16="http://schemas.microsoft.com/office/drawing/2014/chart" uri="{C3380CC4-5D6E-409C-BE32-E72D297353CC}">
                <c16:uniqueId val="{0000016F-F024-6F4B-A084-58E0707C656F}"/>
              </c:ext>
            </c:extLst>
          </c:dPt>
          <c:dPt>
            <c:idx val="181"/>
            <c:bubble3D val="0"/>
            <c:extLst>
              <c:ext xmlns:c16="http://schemas.microsoft.com/office/drawing/2014/chart" uri="{C3380CC4-5D6E-409C-BE32-E72D297353CC}">
                <c16:uniqueId val="{00000171-F024-6F4B-A084-58E0707C656F}"/>
              </c:ext>
            </c:extLst>
          </c:dPt>
          <c:dPt>
            <c:idx val="182"/>
            <c:bubble3D val="0"/>
            <c:extLst>
              <c:ext xmlns:c16="http://schemas.microsoft.com/office/drawing/2014/chart" uri="{C3380CC4-5D6E-409C-BE32-E72D297353CC}">
                <c16:uniqueId val="{00000173-F024-6F4B-A084-58E0707C656F}"/>
              </c:ext>
            </c:extLst>
          </c:dPt>
          <c:dPt>
            <c:idx val="183"/>
            <c:bubble3D val="0"/>
            <c:extLst>
              <c:ext xmlns:c16="http://schemas.microsoft.com/office/drawing/2014/chart" uri="{C3380CC4-5D6E-409C-BE32-E72D297353CC}">
                <c16:uniqueId val="{00000175-F024-6F4B-A084-58E0707C656F}"/>
              </c:ext>
            </c:extLst>
          </c:dPt>
          <c:dPt>
            <c:idx val="184"/>
            <c:bubble3D val="0"/>
            <c:extLst>
              <c:ext xmlns:c16="http://schemas.microsoft.com/office/drawing/2014/chart" uri="{C3380CC4-5D6E-409C-BE32-E72D297353CC}">
                <c16:uniqueId val="{00000177-F024-6F4B-A084-58E0707C656F}"/>
              </c:ext>
            </c:extLst>
          </c:dPt>
          <c:dPt>
            <c:idx val="185"/>
            <c:bubble3D val="0"/>
            <c:extLst>
              <c:ext xmlns:c16="http://schemas.microsoft.com/office/drawing/2014/chart" uri="{C3380CC4-5D6E-409C-BE32-E72D297353CC}">
                <c16:uniqueId val="{00000179-F024-6F4B-A084-58E0707C656F}"/>
              </c:ext>
            </c:extLst>
          </c:dPt>
          <c:dPt>
            <c:idx val="186"/>
            <c:bubble3D val="0"/>
            <c:extLst>
              <c:ext xmlns:c16="http://schemas.microsoft.com/office/drawing/2014/chart" uri="{C3380CC4-5D6E-409C-BE32-E72D297353CC}">
                <c16:uniqueId val="{0000017B-F024-6F4B-A084-58E0707C656F}"/>
              </c:ext>
            </c:extLst>
          </c:dPt>
          <c:dPt>
            <c:idx val="187"/>
            <c:bubble3D val="0"/>
            <c:extLst>
              <c:ext xmlns:c16="http://schemas.microsoft.com/office/drawing/2014/chart" uri="{C3380CC4-5D6E-409C-BE32-E72D297353CC}">
                <c16:uniqueId val="{0000017D-F024-6F4B-A084-58E0707C656F}"/>
              </c:ext>
            </c:extLst>
          </c:dPt>
          <c:dPt>
            <c:idx val="188"/>
            <c:bubble3D val="0"/>
            <c:extLst>
              <c:ext xmlns:c16="http://schemas.microsoft.com/office/drawing/2014/chart" uri="{C3380CC4-5D6E-409C-BE32-E72D297353CC}">
                <c16:uniqueId val="{0000017F-F024-6F4B-A084-58E0707C656F}"/>
              </c:ext>
            </c:extLst>
          </c:dPt>
          <c:dPt>
            <c:idx val="189"/>
            <c:bubble3D val="0"/>
            <c:extLst>
              <c:ext xmlns:c16="http://schemas.microsoft.com/office/drawing/2014/chart" uri="{C3380CC4-5D6E-409C-BE32-E72D297353CC}">
                <c16:uniqueId val="{00000181-F024-6F4B-A084-58E0707C656F}"/>
              </c:ext>
            </c:extLst>
          </c:dPt>
          <c:dPt>
            <c:idx val="190"/>
            <c:bubble3D val="0"/>
            <c:extLst>
              <c:ext xmlns:c16="http://schemas.microsoft.com/office/drawing/2014/chart" uri="{C3380CC4-5D6E-409C-BE32-E72D297353CC}">
                <c16:uniqueId val="{00000183-F024-6F4B-A084-58E0707C656F}"/>
              </c:ext>
            </c:extLst>
          </c:dPt>
          <c:dPt>
            <c:idx val="191"/>
            <c:bubble3D val="0"/>
            <c:extLst>
              <c:ext xmlns:c16="http://schemas.microsoft.com/office/drawing/2014/chart" uri="{C3380CC4-5D6E-409C-BE32-E72D297353CC}">
                <c16:uniqueId val="{00000185-F024-6F4B-A084-58E0707C656F}"/>
              </c:ext>
            </c:extLst>
          </c:dPt>
          <c:dPt>
            <c:idx val="192"/>
            <c:bubble3D val="0"/>
            <c:extLst>
              <c:ext xmlns:c16="http://schemas.microsoft.com/office/drawing/2014/chart" uri="{C3380CC4-5D6E-409C-BE32-E72D297353CC}">
                <c16:uniqueId val="{00000187-F024-6F4B-A084-58E0707C656F}"/>
              </c:ext>
            </c:extLst>
          </c:dPt>
          <c:dLbls>
            <c:dLbl>
              <c:idx val="1"/>
              <c:layout>
                <c:manualLayout>
                  <c:x val="-1.4642856689900396E-2"/>
                  <c:y val="-2.019704362990809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F024-6F4B-A084-58E0707C656F}"/>
                </c:ext>
              </c:extLst>
            </c:dLbl>
            <c:dLbl>
              <c:idx val="191"/>
              <c:layout>
                <c:manualLayout>
                  <c:x val="-1.464285668990049E-2"/>
                  <c:y val="-2.0197043629908099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5-F024-6F4B-A084-58E0707C656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'schertz_violent_and_non XmR '!$A$2:$A$194</c:f>
              <c:numCache>
                <c:formatCode>mmm\-yy</c:formatCode>
                <c:ptCount val="193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  <c:pt idx="51">
                  <c:v>41730</c:v>
                </c:pt>
                <c:pt idx="52">
                  <c:v>41760</c:v>
                </c:pt>
                <c:pt idx="53">
                  <c:v>41791</c:v>
                </c:pt>
                <c:pt idx="54">
                  <c:v>41821</c:v>
                </c:pt>
                <c:pt idx="55">
                  <c:v>41852</c:v>
                </c:pt>
                <c:pt idx="56">
                  <c:v>41883</c:v>
                </c:pt>
                <c:pt idx="57">
                  <c:v>41913</c:v>
                </c:pt>
                <c:pt idx="58">
                  <c:v>41944</c:v>
                </c:pt>
                <c:pt idx="59">
                  <c:v>41974</c:v>
                </c:pt>
                <c:pt idx="60">
                  <c:v>42005</c:v>
                </c:pt>
                <c:pt idx="61">
                  <c:v>42036</c:v>
                </c:pt>
                <c:pt idx="62">
                  <c:v>42064</c:v>
                </c:pt>
                <c:pt idx="63">
                  <c:v>42095</c:v>
                </c:pt>
                <c:pt idx="64">
                  <c:v>42125</c:v>
                </c:pt>
                <c:pt idx="65">
                  <c:v>42156</c:v>
                </c:pt>
                <c:pt idx="66">
                  <c:v>42186</c:v>
                </c:pt>
                <c:pt idx="67">
                  <c:v>42217</c:v>
                </c:pt>
                <c:pt idx="68">
                  <c:v>42248</c:v>
                </c:pt>
                <c:pt idx="69">
                  <c:v>42278</c:v>
                </c:pt>
                <c:pt idx="70">
                  <c:v>42309</c:v>
                </c:pt>
                <c:pt idx="71">
                  <c:v>42339</c:v>
                </c:pt>
                <c:pt idx="72">
                  <c:v>42370</c:v>
                </c:pt>
                <c:pt idx="73">
                  <c:v>42401</c:v>
                </c:pt>
                <c:pt idx="74">
                  <c:v>42430</c:v>
                </c:pt>
                <c:pt idx="75">
                  <c:v>42461</c:v>
                </c:pt>
                <c:pt idx="76">
                  <c:v>42491</c:v>
                </c:pt>
                <c:pt idx="77">
                  <c:v>42522</c:v>
                </c:pt>
                <c:pt idx="78">
                  <c:v>42552</c:v>
                </c:pt>
                <c:pt idx="79">
                  <c:v>42583</c:v>
                </c:pt>
                <c:pt idx="80">
                  <c:v>42614</c:v>
                </c:pt>
                <c:pt idx="81">
                  <c:v>42644</c:v>
                </c:pt>
                <c:pt idx="82">
                  <c:v>42675</c:v>
                </c:pt>
                <c:pt idx="83">
                  <c:v>42705</c:v>
                </c:pt>
                <c:pt idx="84">
                  <c:v>42736</c:v>
                </c:pt>
                <c:pt idx="85">
                  <c:v>42767</c:v>
                </c:pt>
                <c:pt idx="86">
                  <c:v>42795</c:v>
                </c:pt>
                <c:pt idx="87">
                  <c:v>42826</c:v>
                </c:pt>
                <c:pt idx="88">
                  <c:v>42856</c:v>
                </c:pt>
                <c:pt idx="89">
                  <c:v>42887</c:v>
                </c:pt>
                <c:pt idx="90">
                  <c:v>42917</c:v>
                </c:pt>
                <c:pt idx="91">
                  <c:v>42948</c:v>
                </c:pt>
                <c:pt idx="92">
                  <c:v>42979</c:v>
                </c:pt>
                <c:pt idx="93">
                  <c:v>43009</c:v>
                </c:pt>
                <c:pt idx="94">
                  <c:v>43040</c:v>
                </c:pt>
                <c:pt idx="95">
                  <c:v>43070</c:v>
                </c:pt>
                <c:pt idx="96">
                  <c:v>43101</c:v>
                </c:pt>
                <c:pt idx="97">
                  <c:v>43132</c:v>
                </c:pt>
                <c:pt idx="98">
                  <c:v>43160</c:v>
                </c:pt>
                <c:pt idx="99">
                  <c:v>43191</c:v>
                </c:pt>
                <c:pt idx="100">
                  <c:v>43221</c:v>
                </c:pt>
                <c:pt idx="101">
                  <c:v>43252</c:v>
                </c:pt>
                <c:pt idx="102">
                  <c:v>43282</c:v>
                </c:pt>
                <c:pt idx="103">
                  <c:v>43313</c:v>
                </c:pt>
                <c:pt idx="104">
                  <c:v>43344</c:v>
                </c:pt>
                <c:pt idx="105">
                  <c:v>43374</c:v>
                </c:pt>
                <c:pt idx="106">
                  <c:v>43405</c:v>
                </c:pt>
                <c:pt idx="107">
                  <c:v>43435</c:v>
                </c:pt>
                <c:pt idx="108">
                  <c:v>43466</c:v>
                </c:pt>
                <c:pt idx="109">
                  <c:v>43497</c:v>
                </c:pt>
                <c:pt idx="110">
                  <c:v>43525</c:v>
                </c:pt>
                <c:pt idx="111">
                  <c:v>43556</c:v>
                </c:pt>
                <c:pt idx="112">
                  <c:v>43586</c:v>
                </c:pt>
                <c:pt idx="113">
                  <c:v>43617</c:v>
                </c:pt>
                <c:pt idx="114">
                  <c:v>43647</c:v>
                </c:pt>
                <c:pt idx="115">
                  <c:v>43678</c:v>
                </c:pt>
                <c:pt idx="116">
                  <c:v>43709</c:v>
                </c:pt>
                <c:pt idx="117">
                  <c:v>43739</c:v>
                </c:pt>
                <c:pt idx="118">
                  <c:v>43770</c:v>
                </c:pt>
                <c:pt idx="119">
                  <c:v>43800</c:v>
                </c:pt>
                <c:pt idx="120">
                  <c:v>43831</c:v>
                </c:pt>
                <c:pt idx="121">
                  <c:v>43862</c:v>
                </c:pt>
                <c:pt idx="122">
                  <c:v>43891</c:v>
                </c:pt>
                <c:pt idx="123">
                  <c:v>43922</c:v>
                </c:pt>
                <c:pt idx="124">
                  <c:v>43952</c:v>
                </c:pt>
                <c:pt idx="125">
                  <c:v>43983</c:v>
                </c:pt>
                <c:pt idx="126">
                  <c:v>44013</c:v>
                </c:pt>
                <c:pt idx="127">
                  <c:v>44044</c:v>
                </c:pt>
                <c:pt idx="128">
                  <c:v>44075</c:v>
                </c:pt>
                <c:pt idx="129">
                  <c:v>44105</c:v>
                </c:pt>
                <c:pt idx="130">
                  <c:v>44136</c:v>
                </c:pt>
                <c:pt idx="131">
                  <c:v>44166</c:v>
                </c:pt>
                <c:pt idx="132">
                  <c:v>44197</c:v>
                </c:pt>
                <c:pt idx="133">
                  <c:v>44228</c:v>
                </c:pt>
                <c:pt idx="134">
                  <c:v>44256</c:v>
                </c:pt>
                <c:pt idx="135">
                  <c:v>44287</c:v>
                </c:pt>
                <c:pt idx="136">
                  <c:v>44317</c:v>
                </c:pt>
                <c:pt idx="137">
                  <c:v>44348</c:v>
                </c:pt>
                <c:pt idx="138">
                  <c:v>44378</c:v>
                </c:pt>
                <c:pt idx="139">
                  <c:v>44409</c:v>
                </c:pt>
                <c:pt idx="140">
                  <c:v>44440</c:v>
                </c:pt>
                <c:pt idx="141">
                  <c:v>44470</c:v>
                </c:pt>
                <c:pt idx="142">
                  <c:v>44501</c:v>
                </c:pt>
                <c:pt idx="143">
                  <c:v>44531</c:v>
                </c:pt>
                <c:pt idx="144">
                  <c:v>44562</c:v>
                </c:pt>
                <c:pt idx="145">
                  <c:v>44593</c:v>
                </c:pt>
                <c:pt idx="146">
                  <c:v>44621</c:v>
                </c:pt>
                <c:pt idx="147">
                  <c:v>44652</c:v>
                </c:pt>
                <c:pt idx="148">
                  <c:v>44682</c:v>
                </c:pt>
                <c:pt idx="149">
                  <c:v>44713</c:v>
                </c:pt>
                <c:pt idx="150">
                  <c:v>44743</c:v>
                </c:pt>
                <c:pt idx="151">
                  <c:v>44774</c:v>
                </c:pt>
                <c:pt idx="152">
                  <c:v>44805</c:v>
                </c:pt>
                <c:pt idx="153">
                  <c:v>44835</c:v>
                </c:pt>
                <c:pt idx="154">
                  <c:v>44866</c:v>
                </c:pt>
                <c:pt idx="155">
                  <c:v>44896</c:v>
                </c:pt>
                <c:pt idx="156">
                  <c:v>44927</c:v>
                </c:pt>
                <c:pt idx="157">
                  <c:v>44958</c:v>
                </c:pt>
                <c:pt idx="158">
                  <c:v>44986</c:v>
                </c:pt>
                <c:pt idx="159">
                  <c:v>45017</c:v>
                </c:pt>
                <c:pt idx="160">
                  <c:v>45047</c:v>
                </c:pt>
                <c:pt idx="161">
                  <c:v>45078</c:v>
                </c:pt>
                <c:pt idx="162">
                  <c:v>45108</c:v>
                </c:pt>
                <c:pt idx="163">
                  <c:v>45139</c:v>
                </c:pt>
                <c:pt idx="164">
                  <c:v>45170</c:v>
                </c:pt>
                <c:pt idx="165">
                  <c:v>45200</c:v>
                </c:pt>
                <c:pt idx="166">
                  <c:v>45231</c:v>
                </c:pt>
                <c:pt idx="167">
                  <c:v>45261</c:v>
                </c:pt>
                <c:pt idx="168">
                  <c:v>45292</c:v>
                </c:pt>
                <c:pt idx="169">
                  <c:v>45323</c:v>
                </c:pt>
                <c:pt idx="170">
                  <c:v>45352</c:v>
                </c:pt>
                <c:pt idx="171">
                  <c:v>45383</c:v>
                </c:pt>
                <c:pt idx="172">
                  <c:v>45413</c:v>
                </c:pt>
                <c:pt idx="173">
                  <c:v>45444</c:v>
                </c:pt>
                <c:pt idx="174">
                  <c:v>45474</c:v>
                </c:pt>
                <c:pt idx="175">
                  <c:v>45505</c:v>
                </c:pt>
                <c:pt idx="176">
                  <c:v>45536</c:v>
                </c:pt>
                <c:pt idx="177">
                  <c:v>45566</c:v>
                </c:pt>
                <c:pt idx="178">
                  <c:v>45597</c:v>
                </c:pt>
                <c:pt idx="179">
                  <c:v>45627</c:v>
                </c:pt>
                <c:pt idx="180">
                  <c:v>45658</c:v>
                </c:pt>
                <c:pt idx="181">
                  <c:v>45689</c:v>
                </c:pt>
                <c:pt idx="182">
                  <c:v>45717</c:v>
                </c:pt>
                <c:pt idx="183">
                  <c:v>45748</c:v>
                </c:pt>
                <c:pt idx="184">
                  <c:v>45778</c:v>
                </c:pt>
                <c:pt idx="185">
                  <c:v>45809</c:v>
                </c:pt>
                <c:pt idx="186">
                  <c:v>45839</c:v>
                </c:pt>
                <c:pt idx="187">
                  <c:v>45870</c:v>
                </c:pt>
                <c:pt idx="188">
                  <c:v>45901</c:v>
                </c:pt>
                <c:pt idx="189">
                  <c:v>45931</c:v>
                </c:pt>
                <c:pt idx="190">
                  <c:v>45962</c:v>
                </c:pt>
                <c:pt idx="191">
                  <c:v>45992</c:v>
                </c:pt>
                <c:pt idx="192">
                  <c:v>46023</c:v>
                </c:pt>
              </c:numCache>
            </c:numRef>
          </c:cat>
          <c:val>
            <c:numRef>
              <c:f>'schertz_violent_and_non XmR '!$F$2:$F$194</c:f>
              <c:numCache>
                <c:formatCode>0.0</c:formatCode>
                <c:ptCount val="193"/>
                <c:pt idx="0">
                  <c:v>55.666666666666664</c:v>
                </c:pt>
                <c:pt idx="1">
                  <c:v>55.666666666666664</c:v>
                </c:pt>
                <c:pt idx="2">
                  <c:v>55.666666666666664</c:v>
                </c:pt>
                <c:pt idx="3">
                  <c:v>55.666666666666664</c:v>
                </c:pt>
                <c:pt idx="4">
                  <c:v>55.666666666666664</c:v>
                </c:pt>
                <c:pt idx="5">
                  <c:v>55.666666666666664</c:v>
                </c:pt>
                <c:pt idx="6">
                  <c:v>55.666666666666664</c:v>
                </c:pt>
                <c:pt idx="7">
                  <c:v>55.666666666666664</c:v>
                </c:pt>
                <c:pt idx="8">
                  <c:v>55.666666666666664</c:v>
                </c:pt>
                <c:pt idx="9">
                  <c:v>55.666666666666664</c:v>
                </c:pt>
                <c:pt idx="10">
                  <c:v>55.666666666666664</c:v>
                </c:pt>
                <c:pt idx="11">
                  <c:v>55.666666666666664</c:v>
                </c:pt>
                <c:pt idx="12">
                  <c:v>55.666666666666664</c:v>
                </c:pt>
                <c:pt idx="13">
                  <c:v>55.666666666666664</c:v>
                </c:pt>
                <c:pt idx="14">
                  <c:v>55.666666666666664</c:v>
                </c:pt>
                <c:pt idx="15">
                  <c:v>55.666666666666664</c:v>
                </c:pt>
                <c:pt idx="16">
                  <c:v>55.666666666666664</c:v>
                </c:pt>
                <c:pt idx="17">
                  <c:v>55.666666666666664</c:v>
                </c:pt>
                <c:pt idx="18">
                  <c:v>63.357142857142854</c:v>
                </c:pt>
                <c:pt idx="19">
                  <c:v>63.357142857142854</c:v>
                </c:pt>
                <c:pt idx="20">
                  <c:v>63.357142857142854</c:v>
                </c:pt>
                <c:pt idx="21">
                  <c:v>63.357142857142854</c:v>
                </c:pt>
                <c:pt idx="22">
                  <c:v>63.357142857142854</c:v>
                </c:pt>
                <c:pt idx="23">
                  <c:v>63.357142857142854</c:v>
                </c:pt>
                <c:pt idx="24">
                  <c:v>63.357142857142854</c:v>
                </c:pt>
                <c:pt idx="25">
                  <c:v>63.357142857142854</c:v>
                </c:pt>
                <c:pt idx="26">
                  <c:v>63.357142857142854</c:v>
                </c:pt>
                <c:pt idx="27">
                  <c:v>63.357142857142854</c:v>
                </c:pt>
                <c:pt idx="28">
                  <c:v>63.357142857142854</c:v>
                </c:pt>
                <c:pt idx="29">
                  <c:v>63.357142857142854</c:v>
                </c:pt>
                <c:pt idx="30">
                  <c:v>63.357142857142854</c:v>
                </c:pt>
                <c:pt idx="31">
                  <c:v>63.357142857142854</c:v>
                </c:pt>
                <c:pt idx="32">
                  <c:v>56.536585365853661</c:v>
                </c:pt>
                <c:pt idx="33">
                  <c:v>56.536585365853661</c:v>
                </c:pt>
                <c:pt idx="34">
                  <c:v>56.536585365853661</c:v>
                </c:pt>
                <c:pt idx="35">
                  <c:v>56.536585365853661</c:v>
                </c:pt>
                <c:pt idx="36">
                  <c:v>56.536585365853661</c:v>
                </c:pt>
                <c:pt idx="37">
                  <c:v>56.536585365853661</c:v>
                </c:pt>
                <c:pt idx="38">
                  <c:v>56.536585365853661</c:v>
                </c:pt>
                <c:pt idx="39">
                  <c:v>56.536585365853661</c:v>
                </c:pt>
                <c:pt idx="40">
                  <c:v>56.536585365853661</c:v>
                </c:pt>
                <c:pt idx="41">
                  <c:v>56.536585365853661</c:v>
                </c:pt>
                <c:pt idx="42">
                  <c:v>56.536585365853661</c:v>
                </c:pt>
                <c:pt idx="43">
                  <c:v>56.536585365853661</c:v>
                </c:pt>
                <c:pt idx="44">
                  <c:v>56.536585365853661</c:v>
                </c:pt>
                <c:pt idx="45">
                  <c:v>56.536585365853661</c:v>
                </c:pt>
                <c:pt idx="46">
                  <c:v>56.536585365853661</c:v>
                </c:pt>
                <c:pt idx="47">
                  <c:v>56.536585365853661</c:v>
                </c:pt>
                <c:pt idx="48">
                  <c:v>56.536585365853661</c:v>
                </c:pt>
                <c:pt idx="49">
                  <c:v>56.536585365853661</c:v>
                </c:pt>
                <c:pt idx="50">
                  <c:v>56.536585365853661</c:v>
                </c:pt>
                <c:pt idx="51">
                  <c:v>56.536585365853661</c:v>
                </c:pt>
                <c:pt idx="52">
                  <c:v>56.536585365853661</c:v>
                </c:pt>
                <c:pt idx="53">
                  <c:v>56.536585365853661</c:v>
                </c:pt>
                <c:pt idx="54">
                  <c:v>56.536585365853661</c:v>
                </c:pt>
                <c:pt idx="55">
                  <c:v>56.536585365853661</c:v>
                </c:pt>
                <c:pt idx="56">
                  <c:v>56.536585365853661</c:v>
                </c:pt>
                <c:pt idx="57">
                  <c:v>56.536585365853661</c:v>
                </c:pt>
                <c:pt idx="58">
                  <c:v>56.536585365853661</c:v>
                </c:pt>
                <c:pt idx="59">
                  <c:v>56.536585365853661</c:v>
                </c:pt>
                <c:pt idx="60">
                  <c:v>56.536585365853661</c:v>
                </c:pt>
                <c:pt idx="61">
                  <c:v>56.536585365853661</c:v>
                </c:pt>
                <c:pt idx="62">
                  <c:v>56.536585365853661</c:v>
                </c:pt>
                <c:pt idx="63">
                  <c:v>56.536585365853661</c:v>
                </c:pt>
                <c:pt idx="64">
                  <c:v>56.536585365853661</c:v>
                </c:pt>
                <c:pt idx="65">
                  <c:v>56.536585365853661</c:v>
                </c:pt>
                <c:pt idx="66">
                  <c:v>56.536585365853661</c:v>
                </c:pt>
                <c:pt idx="67">
                  <c:v>56.536585365853661</c:v>
                </c:pt>
                <c:pt idx="68">
                  <c:v>56.536585365853661</c:v>
                </c:pt>
                <c:pt idx="69">
                  <c:v>56.536585365853661</c:v>
                </c:pt>
                <c:pt idx="70">
                  <c:v>56.536585365853661</c:v>
                </c:pt>
                <c:pt idx="71">
                  <c:v>56.536585365853661</c:v>
                </c:pt>
                <c:pt idx="72">
                  <c:v>56.536585365853661</c:v>
                </c:pt>
                <c:pt idx="73">
                  <c:v>71.15384615384616</c:v>
                </c:pt>
                <c:pt idx="74">
                  <c:v>71.15384615384616</c:v>
                </c:pt>
                <c:pt idx="75">
                  <c:v>71.15384615384616</c:v>
                </c:pt>
                <c:pt idx="76">
                  <c:v>71.15384615384616</c:v>
                </c:pt>
                <c:pt idx="77">
                  <c:v>71.15384615384616</c:v>
                </c:pt>
                <c:pt idx="78">
                  <c:v>71.15384615384616</c:v>
                </c:pt>
                <c:pt idx="79">
                  <c:v>71.15384615384616</c:v>
                </c:pt>
                <c:pt idx="80">
                  <c:v>71.15384615384616</c:v>
                </c:pt>
                <c:pt idx="81">
                  <c:v>71.15384615384616</c:v>
                </c:pt>
                <c:pt idx="82">
                  <c:v>71.15384615384616</c:v>
                </c:pt>
                <c:pt idx="83">
                  <c:v>71.15384615384616</c:v>
                </c:pt>
                <c:pt idx="84">
                  <c:v>71.15384615384616</c:v>
                </c:pt>
                <c:pt idx="85">
                  <c:v>71.15384615384616</c:v>
                </c:pt>
                <c:pt idx="86">
                  <c:v>60.428571428571431</c:v>
                </c:pt>
                <c:pt idx="87">
                  <c:v>60.428571428571431</c:v>
                </c:pt>
                <c:pt idx="88">
                  <c:v>60.428571428571431</c:v>
                </c:pt>
                <c:pt idx="89">
                  <c:v>60.428571428571431</c:v>
                </c:pt>
                <c:pt idx="90">
                  <c:v>60.428571428571431</c:v>
                </c:pt>
                <c:pt idx="91">
                  <c:v>60.428571428571431</c:v>
                </c:pt>
                <c:pt idx="92">
                  <c:v>60.428571428571431</c:v>
                </c:pt>
                <c:pt idx="93">
                  <c:v>66.545454545454547</c:v>
                </c:pt>
                <c:pt idx="94">
                  <c:v>66.545454545454547</c:v>
                </c:pt>
                <c:pt idx="95">
                  <c:v>66.545454545454547</c:v>
                </c:pt>
                <c:pt idx="96">
                  <c:v>66.545454545454547</c:v>
                </c:pt>
                <c:pt idx="97">
                  <c:v>66.545454545454547</c:v>
                </c:pt>
                <c:pt idx="98">
                  <c:v>66.545454545454547</c:v>
                </c:pt>
                <c:pt idx="99">
                  <c:v>66.545454545454547</c:v>
                </c:pt>
                <c:pt idx="100">
                  <c:v>66.545454545454547</c:v>
                </c:pt>
                <c:pt idx="101">
                  <c:v>66.545454545454547</c:v>
                </c:pt>
                <c:pt idx="102">
                  <c:v>66.545454545454547</c:v>
                </c:pt>
                <c:pt idx="103">
                  <c:v>66.545454545454547</c:v>
                </c:pt>
                <c:pt idx="104">
                  <c:v>51.56</c:v>
                </c:pt>
                <c:pt idx="105">
                  <c:v>51.56</c:v>
                </c:pt>
                <c:pt idx="106">
                  <c:v>51.56</c:v>
                </c:pt>
                <c:pt idx="107">
                  <c:v>51.56</c:v>
                </c:pt>
                <c:pt idx="108">
                  <c:v>51.56</c:v>
                </c:pt>
                <c:pt idx="109">
                  <c:v>51.56</c:v>
                </c:pt>
                <c:pt idx="110">
                  <c:v>51.56</c:v>
                </c:pt>
                <c:pt idx="111">
                  <c:v>51.56</c:v>
                </c:pt>
                <c:pt idx="112">
                  <c:v>51.56</c:v>
                </c:pt>
                <c:pt idx="113">
                  <c:v>51.56</c:v>
                </c:pt>
                <c:pt idx="114">
                  <c:v>51.56</c:v>
                </c:pt>
                <c:pt idx="115">
                  <c:v>51.56</c:v>
                </c:pt>
                <c:pt idx="116">
                  <c:v>51.56</c:v>
                </c:pt>
                <c:pt idx="117">
                  <c:v>51.56</c:v>
                </c:pt>
                <c:pt idx="118">
                  <c:v>51.56</c:v>
                </c:pt>
                <c:pt idx="119">
                  <c:v>51.56</c:v>
                </c:pt>
                <c:pt idx="120">
                  <c:v>51.56</c:v>
                </c:pt>
                <c:pt idx="121">
                  <c:v>51.56</c:v>
                </c:pt>
                <c:pt idx="122">
                  <c:v>51.56</c:v>
                </c:pt>
                <c:pt idx="123">
                  <c:v>51.56</c:v>
                </c:pt>
                <c:pt idx="124">
                  <c:v>51.56</c:v>
                </c:pt>
                <c:pt idx="125">
                  <c:v>51.56</c:v>
                </c:pt>
                <c:pt idx="126">
                  <c:v>51.56</c:v>
                </c:pt>
                <c:pt idx="127">
                  <c:v>51.56</c:v>
                </c:pt>
                <c:pt idx="128">
                  <c:v>51.56</c:v>
                </c:pt>
                <c:pt idx="129">
                  <c:v>37.19047619047619</c:v>
                </c:pt>
                <c:pt idx="130">
                  <c:v>37.19047619047619</c:v>
                </c:pt>
                <c:pt idx="131">
                  <c:v>37.19047619047619</c:v>
                </c:pt>
                <c:pt idx="132">
                  <c:v>37.19047619047619</c:v>
                </c:pt>
                <c:pt idx="133">
                  <c:v>37.19047619047619</c:v>
                </c:pt>
                <c:pt idx="134">
                  <c:v>37.19047619047619</c:v>
                </c:pt>
                <c:pt idx="135">
                  <c:v>37.19047619047619</c:v>
                </c:pt>
                <c:pt idx="136">
                  <c:v>37.19047619047619</c:v>
                </c:pt>
                <c:pt idx="137">
                  <c:v>37.19047619047619</c:v>
                </c:pt>
                <c:pt idx="138">
                  <c:v>37.19047619047619</c:v>
                </c:pt>
                <c:pt idx="139">
                  <c:v>37.19047619047619</c:v>
                </c:pt>
                <c:pt idx="140">
                  <c:v>37.19047619047619</c:v>
                </c:pt>
                <c:pt idx="141">
                  <c:v>37.19047619047619</c:v>
                </c:pt>
                <c:pt idx="142">
                  <c:v>37.19047619047619</c:v>
                </c:pt>
                <c:pt idx="143">
                  <c:v>37.19047619047619</c:v>
                </c:pt>
                <c:pt idx="144">
                  <c:v>37.19047619047619</c:v>
                </c:pt>
                <c:pt idx="145">
                  <c:v>37.19047619047619</c:v>
                </c:pt>
                <c:pt idx="146">
                  <c:v>37.19047619047619</c:v>
                </c:pt>
                <c:pt idx="147">
                  <c:v>37.19047619047619</c:v>
                </c:pt>
                <c:pt idx="148">
                  <c:v>37.19047619047619</c:v>
                </c:pt>
                <c:pt idx="149">
                  <c:v>37.19047619047619</c:v>
                </c:pt>
                <c:pt idx="150">
                  <c:v>51.4</c:v>
                </c:pt>
                <c:pt idx="151">
                  <c:v>51.4</c:v>
                </c:pt>
                <c:pt idx="152">
                  <c:v>51.4</c:v>
                </c:pt>
                <c:pt idx="153">
                  <c:v>51.4</c:v>
                </c:pt>
                <c:pt idx="154">
                  <c:v>51.4</c:v>
                </c:pt>
                <c:pt idx="155">
                  <c:v>43.642857142857146</c:v>
                </c:pt>
                <c:pt idx="156">
                  <c:v>43.642857142857146</c:v>
                </c:pt>
                <c:pt idx="157">
                  <c:v>43.642857142857146</c:v>
                </c:pt>
                <c:pt idx="158">
                  <c:v>43.642857142857146</c:v>
                </c:pt>
                <c:pt idx="159">
                  <c:v>43.642857142857146</c:v>
                </c:pt>
                <c:pt idx="160">
                  <c:v>43.642857142857146</c:v>
                </c:pt>
                <c:pt idx="161">
                  <c:v>43.642857142857146</c:v>
                </c:pt>
                <c:pt idx="162">
                  <c:v>43.642857142857146</c:v>
                </c:pt>
                <c:pt idx="163">
                  <c:v>43.642857142857146</c:v>
                </c:pt>
                <c:pt idx="164">
                  <c:v>43.642857142857146</c:v>
                </c:pt>
                <c:pt idx="165">
                  <c:v>43.642857142857146</c:v>
                </c:pt>
                <c:pt idx="166">
                  <c:v>43.642857142857146</c:v>
                </c:pt>
                <c:pt idx="167">
                  <c:v>43.642857142857146</c:v>
                </c:pt>
                <c:pt idx="168">
                  <c:v>43.642857142857146</c:v>
                </c:pt>
                <c:pt idx="169">
                  <c:v>35.866666666666667</c:v>
                </c:pt>
                <c:pt idx="170">
                  <c:v>35.866666666666667</c:v>
                </c:pt>
                <c:pt idx="171">
                  <c:v>35.866666666666667</c:v>
                </c:pt>
                <c:pt idx="172">
                  <c:v>35.866666666666667</c:v>
                </c:pt>
                <c:pt idx="173">
                  <c:v>35.866666666666667</c:v>
                </c:pt>
                <c:pt idx="174">
                  <c:v>35.866666666666667</c:v>
                </c:pt>
                <c:pt idx="175">
                  <c:v>35.866666666666667</c:v>
                </c:pt>
                <c:pt idx="176">
                  <c:v>35.866666666666667</c:v>
                </c:pt>
                <c:pt idx="177">
                  <c:v>35.866666666666667</c:v>
                </c:pt>
                <c:pt idx="178">
                  <c:v>35.866666666666667</c:v>
                </c:pt>
                <c:pt idx="179">
                  <c:v>35.866666666666667</c:v>
                </c:pt>
                <c:pt idx="180">
                  <c:v>35.866666666666667</c:v>
                </c:pt>
                <c:pt idx="181">
                  <c:v>35.866666666666667</c:v>
                </c:pt>
                <c:pt idx="182">
                  <c:v>35.866666666666667</c:v>
                </c:pt>
                <c:pt idx="183">
                  <c:v>35.866666666666667</c:v>
                </c:pt>
                <c:pt idx="184">
                  <c:v>38.333333333333336</c:v>
                </c:pt>
                <c:pt idx="185">
                  <c:v>38.333333333333336</c:v>
                </c:pt>
                <c:pt idx="186">
                  <c:v>38.333333333333336</c:v>
                </c:pt>
                <c:pt idx="187">
                  <c:v>38.333333333333336</c:v>
                </c:pt>
                <c:pt idx="188">
                  <c:v>38.333333333333336</c:v>
                </c:pt>
                <c:pt idx="189">
                  <c:v>38.333333333333336</c:v>
                </c:pt>
                <c:pt idx="190">
                  <c:v>38.333333333333336</c:v>
                </c:pt>
                <c:pt idx="191">
                  <c:v>38.333333333333336</c:v>
                </c:pt>
                <c:pt idx="192">
                  <c:v>38.333333333333336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88-F024-6F4B-A084-58E0707C656F}"/>
            </c:ext>
          </c:extLst>
        </c:ser>
        <c:ser>
          <c:idx val="5"/>
          <c:order val="5"/>
          <c:tx>
            <c:strRef>
              <c:f>'schertz_violent_and_non XmR '!$G$1</c:f>
              <c:strCache>
                <c:ptCount val="1"/>
                <c:pt idx="0">
                  <c:v> -1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'schertz_violent_and_non XmR '!$A$2:$A$194</c:f>
              <c:numCache>
                <c:formatCode>mmm\-yy</c:formatCode>
                <c:ptCount val="193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  <c:pt idx="51">
                  <c:v>41730</c:v>
                </c:pt>
                <c:pt idx="52">
                  <c:v>41760</c:v>
                </c:pt>
                <c:pt idx="53">
                  <c:v>41791</c:v>
                </c:pt>
                <c:pt idx="54">
                  <c:v>41821</c:v>
                </c:pt>
                <c:pt idx="55">
                  <c:v>41852</c:v>
                </c:pt>
                <c:pt idx="56">
                  <c:v>41883</c:v>
                </c:pt>
                <c:pt idx="57">
                  <c:v>41913</c:v>
                </c:pt>
                <c:pt idx="58">
                  <c:v>41944</c:v>
                </c:pt>
                <c:pt idx="59">
                  <c:v>41974</c:v>
                </c:pt>
                <c:pt idx="60">
                  <c:v>42005</c:v>
                </c:pt>
                <c:pt idx="61">
                  <c:v>42036</c:v>
                </c:pt>
                <c:pt idx="62">
                  <c:v>42064</c:v>
                </c:pt>
                <c:pt idx="63">
                  <c:v>42095</c:v>
                </c:pt>
                <c:pt idx="64">
                  <c:v>42125</c:v>
                </c:pt>
                <c:pt idx="65">
                  <c:v>42156</c:v>
                </c:pt>
                <c:pt idx="66">
                  <c:v>42186</c:v>
                </c:pt>
                <c:pt idx="67">
                  <c:v>42217</c:v>
                </c:pt>
                <c:pt idx="68">
                  <c:v>42248</c:v>
                </c:pt>
                <c:pt idx="69">
                  <c:v>42278</c:v>
                </c:pt>
                <c:pt idx="70">
                  <c:v>42309</c:v>
                </c:pt>
                <c:pt idx="71">
                  <c:v>42339</c:v>
                </c:pt>
                <c:pt idx="72">
                  <c:v>42370</c:v>
                </c:pt>
                <c:pt idx="73">
                  <c:v>42401</c:v>
                </c:pt>
                <c:pt idx="74">
                  <c:v>42430</c:v>
                </c:pt>
                <c:pt idx="75">
                  <c:v>42461</c:v>
                </c:pt>
                <c:pt idx="76">
                  <c:v>42491</c:v>
                </c:pt>
                <c:pt idx="77">
                  <c:v>42522</c:v>
                </c:pt>
                <c:pt idx="78">
                  <c:v>42552</c:v>
                </c:pt>
                <c:pt idx="79">
                  <c:v>42583</c:v>
                </c:pt>
                <c:pt idx="80">
                  <c:v>42614</c:v>
                </c:pt>
                <c:pt idx="81">
                  <c:v>42644</c:v>
                </c:pt>
                <c:pt idx="82">
                  <c:v>42675</c:v>
                </c:pt>
                <c:pt idx="83">
                  <c:v>42705</c:v>
                </c:pt>
                <c:pt idx="84">
                  <c:v>42736</c:v>
                </c:pt>
                <c:pt idx="85">
                  <c:v>42767</c:v>
                </c:pt>
                <c:pt idx="86">
                  <c:v>42795</c:v>
                </c:pt>
                <c:pt idx="87">
                  <c:v>42826</c:v>
                </c:pt>
                <c:pt idx="88">
                  <c:v>42856</c:v>
                </c:pt>
                <c:pt idx="89">
                  <c:v>42887</c:v>
                </c:pt>
                <c:pt idx="90">
                  <c:v>42917</c:v>
                </c:pt>
                <c:pt idx="91">
                  <c:v>42948</c:v>
                </c:pt>
                <c:pt idx="92">
                  <c:v>42979</c:v>
                </c:pt>
                <c:pt idx="93">
                  <c:v>43009</c:v>
                </c:pt>
                <c:pt idx="94">
                  <c:v>43040</c:v>
                </c:pt>
                <c:pt idx="95">
                  <c:v>43070</c:v>
                </c:pt>
                <c:pt idx="96">
                  <c:v>43101</c:v>
                </c:pt>
                <c:pt idx="97">
                  <c:v>43132</c:v>
                </c:pt>
                <c:pt idx="98">
                  <c:v>43160</c:v>
                </c:pt>
                <c:pt idx="99">
                  <c:v>43191</c:v>
                </c:pt>
                <c:pt idx="100">
                  <c:v>43221</c:v>
                </c:pt>
                <c:pt idx="101">
                  <c:v>43252</c:v>
                </c:pt>
                <c:pt idx="102">
                  <c:v>43282</c:v>
                </c:pt>
                <c:pt idx="103">
                  <c:v>43313</c:v>
                </c:pt>
                <c:pt idx="104">
                  <c:v>43344</c:v>
                </c:pt>
                <c:pt idx="105">
                  <c:v>43374</c:v>
                </c:pt>
                <c:pt idx="106">
                  <c:v>43405</c:v>
                </c:pt>
                <c:pt idx="107">
                  <c:v>43435</c:v>
                </c:pt>
                <c:pt idx="108">
                  <c:v>43466</c:v>
                </c:pt>
                <c:pt idx="109">
                  <c:v>43497</c:v>
                </c:pt>
                <c:pt idx="110">
                  <c:v>43525</c:v>
                </c:pt>
                <c:pt idx="111">
                  <c:v>43556</c:v>
                </c:pt>
                <c:pt idx="112">
                  <c:v>43586</c:v>
                </c:pt>
                <c:pt idx="113">
                  <c:v>43617</c:v>
                </c:pt>
                <c:pt idx="114">
                  <c:v>43647</c:v>
                </c:pt>
                <c:pt idx="115">
                  <c:v>43678</c:v>
                </c:pt>
                <c:pt idx="116">
                  <c:v>43709</c:v>
                </c:pt>
                <c:pt idx="117">
                  <c:v>43739</c:v>
                </c:pt>
                <c:pt idx="118">
                  <c:v>43770</c:v>
                </c:pt>
                <c:pt idx="119">
                  <c:v>43800</c:v>
                </c:pt>
                <c:pt idx="120">
                  <c:v>43831</c:v>
                </c:pt>
                <c:pt idx="121">
                  <c:v>43862</c:v>
                </c:pt>
                <c:pt idx="122">
                  <c:v>43891</c:v>
                </c:pt>
                <c:pt idx="123">
                  <c:v>43922</c:v>
                </c:pt>
                <c:pt idx="124">
                  <c:v>43952</c:v>
                </c:pt>
                <c:pt idx="125">
                  <c:v>43983</c:v>
                </c:pt>
                <c:pt idx="126">
                  <c:v>44013</c:v>
                </c:pt>
                <c:pt idx="127">
                  <c:v>44044</c:v>
                </c:pt>
                <c:pt idx="128">
                  <c:v>44075</c:v>
                </c:pt>
                <c:pt idx="129">
                  <c:v>44105</c:v>
                </c:pt>
                <c:pt idx="130">
                  <c:v>44136</c:v>
                </c:pt>
                <c:pt idx="131">
                  <c:v>44166</c:v>
                </c:pt>
                <c:pt idx="132">
                  <c:v>44197</c:v>
                </c:pt>
                <c:pt idx="133">
                  <c:v>44228</c:v>
                </c:pt>
                <c:pt idx="134">
                  <c:v>44256</c:v>
                </c:pt>
                <c:pt idx="135">
                  <c:v>44287</c:v>
                </c:pt>
                <c:pt idx="136">
                  <c:v>44317</c:v>
                </c:pt>
                <c:pt idx="137">
                  <c:v>44348</c:v>
                </c:pt>
                <c:pt idx="138">
                  <c:v>44378</c:v>
                </c:pt>
                <c:pt idx="139">
                  <c:v>44409</c:v>
                </c:pt>
                <c:pt idx="140">
                  <c:v>44440</c:v>
                </c:pt>
                <c:pt idx="141">
                  <c:v>44470</c:v>
                </c:pt>
                <c:pt idx="142">
                  <c:v>44501</c:v>
                </c:pt>
                <c:pt idx="143">
                  <c:v>44531</c:v>
                </c:pt>
                <c:pt idx="144">
                  <c:v>44562</c:v>
                </c:pt>
                <c:pt idx="145">
                  <c:v>44593</c:v>
                </c:pt>
                <c:pt idx="146">
                  <c:v>44621</c:v>
                </c:pt>
                <c:pt idx="147">
                  <c:v>44652</c:v>
                </c:pt>
                <c:pt idx="148">
                  <c:v>44682</c:v>
                </c:pt>
                <c:pt idx="149">
                  <c:v>44713</c:v>
                </c:pt>
                <c:pt idx="150">
                  <c:v>44743</c:v>
                </c:pt>
                <c:pt idx="151">
                  <c:v>44774</c:v>
                </c:pt>
                <c:pt idx="152">
                  <c:v>44805</c:v>
                </c:pt>
                <c:pt idx="153">
                  <c:v>44835</c:v>
                </c:pt>
                <c:pt idx="154">
                  <c:v>44866</c:v>
                </c:pt>
                <c:pt idx="155">
                  <c:v>44896</c:v>
                </c:pt>
                <c:pt idx="156">
                  <c:v>44927</c:v>
                </c:pt>
                <c:pt idx="157">
                  <c:v>44958</c:v>
                </c:pt>
                <c:pt idx="158">
                  <c:v>44986</c:v>
                </c:pt>
                <c:pt idx="159">
                  <c:v>45017</c:v>
                </c:pt>
                <c:pt idx="160">
                  <c:v>45047</c:v>
                </c:pt>
                <c:pt idx="161">
                  <c:v>45078</c:v>
                </c:pt>
                <c:pt idx="162">
                  <c:v>45108</c:v>
                </c:pt>
                <c:pt idx="163">
                  <c:v>45139</c:v>
                </c:pt>
                <c:pt idx="164">
                  <c:v>45170</c:v>
                </c:pt>
                <c:pt idx="165">
                  <c:v>45200</c:v>
                </c:pt>
                <c:pt idx="166">
                  <c:v>45231</c:v>
                </c:pt>
                <c:pt idx="167">
                  <c:v>45261</c:v>
                </c:pt>
                <c:pt idx="168">
                  <c:v>45292</c:v>
                </c:pt>
                <c:pt idx="169">
                  <c:v>45323</c:v>
                </c:pt>
                <c:pt idx="170">
                  <c:v>45352</c:v>
                </c:pt>
                <c:pt idx="171">
                  <c:v>45383</c:v>
                </c:pt>
                <c:pt idx="172">
                  <c:v>45413</c:v>
                </c:pt>
                <c:pt idx="173">
                  <c:v>45444</c:v>
                </c:pt>
                <c:pt idx="174">
                  <c:v>45474</c:v>
                </c:pt>
                <c:pt idx="175">
                  <c:v>45505</c:v>
                </c:pt>
                <c:pt idx="176">
                  <c:v>45536</c:v>
                </c:pt>
                <c:pt idx="177">
                  <c:v>45566</c:v>
                </c:pt>
                <c:pt idx="178">
                  <c:v>45597</c:v>
                </c:pt>
                <c:pt idx="179">
                  <c:v>45627</c:v>
                </c:pt>
                <c:pt idx="180">
                  <c:v>45658</c:v>
                </c:pt>
                <c:pt idx="181">
                  <c:v>45689</c:v>
                </c:pt>
                <c:pt idx="182">
                  <c:v>45717</c:v>
                </c:pt>
                <c:pt idx="183">
                  <c:v>45748</c:v>
                </c:pt>
                <c:pt idx="184">
                  <c:v>45778</c:v>
                </c:pt>
                <c:pt idx="185">
                  <c:v>45809</c:v>
                </c:pt>
                <c:pt idx="186">
                  <c:v>45839</c:v>
                </c:pt>
                <c:pt idx="187">
                  <c:v>45870</c:v>
                </c:pt>
                <c:pt idx="188">
                  <c:v>45901</c:v>
                </c:pt>
                <c:pt idx="189">
                  <c:v>45931</c:v>
                </c:pt>
                <c:pt idx="190">
                  <c:v>45962</c:v>
                </c:pt>
                <c:pt idx="191">
                  <c:v>45992</c:v>
                </c:pt>
                <c:pt idx="192">
                  <c:v>46023</c:v>
                </c:pt>
              </c:numCache>
            </c:numRef>
          </c:cat>
          <c:val>
            <c:numRef>
              <c:f>'schertz_violent_and_non XmR '!$G$2:$G$194</c:f>
              <c:numCache>
                <c:formatCode>0.0</c:formatCode>
                <c:ptCount val="193"/>
                <c:pt idx="0">
                  <c:v>45.652549019607839</c:v>
                </c:pt>
                <c:pt idx="1">
                  <c:v>45.652549019607839</c:v>
                </c:pt>
                <c:pt idx="2">
                  <c:v>45.652549019607839</c:v>
                </c:pt>
                <c:pt idx="3">
                  <c:v>45.652549019607839</c:v>
                </c:pt>
                <c:pt idx="4">
                  <c:v>45.652549019607839</c:v>
                </c:pt>
                <c:pt idx="5">
                  <c:v>45.652549019607839</c:v>
                </c:pt>
                <c:pt idx="6">
                  <c:v>45.652549019607839</c:v>
                </c:pt>
                <c:pt idx="7">
                  <c:v>45.652549019607839</c:v>
                </c:pt>
                <c:pt idx="8">
                  <c:v>45.652549019607839</c:v>
                </c:pt>
                <c:pt idx="9">
                  <c:v>45.652549019607839</c:v>
                </c:pt>
                <c:pt idx="10">
                  <c:v>45.652549019607839</c:v>
                </c:pt>
                <c:pt idx="11">
                  <c:v>45.652549019607839</c:v>
                </c:pt>
                <c:pt idx="12">
                  <c:v>45.652549019607839</c:v>
                </c:pt>
                <c:pt idx="13">
                  <c:v>45.652549019607839</c:v>
                </c:pt>
                <c:pt idx="14">
                  <c:v>45.652549019607839</c:v>
                </c:pt>
                <c:pt idx="15">
                  <c:v>45.652549019607839</c:v>
                </c:pt>
                <c:pt idx="16">
                  <c:v>45.652549019607839</c:v>
                </c:pt>
                <c:pt idx="17">
                  <c:v>45.652549019607839</c:v>
                </c:pt>
                <c:pt idx="18">
                  <c:v>56.517142857142851</c:v>
                </c:pt>
                <c:pt idx="19">
                  <c:v>56.517142857142851</c:v>
                </c:pt>
                <c:pt idx="20">
                  <c:v>56.517142857142851</c:v>
                </c:pt>
                <c:pt idx="21">
                  <c:v>56.517142857142851</c:v>
                </c:pt>
                <c:pt idx="22">
                  <c:v>56.517142857142851</c:v>
                </c:pt>
                <c:pt idx="23">
                  <c:v>56.517142857142851</c:v>
                </c:pt>
                <c:pt idx="24">
                  <c:v>56.517142857142851</c:v>
                </c:pt>
                <c:pt idx="25">
                  <c:v>56.517142857142851</c:v>
                </c:pt>
                <c:pt idx="26">
                  <c:v>56.517142857142851</c:v>
                </c:pt>
                <c:pt idx="27">
                  <c:v>56.517142857142851</c:v>
                </c:pt>
                <c:pt idx="28">
                  <c:v>56.517142857142851</c:v>
                </c:pt>
                <c:pt idx="29">
                  <c:v>56.517142857142851</c:v>
                </c:pt>
                <c:pt idx="30">
                  <c:v>56.517142857142851</c:v>
                </c:pt>
                <c:pt idx="31">
                  <c:v>56.517142857142851</c:v>
                </c:pt>
                <c:pt idx="32">
                  <c:v>48.5349593495935</c:v>
                </c:pt>
                <c:pt idx="33">
                  <c:v>48.5349593495935</c:v>
                </c:pt>
                <c:pt idx="34">
                  <c:v>48.5349593495935</c:v>
                </c:pt>
                <c:pt idx="35">
                  <c:v>48.5349593495935</c:v>
                </c:pt>
                <c:pt idx="36">
                  <c:v>48.5349593495935</c:v>
                </c:pt>
                <c:pt idx="37">
                  <c:v>48.5349593495935</c:v>
                </c:pt>
                <c:pt idx="38">
                  <c:v>48.5349593495935</c:v>
                </c:pt>
                <c:pt idx="39">
                  <c:v>48.5349593495935</c:v>
                </c:pt>
                <c:pt idx="40">
                  <c:v>48.5349593495935</c:v>
                </c:pt>
                <c:pt idx="41">
                  <c:v>48.5349593495935</c:v>
                </c:pt>
                <c:pt idx="42">
                  <c:v>48.5349593495935</c:v>
                </c:pt>
                <c:pt idx="43">
                  <c:v>48.5349593495935</c:v>
                </c:pt>
                <c:pt idx="44">
                  <c:v>48.5349593495935</c:v>
                </c:pt>
                <c:pt idx="45">
                  <c:v>48.5349593495935</c:v>
                </c:pt>
                <c:pt idx="46">
                  <c:v>48.5349593495935</c:v>
                </c:pt>
                <c:pt idx="47">
                  <c:v>48.5349593495935</c:v>
                </c:pt>
                <c:pt idx="48">
                  <c:v>48.5349593495935</c:v>
                </c:pt>
                <c:pt idx="49">
                  <c:v>48.5349593495935</c:v>
                </c:pt>
                <c:pt idx="50">
                  <c:v>48.5349593495935</c:v>
                </c:pt>
                <c:pt idx="51">
                  <c:v>48.5349593495935</c:v>
                </c:pt>
                <c:pt idx="52">
                  <c:v>48.5349593495935</c:v>
                </c:pt>
                <c:pt idx="53">
                  <c:v>48.5349593495935</c:v>
                </c:pt>
                <c:pt idx="54">
                  <c:v>48.5349593495935</c:v>
                </c:pt>
                <c:pt idx="55">
                  <c:v>48.5349593495935</c:v>
                </c:pt>
                <c:pt idx="56">
                  <c:v>48.5349593495935</c:v>
                </c:pt>
                <c:pt idx="57">
                  <c:v>48.5349593495935</c:v>
                </c:pt>
                <c:pt idx="58">
                  <c:v>48.5349593495935</c:v>
                </c:pt>
                <c:pt idx="59">
                  <c:v>48.5349593495935</c:v>
                </c:pt>
                <c:pt idx="60">
                  <c:v>48.5349593495935</c:v>
                </c:pt>
                <c:pt idx="61">
                  <c:v>48.5349593495935</c:v>
                </c:pt>
                <c:pt idx="62">
                  <c:v>48.5349593495935</c:v>
                </c:pt>
                <c:pt idx="63">
                  <c:v>48.5349593495935</c:v>
                </c:pt>
                <c:pt idx="64">
                  <c:v>48.5349593495935</c:v>
                </c:pt>
                <c:pt idx="65">
                  <c:v>48.5349593495935</c:v>
                </c:pt>
                <c:pt idx="66">
                  <c:v>48.5349593495935</c:v>
                </c:pt>
                <c:pt idx="67">
                  <c:v>48.5349593495935</c:v>
                </c:pt>
                <c:pt idx="68">
                  <c:v>48.5349593495935</c:v>
                </c:pt>
                <c:pt idx="69">
                  <c:v>48.5349593495935</c:v>
                </c:pt>
                <c:pt idx="70">
                  <c:v>48.5349593495935</c:v>
                </c:pt>
                <c:pt idx="71">
                  <c:v>48.5349593495935</c:v>
                </c:pt>
                <c:pt idx="72">
                  <c:v>48.5349593495935</c:v>
                </c:pt>
                <c:pt idx="73">
                  <c:v>65.697435897435909</c:v>
                </c:pt>
                <c:pt idx="74">
                  <c:v>65.697435897435909</c:v>
                </c:pt>
                <c:pt idx="75">
                  <c:v>65.697435897435909</c:v>
                </c:pt>
                <c:pt idx="76">
                  <c:v>65.697435897435909</c:v>
                </c:pt>
                <c:pt idx="77">
                  <c:v>65.697435897435909</c:v>
                </c:pt>
                <c:pt idx="78">
                  <c:v>65.697435897435909</c:v>
                </c:pt>
                <c:pt idx="79">
                  <c:v>65.697435897435909</c:v>
                </c:pt>
                <c:pt idx="80">
                  <c:v>65.697435897435909</c:v>
                </c:pt>
                <c:pt idx="81">
                  <c:v>65.697435897435909</c:v>
                </c:pt>
                <c:pt idx="82">
                  <c:v>65.697435897435909</c:v>
                </c:pt>
                <c:pt idx="83">
                  <c:v>65.697435897435909</c:v>
                </c:pt>
                <c:pt idx="84">
                  <c:v>65.697435897435909</c:v>
                </c:pt>
                <c:pt idx="85">
                  <c:v>65.697435897435909</c:v>
                </c:pt>
                <c:pt idx="86">
                  <c:v>49.661904761904765</c:v>
                </c:pt>
                <c:pt idx="87">
                  <c:v>49.661904761904765</c:v>
                </c:pt>
                <c:pt idx="88">
                  <c:v>49.661904761904765</c:v>
                </c:pt>
                <c:pt idx="89">
                  <c:v>49.661904761904765</c:v>
                </c:pt>
                <c:pt idx="90">
                  <c:v>49.661904761904765</c:v>
                </c:pt>
                <c:pt idx="91">
                  <c:v>49.661904761904765</c:v>
                </c:pt>
                <c:pt idx="92">
                  <c:v>49.661904761904765</c:v>
                </c:pt>
                <c:pt idx="93">
                  <c:v>56.066666666666663</c:v>
                </c:pt>
                <c:pt idx="94">
                  <c:v>56.066666666666663</c:v>
                </c:pt>
                <c:pt idx="95">
                  <c:v>56.066666666666663</c:v>
                </c:pt>
                <c:pt idx="96">
                  <c:v>56.066666666666663</c:v>
                </c:pt>
                <c:pt idx="97">
                  <c:v>56.066666666666663</c:v>
                </c:pt>
                <c:pt idx="98">
                  <c:v>56.066666666666663</c:v>
                </c:pt>
                <c:pt idx="99">
                  <c:v>56.066666666666663</c:v>
                </c:pt>
                <c:pt idx="100">
                  <c:v>56.066666666666663</c:v>
                </c:pt>
                <c:pt idx="101">
                  <c:v>56.066666666666663</c:v>
                </c:pt>
                <c:pt idx="102">
                  <c:v>56.066666666666663</c:v>
                </c:pt>
                <c:pt idx="103">
                  <c:v>56.066666666666663</c:v>
                </c:pt>
                <c:pt idx="104">
                  <c:v>40.458933333333334</c:v>
                </c:pt>
                <c:pt idx="105">
                  <c:v>40.458933333333334</c:v>
                </c:pt>
                <c:pt idx="106">
                  <c:v>40.458933333333334</c:v>
                </c:pt>
                <c:pt idx="107">
                  <c:v>40.458933333333334</c:v>
                </c:pt>
                <c:pt idx="108">
                  <c:v>40.458933333333334</c:v>
                </c:pt>
                <c:pt idx="109">
                  <c:v>40.458933333333334</c:v>
                </c:pt>
                <c:pt idx="110">
                  <c:v>40.458933333333334</c:v>
                </c:pt>
                <c:pt idx="111">
                  <c:v>40.458933333333334</c:v>
                </c:pt>
                <c:pt idx="112">
                  <c:v>40.458933333333334</c:v>
                </c:pt>
                <c:pt idx="113">
                  <c:v>40.458933333333334</c:v>
                </c:pt>
                <c:pt idx="114">
                  <c:v>40.458933333333334</c:v>
                </c:pt>
                <c:pt idx="115">
                  <c:v>40.458933333333334</c:v>
                </c:pt>
                <c:pt idx="116">
                  <c:v>40.458933333333334</c:v>
                </c:pt>
                <c:pt idx="117">
                  <c:v>40.458933333333334</c:v>
                </c:pt>
                <c:pt idx="118">
                  <c:v>40.458933333333334</c:v>
                </c:pt>
                <c:pt idx="119">
                  <c:v>40.458933333333334</c:v>
                </c:pt>
                <c:pt idx="120">
                  <c:v>40.458933333333334</c:v>
                </c:pt>
                <c:pt idx="121">
                  <c:v>40.458933333333334</c:v>
                </c:pt>
                <c:pt idx="122">
                  <c:v>40.458933333333334</c:v>
                </c:pt>
                <c:pt idx="123">
                  <c:v>40.458933333333334</c:v>
                </c:pt>
                <c:pt idx="124">
                  <c:v>40.458933333333334</c:v>
                </c:pt>
                <c:pt idx="125">
                  <c:v>40.458933333333334</c:v>
                </c:pt>
                <c:pt idx="126">
                  <c:v>40.458933333333334</c:v>
                </c:pt>
                <c:pt idx="127">
                  <c:v>40.458933333333334</c:v>
                </c:pt>
                <c:pt idx="128">
                  <c:v>40.458933333333334</c:v>
                </c:pt>
                <c:pt idx="129">
                  <c:v>29.801587301587301</c:v>
                </c:pt>
                <c:pt idx="130">
                  <c:v>29.801587301587301</c:v>
                </c:pt>
                <c:pt idx="131">
                  <c:v>29.801587301587301</c:v>
                </c:pt>
                <c:pt idx="132">
                  <c:v>29.801587301587301</c:v>
                </c:pt>
                <c:pt idx="133">
                  <c:v>29.801587301587301</c:v>
                </c:pt>
                <c:pt idx="134">
                  <c:v>29.801587301587301</c:v>
                </c:pt>
                <c:pt idx="135">
                  <c:v>29.801587301587301</c:v>
                </c:pt>
                <c:pt idx="136">
                  <c:v>29.801587301587301</c:v>
                </c:pt>
                <c:pt idx="137">
                  <c:v>29.801587301587301</c:v>
                </c:pt>
                <c:pt idx="138">
                  <c:v>29.801587301587301</c:v>
                </c:pt>
                <c:pt idx="139">
                  <c:v>29.801587301587301</c:v>
                </c:pt>
                <c:pt idx="140">
                  <c:v>29.801587301587301</c:v>
                </c:pt>
                <c:pt idx="141">
                  <c:v>29.801587301587301</c:v>
                </c:pt>
                <c:pt idx="142">
                  <c:v>29.801587301587301</c:v>
                </c:pt>
                <c:pt idx="143">
                  <c:v>29.801587301587301</c:v>
                </c:pt>
                <c:pt idx="144">
                  <c:v>29.801587301587301</c:v>
                </c:pt>
                <c:pt idx="145">
                  <c:v>29.801587301587301</c:v>
                </c:pt>
                <c:pt idx="146">
                  <c:v>29.801587301587301</c:v>
                </c:pt>
                <c:pt idx="147">
                  <c:v>29.801587301587301</c:v>
                </c:pt>
                <c:pt idx="148">
                  <c:v>29.801587301587301</c:v>
                </c:pt>
                <c:pt idx="149">
                  <c:v>29.801587301587301</c:v>
                </c:pt>
                <c:pt idx="150">
                  <c:v>43.42</c:v>
                </c:pt>
                <c:pt idx="151">
                  <c:v>43.42</c:v>
                </c:pt>
                <c:pt idx="152">
                  <c:v>43.42</c:v>
                </c:pt>
                <c:pt idx="153">
                  <c:v>43.42</c:v>
                </c:pt>
                <c:pt idx="154">
                  <c:v>43.42</c:v>
                </c:pt>
                <c:pt idx="155">
                  <c:v>37.246190476190478</c:v>
                </c:pt>
                <c:pt idx="156">
                  <c:v>37.246190476190478</c:v>
                </c:pt>
                <c:pt idx="157">
                  <c:v>37.246190476190478</c:v>
                </c:pt>
                <c:pt idx="158">
                  <c:v>37.246190476190478</c:v>
                </c:pt>
                <c:pt idx="159">
                  <c:v>37.246190476190478</c:v>
                </c:pt>
                <c:pt idx="160">
                  <c:v>37.246190476190478</c:v>
                </c:pt>
                <c:pt idx="161">
                  <c:v>37.246190476190478</c:v>
                </c:pt>
                <c:pt idx="162">
                  <c:v>37.246190476190478</c:v>
                </c:pt>
                <c:pt idx="163">
                  <c:v>37.246190476190478</c:v>
                </c:pt>
                <c:pt idx="164">
                  <c:v>37.246190476190478</c:v>
                </c:pt>
                <c:pt idx="165">
                  <c:v>37.246190476190478</c:v>
                </c:pt>
                <c:pt idx="166">
                  <c:v>37.246190476190478</c:v>
                </c:pt>
                <c:pt idx="167">
                  <c:v>37.246190476190478</c:v>
                </c:pt>
                <c:pt idx="168">
                  <c:v>37.246190476190478</c:v>
                </c:pt>
                <c:pt idx="169">
                  <c:v>28.300444444444445</c:v>
                </c:pt>
                <c:pt idx="170">
                  <c:v>28.300444444444445</c:v>
                </c:pt>
                <c:pt idx="171">
                  <c:v>28.300444444444445</c:v>
                </c:pt>
                <c:pt idx="172">
                  <c:v>28.300444444444445</c:v>
                </c:pt>
                <c:pt idx="173">
                  <c:v>28.300444444444445</c:v>
                </c:pt>
                <c:pt idx="174">
                  <c:v>28.300444444444445</c:v>
                </c:pt>
                <c:pt idx="175">
                  <c:v>28.300444444444445</c:v>
                </c:pt>
                <c:pt idx="176">
                  <c:v>28.300444444444445</c:v>
                </c:pt>
                <c:pt idx="177">
                  <c:v>28.300444444444445</c:v>
                </c:pt>
                <c:pt idx="178">
                  <c:v>28.300444444444445</c:v>
                </c:pt>
                <c:pt idx="179">
                  <c:v>28.300444444444445</c:v>
                </c:pt>
                <c:pt idx="180">
                  <c:v>28.300444444444445</c:v>
                </c:pt>
                <c:pt idx="181">
                  <c:v>28.300444444444445</c:v>
                </c:pt>
                <c:pt idx="182">
                  <c:v>28.300444444444445</c:v>
                </c:pt>
                <c:pt idx="183">
                  <c:v>28.300444444444445</c:v>
                </c:pt>
                <c:pt idx="184">
                  <c:v>29.466666666666669</c:v>
                </c:pt>
                <c:pt idx="185">
                  <c:v>29.466666666666669</c:v>
                </c:pt>
                <c:pt idx="186">
                  <c:v>29.466666666666669</c:v>
                </c:pt>
                <c:pt idx="187">
                  <c:v>29.466666666666669</c:v>
                </c:pt>
                <c:pt idx="188">
                  <c:v>29.466666666666669</c:v>
                </c:pt>
                <c:pt idx="189">
                  <c:v>29.466666666666669</c:v>
                </c:pt>
                <c:pt idx="190">
                  <c:v>29.466666666666669</c:v>
                </c:pt>
                <c:pt idx="191">
                  <c:v>29.466666666666669</c:v>
                </c:pt>
                <c:pt idx="192">
                  <c:v>29.466666666666669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89-F024-6F4B-A084-58E0707C656F}"/>
            </c:ext>
          </c:extLst>
        </c:ser>
        <c:ser>
          <c:idx val="6"/>
          <c:order val="6"/>
          <c:tx>
            <c:strRef>
              <c:f>'schertz_violent_and_non XmR '!$H$1</c:f>
              <c:strCache>
                <c:ptCount val="1"/>
                <c:pt idx="0">
                  <c:v> -2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'schertz_violent_and_non XmR '!$A$2:$A$194</c:f>
              <c:numCache>
                <c:formatCode>mmm\-yy</c:formatCode>
                <c:ptCount val="193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  <c:pt idx="51">
                  <c:v>41730</c:v>
                </c:pt>
                <c:pt idx="52">
                  <c:v>41760</c:v>
                </c:pt>
                <c:pt idx="53">
                  <c:v>41791</c:v>
                </c:pt>
                <c:pt idx="54">
                  <c:v>41821</c:v>
                </c:pt>
                <c:pt idx="55">
                  <c:v>41852</c:v>
                </c:pt>
                <c:pt idx="56">
                  <c:v>41883</c:v>
                </c:pt>
                <c:pt idx="57">
                  <c:v>41913</c:v>
                </c:pt>
                <c:pt idx="58">
                  <c:v>41944</c:v>
                </c:pt>
                <c:pt idx="59">
                  <c:v>41974</c:v>
                </c:pt>
                <c:pt idx="60">
                  <c:v>42005</c:v>
                </c:pt>
                <c:pt idx="61">
                  <c:v>42036</c:v>
                </c:pt>
                <c:pt idx="62">
                  <c:v>42064</c:v>
                </c:pt>
                <c:pt idx="63">
                  <c:v>42095</c:v>
                </c:pt>
                <c:pt idx="64">
                  <c:v>42125</c:v>
                </c:pt>
                <c:pt idx="65">
                  <c:v>42156</c:v>
                </c:pt>
                <c:pt idx="66">
                  <c:v>42186</c:v>
                </c:pt>
                <c:pt idx="67">
                  <c:v>42217</c:v>
                </c:pt>
                <c:pt idx="68">
                  <c:v>42248</c:v>
                </c:pt>
                <c:pt idx="69">
                  <c:v>42278</c:v>
                </c:pt>
                <c:pt idx="70">
                  <c:v>42309</c:v>
                </c:pt>
                <c:pt idx="71">
                  <c:v>42339</c:v>
                </c:pt>
                <c:pt idx="72">
                  <c:v>42370</c:v>
                </c:pt>
                <c:pt idx="73">
                  <c:v>42401</c:v>
                </c:pt>
                <c:pt idx="74">
                  <c:v>42430</c:v>
                </c:pt>
                <c:pt idx="75">
                  <c:v>42461</c:v>
                </c:pt>
                <c:pt idx="76">
                  <c:v>42491</c:v>
                </c:pt>
                <c:pt idx="77">
                  <c:v>42522</c:v>
                </c:pt>
                <c:pt idx="78">
                  <c:v>42552</c:v>
                </c:pt>
                <c:pt idx="79">
                  <c:v>42583</c:v>
                </c:pt>
                <c:pt idx="80">
                  <c:v>42614</c:v>
                </c:pt>
                <c:pt idx="81">
                  <c:v>42644</c:v>
                </c:pt>
                <c:pt idx="82">
                  <c:v>42675</c:v>
                </c:pt>
                <c:pt idx="83">
                  <c:v>42705</c:v>
                </c:pt>
                <c:pt idx="84">
                  <c:v>42736</c:v>
                </c:pt>
                <c:pt idx="85">
                  <c:v>42767</c:v>
                </c:pt>
                <c:pt idx="86">
                  <c:v>42795</c:v>
                </c:pt>
                <c:pt idx="87">
                  <c:v>42826</c:v>
                </c:pt>
                <c:pt idx="88">
                  <c:v>42856</c:v>
                </c:pt>
                <c:pt idx="89">
                  <c:v>42887</c:v>
                </c:pt>
                <c:pt idx="90">
                  <c:v>42917</c:v>
                </c:pt>
                <c:pt idx="91">
                  <c:v>42948</c:v>
                </c:pt>
                <c:pt idx="92">
                  <c:v>42979</c:v>
                </c:pt>
                <c:pt idx="93">
                  <c:v>43009</c:v>
                </c:pt>
                <c:pt idx="94">
                  <c:v>43040</c:v>
                </c:pt>
                <c:pt idx="95">
                  <c:v>43070</c:v>
                </c:pt>
                <c:pt idx="96">
                  <c:v>43101</c:v>
                </c:pt>
                <c:pt idx="97">
                  <c:v>43132</c:v>
                </c:pt>
                <c:pt idx="98">
                  <c:v>43160</c:v>
                </c:pt>
                <c:pt idx="99">
                  <c:v>43191</c:v>
                </c:pt>
                <c:pt idx="100">
                  <c:v>43221</c:v>
                </c:pt>
                <c:pt idx="101">
                  <c:v>43252</c:v>
                </c:pt>
                <c:pt idx="102">
                  <c:v>43282</c:v>
                </c:pt>
                <c:pt idx="103">
                  <c:v>43313</c:v>
                </c:pt>
                <c:pt idx="104">
                  <c:v>43344</c:v>
                </c:pt>
                <c:pt idx="105">
                  <c:v>43374</c:v>
                </c:pt>
                <c:pt idx="106">
                  <c:v>43405</c:v>
                </c:pt>
                <c:pt idx="107">
                  <c:v>43435</c:v>
                </c:pt>
                <c:pt idx="108">
                  <c:v>43466</c:v>
                </c:pt>
                <c:pt idx="109">
                  <c:v>43497</c:v>
                </c:pt>
                <c:pt idx="110">
                  <c:v>43525</c:v>
                </c:pt>
                <c:pt idx="111">
                  <c:v>43556</c:v>
                </c:pt>
                <c:pt idx="112">
                  <c:v>43586</c:v>
                </c:pt>
                <c:pt idx="113">
                  <c:v>43617</c:v>
                </c:pt>
                <c:pt idx="114">
                  <c:v>43647</c:v>
                </c:pt>
                <c:pt idx="115">
                  <c:v>43678</c:v>
                </c:pt>
                <c:pt idx="116">
                  <c:v>43709</c:v>
                </c:pt>
                <c:pt idx="117">
                  <c:v>43739</c:v>
                </c:pt>
                <c:pt idx="118">
                  <c:v>43770</c:v>
                </c:pt>
                <c:pt idx="119">
                  <c:v>43800</c:v>
                </c:pt>
                <c:pt idx="120">
                  <c:v>43831</c:v>
                </c:pt>
                <c:pt idx="121">
                  <c:v>43862</c:v>
                </c:pt>
                <c:pt idx="122">
                  <c:v>43891</c:v>
                </c:pt>
                <c:pt idx="123">
                  <c:v>43922</c:v>
                </c:pt>
                <c:pt idx="124">
                  <c:v>43952</c:v>
                </c:pt>
                <c:pt idx="125">
                  <c:v>43983</c:v>
                </c:pt>
                <c:pt idx="126">
                  <c:v>44013</c:v>
                </c:pt>
                <c:pt idx="127">
                  <c:v>44044</c:v>
                </c:pt>
                <c:pt idx="128">
                  <c:v>44075</c:v>
                </c:pt>
                <c:pt idx="129">
                  <c:v>44105</c:v>
                </c:pt>
                <c:pt idx="130">
                  <c:v>44136</c:v>
                </c:pt>
                <c:pt idx="131">
                  <c:v>44166</c:v>
                </c:pt>
                <c:pt idx="132">
                  <c:v>44197</c:v>
                </c:pt>
                <c:pt idx="133">
                  <c:v>44228</c:v>
                </c:pt>
                <c:pt idx="134">
                  <c:v>44256</c:v>
                </c:pt>
                <c:pt idx="135">
                  <c:v>44287</c:v>
                </c:pt>
                <c:pt idx="136">
                  <c:v>44317</c:v>
                </c:pt>
                <c:pt idx="137">
                  <c:v>44348</c:v>
                </c:pt>
                <c:pt idx="138">
                  <c:v>44378</c:v>
                </c:pt>
                <c:pt idx="139">
                  <c:v>44409</c:v>
                </c:pt>
                <c:pt idx="140">
                  <c:v>44440</c:v>
                </c:pt>
                <c:pt idx="141">
                  <c:v>44470</c:v>
                </c:pt>
                <c:pt idx="142">
                  <c:v>44501</c:v>
                </c:pt>
                <c:pt idx="143">
                  <c:v>44531</c:v>
                </c:pt>
                <c:pt idx="144">
                  <c:v>44562</c:v>
                </c:pt>
                <c:pt idx="145">
                  <c:v>44593</c:v>
                </c:pt>
                <c:pt idx="146">
                  <c:v>44621</c:v>
                </c:pt>
                <c:pt idx="147">
                  <c:v>44652</c:v>
                </c:pt>
                <c:pt idx="148">
                  <c:v>44682</c:v>
                </c:pt>
                <c:pt idx="149">
                  <c:v>44713</c:v>
                </c:pt>
                <c:pt idx="150">
                  <c:v>44743</c:v>
                </c:pt>
                <c:pt idx="151">
                  <c:v>44774</c:v>
                </c:pt>
                <c:pt idx="152">
                  <c:v>44805</c:v>
                </c:pt>
                <c:pt idx="153">
                  <c:v>44835</c:v>
                </c:pt>
                <c:pt idx="154">
                  <c:v>44866</c:v>
                </c:pt>
                <c:pt idx="155">
                  <c:v>44896</c:v>
                </c:pt>
                <c:pt idx="156">
                  <c:v>44927</c:v>
                </c:pt>
                <c:pt idx="157">
                  <c:v>44958</c:v>
                </c:pt>
                <c:pt idx="158">
                  <c:v>44986</c:v>
                </c:pt>
                <c:pt idx="159">
                  <c:v>45017</c:v>
                </c:pt>
                <c:pt idx="160">
                  <c:v>45047</c:v>
                </c:pt>
                <c:pt idx="161">
                  <c:v>45078</c:v>
                </c:pt>
                <c:pt idx="162">
                  <c:v>45108</c:v>
                </c:pt>
                <c:pt idx="163">
                  <c:v>45139</c:v>
                </c:pt>
                <c:pt idx="164">
                  <c:v>45170</c:v>
                </c:pt>
                <c:pt idx="165">
                  <c:v>45200</c:v>
                </c:pt>
                <c:pt idx="166">
                  <c:v>45231</c:v>
                </c:pt>
                <c:pt idx="167">
                  <c:v>45261</c:v>
                </c:pt>
                <c:pt idx="168">
                  <c:v>45292</c:v>
                </c:pt>
                <c:pt idx="169">
                  <c:v>45323</c:v>
                </c:pt>
                <c:pt idx="170">
                  <c:v>45352</c:v>
                </c:pt>
                <c:pt idx="171">
                  <c:v>45383</c:v>
                </c:pt>
                <c:pt idx="172">
                  <c:v>45413</c:v>
                </c:pt>
                <c:pt idx="173">
                  <c:v>45444</c:v>
                </c:pt>
                <c:pt idx="174">
                  <c:v>45474</c:v>
                </c:pt>
                <c:pt idx="175">
                  <c:v>45505</c:v>
                </c:pt>
                <c:pt idx="176">
                  <c:v>45536</c:v>
                </c:pt>
                <c:pt idx="177">
                  <c:v>45566</c:v>
                </c:pt>
                <c:pt idx="178">
                  <c:v>45597</c:v>
                </c:pt>
                <c:pt idx="179">
                  <c:v>45627</c:v>
                </c:pt>
                <c:pt idx="180">
                  <c:v>45658</c:v>
                </c:pt>
                <c:pt idx="181">
                  <c:v>45689</c:v>
                </c:pt>
                <c:pt idx="182">
                  <c:v>45717</c:v>
                </c:pt>
                <c:pt idx="183">
                  <c:v>45748</c:v>
                </c:pt>
                <c:pt idx="184">
                  <c:v>45778</c:v>
                </c:pt>
                <c:pt idx="185">
                  <c:v>45809</c:v>
                </c:pt>
                <c:pt idx="186">
                  <c:v>45839</c:v>
                </c:pt>
                <c:pt idx="187">
                  <c:v>45870</c:v>
                </c:pt>
                <c:pt idx="188">
                  <c:v>45901</c:v>
                </c:pt>
                <c:pt idx="189">
                  <c:v>45931</c:v>
                </c:pt>
                <c:pt idx="190">
                  <c:v>45962</c:v>
                </c:pt>
                <c:pt idx="191">
                  <c:v>45992</c:v>
                </c:pt>
                <c:pt idx="192">
                  <c:v>46023</c:v>
                </c:pt>
              </c:numCache>
            </c:numRef>
          </c:cat>
          <c:val>
            <c:numRef>
              <c:f>'schertz_violent_and_non XmR '!$H$2:$H$194</c:f>
              <c:numCache>
                <c:formatCode>0.0</c:formatCode>
                <c:ptCount val="193"/>
                <c:pt idx="0">
                  <c:v>35.638431372549014</c:v>
                </c:pt>
                <c:pt idx="1">
                  <c:v>35.638431372549014</c:v>
                </c:pt>
                <c:pt idx="2">
                  <c:v>35.638431372549014</c:v>
                </c:pt>
                <c:pt idx="3">
                  <c:v>35.638431372549014</c:v>
                </c:pt>
                <c:pt idx="4">
                  <c:v>35.638431372549014</c:v>
                </c:pt>
                <c:pt idx="5">
                  <c:v>35.638431372549014</c:v>
                </c:pt>
                <c:pt idx="6">
                  <c:v>35.638431372549014</c:v>
                </c:pt>
                <c:pt idx="7">
                  <c:v>35.638431372549014</c:v>
                </c:pt>
                <c:pt idx="8">
                  <c:v>35.638431372549014</c:v>
                </c:pt>
                <c:pt idx="9">
                  <c:v>35.638431372549014</c:v>
                </c:pt>
                <c:pt idx="10">
                  <c:v>35.638431372549014</c:v>
                </c:pt>
                <c:pt idx="11">
                  <c:v>35.638431372549014</c:v>
                </c:pt>
                <c:pt idx="12">
                  <c:v>35.638431372549014</c:v>
                </c:pt>
                <c:pt idx="13">
                  <c:v>35.638431372549014</c:v>
                </c:pt>
                <c:pt idx="14">
                  <c:v>35.638431372549014</c:v>
                </c:pt>
                <c:pt idx="15">
                  <c:v>35.638431372549014</c:v>
                </c:pt>
                <c:pt idx="16">
                  <c:v>35.638431372549014</c:v>
                </c:pt>
                <c:pt idx="17">
                  <c:v>35.638431372549014</c:v>
                </c:pt>
                <c:pt idx="18">
                  <c:v>49.677142857142854</c:v>
                </c:pt>
                <c:pt idx="19">
                  <c:v>49.677142857142854</c:v>
                </c:pt>
                <c:pt idx="20">
                  <c:v>49.677142857142854</c:v>
                </c:pt>
                <c:pt idx="21">
                  <c:v>49.677142857142854</c:v>
                </c:pt>
                <c:pt idx="22">
                  <c:v>49.677142857142854</c:v>
                </c:pt>
                <c:pt idx="23">
                  <c:v>49.677142857142854</c:v>
                </c:pt>
                <c:pt idx="24">
                  <c:v>49.677142857142854</c:v>
                </c:pt>
                <c:pt idx="25">
                  <c:v>49.677142857142854</c:v>
                </c:pt>
                <c:pt idx="26">
                  <c:v>49.677142857142854</c:v>
                </c:pt>
                <c:pt idx="27">
                  <c:v>49.677142857142854</c:v>
                </c:pt>
                <c:pt idx="28">
                  <c:v>49.677142857142854</c:v>
                </c:pt>
                <c:pt idx="29">
                  <c:v>49.677142857142854</c:v>
                </c:pt>
                <c:pt idx="30">
                  <c:v>49.677142857142854</c:v>
                </c:pt>
                <c:pt idx="31">
                  <c:v>49.677142857142854</c:v>
                </c:pt>
                <c:pt idx="32">
                  <c:v>40.533333333333331</c:v>
                </c:pt>
                <c:pt idx="33">
                  <c:v>40.533333333333331</c:v>
                </c:pt>
                <c:pt idx="34">
                  <c:v>40.533333333333331</c:v>
                </c:pt>
                <c:pt idx="35">
                  <c:v>40.533333333333331</c:v>
                </c:pt>
                <c:pt idx="36">
                  <c:v>40.533333333333331</c:v>
                </c:pt>
                <c:pt idx="37">
                  <c:v>40.533333333333331</c:v>
                </c:pt>
                <c:pt idx="38">
                  <c:v>40.533333333333331</c:v>
                </c:pt>
                <c:pt idx="39">
                  <c:v>40.533333333333331</c:v>
                </c:pt>
                <c:pt idx="40">
                  <c:v>40.533333333333331</c:v>
                </c:pt>
                <c:pt idx="41">
                  <c:v>40.533333333333331</c:v>
                </c:pt>
                <c:pt idx="42">
                  <c:v>40.533333333333331</c:v>
                </c:pt>
                <c:pt idx="43">
                  <c:v>40.533333333333331</c:v>
                </c:pt>
                <c:pt idx="44">
                  <c:v>40.533333333333331</c:v>
                </c:pt>
                <c:pt idx="45">
                  <c:v>40.533333333333331</c:v>
                </c:pt>
                <c:pt idx="46">
                  <c:v>40.533333333333331</c:v>
                </c:pt>
                <c:pt idx="47">
                  <c:v>40.533333333333331</c:v>
                </c:pt>
                <c:pt idx="48">
                  <c:v>40.533333333333331</c:v>
                </c:pt>
                <c:pt idx="49">
                  <c:v>40.533333333333331</c:v>
                </c:pt>
                <c:pt idx="50">
                  <c:v>40.533333333333331</c:v>
                </c:pt>
                <c:pt idx="51">
                  <c:v>40.533333333333331</c:v>
                </c:pt>
                <c:pt idx="52">
                  <c:v>40.533333333333331</c:v>
                </c:pt>
                <c:pt idx="53">
                  <c:v>40.533333333333331</c:v>
                </c:pt>
                <c:pt idx="54">
                  <c:v>40.533333333333331</c:v>
                </c:pt>
                <c:pt idx="55">
                  <c:v>40.533333333333331</c:v>
                </c:pt>
                <c:pt idx="56">
                  <c:v>40.533333333333331</c:v>
                </c:pt>
                <c:pt idx="57">
                  <c:v>40.533333333333331</c:v>
                </c:pt>
                <c:pt idx="58">
                  <c:v>40.533333333333331</c:v>
                </c:pt>
                <c:pt idx="59">
                  <c:v>40.533333333333331</c:v>
                </c:pt>
                <c:pt idx="60">
                  <c:v>40.533333333333331</c:v>
                </c:pt>
                <c:pt idx="61">
                  <c:v>40.533333333333331</c:v>
                </c:pt>
                <c:pt idx="62">
                  <c:v>40.533333333333331</c:v>
                </c:pt>
                <c:pt idx="63">
                  <c:v>40.533333333333331</c:v>
                </c:pt>
                <c:pt idx="64">
                  <c:v>40.533333333333331</c:v>
                </c:pt>
                <c:pt idx="65">
                  <c:v>40.533333333333331</c:v>
                </c:pt>
                <c:pt idx="66">
                  <c:v>40.533333333333331</c:v>
                </c:pt>
                <c:pt idx="67">
                  <c:v>40.533333333333331</c:v>
                </c:pt>
                <c:pt idx="68">
                  <c:v>40.533333333333331</c:v>
                </c:pt>
                <c:pt idx="69">
                  <c:v>40.533333333333331</c:v>
                </c:pt>
                <c:pt idx="70">
                  <c:v>40.533333333333331</c:v>
                </c:pt>
                <c:pt idx="71">
                  <c:v>40.533333333333331</c:v>
                </c:pt>
                <c:pt idx="72">
                  <c:v>40.533333333333331</c:v>
                </c:pt>
                <c:pt idx="73">
                  <c:v>60.241025641025644</c:v>
                </c:pt>
                <c:pt idx="74">
                  <c:v>60.241025641025644</c:v>
                </c:pt>
                <c:pt idx="75">
                  <c:v>60.241025641025644</c:v>
                </c:pt>
                <c:pt idx="76">
                  <c:v>60.241025641025644</c:v>
                </c:pt>
                <c:pt idx="77">
                  <c:v>60.241025641025644</c:v>
                </c:pt>
                <c:pt idx="78">
                  <c:v>60.241025641025644</c:v>
                </c:pt>
                <c:pt idx="79">
                  <c:v>60.241025641025644</c:v>
                </c:pt>
                <c:pt idx="80">
                  <c:v>60.241025641025644</c:v>
                </c:pt>
                <c:pt idx="81">
                  <c:v>60.241025641025644</c:v>
                </c:pt>
                <c:pt idx="82">
                  <c:v>60.241025641025644</c:v>
                </c:pt>
                <c:pt idx="83">
                  <c:v>60.241025641025644</c:v>
                </c:pt>
                <c:pt idx="84">
                  <c:v>60.241025641025644</c:v>
                </c:pt>
                <c:pt idx="85">
                  <c:v>60.241025641025644</c:v>
                </c:pt>
                <c:pt idx="86">
                  <c:v>38.895238095238099</c:v>
                </c:pt>
                <c:pt idx="87">
                  <c:v>38.895238095238099</c:v>
                </c:pt>
                <c:pt idx="88">
                  <c:v>38.895238095238099</c:v>
                </c:pt>
                <c:pt idx="89">
                  <c:v>38.895238095238099</c:v>
                </c:pt>
                <c:pt idx="90">
                  <c:v>38.895238095238099</c:v>
                </c:pt>
                <c:pt idx="91">
                  <c:v>38.895238095238099</c:v>
                </c:pt>
                <c:pt idx="92">
                  <c:v>38.895238095238099</c:v>
                </c:pt>
                <c:pt idx="93">
                  <c:v>45.587878787878786</c:v>
                </c:pt>
                <c:pt idx="94">
                  <c:v>45.587878787878786</c:v>
                </c:pt>
                <c:pt idx="95">
                  <c:v>45.587878787878786</c:v>
                </c:pt>
                <c:pt idx="96">
                  <c:v>45.587878787878786</c:v>
                </c:pt>
                <c:pt idx="97">
                  <c:v>45.587878787878786</c:v>
                </c:pt>
                <c:pt idx="98">
                  <c:v>45.587878787878786</c:v>
                </c:pt>
                <c:pt idx="99">
                  <c:v>45.587878787878786</c:v>
                </c:pt>
                <c:pt idx="100">
                  <c:v>45.587878787878786</c:v>
                </c:pt>
                <c:pt idx="101">
                  <c:v>45.587878787878786</c:v>
                </c:pt>
                <c:pt idx="102">
                  <c:v>45.587878787878786</c:v>
                </c:pt>
                <c:pt idx="103">
                  <c:v>45.587878787878786</c:v>
                </c:pt>
                <c:pt idx="104">
                  <c:v>29.35786666666667</c:v>
                </c:pt>
                <c:pt idx="105">
                  <c:v>29.35786666666667</c:v>
                </c:pt>
                <c:pt idx="106">
                  <c:v>29.35786666666667</c:v>
                </c:pt>
                <c:pt idx="107">
                  <c:v>29.35786666666667</c:v>
                </c:pt>
                <c:pt idx="108">
                  <c:v>29.35786666666667</c:v>
                </c:pt>
                <c:pt idx="109">
                  <c:v>29.35786666666667</c:v>
                </c:pt>
                <c:pt idx="110">
                  <c:v>29.35786666666667</c:v>
                </c:pt>
                <c:pt idx="111">
                  <c:v>29.35786666666667</c:v>
                </c:pt>
                <c:pt idx="112">
                  <c:v>29.35786666666667</c:v>
                </c:pt>
                <c:pt idx="113">
                  <c:v>29.35786666666667</c:v>
                </c:pt>
                <c:pt idx="114">
                  <c:v>29.35786666666667</c:v>
                </c:pt>
                <c:pt idx="115">
                  <c:v>29.35786666666667</c:v>
                </c:pt>
                <c:pt idx="116">
                  <c:v>29.35786666666667</c:v>
                </c:pt>
                <c:pt idx="117">
                  <c:v>29.35786666666667</c:v>
                </c:pt>
                <c:pt idx="118">
                  <c:v>29.35786666666667</c:v>
                </c:pt>
                <c:pt idx="119">
                  <c:v>29.35786666666667</c:v>
                </c:pt>
                <c:pt idx="120">
                  <c:v>29.35786666666667</c:v>
                </c:pt>
                <c:pt idx="121">
                  <c:v>29.35786666666667</c:v>
                </c:pt>
                <c:pt idx="122">
                  <c:v>29.35786666666667</c:v>
                </c:pt>
                <c:pt idx="123">
                  <c:v>29.35786666666667</c:v>
                </c:pt>
                <c:pt idx="124">
                  <c:v>29.35786666666667</c:v>
                </c:pt>
                <c:pt idx="125">
                  <c:v>29.35786666666667</c:v>
                </c:pt>
                <c:pt idx="126">
                  <c:v>29.35786666666667</c:v>
                </c:pt>
                <c:pt idx="127">
                  <c:v>29.35786666666667</c:v>
                </c:pt>
                <c:pt idx="128">
                  <c:v>29.35786666666667</c:v>
                </c:pt>
                <c:pt idx="129">
                  <c:v>22.412698412698411</c:v>
                </c:pt>
                <c:pt idx="130">
                  <c:v>22.412698412698411</c:v>
                </c:pt>
                <c:pt idx="131">
                  <c:v>22.412698412698411</c:v>
                </c:pt>
                <c:pt idx="132">
                  <c:v>22.412698412698411</c:v>
                </c:pt>
                <c:pt idx="133">
                  <c:v>22.412698412698411</c:v>
                </c:pt>
                <c:pt idx="134">
                  <c:v>22.412698412698411</c:v>
                </c:pt>
                <c:pt idx="135">
                  <c:v>22.412698412698411</c:v>
                </c:pt>
                <c:pt idx="136">
                  <c:v>22.412698412698411</c:v>
                </c:pt>
                <c:pt idx="137">
                  <c:v>22.412698412698411</c:v>
                </c:pt>
                <c:pt idx="138">
                  <c:v>22.412698412698411</c:v>
                </c:pt>
                <c:pt idx="139">
                  <c:v>22.412698412698411</c:v>
                </c:pt>
                <c:pt idx="140">
                  <c:v>22.412698412698411</c:v>
                </c:pt>
                <c:pt idx="141">
                  <c:v>22.412698412698411</c:v>
                </c:pt>
                <c:pt idx="142">
                  <c:v>22.412698412698411</c:v>
                </c:pt>
                <c:pt idx="143">
                  <c:v>22.412698412698411</c:v>
                </c:pt>
                <c:pt idx="144">
                  <c:v>22.412698412698411</c:v>
                </c:pt>
                <c:pt idx="145">
                  <c:v>22.412698412698411</c:v>
                </c:pt>
                <c:pt idx="146">
                  <c:v>22.412698412698411</c:v>
                </c:pt>
                <c:pt idx="147">
                  <c:v>22.412698412698411</c:v>
                </c:pt>
                <c:pt idx="148">
                  <c:v>22.412698412698411</c:v>
                </c:pt>
                <c:pt idx="149">
                  <c:v>22.412698412698411</c:v>
                </c:pt>
                <c:pt idx="150">
                  <c:v>35.44</c:v>
                </c:pt>
                <c:pt idx="151">
                  <c:v>35.44</c:v>
                </c:pt>
                <c:pt idx="152">
                  <c:v>35.44</c:v>
                </c:pt>
                <c:pt idx="153">
                  <c:v>35.44</c:v>
                </c:pt>
                <c:pt idx="154">
                  <c:v>35.44</c:v>
                </c:pt>
                <c:pt idx="155">
                  <c:v>30.849523809523809</c:v>
                </c:pt>
                <c:pt idx="156">
                  <c:v>30.849523809523809</c:v>
                </c:pt>
                <c:pt idx="157">
                  <c:v>30.849523809523809</c:v>
                </c:pt>
                <c:pt idx="158">
                  <c:v>30.849523809523809</c:v>
                </c:pt>
                <c:pt idx="159">
                  <c:v>30.849523809523809</c:v>
                </c:pt>
                <c:pt idx="160">
                  <c:v>30.849523809523809</c:v>
                </c:pt>
                <c:pt idx="161">
                  <c:v>30.849523809523809</c:v>
                </c:pt>
                <c:pt idx="162">
                  <c:v>30.849523809523809</c:v>
                </c:pt>
                <c:pt idx="163">
                  <c:v>30.849523809523809</c:v>
                </c:pt>
                <c:pt idx="164">
                  <c:v>30.849523809523809</c:v>
                </c:pt>
                <c:pt idx="165">
                  <c:v>30.849523809523809</c:v>
                </c:pt>
                <c:pt idx="166">
                  <c:v>30.849523809523809</c:v>
                </c:pt>
                <c:pt idx="167">
                  <c:v>30.849523809523809</c:v>
                </c:pt>
                <c:pt idx="168">
                  <c:v>30.849523809523809</c:v>
                </c:pt>
                <c:pt idx="169">
                  <c:v>20.734222222222222</c:v>
                </c:pt>
                <c:pt idx="170">
                  <c:v>20.734222222222222</c:v>
                </c:pt>
                <c:pt idx="171">
                  <c:v>20.734222222222222</c:v>
                </c:pt>
                <c:pt idx="172">
                  <c:v>20.734222222222222</c:v>
                </c:pt>
                <c:pt idx="173">
                  <c:v>20.734222222222222</c:v>
                </c:pt>
                <c:pt idx="174">
                  <c:v>20.734222222222222</c:v>
                </c:pt>
                <c:pt idx="175">
                  <c:v>20.734222222222222</c:v>
                </c:pt>
                <c:pt idx="176">
                  <c:v>20.734222222222222</c:v>
                </c:pt>
                <c:pt idx="177">
                  <c:v>20.734222222222222</c:v>
                </c:pt>
                <c:pt idx="178">
                  <c:v>20.734222222222222</c:v>
                </c:pt>
                <c:pt idx="179">
                  <c:v>20.734222222222222</c:v>
                </c:pt>
                <c:pt idx="180">
                  <c:v>20.734222222222222</c:v>
                </c:pt>
                <c:pt idx="181">
                  <c:v>20.734222222222222</c:v>
                </c:pt>
                <c:pt idx="182">
                  <c:v>20.734222222222222</c:v>
                </c:pt>
                <c:pt idx="183">
                  <c:v>20.734222222222222</c:v>
                </c:pt>
                <c:pt idx="184">
                  <c:v>20.6</c:v>
                </c:pt>
                <c:pt idx="185">
                  <c:v>20.6</c:v>
                </c:pt>
                <c:pt idx="186">
                  <c:v>20.6</c:v>
                </c:pt>
                <c:pt idx="187">
                  <c:v>20.6</c:v>
                </c:pt>
                <c:pt idx="188">
                  <c:v>20.6</c:v>
                </c:pt>
                <c:pt idx="189">
                  <c:v>20.6</c:v>
                </c:pt>
                <c:pt idx="190">
                  <c:v>20.6</c:v>
                </c:pt>
                <c:pt idx="191">
                  <c:v>20.6</c:v>
                </c:pt>
                <c:pt idx="192">
                  <c:v>20.6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8A-F024-6F4B-A084-58E0707C656F}"/>
            </c:ext>
          </c:extLst>
        </c:ser>
        <c:ser>
          <c:idx val="7"/>
          <c:order val="7"/>
          <c:tx>
            <c:strRef>
              <c:f>'schertz_violent_and_non XmR '!$I$1</c:f>
              <c:strCache>
                <c:ptCount val="1"/>
                <c:pt idx="0">
                  <c:v>LCL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42856689900396E-2"/>
                  <c:y val="-2.0197043629908176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LCL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8B-F024-6F4B-A084-58E0707C656F}"/>
                </c:ext>
              </c:extLst>
            </c:dLbl>
            <c:dLbl>
              <c:idx val="191"/>
              <c:layout>
                <c:manualLayout>
                  <c:x val="-1.464285668990049E-2"/>
                  <c:y val="-2.0197043629908176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C-F024-6F4B-A084-58E0707C656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'schertz_violent_and_non XmR '!$A$2:$A$194</c:f>
              <c:numCache>
                <c:formatCode>mmm\-yy</c:formatCode>
                <c:ptCount val="193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  <c:pt idx="51">
                  <c:v>41730</c:v>
                </c:pt>
                <c:pt idx="52">
                  <c:v>41760</c:v>
                </c:pt>
                <c:pt idx="53">
                  <c:v>41791</c:v>
                </c:pt>
                <c:pt idx="54">
                  <c:v>41821</c:v>
                </c:pt>
                <c:pt idx="55">
                  <c:v>41852</c:v>
                </c:pt>
                <c:pt idx="56">
                  <c:v>41883</c:v>
                </c:pt>
                <c:pt idx="57">
                  <c:v>41913</c:v>
                </c:pt>
                <c:pt idx="58">
                  <c:v>41944</c:v>
                </c:pt>
                <c:pt idx="59">
                  <c:v>41974</c:v>
                </c:pt>
                <c:pt idx="60">
                  <c:v>42005</c:v>
                </c:pt>
                <c:pt idx="61">
                  <c:v>42036</c:v>
                </c:pt>
                <c:pt idx="62">
                  <c:v>42064</c:v>
                </c:pt>
                <c:pt idx="63">
                  <c:v>42095</c:v>
                </c:pt>
                <c:pt idx="64">
                  <c:v>42125</c:v>
                </c:pt>
                <c:pt idx="65">
                  <c:v>42156</c:v>
                </c:pt>
                <c:pt idx="66">
                  <c:v>42186</c:v>
                </c:pt>
                <c:pt idx="67">
                  <c:v>42217</c:v>
                </c:pt>
                <c:pt idx="68">
                  <c:v>42248</c:v>
                </c:pt>
                <c:pt idx="69">
                  <c:v>42278</c:v>
                </c:pt>
                <c:pt idx="70">
                  <c:v>42309</c:v>
                </c:pt>
                <c:pt idx="71">
                  <c:v>42339</c:v>
                </c:pt>
                <c:pt idx="72">
                  <c:v>42370</c:v>
                </c:pt>
                <c:pt idx="73">
                  <c:v>42401</c:v>
                </c:pt>
                <c:pt idx="74">
                  <c:v>42430</c:v>
                </c:pt>
                <c:pt idx="75">
                  <c:v>42461</c:v>
                </c:pt>
                <c:pt idx="76">
                  <c:v>42491</c:v>
                </c:pt>
                <c:pt idx="77">
                  <c:v>42522</c:v>
                </c:pt>
                <c:pt idx="78">
                  <c:v>42552</c:v>
                </c:pt>
                <c:pt idx="79">
                  <c:v>42583</c:v>
                </c:pt>
                <c:pt idx="80">
                  <c:v>42614</c:v>
                </c:pt>
                <c:pt idx="81">
                  <c:v>42644</c:v>
                </c:pt>
                <c:pt idx="82">
                  <c:v>42675</c:v>
                </c:pt>
                <c:pt idx="83">
                  <c:v>42705</c:v>
                </c:pt>
                <c:pt idx="84">
                  <c:v>42736</c:v>
                </c:pt>
                <c:pt idx="85">
                  <c:v>42767</c:v>
                </c:pt>
                <c:pt idx="86">
                  <c:v>42795</c:v>
                </c:pt>
                <c:pt idx="87">
                  <c:v>42826</c:v>
                </c:pt>
                <c:pt idx="88">
                  <c:v>42856</c:v>
                </c:pt>
                <c:pt idx="89">
                  <c:v>42887</c:v>
                </c:pt>
                <c:pt idx="90">
                  <c:v>42917</c:v>
                </c:pt>
                <c:pt idx="91">
                  <c:v>42948</c:v>
                </c:pt>
                <c:pt idx="92">
                  <c:v>42979</c:v>
                </c:pt>
                <c:pt idx="93">
                  <c:v>43009</c:v>
                </c:pt>
                <c:pt idx="94">
                  <c:v>43040</c:v>
                </c:pt>
                <c:pt idx="95">
                  <c:v>43070</c:v>
                </c:pt>
                <c:pt idx="96">
                  <c:v>43101</c:v>
                </c:pt>
                <c:pt idx="97">
                  <c:v>43132</c:v>
                </c:pt>
                <c:pt idx="98">
                  <c:v>43160</c:v>
                </c:pt>
                <c:pt idx="99">
                  <c:v>43191</c:v>
                </c:pt>
                <c:pt idx="100">
                  <c:v>43221</c:v>
                </c:pt>
                <c:pt idx="101">
                  <c:v>43252</c:v>
                </c:pt>
                <c:pt idx="102">
                  <c:v>43282</c:v>
                </c:pt>
                <c:pt idx="103">
                  <c:v>43313</c:v>
                </c:pt>
                <c:pt idx="104">
                  <c:v>43344</c:v>
                </c:pt>
                <c:pt idx="105">
                  <c:v>43374</c:v>
                </c:pt>
                <c:pt idx="106">
                  <c:v>43405</c:v>
                </c:pt>
                <c:pt idx="107">
                  <c:v>43435</c:v>
                </c:pt>
                <c:pt idx="108">
                  <c:v>43466</c:v>
                </c:pt>
                <c:pt idx="109">
                  <c:v>43497</c:v>
                </c:pt>
                <c:pt idx="110">
                  <c:v>43525</c:v>
                </c:pt>
                <c:pt idx="111">
                  <c:v>43556</c:v>
                </c:pt>
                <c:pt idx="112">
                  <c:v>43586</c:v>
                </c:pt>
                <c:pt idx="113">
                  <c:v>43617</c:v>
                </c:pt>
                <c:pt idx="114">
                  <c:v>43647</c:v>
                </c:pt>
                <c:pt idx="115">
                  <c:v>43678</c:v>
                </c:pt>
                <c:pt idx="116">
                  <c:v>43709</c:v>
                </c:pt>
                <c:pt idx="117">
                  <c:v>43739</c:v>
                </c:pt>
                <c:pt idx="118">
                  <c:v>43770</c:v>
                </c:pt>
                <c:pt idx="119">
                  <c:v>43800</c:v>
                </c:pt>
                <c:pt idx="120">
                  <c:v>43831</c:v>
                </c:pt>
                <c:pt idx="121">
                  <c:v>43862</c:v>
                </c:pt>
                <c:pt idx="122">
                  <c:v>43891</c:v>
                </c:pt>
                <c:pt idx="123">
                  <c:v>43922</c:v>
                </c:pt>
                <c:pt idx="124">
                  <c:v>43952</c:v>
                </c:pt>
                <c:pt idx="125">
                  <c:v>43983</c:v>
                </c:pt>
                <c:pt idx="126">
                  <c:v>44013</c:v>
                </c:pt>
                <c:pt idx="127">
                  <c:v>44044</c:v>
                </c:pt>
                <c:pt idx="128">
                  <c:v>44075</c:v>
                </c:pt>
                <c:pt idx="129">
                  <c:v>44105</c:v>
                </c:pt>
                <c:pt idx="130">
                  <c:v>44136</c:v>
                </c:pt>
                <c:pt idx="131">
                  <c:v>44166</c:v>
                </c:pt>
                <c:pt idx="132">
                  <c:v>44197</c:v>
                </c:pt>
                <c:pt idx="133">
                  <c:v>44228</c:v>
                </c:pt>
                <c:pt idx="134">
                  <c:v>44256</c:v>
                </c:pt>
                <c:pt idx="135">
                  <c:v>44287</c:v>
                </c:pt>
                <c:pt idx="136">
                  <c:v>44317</c:v>
                </c:pt>
                <c:pt idx="137">
                  <c:v>44348</c:v>
                </c:pt>
                <c:pt idx="138">
                  <c:v>44378</c:v>
                </c:pt>
                <c:pt idx="139">
                  <c:v>44409</c:v>
                </c:pt>
                <c:pt idx="140">
                  <c:v>44440</c:v>
                </c:pt>
                <c:pt idx="141">
                  <c:v>44470</c:v>
                </c:pt>
                <c:pt idx="142">
                  <c:v>44501</c:v>
                </c:pt>
                <c:pt idx="143">
                  <c:v>44531</c:v>
                </c:pt>
                <c:pt idx="144">
                  <c:v>44562</c:v>
                </c:pt>
                <c:pt idx="145">
                  <c:v>44593</c:v>
                </c:pt>
                <c:pt idx="146">
                  <c:v>44621</c:v>
                </c:pt>
                <c:pt idx="147">
                  <c:v>44652</c:v>
                </c:pt>
                <c:pt idx="148">
                  <c:v>44682</c:v>
                </c:pt>
                <c:pt idx="149">
                  <c:v>44713</c:v>
                </c:pt>
                <c:pt idx="150">
                  <c:v>44743</c:v>
                </c:pt>
                <c:pt idx="151">
                  <c:v>44774</c:v>
                </c:pt>
                <c:pt idx="152">
                  <c:v>44805</c:v>
                </c:pt>
                <c:pt idx="153">
                  <c:v>44835</c:v>
                </c:pt>
                <c:pt idx="154">
                  <c:v>44866</c:v>
                </c:pt>
                <c:pt idx="155">
                  <c:v>44896</c:v>
                </c:pt>
                <c:pt idx="156">
                  <c:v>44927</c:v>
                </c:pt>
                <c:pt idx="157">
                  <c:v>44958</c:v>
                </c:pt>
                <c:pt idx="158">
                  <c:v>44986</c:v>
                </c:pt>
                <c:pt idx="159">
                  <c:v>45017</c:v>
                </c:pt>
                <c:pt idx="160">
                  <c:v>45047</c:v>
                </c:pt>
                <c:pt idx="161">
                  <c:v>45078</c:v>
                </c:pt>
                <c:pt idx="162">
                  <c:v>45108</c:v>
                </c:pt>
                <c:pt idx="163">
                  <c:v>45139</c:v>
                </c:pt>
                <c:pt idx="164">
                  <c:v>45170</c:v>
                </c:pt>
                <c:pt idx="165">
                  <c:v>45200</c:v>
                </c:pt>
                <c:pt idx="166">
                  <c:v>45231</c:v>
                </c:pt>
                <c:pt idx="167">
                  <c:v>45261</c:v>
                </c:pt>
                <c:pt idx="168">
                  <c:v>45292</c:v>
                </c:pt>
                <c:pt idx="169">
                  <c:v>45323</c:v>
                </c:pt>
                <c:pt idx="170">
                  <c:v>45352</c:v>
                </c:pt>
                <c:pt idx="171">
                  <c:v>45383</c:v>
                </c:pt>
                <c:pt idx="172">
                  <c:v>45413</c:v>
                </c:pt>
                <c:pt idx="173">
                  <c:v>45444</c:v>
                </c:pt>
                <c:pt idx="174">
                  <c:v>45474</c:v>
                </c:pt>
                <c:pt idx="175">
                  <c:v>45505</c:v>
                </c:pt>
                <c:pt idx="176">
                  <c:v>45536</c:v>
                </c:pt>
                <c:pt idx="177">
                  <c:v>45566</c:v>
                </c:pt>
                <c:pt idx="178">
                  <c:v>45597</c:v>
                </c:pt>
                <c:pt idx="179">
                  <c:v>45627</c:v>
                </c:pt>
                <c:pt idx="180">
                  <c:v>45658</c:v>
                </c:pt>
                <c:pt idx="181">
                  <c:v>45689</c:v>
                </c:pt>
                <c:pt idx="182">
                  <c:v>45717</c:v>
                </c:pt>
                <c:pt idx="183">
                  <c:v>45748</c:v>
                </c:pt>
                <c:pt idx="184">
                  <c:v>45778</c:v>
                </c:pt>
                <c:pt idx="185">
                  <c:v>45809</c:v>
                </c:pt>
                <c:pt idx="186">
                  <c:v>45839</c:v>
                </c:pt>
                <c:pt idx="187">
                  <c:v>45870</c:v>
                </c:pt>
                <c:pt idx="188">
                  <c:v>45901</c:v>
                </c:pt>
                <c:pt idx="189">
                  <c:v>45931</c:v>
                </c:pt>
                <c:pt idx="190">
                  <c:v>45962</c:v>
                </c:pt>
                <c:pt idx="191">
                  <c:v>45992</c:v>
                </c:pt>
                <c:pt idx="192">
                  <c:v>46023</c:v>
                </c:pt>
              </c:numCache>
            </c:numRef>
          </c:cat>
          <c:val>
            <c:numRef>
              <c:f>'schertz_violent_and_non XmR '!$I$2:$I$194</c:f>
              <c:numCache>
                <c:formatCode>0.0</c:formatCode>
                <c:ptCount val="193"/>
                <c:pt idx="0">
                  <c:v>25.62431372549019</c:v>
                </c:pt>
                <c:pt idx="1">
                  <c:v>25.62431372549019</c:v>
                </c:pt>
                <c:pt idx="2">
                  <c:v>25.62431372549019</c:v>
                </c:pt>
                <c:pt idx="3">
                  <c:v>25.62431372549019</c:v>
                </c:pt>
                <c:pt idx="4">
                  <c:v>25.62431372549019</c:v>
                </c:pt>
                <c:pt idx="5">
                  <c:v>25.62431372549019</c:v>
                </c:pt>
                <c:pt idx="6">
                  <c:v>25.62431372549019</c:v>
                </c:pt>
                <c:pt idx="7">
                  <c:v>25.62431372549019</c:v>
                </c:pt>
                <c:pt idx="8">
                  <c:v>25.62431372549019</c:v>
                </c:pt>
                <c:pt idx="9">
                  <c:v>25.62431372549019</c:v>
                </c:pt>
                <c:pt idx="10">
                  <c:v>25.62431372549019</c:v>
                </c:pt>
                <c:pt idx="11">
                  <c:v>25.62431372549019</c:v>
                </c:pt>
                <c:pt idx="12">
                  <c:v>25.62431372549019</c:v>
                </c:pt>
                <c:pt idx="13">
                  <c:v>25.62431372549019</c:v>
                </c:pt>
                <c:pt idx="14">
                  <c:v>25.62431372549019</c:v>
                </c:pt>
                <c:pt idx="15">
                  <c:v>25.62431372549019</c:v>
                </c:pt>
                <c:pt idx="16">
                  <c:v>25.62431372549019</c:v>
                </c:pt>
                <c:pt idx="17">
                  <c:v>25.62431372549019</c:v>
                </c:pt>
                <c:pt idx="18">
                  <c:v>42.837142857142851</c:v>
                </c:pt>
                <c:pt idx="19">
                  <c:v>42.837142857142851</c:v>
                </c:pt>
                <c:pt idx="20">
                  <c:v>42.837142857142851</c:v>
                </c:pt>
                <c:pt idx="21">
                  <c:v>42.837142857142851</c:v>
                </c:pt>
                <c:pt idx="22">
                  <c:v>42.837142857142851</c:v>
                </c:pt>
                <c:pt idx="23">
                  <c:v>42.837142857142851</c:v>
                </c:pt>
                <c:pt idx="24">
                  <c:v>42.837142857142851</c:v>
                </c:pt>
                <c:pt idx="25">
                  <c:v>42.837142857142851</c:v>
                </c:pt>
                <c:pt idx="26">
                  <c:v>42.837142857142851</c:v>
                </c:pt>
                <c:pt idx="27">
                  <c:v>42.837142857142851</c:v>
                </c:pt>
                <c:pt idx="28">
                  <c:v>42.837142857142851</c:v>
                </c:pt>
                <c:pt idx="29">
                  <c:v>42.837142857142851</c:v>
                </c:pt>
                <c:pt idx="30">
                  <c:v>42.837142857142851</c:v>
                </c:pt>
                <c:pt idx="31">
                  <c:v>42.837142857142851</c:v>
                </c:pt>
                <c:pt idx="32">
                  <c:v>32.53170731707317</c:v>
                </c:pt>
                <c:pt idx="33">
                  <c:v>32.53170731707317</c:v>
                </c:pt>
                <c:pt idx="34">
                  <c:v>32.53170731707317</c:v>
                </c:pt>
                <c:pt idx="35">
                  <c:v>32.53170731707317</c:v>
                </c:pt>
                <c:pt idx="36">
                  <c:v>32.53170731707317</c:v>
                </c:pt>
                <c:pt idx="37">
                  <c:v>32.53170731707317</c:v>
                </c:pt>
                <c:pt idx="38">
                  <c:v>32.53170731707317</c:v>
                </c:pt>
                <c:pt idx="39">
                  <c:v>32.53170731707317</c:v>
                </c:pt>
                <c:pt idx="40">
                  <c:v>32.53170731707317</c:v>
                </c:pt>
                <c:pt idx="41">
                  <c:v>32.53170731707317</c:v>
                </c:pt>
                <c:pt idx="42">
                  <c:v>32.53170731707317</c:v>
                </c:pt>
                <c:pt idx="43">
                  <c:v>32.53170731707317</c:v>
                </c:pt>
                <c:pt idx="44">
                  <c:v>32.53170731707317</c:v>
                </c:pt>
                <c:pt idx="45">
                  <c:v>32.53170731707317</c:v>
                </c:pt>
                <c:pt idx="46">
                  <c:v>32.53170731707317</c:v>
                </c:pt>
                <c:pt idx="47">
                  <c:v>32.53170731707317</c:v>
                </c:pt>
                <c:pt idx="48">
                  <c:v>32.53170731707317</c:v>
                </c:pt>
                <c:pt idx="49">
                  <c:v>32.53170731707317</c:v>
                </c:pt>
                <c:pt idx="50">
                  <c:v>32.53170731707317</c:v>
                </c:pt>
                <c:pt idx="51">
                  <c:v>32.53170731707317</c:v>
                </c:pt>
                <c:pt idx="52">
                  <c:v>32.53170731707317</c:v>
                </c:pt>
                <c:pt idx="53">
                  <c:v>32.53170731707317</c:v>
                </c:pt>
                <c:pt idx="54">
                  <c:v>32.53170731707317</c:v>
                </c:pt>
                <c:pt idx="55">
                  <c:v>32.53170731707317</c:v>
                </c:pt>
                <c:pt idx="56">
                  <c:v>32.53170731707317</c:v>
                </c:pt>
                <c:pt idx="57">
                  <c:v>32.53170731707317</c:v>
                </c:pt>
                <c:pt idx="58">
                  <c:v>32.53170731707317</c:v>
                </c:pt>
                <c:pt idx="59">
                  <c:v>32.53170731707317</c:v>
                </c:pt>
                <c:pt idx="60">
                  <c:v>32.53170731707317</c:v>
                </c:pt>
                <c:pt idx="61">
                  <c:v>32.53170731707317</c:v>
                </c:pt>
                <c:pt idx="62">
                  <c:v>32.53170731707317</c:v>
                </c:pt>
                <c:pt idx="63">
                  <c:v>32.53170731707317</c:v>
                </c:pt>
                <c:pt idx="64">
                  <c:v>32.53170731707317</c:v>
                </c:pt>
                <c:pt idx="65">
                  <c:v>32.53170731707317</c:v>
                </c:pt>
                <c:pt idx="66">
                  <c:v>32.53170731707317</c:v>
                </c:pt>
                <c:pt idx="67">
                  <c:v>32.53170731707317</c:v>
                </c:pt>
                <c:pt idx="68">
                  <c:v>32.53170731707317</c:v>
                </c:pt>
                <c:pt idx="69">
                  <c:v>32.53170731707317</c:v>
                </c:pt>
                <c:pt idx="70">
                  <c:v>32.53170731707317</c:v>
                </c:pt>
                <c:pt idx="71">
                  <c:v>32.53170731707317</c:v>
                </c:pt>
                <c:pt idx="72">
                  <c:v>32.53170731707317</c:v>
                </c:pt>
                <c:pt idx="73">
                  <c:v>54.784615384615392</c:v>
                </c:pt>
                <c:pt idx="74">
                  <c:v>54.784615384615392</c:v>
                </c:pt>
                <c:pt idx="75">
                  <c:v>54.784615384615392</c:v>
                </c:pt>
                <c:pt idx="76">
                  <c:v>54.784615384615392</c:v>
                </c:pt>
                <c:pt idx="77">
                  <c:v>54.784615384615392</c:v>
                </c:pt>
                <c:pt idx="78">
                  <c:v>54.784615384615392</c:v>
                </c:pt>
                <c:pt idx="79">
                  <c:v>54.784615384615392</c:v>
                </c:pt>
                <c:pt idx="80">
                  <c:v>54.784615384615392</c:v>
                </c:pt>
                <c:pt idx="81">
                  <c:v>54.784615384615392</c:v>
                </c:pt>
                <c:pt idx="82">
                  <c:v>54.784615384615392</c:v>
                </c:pt>
                <c:pt idx="83">
                  <c:v>54.784615384615392</c:v>
                </c:pt>
                <c:pt idx="84">
                  <c:v>54.784615384615392</c:v>
                </c:pt>
                <c:pt idx="85">
                  <c:v>54.784615384615392</c:v>
                </c:pt>
                <c:pt idx="86">
                  <c:v>28.128571428571433</c:v>
                </c:pt>
                <c:pt idx="87">
                  <c:v>28.128571428571433</c:v>
                </c:pt>
                <c:pt idx="88">
                  <c:v>28.128571428571433</c:v>
                </c:pt>
                <c:pt idx="89">
                  <c:v>28.128571428571433</c:v>
                </c:pt>
                <c:pt idx="90">
                  <c:v>28.128571428571433</c:v>
                </c:pt>
                <c:pt idx="91">
                  <c:v>28.128571428571433</c:v>
                </c:pt>
                <c:pt idx="92">
                  <c:v>28.128571428571433</c:v>
                </c:pt>
                <c:pt idx="93">
                  <c:v>35.109090909090909</c:v>
                </c:pt>
                <c:pt idx="94">
                  <c:v>35.109090909090909</c:v>
                </c:pt>
                <c:pt idx="95">
                  <c:v>35.109090909090909</c:v>
                </c:pt>
                <c:pt idx="96">
                  <c:v>35.109090909090909</c:v>
                </c:pt>
                <c:pt idx="97">
                  <c:v>35.109090909090909</c:v>
                </c:pt>
                <c:pt idx="98">
                  <c:v>35.109090909090909</c:v>
                </c:pt>
                <c:pt idx="99">
                  <c:v>35.109090909090909</c:v>
                </c:pt>
                <c:pt idx="100">
                  <c:v>35.109090909090909</c:v>
                </c:pt>
                <c:pt idx="101">
                  <c:v>35.109090909090909</c:v>
                </c:pt>
                <c:pt idx="102">
                  <c:v>35.109090909090909</c:v>
                </c:pt>
                <c:pt idx="103">
                  <c:v>35.109090909090909</c:v>
                </c:pt>
                <c:pt idx="104">
                  <c:v>18.256799999999998</c:v>
                </c:pt>
                <c:pt idx="105">
                  <c:v>18.256799999999998</c:v>
                </c:pt>
                <c:pt idx="106">
                  <c:v>18.256799999999998</c:v>
                </c:pt>
                <c:pt idx="107">
                  <c:v>18.256799999999998</c:v>
                </c:pt>
                <c:pt idx="108">
                  <c:v>18.256799999999998</c:v>
                </c:pt>
                <c:pt idx="109">
                  <c:v>18.256799999999998</c:v>
                </c:pt>
                <c:pt idx="110">
                  <c:v>18.256799999999998</c:v>
                </c:pt>
                <c:pt idx="111">
                  <c:v>18.256799999999998</c:v>
                </c:pt>
                <c:pt idx="112">
                  <c:v>18.256799999999998</c:v>
                </c:pt>
                <c:pt idx="113">
                  <c:v>18.256799999999998</c:v>
                </c:pt>
                <c:pt idx="114">
                  <c:v>18.256799999999998</c:v>
                </c:pt>
                <c:pt idx="115">
                  <c:v>18.256799999999998</c:v>
                </c:pt>
                <c:pt idx="116">
                  <c:v>18.256799999999998</c:v>
                </c:pt>
                <c:pt idx="117">
                  <c:v>18.256799999999998</c:v>
                </c:pt>
                <c:pt idx="118">
                  <c:v>18.256799999999998</c:v>
                </c:pt>
                <c:pt idx="119">
                  <c:v>18.256799999999998</c:v>
                </c:pt>
                <c:pt idx="120">
                  <c:v>18.256799999999998</c:v>
                </c:pt>
                <c:pt idx="121">
                  <c:v>18.256799999999998</c:v>
                </c:pt>
                <c:pt idx="122">
                  <c:v>18.256799999999998</c:v>
                </c:pt>
                <c:pt idx="123">
                  <c:v>18.256799999999998</c:v>
                </c:pt>
                <c:pt idx="124">
                  <c:v>18.256799999999998</c:v>
                </c:pt>
                <c:pt idx="125">
                  <c:v>18.256799999999998</c:v>
                </c:pt>
                <c:pt idx="126">
                  <c:v>18.256799999999998</c:v>
                </c:pt>
                <c:pt idx="127">
                  <c:v>18.256799999999998</c:v>
                </c:pt>
                <c:pt idx="128">
                  <c:v>18.256799999999998</c:v>
                </c:pt>
                <c:pt idx="129">
                  <c:v>15.023809523809522</c:v>
                </c:pt>
                <c:pt idx="130">
                  <c:v>15.023809523809522</c:v>
                </c:pt>
                <c:pt idx="131">
                  <c:v>15.023809523809522</c:v>
                </c:pt>
                <c:pt idx="132">
                  <c:v>15.023809523809522</c:v>
                </c:pt>
                <c:pt idx="133">
                  <c:v>15.023809523809522</c:v>
                </c:pt>
                <c:pt idx="134">
                  <c:v>15.023809523809522</c:v>
                </c:pt>
                <c:pt idx="135">
                  <c:v>15.023809523809522</c:v>
                </c:pt>
                <c:pt idx="136">
                  <c:v>15.023809523809522</c:v>
                </c:pt>
                <c:pt idx="137">
                  <c:v>15.023809523809522</c:v>
                </c:pt>
                <c:pt idx="138">
                  <c:v>15.023809523809522</c:v>
                </c:pt>
                <c:pt idx="139">
                  <c:v>15.023809523809522</c:v>
                </c:pt>
                <c:pt idx="140">
                  <c:v>15.023809523809522</c:v>
                </c:pt>
                <c:pt idx="141">
                  <c:v>15.023809523809522</c:v>
                </c:pt>
                <c:pt idx="142">
                  <c:v>15.023809523809522</c:v>
                </c:pt>
                <c:pt idx="143">
                  <c:v>15.023809523809522</c:v>
                </c:pt>
                <c:pt idx="144">
                  <c:v>15.023809523809522</c:v>
                </c:pt>
                <c:pt idx="145">
                  <c:v>15.023809523809522</c:v>
                </c:pt>
                <c:pt idx="146">
                  <c:v>15.023809523809522</c:v>
                </c:pt>
                <c:pt idx="147">
                  <c:v>15.023809523809522</c:v>
                </c:pt>
                <c:pt idx="148">
                  <c:v>15.023809523809522</c:v>
                </c:pt>
                <c:pt idx="149">
                  <c:v>15.023809523809522</c:v>
                </c:pt>
                <c:pt idx="150">
                  <c:v>27.459999999999997</c:v>
                </c:pt>
                <c:pt idx="151">
                  <c:v>27.459999999999997</c:v>
                </c:pt>
                <c:pt idx="152">
                  <c:v>27.459999999999997</c:v>
                </c:pt>
                <c:pt idx="153">
                  <c:v>27.459999999999997</c:v>
                </c:pt>
                <c:pt idx="154">
                  <c:v>27.459999999999997</c:v>
                </c:pt>
                <c:pt idx="155">
                  <c:v>24.452857142857145</c:v>
                </c:pt>
                <c:pt idx="156">
                  <c:v>24.452857142857145</c:v>
                </c:pt>
                <c:pt idx="157">
                  <c:v>24.452857142857145</c:v>
                </c:pt>
                <c:pt idx="158">
                  <c:v>24.452857142857145</c:v>
                </c:pt>
                <c:pt idx="159">
                  <c:v>24.452857142857145</c:v>
                </c:pt>
                <c:pt idx="160">
                  <c:v>24.452857142857145</c:v>
                </c:pt>
                <c:pt idx="161">
                  <c:v>24.452857142857145</c:v>
                </c:pt>
                <c:pt idx="162">
                  <c:v>24.452857142857145</c:v>
                </c:pt>
                <c:pt idx="163">
                  <c:v>24.452857142857145</c:v>
                </c:pt>
                <c:pt idx="164">
                  <c:v>24.452857142857145</c:v>
                </c:pt>
                <c:pt idx="165">
                  <c:v>24.452857142857145</c:v>
                </c:pt>
                <c:pt idx="166">
                  <c:v>24.452857142857145</c:v>
                </c:pt>
                <c:pt idx="167">
                  <c:v>24.452857142857145</c:v>
                </c:pt>
                <c:pt idx="168">
                  <c:v>24.452857142857145</c:v>
                </c:pt>
                <c:pt idx="169">
                  <c:v>13.167999999999999</c:v>
                </c:pt>
                <c:pt idx="170">
                  <c:v>13.167999999999999</c:v>
                </c:pt>
                <c:pt idx="171">
                  <c:v>13.167999999999999</c:v>
                </c:pt>
                <c:pt idx="172">
                  <c:v>13.167999999999999</c:v>
                </c:pt>
                <c:pt idx="173">
                  <c:v>13.167999999999999</c:v>
                </c:pt>
                <c:pt idx="174">
                  <c:v>13.167999999999999</c:v>
                </c:pt>
                <c:pt idx="175">
                  <c:v>13.167999999999999</c:v>
                </c:pt>
                <c:pt idx="176">
                  <c:v>13.167999999999999</c:v>
                </c:pt>
                <c:pt idx="177">
                  <c:v>13.167999999999999</c:v>
                </c:pt>
                <c:pt idx="178">
                  <c:v>13.167999999999999</c:v>
                </c:pt>
                <c:pt idx="179">
                  <c:v>13.167999999999999</c:v>
                </c:pt>
                <c:pt idx="180">
                  <c:v>13.167999999999999</c:v>
                </c:pt>
                <c:pt idx="181">
                  <c:v>13.167999999999999</c:v>
                </c:pt>
                <c:pt idx="182">
                  <c:v>13.167999999999999</c:v>
                </c:pt>
                <c:pt idx="183">
                  <c:v>13.167999999999999</c:v>
                </c:pt>
                <c:pt idx="184">
                  <c:v>11.733333333333334</c:v>
                </c:pt>
                <c:pt idx="185">
                  <c:v>11.733333333333334</c:v>
                </c:pt>
                <c:pt idx="186">
                  <c:v>11.733333333333334</c:v>
                </c:pt>
                <c:pt idx="187">
                  <c:v>11.733333333333334</c:v>
                </c:pt>
                <c:pt idx="188">
                  <c:v>11.733333333333334</c:v>
                </c:pt>
                <c:pt idx="189">
                  <c:v>11.733333333333334</c:v>
                </c:pt>
                <c:pt idx="190">
                  <c:v>11.733333333333334</c:v>
                </c:pt>
                <c:pt idx="191">
                  <c:v>11.733333333333334</c:v>
                </c:pt>
                <c:pt idx="192">
                  <c:v>11.733333333333334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8D-F024-6F4B-A084-58E0707C65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3116095"/>
        <c:axId val="514322607"/>
      </c:lineChart>
      <c:catAx>
        <c:axId val="13031160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+mn-lt"/>
                  </a:rPr>
                  <a:t>Jan-10 - Jan-26</a:t>
                </a:r>
              </a:p>
            </c:rich>
          </c:tx>
          <c:overlay val="0"/>
        </c:title>
        <c:numFmt formatCode="mmm\-yy" sourceLinked="1"/>
        <c:majorTickMark val="out"/>
        <c:minorTickMark val="none"/>
        <c:tickLblPos val="nextTo"/>
        <c:crossAx val="514322607"/>
        <c:crosses val="autoZero"/>
        <c:auto val="0"/>
        <c:lblAlgn val="ctr"/>
        <c:lblOffset val="100"/>
        <c:noMultiLvlLbl val="0"/>
      </c:catAx>
      <c:valAx>
        <c:axId val="514322607"/>
        <c:scaling>
          <c:orientation val="minMax"/>
          <c:min val="14.450000000000001"/>
        </c:scaling>
        <c:delete val="0"/>
        <c:axPos val="l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 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 +mn-lt"/>
                  </a:rPr>
                  <a:t>schertz_violent_and_nonviolent_ query1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1303116095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20</xdr:row>
      <xdr:rowOff>0</xdr:rowOff>
    </xdr:from>
    <xdr:to>
      <xdr:col>18</xdr:col>
      <xdr:colOff>0</xdr:colOff>
      <xdr:row>38</xdr:row>
      <xdr:rowOff>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1CE654D0-41C1-44F1-9E27-FF16E7CF86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554181</xdr:colOff>
      <xdr:row>0</xdr:row>
      <xdr:rowOff>0</xdr:rowOff>
    </xdr:from>
    <xdr:to>
      <xdr:col>26</xdr:col>
      <xdr:colOff>681181</xdr:colOff>
      <xdr:row>61</xdr:row>
      <xdr:rowOff>173182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279BBEE6-3AB0-566D-6592-7D6E81C17C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FAE68-9148-9949-B294-21BEF19901F6}">
  <sheetPr>
    <tabColor rgb="FF66FF66"/>
    <pageSetUpPr fitToPage="1"/>
  </sheetPr>
  <dimension ref="A1:R214"/>
  <sheetViews>
    <sheetView zoomScale="110" zoomScaleNormal="110" workbookViewId="0">
      <selection activeCell="K186" sqref="K171:K194"/>
    </sheetView>
  </sheetViews>
  <sheetFormatPr baseColWidth="10" defaultRowHeight="16" x14ac:dyDescent="0.2"/>
  <cols>
    <col min="1" max="1" width="7.1640625" bestFit="1" customWidth="1"/>
    <col min="2" max="20" width="7.33203125" customWidth="1"/>
  </cols>
  <sheetData>
    <row r="1" spans="1:18" ht="14" customHeight="1" x14ac:dyDescent="0.2">
      <c r="A1" t="s">
        <v>0</v>
      </c>
      <c r="B1" s="2" t="s">
        <v>1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ht="14" customHeight="1" x14ac:dyDescent="0.2">
      <c r="A2" s="1">
        <v>40179</v>
      </c>
      <c r="B2" s="2">
        <v>58</v>
      </c>
      <c r="C2" s="2">
        <f t="shared" ref="C2:C65" ca="1" si="0">F2+2.66*O2</f>
        <v>85.709019607843146</v>
      </c>
      <c r="D2" s="2">
        <f t="shared" ref="D2:D65" ca="1" si="1">F2+(2/3)*2.66*O2</f>
        <v>75.694901960784307</v>
      </c>
      <c r="E2" s="2">
        <f t="shared" ref="E2:E65" ca="1" si="2">F2+(1/3)*2.66*O2</f>
        <v>65.680784313725496</v>
      </c>
      <c r="F2" s="2">
        <f t="shared" ref="F2:F19" si="3">AVERAGE($B$2:$B$19)</f>
        <v>55.666666666666664</v>
      </c>
      <c r="G2" s="2">
        <f t="shared" ref="G2:G65" ca="1" si="4">F2-(1/3)*2.66*O2</f>
        <v>45.652549019607839</v>
      </c>
      <c r="H2" s="2">
        <f t="shared" ref="H2:H65" ca="1" si="5">F2-(2/3)*2.66*O2</f>
        <v>35.638431372549014</v>
      </c>
      <c r="I2" s="2">
        <f t="shared" ref="I2:I65" ca="1" si="6">F2-2.66*O2</f>
        <v>25.62431372549019</v>
      </c>
      <c r="J2">
        <f>B2</f>
        <v>58</v>
      </c>
      <c r="K2" s="2"/>
      <c r="L2" s="2"/>
      <c r="M2" s="2"/>
      <c r="N2" s="2"/>
      <c r="O2" s="2">
        <f t="shared" ref="O2:O19" ca="1" si="7">AVERAGE($K$2:$K$19)</f>
        <v>11.294117647058824</v>
      </c>
      <c r="P2" s="2"/>
      <c r="Q2" s="2"/>
      <c r="R2" s="2"/>
    </row>
    <row r="3" spans="1:18" ht="14" customHeight="1" x14ac:dyDescent="0.2">
      <c r="A3" s="1">
        <v>40210</v>
      </c>
      <c r="B3" s="2">
        <v>53</v>
      </c>
      <c r="C3" s="2">
        <f t="shared" ca="1" si="0"/>
        <v>85.709019607843146</v>
      </c>
      <c r="D3" s="2">
        <f t="shared" ca="1" si="1"/>
        <v>75.694901960784307</v>
      </c>
      <c r="E3" s="2">
        <f t="shared" ca="1" si="2"/>
        <v>65.680784313725496</v>
      </c>
      <c r="F3" s="2">
        <f t="shared" si="3"/>
        <v>55.666666666666664</v>
      </c>
      <c r="G3" s="2">
        <f t="shared" ca="1" si="4"/>
        <v>45.652549019607839</v>
      </c>
      <c r="H3" s="2">
        <f t="shared" ca="1" si="5"/>
        <v>35.638431372549014</v>
      </c>
      <c r="I3" s="2">
        <f t="shared" ca="1" si="6"/>
        <v>25.62431372549019</v>
      </c>
      <c r="J3">
        <f t="shared" ref="J3:J66" ca="1" si="8">IF(ISBLANK(B3),OFFSET(J3,-1,0,1,1),B3)</f>
        <v>53</v>
      </c>
      <c r="K3" s="2">
        <f t="shared" ref="K3:K66" ca="1" si="9">IF(OR(OFFSET(K3,-1,-9,1,1)="",OFFSET(K3,0,-9,1,1)=""),"",IF(ISERROR(ABS(B3-OFFSET(K3,-1,-1,1,1))),"",ABS(B3-OFFSET(K3,-1,-1,1,1))))</f>
        <v>5</v>
      </c>
      <c r="L3" s="2">
        <f t="shared" ref="L3:L66" ca="1" si="10">3.267*O3</f>
        <v>36.897882352941181</v>
      </c>
      <c r="M3" s="2">
        <f t="shared" ref="M3:M66" ca="1" si="11">(2/3)*(L3-O3)+O3</f>
        <v>28.363294117647058</v>
      </c>
      <c r="N3" s="2">
        <f t="shared" ref="N3:N66" ca="1" si="12">(1/3)*(L3-O3)+O3</f>
        <v>19.828705882352942</v>
      </c>
      <c r="O3" s="2">
        <f t="shared" ca="1" si="7"/>
        <v>11.294117647058824</v>
      </c>
      <c r="P3" s="2">
        <f t="shared" ref="P3:P66" ca="1" si="13">(MAX(O3-(1/3)*(L3-O3),0))</f>
        <v>2.7595294117647065</v>
      </c>
      <c r="Q3" s="2">
        <f t="shared" ref="Q3:Q66" ca="1" si="14">MAX(O3-(2/3)*(L3-O3),0)</f>
        <v>0</v>
      </c>
      <c r="R3" s="2">
        <v>0</v>
      </c>
    </row>
    <row r="4" spans="1:18" ht="14" customHeight="1" x14ac:dyDescent="0.2">
      <c r="A4" s="1">
        <v>40238</v>
      </c>
      <c r="B4" s="2">
        <v>40</v>
      </c>
      <c r="C4" s="2">
        <f t="shared" ca="1" si="0"/>
        <v>85.709019607843146</v>
      </c>
      <c r="D4" s="2">
        <f t="shared" ca="1" si="1"/>
        <v>75.694901960784307</v>
      </c>
      <c r="E4" s="2">
        <f t="shared" ca="1" si="2"/>
        <v>65.680784313725496</v>
      </c>
      <c r="F4" s="2">
        <f t="shared" si="3"/>
        <v>55.666666666666664</v>
      </c>
      <c r="G4" s="2">
        <f t="shared" ca="1" si="4"/>
        <v>45.652549019607839</v>
      </c>
      <c r="H4" s="2">
        <f t="shared" ca="1" si="5"/>
        <v>35.638431372549014</v>
      </c>
      <c r="I4" s="2">
        <f t="shared" ca="1" si="6"/>
        <v>25.62431372549019</v>
      </c>
      <c r="J4">
        <f t="shared" ca="1" si="8"/>
        <v>40</v>
      </c>
      <c r="K4" s="2">
        <f t="shared" ca="1" si="9"/>
        <v>13</v>
      </c>
      <c r="L4" s="2">
        <f t="shared" ca="1" si="10"/>
        <v>36.897882352941181</v>
      </c>
      <c r="M4" s="2">
        <f t="shared" ca="1" si="11"/>
        <v>28.363294117647058</v>
      </c>
      <c r="N4" s="2">
        <f t="shared" ca="1" si="12"/>
        <v>19.828705882352942</v>
      </c>
      <c r="O4" s="2">
        <f t="shared" ca="1" si="7"/>
        <v>11.294117647058824</v>
      </c>
      <c r="P4" s="2">
        <f t="shared" ca="1" si="13"/>
        <v>2.7595294117647065</v>
      </c>
      <c r="Q4" s="2">
        <f t="shared" ca="1" si="14"/>
        <v>0</v>
      </c>
      <c r="R4" s="2">
        <v>0</v>
      </c>
    </row>
    <row r="5" spans="1:18" ht="14" customHeight="1" x14ac:dyDescent="0.2">
      <c r="A5" s="1">
        <v>40269</v>
      </c>
      <c r="B5" s="2">
        <v>48</v>
      </c>
      <c r="C5" s="2">
        <f t="shared" ca="1" si="0"/>
        <v>85.709019607843146</v>
      </c>
      <c r="D5" s="2">
        <f t="shared" ca="1" si="1"/>
        <v>75.694901960784307</v>
      </c>
      <c r="E5" s="2">
        <f t="shared" ca="1" si="2"/>
        <v>65.680784313725496</v>
      </c>
      <c r="F5" s="2">
        <f t="shared" si="3"/>
        <v>55.666666666666664</v>
      </c>
      <c r="G5" s="2">
        <f t="shared" ca="1" si="4"/>
        <v>45.652549019607839</v>
      </c>
      <c r="H5" s="2">
        <f t="shared" ca="1" si="5"/>
        <v>35.638431372549014</v>
      </c>
      <c r="I5" s="2">
        <f t="shared" ca="1" si="6"/>
        <v>25.62431372549019</v>
      </c>
      <c r="J5">
        <f t="shared" ca="1" si="8"/>
        <v>48</v>
      </c>
      <c r="K5" s="2">
        <f t="shared" ca="1" si="9"/>
        <v>8</v>
      </c>
      <c r="L5" s="2">
        <f t="shared" ca="1" si="10"/>
        <v>36.897882352941181</v>
      </c>
      <c r="M5" s="2">
        <f t="shared" ca="1" si="11"/>
        <v>28.363294117647058</v>
      </c>
      <c r="N5" s="2">
        <f t="shared" ca="1" si="12"/>
        <v>19.828705882352942</v>
      </c>
      <c r="O5" s="2">
        <f t="shared" ca="1" si="7"/>
        <v>11.294117647058824</v>
      </c>
      <c r="P5" s="2">
        <f t="shared" ca="1" si="13"/>
        <v>2.7595294117647065</v>
      </c>
      <c r="Q5" s="2">
        <f t="shared" ca="1" si="14"/>
        <v>0</v>
      </c>
      <c r="R5" s="2">
        <v>0</v>
      </c>
    </row>
    <row r="6" spans="1:18" ht="14" customHeight="1" x14ac:dyDescent="0.2">
      <c r="A6" s="3">
        <v>40299</v>
      </c>
      <c r="B6" s="4">
        <v>81</v>
      </c>
      <c r="C6" s="2">
        <f t="shared" ca="1" si="0"/>
        <v>85.709019607843146</v>
      </c>
      <c r="D6" s="2">
        <f t="shared" ca="1" si="1"/>
        <v>75.694901960784307</v>
      </c>
      <c r="E6" s="2">
        <f t="shared" ca="1" si="2"/>
        <v>65.680784313725496</v>
      </c>
      <c r="F6" s="2">
        <f t="shared" si="3"/>
        <v>55.666666666666664</v>
      </c>
      <c r="G6" s="2">
        <f t="shared" ca="1" si="4"/>
        <v>45.652549019607839</v>
      </c>
      <c r="H6" s="2">
        <f t="shared" ca="1" si="5"/>
        <v>35.638431372549014</v>
      </c>
      <c r="I6" s="2">
        <f t="shared" ca="1" si="6"/>
        <v>25.62431372549019</v>
      </c>
      <c r="J6">
        <f t="shared" ca="1" si="8"/>
        <v>81</v>
      </c>
      <c r="K6" s="2">
        <f t="shared" ca="1" si="9"/>
        <v>33</v>
      </c>
      <c r="L6" s="2">
        <f t="shared" ca="1" si="10"/>
        <v>36.897882352941181</v>
      </c>
      <c r="M6" s="2">
        <f t="shared" ca="1" si="11"/>
        <v>28.363294117647058</v>
      </c>
      <c r="N6" s="2">
        <f t="shared" ca="1" si="12"/>
        <v>19.828705882352942</v>
      </c>
      <c r="O6" s="2">
        <f t="shared" ca="1" si="7"/>
        <v>11.294117647058824</v>
      </c>
      <c r="P6" s="2">
        <f t="shared" ca="1" si="13"/>
        <v>2.7595294117647065</v>
      </c>
      <c r="Q6" s="2">
        <f t="shared" ca="1" si="14"/>
        <v>0</v>
      </c>
      <c r="R6" s="2">
        <v>0</v>
      </c>
    </row>
    <row r="7" spans="1:18" ht="14" customHeight="1" x14ac:dyDescent="0.2">
      <c r="A7" s="3">
        <v>40330</v>
      </c>
      <c r="B7" s="4">
        <v>85</v>
      </c>
      <c r="C7" s="2">
        <f t="shared" ca="1" si="0"/>
        <v>85.709019607843146</v>
      </c>
      <c r="D7" s="2">
        <f t="shared" ca="1" si="1"/>
        <v>75.694901960784307</v>
      </c>
      <c r="E7" s="2">
        <f t="shared" ca="1" si="2"/>
        <v>65.680784313725496</v>
      </c>
      <c r="F7" s="2">
        <f t="shared" si="3"/>
        <v>55.666666666666664</v>
      </c>
      <c r="G7" s="2">
        <f t="shared" ca="1" si="4"/>
        <v>45.652549019607839</v>
      </c>
      <c r="H7" s="2">
        <f t="shared" ca="1" si="5"/>
        <v>35.638431372549014</v>
      </c>
      <c r="I7" s="2">
        <f t="shared" ca="1" si="6"/>
        <v>25.62431372549019</v>
      </c>
      <c r="J7">
        <f t="shared" ca="1" si="8"/>
        <v>85</v>
      </c>
      <c r="K7" s="2">
        <f t="shared" ca="1" si="9"/>
        <v>4</v>
      </c>
      <c r="L7" s="2">
        <f t="shared" ca="1" si="10"/>
        <v>36.897882352941181</v>
      </c>
      <c r="M7" s="2">
        <f t="shared" ca="1" si="11"/>
        <v>28.363294117647058</v>
      </c>
      <c r="N7" s="2">
        <f t="shared" ca="1" si="12"/>
        <v>19.828705882352942</v>
      </c>
      <c r="O7" s="2">
        <f t="shared" ca="1" si="7"/>
        <v>11.294117647058824</v>
      </c>
      <c r="P7" s="2">
        <f t="shared" ca="1" si="13"/>
        <v>2.7595294117647065</v>
      </c>
      <c r="Q7" s="2">
        <f t="shared" ca="1" si="14"/>
        <v>0</v>
      </c>
      <c r="R7" s="2">
        <v>0</v>
      </c>
    </row>
    <row r="8" spans="1:18" ht="14" customHeight="1" x14ac:dyDescent="0.2">
      <c r="A8" s="1">
        <v>40360</v>
      </c>
      <c r="B8" s="2">
        <v>62</v>
      </c>
      <c r="C8" s="2">
        <f t="shared" ca="1" si="0"/>
        <v>85.709019607843146</v>
      </c>
      <c r="D8" s="2">
        <f t="shared" ca="1" si="1"/>
        <v>75.694901960784307</v>
      </c>
      <c r="E8" s="2">
        <f t="shared" ca="1" si="2"/>
        <v>65.680784313725496</v>
      </c>
      <c r="F8" s="2">
        <f t="shared" si="3"/>
        <v>55.666666666666664</v>
      </c>
      <c r="G8" s="2">
        <f t="shared" ca="1" si="4"/>
        <v>45.652549019607839</v>
      </c>
      <c r="H8" s="2">
        <f t="shared" ca="1" si="5"/>
        <v>35.638431372549014</v>
      </c>
      <c r="I8" s="2">
        <f t="shared" ca="1" si="6"/>
        <v>25.62431372549019</v>
      </c>
      <c r="J8">
        <f t="shared" ca="1" si="8"/>
        <v>62</v>
      </c>
      <c r="K8" s="2">
        <f t="shared" ca="1" si="9"/>
        <v>23</v>
      </c>
      <c r="L8" s="2">
        <f t="shared" ca="1" si="10"/>
        <v>36.897882352941181</v>
      </c>
      <c r="M8" s="2">
        <f t="shared" ca="1" si="11"/>
        <v>28.363294117647058</v>
      </c>
      <c r="N8" s="2">
        <f t="shared" ca="1" si="12"/>
        <v>19.828705882352942</v>
      </c>
      <c r="O8" s="2">
        <f t="shared" ca="1" si="7"/>
        <v>11.294117647058824</v>
      </c>
      <c r="P8" s="2">
        <f t="shared" ca="1" si="13"/>
        <v>2.7595294117647065</v>
      </c>
      <c r="Q8" s="2">
        <f t="shared" ca="1" si="14"/>
        <v>0</v>
      </c>
      <c r="R8" s="2">
        <v>0</v>
      </c>
    </row>
    <row r="9" spans="1:18" ht="14" customHeight="1" x14ac:dyDescent="0.2">
      <c r="A9" s="1">
        <v>40391</v>
      </c>
      <c r="B9" s="2">
        <v>52</v>
      </c>
      <c r="C9" s="2">
        <f t="shared" ca="1" si="0"/>
        <v>85.709019607843146</v>
      </c>
      <c r="D9" s="2">
        <f t="shared" ca="1" si="1"/>
        <v>75.694901960784307</v>
      </c>
      <c r="E9" s="2">
        <f t="shared" ca="1" si="2"/>
        <v>65.680784313725496</v>
      </c>
      <c r="F9" s="2">
        <f t="shared" si="3"/>
        <v>55.666666666666664</v>
      </c>
      <c r="G9" s="2">
        <f t="shared" ca="1" si="4"/>
        <v>45.652549019607839</v>
      </c>
      <c r="H9" s="2">
        <f t="shared" ca="1" si="5"/>
        <v>35.638431372549014</v>
      </c>
      <c r="I9" s="2">
        <f t="shared" ca="1" si="6"/>
        <v>25.62431372549019</v>
      </c>
      <c r="J9">
        <f t="shared" ca="1" si="8"/>
        <v>52</v>
      </c>
      <c r="K9" s="2">
        <f t="shared" ca="1" si="9"/>
        <v>10</v>
      </c>
      <c r="L9" s="2">
        <f t="shared" ca="1" si="10"/>
        <v>36.897882352941181</v>
      </c>
      <c r="M9" s="2">
        <f t="shared" ca="1" si="11"/>
        <v>28.363294117647058</v>
      </c>
      <c r="N9" s="2">
        <f t="shared" ca="1" si="12"/>
        <v>19.828705882352942</v>
      </c>
      <c r="O9" s="2">
        <f t="shared" ca="1" si="7"/>
        <v>11.294117647058824</v>
      </c>
      <c r="P9" s="2">
        <f t="shared" ca="1" si="13"/>
        <v>2.7595294117647065</v>
      </c>
      <c r="Q9" s="2">
        <f t="shared" ca="1" si="14"/>
        <v>0</v>
      </c>
      <c r="R9" s="2">
        <v>0</v>
      </c>
    </row>
    <row r="10" spans="1:18" ht="14" customHeight="1" x14ac:dyDescent="0.2">
      <c r="A10" s="1">
        <v>40422</v>
      </c>
      <c r="B10" s="2">
        <v>53</v>
      </c>
      <c r="C10" s="2">
        <f t="shared" ca="1" si="0"/>
        <v>85.709019607843146</v>
      </c>
      <c r="D10" s="2">
        <f t="shared" ca="1" si="1"/>
        <v>75.694901960784307</v>
      </c>
      <c r="E10" s="2">
        <f t="shared" ca="1" si="2"/>
        <v>65.680784313725496</v>
      </c>
      <c r="F10" s="2">
        <f t="shared" si="3"/>
        <v>55.666666666666664</v>
      </c>
      <c r="G10" s="2">
        <f t="shared" ca="1" si="4"/>
        <v>45.652549019607839</v>
      </c>
      <c r="H10" s="2">
        <f t="shared" ca="1" si="5"/>
        <v>35.638431372549014</v>
      </c>
      <c r="I10" s="2">
        <f t="shared" ca="1" si="6"/>
        <v>25.62431372549019</v>
      </c>
      <c r="J10">
        <f t="shared" ca="1" si="8"/>
        <v>53</v>
      </c>
      <c r="K10" s="2">
        <f t="shared" ca="1" si="9"/>
        <v>1</v>
      </c>
      <c r="L10" s="2">
        <f t="shared" ca="1" si="10"/>
        <v>36.897882352941181</v>
      </c>
      <c r="M10" s="2">
        <f t="shared" ca="1" si="11"/>
        <v>28.363294117647058</v>
      </c>
      <c r="N10" s="2">
        <f t="shared" ca="1" si="12"/>
        <v>19.828705882352942</v>
      </c>
      <c r="O10" s="2">
        <f t="shared" ca="1" si="7"/>
        <v>11.294117647058824</v>
      </c>
      <c r="P10" s="2">
        <f t="shared" ca="1" si="13"/>
        <v>2.7595294117647065</v>
      </c>
      <c r="Q10" s="2">
        <f t="shared" ca="1" si="14"/>
        <v>0</v>
      </c>
      <c r="R10" s="2">
        <v>0</v>
      </c>
    </row>
    <row r="11" spans="1:18" ht="14" customHeight="1" x14ac:dyDescent="0.2">
      <c r="A11" s="1">
        <v>40452</v>
      </c>
      <c r="B11" s="2">
        <v>52</v>
      </c>
      <c r="C11" s="2">
        <f t="shared" ca="1" si="0"/>
        <v>85.709019607843146</v>
      </c>
      <c r="D11" s="2">
        <f t="shared" ca="1" si="1"/>
        <v>75.694901960784307</v>
      </c>
      <c r="E11" s="2">
        <f t="shared" ca="1" si="2"/>
        <v>65.680784313725496</v>
      </c>
      <c r="F11" s="2">
        <f t="shared" si="3"/>
        <v>55.666666666666664</v>
      </c>
      <c r="G11" s="2">
        <f t="shared" ca="1" si="4"/>
        <v>45.652549019607839</v>
      </c>
      <c r="H11" s="2">
        <f t="shared" ca="1" si="5"/>
        <v>35.638431372549014</v>
      </c>
      <c r="I11" s="2">
        <f t="shared" ca="1" si="6"/>
        <v>25.62431372549019</v>
      </c>
      <c r="J11">
        <f t="shared" ca="1" si="8"/>
        <v>52</v>
      </c>
      <c r="K11" s="2">
        <f t="shared" ca="1" si="9"/>
        <v>1</v>
      </c>
      <c r="L11" s="2">
        <f t="shared" ca="1" si="10"/>
        <v>36.897882352941181</v>
      </c>
      <c r="M11" s="2">
        <f t="shared" ca="1" si="11"/>
        <v>28.363294117647058</v>
      </c>
      <c r="N11" s="2">
        <f t="shared" ca="1" si="12"/>
        <v>19.828705882352942</v>
      </c>
      <c r="O11" s="2">
        <f t="shared" ca="1" si="7"/>
        <v>11.294117647058824</v>
      </c>
      <c r="P11" s="2">
        <f t="shared" ca="1" si="13"/>
        <v>2.7595294117647065</v>
      </c>
      <c r="Q11" s="2">
        <f t="shared" ca="1" si="14"/>
        <v>0</v>
      </c>
      <c r="R11" s="2">
        <v>0</v>
      </c>
    </row>
    <row r="12" spans="1:18" ht="14" customHeight="1" x14ac:dyDescent="0.2">
      <c r="A12" s="1">
        <v>40483</v>
      </c>
      <c r="B12" s="2">
        <v>45</v>
      </c>
      <c r="C12" s="2">
        <f t="shared" ca="1" si="0"/>
        <v>85.709019607843146</v>
      </c>
      <c r="D12" s="2">
        <f t="shared" ca="1" si="1"/>
        <v>75.694901960784307</v>
      </c>
      <c r="E12" s="2">
        <f t="shared" ca="1" si="2"/>
        <v>65.680784313725496</v>
      </c>
      <c r="F12" s="2">
        <f t="shared" si="3"/>
        <v>55.666666666666664</v>
      </c>
      <c r="G12" s="2">
        <f t="shared" ca="1" si="4"/>
        <v>45.652549019607839</v>
      </c>
      <c r="H12" s="2">
        <f t="shared" ca="1" si="5"/>
        <v>35.638431372549014</v>
      </c>
      <c r="I12" s="2">
        <f t="shared" ca="1" si="6"/>
        <v>25.62431372549019</v>
      </c>
      <c r="J12">
        <f t="shared" ca="1" si="8"/>
        <v>45</v>
      </c>
      <c r="K12" s="2">
        <f t="shared" ca="1" si="9"/>
        <v>7</v>
      </c>
      <c r="L12" s="2">
        <f t="shared" ca="1" si="10"/>
        <v>36.897882352941181</v>
      </c>
      <c r="M12" s="2">
        <f t="shared" ca="1" si="11"/>
        <v>28.363294117647058</v>
      </c>
      <c r="N12" s="2">
        <f t="shared" ca="1" si="12"/>
        <v>19.828705882352942</v>
      </c>
      <c r="O12" s="2">
        <f t="shared" ca="1" si="7"/>
        <v>11.294117647058824</v>
      </c>
      <c r="P12" s="2">
        <f t="shared" ca="1" si="13"/>
        <v>2.7595294117647065</v>
      </c>
      <c r="Q12" s="2">
        <f t="shared" ca="1" si="14"/>
        <v>0</v>
      </c>
      <c r="R12" s="2">
        <v>0</v>
      </c>
    </row>
    <row r="13" spans="1:18" ht="14" customHeight="1" x14ac:dyDescent="0.2">
      <c r="A13" s="1">
        <v>40513</v>
      </c>
      <c r="B13" s="2">
        <v>56</v>
      </c>
      <c r="C13" s="2">
        <f t="shared" ca="1" si="0"/>
        <v>85.709019607843146</v>
      </c>
      <c r="D13" s="2">
        <f t="shared" ca="1" si="1"/>
        <v>75.694901960784307</v>
      </c>
      <c r="E13" s="2">
        <f t="shared" ca="1" si="2"/>
        <v>65.680784313725496</v>
      </c>
      <c r="F13" s="2">
        <f t="shared" si="3"/>
        <v>55.666666666666664</v>
      </c>
      <c r="G13" s="2">
        <f t="shared" ca="1" si="4"/>
        <v>45.652549019607839</v>
      </c>
      <c r="H13" s="2">
        <f t="shared" ca="1" si="5"/>
        <v>35.638431372549014</v>
      </c>
      <c r="I13" s="2">
        <f t="shared" ca="1" si="6"/>
        <v>25.62431372549019</v>
      </c>
      <c r="J13">
        <f t="shared" ca="1" si="8"/>
        <v>56</v>
      </c>
      <c r="K13" s="2">
        <f t="shared" ca="1" si="9"/>
        <v>11</v>
      </c>
      <c r="L13" s="2">
        <f t="shared" ca="1" si="10"/>
        <v>36.897882352941181</v>
      </c>
      <c r="M13" s="2">
        <f t="shared" ca="1" si="11"/>
        <v>28.363294117647058</v>
      </c>
      <c r="N13" s="2">
        <f t="shared" ca="1" si="12"/>
        <v>19.828705882352942</v>
      </c>
      <c r="O13" s="2">
        <f t="shared" ca="1" si="7"/>
        <v>11.294117647058824</v>
      </c>
      <c r="P13" s="2">
        <f t="shared" ca="1" si="13"/>
        <v>2.7595294117647065</v>
      </c>
      <c r="Q13" s="2">
        <f t="shared" ca="1" si="14"/>
        <v>0</v>
      </c>
      <c r="R13" s="2">
        <v>0</v>
      </c>
    </row>
    <row r="14" spans="1:18" ht="14" customHeight="1" x14ac:dyDescent="0.2">
      <c r="A14" s="1">
        <v>40544</v>
      </c>
      <c r="B14" s="2">
        <v>53</v>
      </c>
      <c r="C14" s="2">
        <f t="shared" ca="1" si="0"/>
        <v>85.709019607843146</v>
      </c>
      <c r="D14" s="2">
        <f t="shared" ca="1" si="1"/>
        <v>75.694901960784307</v>
      </c>
      <c r="E14" s="2">
        <f t="shared" ca="1" si="2"/>
        <v>65.680784313725496</v>
      </c>
      <c r="F14" s="2">
        <f t="shared" si="3"/>
        <v>55.666666666666664</v>
      </c>
      <c r="G14" s="2">
        <f t="shared" ca="1" si="4"/>
        <v>45.652549019607839</v>
      </c>
      <c r="H14" s="2">
        <f t="shared" ca="1" si="5"/>
        <v>35.638431372549014</v>
      </c>
      <c r="I14" s="2">
        <f t="shared" ca="1" si="6"/>
        <v>25.62431372549019</v>
      </c>
      <c r="J14">
        <f t="shared" ca="1" si="8"/>
        <v>53</v>
      </c>
      <c r="K14" s="2">
        <f t="shared" ca="1" si="9"/>
        <v>3</v>
      </c>
      <c r="L14" s="2">
        <f t="shared" ca="1" si="10"/>
        <v>36.897882352941181</v>
      </c>
      <c r="M14" s="2">
        <f t="shared" ca="1" si="11"/>
        <v>28.363294117647058</v>
      </c>
      <c r="N14" s="2">
        <f t="shared" ca="1" si="12"/>
        <v>19.828705882352942</v>
      </c>
      <c r="O14" s="2">
        <f t="shared" ca="1" si="7"/>
        <v>11.294117647058824</v>
      </c>
      <c r="P14" s="2">
        <f t="shared" ca="1" si="13"/>
        <v>2.7595294117647065</v>
      </c>
      <c r="Q14" s="2">
        <f t="shared" ca="1" si="14"/>
        <v>0</v>
      </c>
      <c r="R14" s="2">
        <v>0</v>
      </c>
    </row>
    <row r="15" spans="1:18" ht="14" customHeight="1" x14ac:dyDescent="0.2">
      <c r="A15" s="1">
        <v>40575</v>
      </c>
      <c r="B15" s="2">
        <v>40</v>
      </c>
      <c r="C15" s="2">
        <f t="shared" ca="1" si="0"/>
        <v>85.709019607843146</v>
      </c>
      <c r="D15" s="2">
        <f t="shared" ca="1" si="1"/>
        <v>75.694901960784307</v>
      </c>
      <c r="E15" s="2">
        <f t="shared" ca="1" si="2"/>
        <v>65.680784313725496</v>
      </c>
      <c r="F15" s="2">
        <f t="shared" si="3"/>
        <v>55.666666666666664</v>
      </c>
      <c r="G15" s="2">
        <f t="shared" ca="1" si="4"/>
        <v>45.652549019607839</v>
      </c>
      <c r="H15" s="2">
        <f t="shared" ca="1" si="5"/>
        <v>35.638431372549014</v>
      </c>
      <c r="I15" s="2">
        <f t="shared" ca="1" si="6"/>
        <v>25.62431372549019</v>
      </c>
      <c r="J15">
        <f t="shared" ca="1" si="8"/>
        <v>40</v>
      </c>
      <c r="K15" s="2">
        <f t="shared" ca="1" si="9"/>
        <v>13</v>
      </c>
      <c r="L15" s="2">
        <f t="shared" ca="1" si="10"/>
        <v>36.897882352941181</v>
      </c>
      <c r="M15" s="2">
        <f t="shared" ca="1" si="11"/>
        <v>28.363294117647058</v>
      </c>
      <c r="N15" s="2">
        <f t="shared" ca="1" si="12"/>
        <v>19.828705882352942</v>
      </c>
      <c r="O15" s="2">
        <f t="shared" ca="1" si="7"/>
        <v>11.294117647058824</v>
      </c>
      <c r="P15" s="2">
        <f t="shared" ca="1" si="13"/>
        <v>2.7595294117647065</v>
      </c>
      <c r="Q15" s="2">
        <f t="shared" ca="1" si="14"/>
        <v>0</v>
      </c>
      <c r="R15" s="2">
        <v>0</v>
      </c>
    </row>
    <row r="16" spans="1:18" ht="14" customHeight="1" x14ac:dyDescent="0.2">
      <c r="A16" s="1">
        <v>40603</v>
      </c>
      <c r="B16" s="2">
        <v>61</v>
      </c>
      <c r="C16" s="2">
        <f t="shared" ca="1" si="0"/>
        <v>85.709019607843146</v>
      </c>
      <c r="D16" s="2">
        <f t="shared" ca="1" si="1"/>
        <v>75.694901960784307</v>
      </c>
      <c r="E16" s="2">
        <f t="shared" ca="1" si="2"/>
        <v>65.680784313725496</v>
      </c>
      <c r="F16" s="2">
        <f t="shared" si="3"/>
        <v>55.666666666666664</v>
      </c>
      <c r="G16" s="2">
        <f t="shared" ca="1" si="4"/>
        <v>45.652549019607839</v>
      </c>
      <c r="H16" s="2">
        <f t="shared" ca="1" si="5"/>
        <v>35.638431372549014</v>
      </c>
      <c r="I16" s="2">
        <f t="shared" ca="1" si="6"/>
        <v>25.62431372549019</v>
      </c>
      <c r="J16">
        <f t="shared" ca="1" si="8"/>
        <v>61</v>
      </c>
      <c r="K16" s="2">
        <f t="shared" ca="1" si="9"/>
        <v>21</v>
      </c>
      <c r="L16" s="2">
        <f t="shared" ca="1" si="10"/>
        <v>36.897882352941181</v>
      </c>
      <c r="M16" s="2">
        <f t="shared" ca="1" si="11"/>
        <v>28.363294117647058</v>
      </c>
      <c r="N16" s="2">
        <f t="shared" ca="1" si="12"/>
        <v>19.828705882352942</v>
      </c>
      <c r="O16" s="2">
        <f t="shared" ca="1" si="7"/>
        <v>11.294117647058824</v>
      </c>
      <c r="P16" s="2">
        <f t="shared" ca="1" si="13"/>
        <v>2.7595294117647065</v>
      </c>
      <c r="Q16" s="2">
        <f t="shared" ca="1" si="14"/>
        <v>0</v>
      </c>
      <c r="R16" s="2">
        <v>0</v>
      </c>
    </row>
    <row r="17" spans="1:18" ht="14" customHeight="1" x14ac:dyDescent="0.2">
      <c r="A17" s="1">
        <v>40634</v>
      </c>
      <c r="B17" s="2">
        <v>48</v>
      </c>
      <c r="C17" s="2">
        <f t="shared" ca="1" si="0"/>
        <v>85.709019607843146</v>
      </c>
      <c r="D17" s="2">
        <f t="shared" ca="1" si="1"/>
        <v>75.694901960784307</v>
      </c>
      <c r="E17" s="2">
        <f t="shared" ca="1" si="2"/>
        <v>65.680784313725496</v>
      </c>
      <c r="F17" s="2">
        <f t="shared" si="3"/>
        <v>55.666666666666664</v>
      </c>
      <c r="G17" s="2">
        <f t="shared" ca="1" si="4"/>
        <v>45.652549019607839</v>
      </c>
      <c r="H17" s="2">
        <f t="shared" ca="1" si="5"/>
        <v>35.638431372549014</v>
      </c>
      <c r="I17" s="2">
        <f t="shared" ca="1" si="6"/>
        <v>25.62431372549019</v>
      </c>
      <c r="J17">
        <f t="shared" ca="1" si="8"/>
        <v>48</v>
      </c>
      <c r="K17" s="2">
        <f t="shared" ca="1" si="9"/>
        <v>13</v>
      </c>
      <c r="L17" s="2">
        <f t="shared" ca="1" si="10"/>
        <v>36.897882352941181</v>
      </c>
      <c r="M17" s="2">
        <f t="shared" ca="1" si="11"/>
        <v>28.363294117647058</v>
      </c>
      <c r="N17" s="2">
        <f t="shared" ca="1" si="12"/>
        <v>19.828705882352942</v>
      </c>
      <c r="O17" s="2">
        <f t="shared" ca="1" si="7"/>
        <v>11.294117647058824</v>
      </c>
      <c r="P17" s="2">
        <f t="shared" ca="1" si="13"/>
        <v>2.7595294117647065</v>
      </c>
      <c r="Q17" s="2">
        <f t="shared" ca="1" si="14"/>
        <v>0</v>
      </c>
      <c r="R17" s="2">
        <v>0</v>
      </c>
    </row>
    <row r="18" spans="1:18" ht="14" customHeight="1" x14ac:dyDescent="0.2">
      <c r="A18" s="1">
        <v>40664</v>
      </c>
      <c r="B18" s="2">
        <v>63</v>
      </c>
      <c r="C18" s="2">
        <f t="shared" ca="1" si="0"/>
        <v>85.709019607843146</v>
      </c>
      <c r="D18" s="2">
        <f t="shared" ca="1" si="1"/>
        <v>75.694901960784307</v>
      </c>
      <c r="E18" s="2">
        <f t="shared" ca="1" si="2"/>
        <v>65.680784313725496</v>
      </c>
      <c r="F18" s="2">
        <f t="shared" si="3"/>
        <v>55.666666666666664</v>
      </c>
      <c r="G18" s="2">
        <f t="shared" ca="1" si="4"/>
        <v>45.652549019607839</v>
      </c>
      <c r="H18" s="2">
        <f t="shared" ca="1" si="5"/>
        <v>35.638431372549014</v>
      </c>
      <c r="I18" s="2">
        <f t="shared" ca="1" si="6"/>
        <v>25.62431372549019</v>
      </c>
      <c r="J18">
        <f t="shared" ca="1" si="8"/>
        <v>63</v>
      </c>
      <c r="K18" s="2">
        <f t="shared" ca="1" si="9"/>
        <v>15</v>
      </c>
      <c r="L18" s="2">
        <f t="shared" ca="1" si="10"/>
        <v>36.897882352941181</v>
      </c>
      <c r="M18" s="2">
        <f t="shared" ca="1" si="11"/>
        <v>28.363294117647058</v>
      </c>
      <c r="N18" s="2">
        <f t="shared" ca="1" si="12"/>
        <v>19.828705882352942</v>
      </c>
      <c r="O18" s="2">
        <f t="shared" ca="1" si="7"/>
        <v>11.294117647058824</v>
      </c>
      <c r="P18" s="2">
        <f t="shared" ca="1" si="13"/>
        <v>2.7595294117647065</v>
      </c>
      <c r="Q18" s="2">
        <f t="shared" ca="1" si="14"/>
        <v>0</v>
      </c>
      <c r="R18" s="2">
        <v>0</v>
      </c>
    </row>
    <row r="19" spans="1:18" ht="14" customHeight="1" x14ac:dyDescent="0.2">
      <c r="A19" s="1">
        <v>40695</v>
      </c>
      <c r="B19" s="2">
        <v>52</v>
      </c>
      <c r="C19" s="2">
        <f t="shared" ca="1" si="0"/>
        <v>85.709019607843146</v>
      </c>
      <c r="D19" s="2">
        <f t="shared" ca="1" si="1"/>
        <v>75.694901960784307</v>
      </c>
      <c r="E19" s="2">
        <f t="shared" ca="1" si="2"/>
        <v>65.680784313725496</v>
      </c>
      <c r="F19" s="2">
        <f t="shared" si="3"/>
        <v>55.666666666666664</v>
      </c>
      <c r="G19" s="2">
        <f t="shared" ca="1" si="4"/>
        <v>45.652549019607839</v>
      </c>
      <c r="H19" s="2">
        <f t="shared" ca="1" si="5"/>
        <v>35.638431372549014</v>
      </c>
      <c r="I19" s="2">
        <f t="shared" ca="1" si="6"/>
        <v>25.62431372549019</v>
      </c>
      <c r="J19">
        <f t="shared" ca="1" si="8"/>
        <v>52</v>
      </c>
      <c r="K19" s="2">
        <f t="shared" ca="1" si="9"/>
        <v>11</v>
      </c>
      <c r="L19" s="2">
        <f t="shared" ca="1" si="10"/>
        <v>36.897882352941181</v>
      </c>
      <c r="M19" s="2">
        <f t="shared" ca="1" si="11"/>
        <v>28.363294117647058</v>
      </c>
      <c r="N19" s="2">
        <f t="shared" ca="1" si="12"/>
        <v>19.828705882352942</v>
      </c>
      <c r="O19" s="2">
        <f t="shared" ca="1" si="7"/>
        <v>11.294117647058824</v>
      </c>
      <c r="P19" s="2">
        <f t="shared" ca="1" si="13"/>
        <v>2.7595294117647065</v>
      </c>
      <c r="Q19" s="2">
        <f t="shared" ca="1" si="14"/>
        <v>0</v>
      </c>
      <c r="R19" s="2">
        <v>0</v>
      </c>
    </row>
    <row r="20" spans="1:18" ht="14" customHeight="1" x14ac:dyDescent="0.2">
      <c r="A20" s="1">
        <v>40725</v>
      </c>
      <c r="B20" s="2">
        <v>66</v>
      </c>
      <c r="C20" s="2">
        <f t="shared" ca="1" si="0"/>
        <v>83.877142857142857</v>
      </c>
      <c r="D20" s="2">
        <f t="shared" ca="1" si="1"/>
        <v>77.037142857142854</v>
      </c>
      <c r="E20" s="2">
        <f t="shared" ca="1" si="2"/>
        <v>70.19714285714285</v>
      </c>
      <c r="F20" s="2">
        <f t="shared" ref="F20:F33" si="15">AVERAGE($B$20:$B$33)</f>
        <v>63.357142857142854</v>
      </c>
      <c r="G20" s="2">
        <f t="shared" ca="1" si="4"/>
        <v>56.517142857142851</v>
      </c>
      <c r="H20" s="2">
        <f t="shared" ca="1" si="5"/>
        <v>49.677142857142854</v>
      </c>
      <c r="I20" s="2">
        <f t="shared" ca="1" si="6"/>
        <v>42.837142857142851</v>
      </c>
      <c r="J20">
        <f t="shared" ca="1" si="8"/>
        <v>66</v>
      </c>
      <c r="K20" s="2">
        <f t="shared" ca="1" si="9"/>
        <v>14</v>
      </c>
      <c r="L20" s="2">
        <f t="shared" ca="1" si="10"/>
        <v>25.202571428571428</v>
      </c>
      <c r="M20" s="2">
        <f t="shared" ca="1" si="11"/>
        <v>19.373142857142856</v>
      </c>
      <c r="N20" s="2">
        <f t="shared" ca="1" si="12"/>
        <v>13.543714285714284</v>
      </c>
      <c r="O20" s="2">
        <f t="shared" ref="O20:O33" ca="1" si="16">AVERAGE($K$20:$K$33)</f>
        <v>7.7142857142857144</v>
      </c>
      <c r="P20" s="2">
        <f t="shared" ca="1" si="13"/>
        <v>1.8848571428571441</v>
      </c>
      <c r="Q20" s="2">
        <f t="shared" ca="1" si="14"/>
        <v>0</v>
      </c>
      <c r="R20" s="2">
        <v>0</v>
      </c>
    </row>
    <row r="21" spans="1:18" ht="14" customHeight="1" x14ac:dyDescent="0.2">
      <c r="A21" s="1">
        <v>40756</v>
      </c>
      <c r="B21" s="2">
        <v>74</v>
      </c>
      <c r="C21" s="2">
        <f t="shared" ca="1" si="0"/>
        <v>83.877142857142857</v>
      </c>
      <c r="D21" s="2">
        <f t="shared" ca="1" si="1"/>
        <v>77.037142857142854</v>
      </c>
      <c r="E21" s="2">
        <f t="shared" ca="1" si="2"/>
        <v>70.19714285714285</v>
      </c>
      <c r="F21" s="2">
        <f t="shared" si="15"/>
        <v>63.357142857142854</v>
      </c>
      <c r="G21" s="2">
        <f t="shared" ca="1" si="4"/>
        <v>56.517142857142851</v>
      </c>
      <c r="H21" s="2">
        <f t="shared" ca="1" si="5"/>
        <v>49.677142857142854</v>
      </c>
      <c r="I21" s="2">
        <f t="shared" ca="1" si="6"/>
        <v>42.837142857142851</v>
      </c>
      <c r="J21">
        <f t="shared" ca="1" si="8"/>
        <v>74</v>
      </c>
      <c r="K21" s="2">
        <f t="shared" ca="1" si="9"/>
        <v>8</v>
      </c>
      <c r="L21" s="2">
        <f t="shared" ca="1" si="10"/>
        <v>25.202571428571428</v>
      </c>
      <c r="M21" s="2">
        <f t="shared" ca="1" si="11"/>
        <v>19.373142857142856</v>
      </c>
      <c r="N21" s="2">
        <f t="shared" ca="1" si="12"/>
        <v>13.543714285714284</v>
      </c>
      <c r="O21" s="2">
        <f t="shared" ca="1" si="16"/>
        <v>7.7142857142857144</v>
      </c>
      <c r="P21" s="2">
        <f t="shared" ca="1" si="13"/>
        <v>1.8848571428571441</v>
      </c>
      <c r="Q21" s="2">
        <f t="shared" ca="1" si="14"/>
        <v>0</v>
      </c>
      <c r="R21" s="2">
        <v>0</v>
      </c>
    </row>
    <row r="22" spans="1:18" ht="14" customHeight="1" x14ac:dyDescent="0.2">
      <c r="A22" s="1">
        <v>40787</v>
      </c>
      <c r="B22" s="2">
        <v>65</v>
      </c>
      <c r="C22" s="2">
        <f t="shared" ca="1" si="0"/>
        <v>83.877142857142857</v>
      </c>
      <c r="D22" s="2">
        <f t="shared" ca="1" si="1"/>
        <v>77.037142857142854</v>
      </c>
      <c r="E22" s="2">
        <f t="shared" ca="1" si="2"/>
        <v>70.19714285714285</v>
      </c>
      <c r="F22" s="2">
        <f t="shared" si="15"/>
        <v>63.357142857142854</v>
      </c>
      <c r="G22" s="2">
        <f t="shared" ca="1" si="4"/>
        <v>56.517142857142851</v>
      </c>
      <c r="H22" s="2">
        <f t="shared" ca="1" si="5"/>
        <v>49.677142857142854</v>
      </c>
      <c r="I22" s="2">
        <f t="shared" ca="1" si="6"/>
        <v>42.837142857142851</v>
      </c>
      <c r="J22">
        <f t="shared" ca="1" si="8"/>
        <v>65</v>
      </c>
      <c r="K22" s="2">
        <f t="shared" ca="1" si="9"/>
        <v>9</v>
      </c>
      <c r="L22" s="2">
        <f t="shared" ca="1" si="10"/>
        <v>25.202571428571428</v>
      </c>
      <c r="M22" s="2">
        <f t="shared" ca="1" si="11"/>
        <v>19.373142857142856</v>
      </c>
      <c r="N22" s="2">
        <f t="shared" ca="1" si="12"/>
        <v>13.543714285714284</v>
      </c>
      <c r="O22" s="2">
        <f t="shared" ca="1" si="16"/>
        <v>7.7142857142857144</v>
      </c>
      <c r="P22" s="2">
        <f t="shared" ca="1" si="13"/>
        <v>1.8848571428571441</v>
      </c>
      <c r="Q22" s="2">
        <f t="shared" ca="1" si="14"/>
        <v>0</v>
      </c>
      <c r="R22" s="2">
        <v>0</v>
      </c>
    </row>
    <row r="23" spans="1:18" ht="14" customHeight="1" x14ac:dyDescent="0.2">
      <c r="A23" s="1">
        <v>40817</v>
      </c>
      <c r="B23" s="2">
        <v>65</v>
      </c>
      <c r="C23" s="2">
        <f t="shared" ca="1" si="0"/>
        <v>83.877142857142857</v>
      </c>
      <c r="D23" s="2">
        <f t="shared" ca="1" si="1"/>
        <v>77.037142857142854</v>
      </c>
      <c r="E23" s="2">
        <f t="shared" ca="1" si="2"/>
        <v>70.19714285714285</v>
      </c>
      <c r="F23" s="2">
        <f t="shared" si="15"/>
        <v>63.357142857142854</v>
      </c>
      <c r="G23" s="2">
        <f t="shared" ca="1" si="4"/>
        <v>56.517142857142851</v>
      </c>
      <c r="H23" s="2">
        <f t="shared" ca="1" si="5"/>
        <v>49.677142857142854</v>
      </c>
      <c r="I23" s="2">
        <f t="shared" ca="1" si="6"/>
        <v>42.837142857142851</v>
      </c>
      <c r="J23">
        <f t="shared" ca="1" si="8"/>
        <v>65</v>
      </c>
      <c r="K23" s="2">
        <f t="shared" ca="1" si="9"/>
        <v>0</v>
      </c>
      <c r="L23" s="2">
        <f t="shared" ca="1" si="10"/>
        <v>25.202571428571428</v>
      </c>
      <c r="M23" s="2">
        <f t="shared" ca="1" si="11"/>
        <v>19.373142857142856</v>
      </c>
      <c r="N23" s="2">
        <f t="shared" ca="1" si="12"/>
        <v>13.543714285714284</v>
      </c>
      <c r="O23" s="2">
        <f t="shared" ca="1" si="16"/>
        <v>7.7142857142857144</v>
      </c>
      <c r="P23" s="2">
        <f t="shared" ca="1" si="13"/>
        <v>1.8848571428571441</v>
      </c>
      <c r="Q23" s="2">
        <f t="shared" ca="1" si="14"/>
        <v>0</v>
      </c>
      <c r="R23" s="2">
        <v>0</v>
      </c>
    </row>
    <row r="24" spans="1:18" ht="14" customHeight="1" x14ac:dyDescent="0.2">
      <c r="A24" s="1">
        <v>40848</v>
      </c>
      <c r="B24" s="2">
        <v>66</v>
      </c>
      <c r="C24" s="2">
        <f t="shared" ca="1" si="0"/>
        <v>83.877142857142857</v>
      </c>
      <c r="D24" s="2">
        <f t="shared" ca="1" si="1"/>
        <v>77.037142857142854</v>
      </c>
      <c r="E24" s="2">
        <f t="shared" ca="1" si="2"/>
        <v>70.19714285714285</v>
      </c>
      <c r="F24" s="2">
        <f t="shared" si="15"/>
        <v>63.357142857142854</v>
      </c>
      <c r="G24" s="2">
        <f t="shared" ca="1" si="4"/>
        <v>56.517142857142851</v>
      </c>
      <c r="H24" s="2">
        <f t="shared" ca="1" si="5"/>
        <v>49.677142857142854</v>
      </c>
      <c r="I24" s="2">
        <f t="shared" ca="1" si="6"/>
        <v>42.837142857142851</v>
      </c>
      <c r="J24">
        <f t="shared" ca="1" si="8"/>
        <v>66</v>
      </c>
      <c r="K24" s="2">
        <f t="shared" ca="1" si="9"/>
        <v>1</v>
      </c>
      <c r="L24" s="2">
        <f t="shared" ca="1" si="10"/>
        <v>25.202571428571428</v>
      </c>
      <c r="M24" s="2">
        <f t="shared" ca="1" si="11"/>
        <v>19.373142857142856</v>
      </c>
      <c r="N24" s="2">
        <f t="shared" ca="1" si="12"/>
        <v>13.543714285714284</v>
      </c>
      <c r="O24" s="2">
        <f t="shared" ca="1" si="16"/>
        <v>7.7142857142857144</v>
      </c>
      <c r="P24" s="2">
        <f t="shared" ca="1" si="13"/>
        <v>1.8848571428571441</v>
      </c>
      <c r="Q24" s="2">
        <f t="shared" ca="1" si="14"/>
        <v>0</v>
      </c>
      <c r="R24" s="2">
        <v>0</v>
      </c>
    </row>
    <row r="25" spans="1:18" ht="14" customHeight="1" x14ac:dyDescent="0.2">
      <c r="A25" s="1">
        <v>40878</v>
      </c>
      <c r="B25" s="2">
        <v>57</v>
      </c>
      <c r="C25" s="2">
        <f t="shared" ca="1" si="0"/>
        <v>83.877142857142857</v>
      </c>
      <c r="D25" s="2">
        <f t="shared" ca="1" si="1"/>
        <v>77.037142857142854</v>
      </c>
      <c r="E25" s="2">
        <f t="shared" ca="1" si="2"/>
        <v>70.19714285714285</v>
      </c>
      <c r="F25" s="2">
        <f t="shared" si="15"/>
        <v>63.357142857142854</v>
      </c>
      <c r="G25" s="2">
        <f t="shared" ca="1" si="4"/>
        <v>56.517142857142851</v>
      </c>
      <c r="H25" s="2">
        <f t="shared" ca="1" si="5"/>
        <v>49.677142857142854</v>
      </c>
      <c r="I25" s="2">
        <f t="shared" ca="1" si="6"/>
        <v>42.837142857142851</v>
      </c>
      <c r="J25">
        <f t="shared" ca="1" si="8"/>
        <v>57</v>
      </c>
      <c r="K25" s="2">
        <f t="shared" ca="1" si="9"/>
        <v>9</v>
      </c>
      <c r="L25" s="2">
        <f t="shared" ca="1" si="10"/>
        <v>25.202571428571428</v>
      </c>
      <c r="M25" s="2">
        <f t="shared" ca="1" si="11"/>
        <v>19.373142857142856</v>
      </c>
      <c r="N25" s="2">
        <f t="shared" ca="1" si="12"/>
        <v>13.543714285714284</v>
      </c>
      <c r="O25" s="2">
        <f t="shared" ca="1" si="16"/>
        <v>7.7142857142857144</v>
      </c>
      <c r="P25" s="2">
        <f t="shared" ca="1" si="13"/>
        <v>1.8848571428571441</v>
      </c>
      <c r="Q25" s="2">
        <f t="shared" ca="1" si="14"/>
        <v>0</v>
      </c>
      <c r="R25" s="2">
        <v>0</v>
      </c>
    </row>
    <row r="26" spans="1:18" ht="14" customHeight="1" x14ac:dyDescent="0.2">
      <c r="A26" s="1">
        <v>40909</v>
      </c>
      <c r="B26" s="2">
        <v>55</v>
      </c>
      <c r="C26" s="2">
        <f t="shared" ca="1" si="0"/>
        <v>83.877142857142857</v>
      </c>
      <c r="D26" s="2">
        <f t="shared" ca="1" si="1"/>
        <v>77.037142857142854</v>
      </c>
      <c r="E26" s="2">
        <f t="shared" ca="1" si="2"/>
        <v>70.19714285714285</v>
      </c>
      <c r="F26" s="2">
        <f t="shared" si="15"/>
        <v>63.357142857142854</v>
      </c>
      <c r="G26" s="2">
        <f t="shared" ca="1" si="4"/>
        <v>56.517142857142851</v>
      </c>
      <c r="H26" s="2">
        <f t="shared" ca="1" si="5"/>
        <v>49.677142857142854</v>
      </c>
      <c r="I26" s="2">
        <f t="shared" ca="1" si="6"/>
        <v>42.837142857142851</v>
      </c>
      <c r="J26">
        <f t="shared" ca="1" si="8"/>
        <v>55</v>
      </c>
      <c r="K26" s="2">
        <f t="shared" ca="1" si="9"/>
        <v>2</v>
      </c>
      <c r="L26" s="2">
        <f t="shared" ca="1" si="10"/>
        <v>25.202571428571428</v>
      </c>
      <c r="M26" s="2">
        <f t="shared" ca="1" si="11"/>
        <v>19.373142857142856</v>
      </c>
      <c r="N26" s="2">
        <f t="shared" ca="1" si="12"/>
        <v>13.543714285714284</v>
      </c>
      <c r="O26" s="2">
        <f t="shared" ca="1" si="16"/>
        <v>7.7142857142857144</v>
      </c>
      <c r="P26" s="2">
        <f t="shared" ca="1" si="13"/>
        <v>1.8848571428571441</v>
      </c>
      <c r="Q26" s="2">
        <f t="shared" ca="1" si="14"/>
        <v>0</v>
      </c>
      <c r="R26" s="2">
        <v>0</v>
      </c>
    </row>
    <row r="27" spans="1:18" ht="14" customHeight="1" x14ac:dyDescent="0.2">
      <c r="A27" s="1">
        <v>40940</v>
      </c>
      <c r="B27" s="2">
        <v>56</v>
      </c>
      <c r="C27" s="2">
        <f t="shared" ca="1" si="0"/>
        <v>83.877142857142857</v>
      </c>
      <c r="D27" s="2">
        <f t="shared" ca="1" si="1"/>
        <v>77.037142857142854</v>
      </c>
      <c r="E27" s="2">
        <f t="shared" ca="1" si="2"/>
        <v>70.19714285714285</v>
      </c>
      <c r="F27" s="2">
        <f t="shared" si="15"/>
        <v>63.357142857142854</v>
      </c>
      <c r="G27" s="2">
        <f t="shared" ca="1" si="4"/>
        <v>56.517142857142851</v>
      </c>
      <c r="H27" s="2">
        <f t="shared" ca="1" si="5"/>
        <v>49.677142857142854</v>
      </c>
      <c r="I27" s="2">
        <f t="shared" ca="1" si="6"/>
        <v>42.837142857142851</v>
      </c>
      <c r="J27">
        <f t="shared" ca="1" si="8"/>
        <v>56</v>
      </c>
      <c r="K27" s="2">
        <f t="shared" ca="1" si="9"/>
        <v>1</v>
      </c>
      <c r="L27" s="2">
        <f t="shared" ca="1" si="10"/>
        <v>25.202571428571428</v>
      </c>
      <c r="M27" s="2">
        <f t="shared" ca="1" si="11"/>
        <v>19.373142857142856</v>
      </c>
      <c r="N27" s="2">
        <f t="shared" ca="1" si="12"/>
        <v>13.543714285714284</v>
      </c>
      <c r="O27" s="2">
        <f t="shared" ca="1" si="16"/>
        <v>7.7142857142857144</v>
      </c>
      <c r="P27" s="2">
        <f t="shared" ca="1" si="13"/>
        <v>1.8848571428571441</v>
      </c>
      <c r="Q27" s="2">
        <f t="shared" ca="1" si="14"/>
        <v>0</v>
      </c>
      <c r="R27" s="2">
        <v>0</v>
      </c>
    </row>
    <row r="28" spans="1:18" ht="14" customHeight="1" x14ac:dyDescent="0.2">
      <c r="A28" s="1">
        <v>40969</v>
      </c>
      <c r="B28" s="2">
        <v>72</v>
      </c>
      <c r="C28" s="2">
        <f t="shared" ca="1" si="0"/>
        <v>83.877142857142857</v>
      </c>
      <c r="D28" s="2">
        <f t="shared" ca="1" si="1"/>
        <v>77.037142857142854</v>
      </c>
      <c r="E28" s="2">
        <f t="shared" ca="1" si="2"/>
        <v>70.19714285714285</v>
      </c>
      <c r="F28" s="2">
        <f t="shared" si="15"/>
        <v>63.357142857142854</v>
      </c>
      <c r="G28" s="2">
        <f t="shared" ca="1" si="4"/>
        <v>56.517142857142851</v>
      </c>
      <c r="H28" s="2">
        <f t="shared" ca="1" si="5"/>
        <v>49.677142857142854</v>
      </c>
      <c r="I28" s="2">
        <f t="shared" ca="1" si="6"/>
        <v>42.837142857142851</v>
      </c>
      <c r="J28">
        <f t="shared" ca="1" si="8"/>
        <v>72</v>
      </c>
      <c r="K28" s="2">
        <f t="shared" ca="1" si="9"/>
        <v>16</v>
      </c>
      <c r="L28" s="2">
        <f t="shared" ca="1" si="10"/>
        <v>25.202571428571428</v>
      </c>
      <c r="M28" s="2">
        <f t="shared" ca="1" si="11"/>
        <v>19.373142857142856</v>
      </c>
      <c r="N28" s="2">
        <f t="shared" ca="1" si="12"/>
        <v>13.543714285714284</v>
      </c>
      <c r="O28" s="2">
        <f t="shared" ca="1" si="16"/>
        <v>7.7142857142857144</v>
      </c>
      <c r="P28" s="2">
        <f t="shared" ca="1" si="13"/>
        <v>1.8848571428571441</v>
      </c>
      <c r="Q28" s="2">
        <f t="shared" ca="1" si="14"/>
        <v>0</v>
      </c>
      <c r="R28" s="2">
        <v>0</v>
      </c>
    </row>
    <row r="29" spans="1:18" ht="14" customHeight="1" x14ac:dyDescent="0.2">
      <c r="A29" s="1">
        <v>41000</v>
      </c>
      <c r="B29" s="2">
        <v>53</v>
      </c>
      <c r="C29" s="2">
        <f t="shared" ca="1" si="0"/>
        <v>83.877142857142857</v>
      </c>
      <c r="D29" s="2">
        <f t="shared" ca="1" si="1"/>
        <v>77.037142857142854</v>
      </c>
      <c r="E29" s="2">
        <f t="shared" ca="1" si="2"/>
        <v>70.19714285714285</v>
      </c>
      <c r="F29" s="2">
        <f t="shared" si="15"/>
        <v>63.357142857142854</v>
      </c>
      <c r="G29" s="2">
        <f t="shared" ca="1" si="4"/>
        <v>56.517142857142851</v>
      </c>
      <c r="H29" s="2">
        <f t="shared" ca="1" si="5"/>
        <v>49.677142857142854</v>
      </c>
      <c r="I29" s="2">
        <f t="shared" ca="1" si="6"/>
        <v>42.837142857142851</v>
      </c>
      <c r="J29">
        <f t="shared" ca="1" si="8"/>
        <v>53</v>
      </c>
      <c r="K29" s="2">
        <f t="shared" ca="1" si="9"/>
        <v>19</v>
      </c>
      <c r="L29" s="2">
        <f t="shared" ca="1" si="10"/>
        <v>25.202571428571428</v>
      </c>
      <c r="M29" s="2">
        <f t="shared" ca="1" si="11"/>
        <v>19.373142857142856</v>
      </c>
      <c r="N29" s="2">
        <f t="shared" ca="1" si="12"/>
        <v>13.543714285714284</v>
      </c>
      <c r="O29" s="2">
        <f t="shared" ca="1" si="16"/>
        <v>7.7142857142857144</v>
      </c>
      <c r="P29" s="2">
        <f t="shared" ca="1" si="13"/>
        <v>1.8848571428571441</v>
      </c>
      <c r="Q29" s="2">
        <f t="shared" ca="1" si="14"/>
        <v>0</v>
      </c>
      <c r="R29" s="2">
        <v>0</v>
      </c>
    </row>
    <row r="30" spans="1:18" ht="14" customHeight="1" x14ac:dyDescent="0.2">
      <c r="A30" s="1">
        <v>41030</v>
      </c>
      <c r="B30" s="2">
        <v>68</v>
      </c>
      <c r="C30" s="2">
        <f t="shared" ca="1" si="0"/>
        <v>83.877142857142857</v>
      </c>
      <c r="D30" s="2">
        <f t="shared" ca="1" si="1"/>
        <v>77.037142857142854</v>
      </c>
      <c r="E30" s="2">
        <f t="shared" ca="1" si="2"/>
        <v>70.19714285714285</v>
      </c>
      <c r="F30" s="2">
        <f t="shared" si="15"/>
        <v>63.357142857142854</v>
      </c>
      <c r="G30" s="2">
        <f t="shared" ca="1" si="4"/>
        <v>56.517142857142851</v>
      </c>
      <c r="H30" s="2">
        <f t="shared" ca="1" si="5"/>
        <v>49.677142857142854</v>
      </c>
      <c r="I30" s="2">
        <f t="shared" ca="1" si="6"/>
        <v>42.837142857142851</v>
      </c>
      <c r="J30">
        <f t="shared" ca="1" si="8"/>
        <v>68</v>
      </c>
      <c r="K30" s="2">
        <f t="shared" ca="1" si="9"/>
        <v>15</v>
      </c>
      <c r="L30" s="2">
        <f t="shared" ca="1" si="10"/>
        <v>25.202571428571428</v>
      </c>
      <c r="M30" s="2">
        <f t="shared" ca="1" si="11"/>
        <v>19.373142857142856</v>
      </c>
      <c r="N30" s="2">
        <f t="shared" ca="1" si="12"/>
        <v>13.543714285714284</v>
      </c>
      <c r="O30" s="2">
        <f t="shared" ca="1" si="16"/>
        <v>7.7142857142857144</v>
      </c>
      <c r="P30" s="2">
        <f t="shared" ca="1" si="13"/>
        <v>1.8848571428571441</v>
      </c>
      <c r="Q30" s="2">
        <f t="shared" ca="1" si="14"/>
        <v>0</v>
      </c>
      <c r="R30" s="2">
        <v>0</v>
      </c>
    </row>
    <row r="31" spans="1:18" ht="14" customHeight="1" x14ac:dyDescent="0.2">
      <c r="A31" s="1">
        <v>41061</v>
      </c>
      <c r="B31" s="2">
        <v>61</v>
      </c>
      <c r="C31" s="2">
        <f t="shared" ca="1" si="0"/>
        <v>83.877142857142857</v>
      </c>
      <c r="D31" s="2">
        <f t="shared" ca="1" si="1"/>
        <v>77.037142857142854</v>
      </c>
      <c r="E31" s="2">
        <f t="shared" ca="1" si="2"/>
        <v>70.19714285714285</v>
      </c>
      <c r="F31" s="2">
        <f t="shared" si="15"/>
        <v>63.357142857142854</v>
      </c>
      <c r="G31" s="2">
        <f t="shared" ca="1" si="4"/>
        <v>56.517142857142851</v>
      </c>
      <c r="H31" s="2">
        <f t="shared" ca="1" si="5"/>
        <v>49.677142857142854</v>
      </c>
      <c r="I31" s="2">
        <f t="shared" ca="1" si="6"/>
        <v>42.837142857142851</v>
      </c>
      <c r="J31">
        <f t="shared" ca="1" si="8"/>
        <v>61</v>
      </c>
      <c r="K31" s="2">
        <f t="shared" ca="1" si="9"/>
        <v>7</v>
      </c>
      <c r="L31" s="2">
        <f t="shared" ca="1" si="10"/>
        <v>25.202571428571428</v>
      </c>
      <c r="M31" s="2">
        <f t="shared" ca="1" si="11"/>
        <v>19.373142857142856</v>
      </c>
      <c r="N31" s="2">
        <f t="shared" ca="1" si="12"/>
        <v>13.543714285714284</v>
      </c>
      <c r="O31" s="2">
        <f t="shared" ca="1" si="16"/>
        <v>7.7142857142857144</v>
      </c>
      <c r="P31" s="2">
        <f t="shared" ca="1" si="13"/>
        <v>1.8848571428571441</v>
      </c>
      <c r="Q31" s="2">
        <f t="shared" ca="1" si="14"/>
        <v>0</v>
      </c>
      <c r="R31" s="2">
        <v>0</v>
      </c>
    </row>
    <row r="32" spans="1:18" ht="14" customHeight="1" x14ac:dyDescent="0.2">
      <c r="A32" s="1">
        <v>41091</v>
      </c>
      <c r="B32" s="2">
        <v>61</v>
      </c>
      <c r="C32" s="2">
        <f t="shared" ca="1" si="0"/>
        <v>83.877142857142857</v>
      </c>
      <c r="D32" s="2">
        <f t="shared" ca="1" si="1"/>
        <v>77.037142857142854</v>
      </c>
      <c r="E32" s="2">
        <f t="shared" ca="1" si="2"/>
        <v>70.19714285714285</v>
      </c>
      <c r="F32" s="2">
        <f t="shared" si="15"/>
        <v>63.357142857142854</v>
      </c>
      <c r="G32" s="2">
        <f t="shared" ca="1" si="4"/>
        <v>56.517142857142851</v>
      </c>
      <c r="H32" s="2">
        <f t="shared" ca="1" si="5"/>
        <v>49.677142857142854</v>
      </c>
      <c r="I32" s="2">
        <f t="shared" ca="1" si="6"/>
        <v>42.837142857142851</v>
      </c>
      <c r="J32">
        <f t="shared" ca="1" si="8"/>
        <v>61</v>
      </c>
      <c r="K32" s="2">
        <f t="shared" ca="1" si="9"/>
        <v>0</v>
      </c>
      <c r="L32" s="2">
        <f t="shared" ca="1" si="10"/>
        <v>25.202571428571428</v>
      </c>
      <c r="M32" s="2">
        <f t="shared" ca="1" si="11"/>
        <v>19.373142857142856</v>
      </c>
      <c r="N32" s="2">
        <f t="shared" ca="1" si="12"/>
        <v>13.543714285714284</v>
      </c>
      <c r="O32" s="2">
        <f t="shared" ca="1" si="16"/>
        <v>7.7142857142857144</v>
      </c>
      <c r="P32" s="2">
        <f t="shared" ca="1" si="13"/>
        <v>1.8848571428571441</v>
      </c>
      <c r="Q32" s="2">
        <f t="shared" ca="1" si="14"/>
        <v>0</v>
      </c>
      <c r="R32" s="2">
        <v>0</v>
      </c>
    </row>
    <row r="33" spans="1:18" ht="14" customHeight="1" x14ac:dyDescent="0.2">
      <c r="A33" s="1">
        <v>41122</v>
      </c>
      <c r="B33" s="2">
        <v>68</v>
      </c>
      <c r="C33" s="2">
        <f t="shared" ca="1" si="0"/>
        <v>83.877142857142857</v>
      </c>
      <c r="D33" s="2">
        <f t="shared" ca="1" si="1"/>
        <v>77.037142857142854</v>
      </c>
      <c r="E33" s="2">
        <f t="shared" ca="1" si="2"/>
        <v>70.19714285714285</v>
      </c>
      <c r="F33" s="2">
        <f t="shared" si="15"/>
        <v>63.357142857142854</v>
      </c>
      <c r="G33" s="2">
        <f t="shared" ca="1" si="4"/>
        <v>56.517142857142851</v>
      </c>
      <c r="H33" s="2">
        <f t="shared" ca="1" si="5"/>
        <v>49.677142857142854</v>
      </c>
      <c r="I33" s="2">
        <f t="shared" ca="1" si="6"/>
        <v>42.837142857142851</v>
      </c>
      <c r="J33">
        <f t="shared" ca="1" si="8"/>
        <v>68</v>
      </c>
      <c r="K33" s="2">
        <f t="shared" ca="1" si="9"/>
        <v>7</v>
      </c>
      <c r="L33" s="2">
        <f t="shared" ca="1" si="10"/>
        <v>25.202571428571428</v>
      </c>
      <c r="M33" s="2">
        <f t="shared" ca="1" si="11"/>
        <v>19.373142857142856</v>
      </c>
      <c r="N33" s="2">
        <f t="shared" ca="1" si="12"/>
        <v>13.543714285714284</v>
      </c>
      <c r="O33" s="2">
        <f t="shared" ca="1" si="16"/>
        <v>7.7142857142857144</v>
      </c>
      <c r="P33" s="2">
        <f t="shared" ca="1" si="13"/>
        <v>1.8848571428571441</v>
      </c>
      <c r="Q33" s="2">
        <f t="shared" ca="1" si="14"/>
        <v>0</v>
      </c>
      <c r="R33" s="2">
        <v>0</v>
      </c>
    </row>
    <row r="34" spans="1:18" ht="14" customHeight="1" x14ac:dyDescent="0.2">
      <c r="A34" s="1">
        <v>41153</v>
      </c>
      <c r="B34" s="2">
        <v>46</v>
      </c>
      <c r="C34" s="2">
        <f t="shared" ca="1" si="0"/>
        <v>80.541463414634151</v>
      </c>
      <c r="D34" s="2">
        <f t="shared" ca="1" si="1"/>
        <v>72.53983739837399</v>
      </c>
      <c r="E34" s="2">
        <f t="shared" ca="1" si="2"/>
        <v>64.538211382113829</v>
      </c>
      <c r="F34" s="2">
        <f t="shared" ref="F34:F74" si="17">AVERAGE($B$34:$B$74)</f>
        <v>56.536585365853661</v>
      </c>
      <c r="G34" s="2">
        <f t="shared" ca="1" si="4"/>
        <v>48.5349593495935</v>
      </c>
      <c r="H34" s="2">
        <f t="shared" ca="1" si="5"/>
        <v>40.533333333333331</v>
      </c>
      <c r="I34" s="2">
        <f t="shared" ca="1" si="6"/>
        <v>32.53170731707317</v>
      </c>
      <c r="J34">
        <f t="shared" ca="1" si="8"/>
        <v>46</v>
      </c>
      <c r="K34" s="2">
        <f t="shared" ca="1" si="9"/>
        <v>22</v>
      </c>
      <c r="L34" s="2">
        <f t="shared" ca="1" si="10"/>
        <v>29.482682926829266</v>
      </c>
      <c r="M34" s="2">
        <f t="shared" ca="1" si="11"/>
        <v>22.663252032520322</v>
      </c>
      <c r="N34" s="2">
        <f t="shared" ca="1" si="12"/>
        <v>15.84382113821138</v>
      </c>
      <c r="O34" s="2">
        <f t="shared" ref="O34:O74" ca="1" si="18">AVERAGE($K$34:$K$74)</f>
        <v>9.0243902439024382</v>
      </c>
      <c r="P34" s="2">
        <f t="shared" ca="1" si="13"/>
        <v>2.204959349593496</v>
      </c>
      <c r="Q34" s="2">
        <f t="shared" ca="1" si="14"/>
        <v>0</v>
      </c>
      <c r="R34" s="2">
        <v>0</v>
      </c>
    </row>
    <row r="35" spans="1:18" ht="14" customHeight="1" x14ac:dyDescent="0.2">
      <c r="A35" s="1">
        <v>41183</v>
      </c>
      <c r="B35" s="2">
        <v>60</v>
      </c>
      <c r="C35" s="2">
        <f t="shared" ca="1" si="0"/>
        <v>80.541463414634151</v>
      </c>
      <c r="D35" s="2">
        <f t="shared" ca="1" si="1"/>
        <v>72.53983739837399</v>
      </c>
      <c r="E35" s="2">
        <f t="shared" ca="1" si="2"/>
        <v>64.538211382113829</v>
      </c>
      <c r="F35" s="2">
        <f t="shared" si="17"/>
        <v>56.536585365853661</v>
      </c>
      <c r="G35" s="2">
        <f t="shared" ca="1" si="4"/>
        <v>48.5349593495935</v>
      </c>
      <c r="H35" s="2">
        <f t="shared" ca="1" si="5"/>
        <v>40.533333333333331</v>
      </c>
      <c r="I35" s="2">
        <f t="shared" ca="1" si="6"/>
        <v>32.53170731707317</v>
      </c>
      <c r="J35">
        <f t="shared" ca="1" si="8"/>
        <v>60</v>
      </c>
      <c r="K35" s="2">
        <f t="shared" ca="1" si="9"/>
        <v>14</v>
      </c>
      <c r="L35" s="2">
        <f t="shared" ca="1" si="10"/>
        <v>29.482682926829266</v>
      </c>
      <c r="M35" s="2">
        <f t="shared" ca="1" si="11"/>
        <v>22.663252032520322</v>
      </c>
      <c r="N35" s="2">
        <f t="shared" ca="1" si="12"/>
        <v>15.84382113821138</v>
      </c>
      <c r="O35" s="2">
        <f t="shared" ca="1" si="18"/>
        <v>9.0243902439024382</v>
      </c>
      <c r="P35" s="2">
        <f t="shared" ca="1" si="13"/>
        <v>2.204959349593496</v>
      </c>
      <c r="Q35" s="2">
        <f t="shared" ca="1" si="14"/>
        <v>0</v>
      </c>
      <c r="R35" s="2">
        <v>0</v>
      </c>
    </row>
    <row r="36" spans="1:18" ht="14" customHeight="1" x14ac:dyDescent="0.2">
      <c r="A36" s="1">
        <v>41214</v>
      </c>
      <c r="B36" s="2">
        <v>52</v>
      </c>
      <c r="C36" s="2">
        <f t="shared" ca="1" si="0"/>
        <v>80.541463414634151</v>
      </c>
      <c r="D36" s="2">
        <f t="shared" ca="1" si="1"/>
        <v>72.53983739837399</v>
      </c>
      <c r="E36" s="2">
        <f t="shared" ca="1" si="2"/>
        <v>64.538211382113829</v>
      </c>
      <c r="F36" s="2">
        <f t="shared" si="17"/>
        <v>56.536585365853661</v>
      </c>
      <c r="G36" s="2">
        <f t="shared" ca="1" si="4"/>
        <v>48.5349593495935</v>
      </c>
      <c r="H36" s="2">
        <f t="shared" ca="1" si="5"/>
        <v>40.533333333333331</v>
      </c>
      <c r="I36" s="2">
        <f t="shared" ca="1" si="6"/>
        <v>32.53170731707317</v>
      </c>
      <c r="J36">
        <f t="shared" ca="1" si="8"/>
        <v>52</v>
      </c>
      <c r="K36" s="2">
        <f t="shared" ca="1" si="9"/>
        <v>8</v>
      </c>
      <c r="L36" s="2">
        <f t="shared" ca="1" si="10"/>
        <v>29.482682926829266</v>
      </c>
      <c r="M36" s="2">
        <f t="shared" ca="1" si="11"/>
        <v>22.663252032520322</v>
      </c>
      <c r="N36" s="2">
        <f t="shared" ca="1" si="12"/>
        <v>15.84382113821138</v>
      </c>
      <c r="O36" s="2">
        <f t="shared" ca="1" si="18"/>
        <v>9.0243902439024382</v>
      </c>
      <c r="P36" s="2">
        <f t="shared" ca="1" si="13"/>
        <v>2.204959349593496</v>
      </c>
      <c r="Q36" s="2">
        <f t="shared" ca="1" si="14"/>
        <v>0</v>
      </c>
      <c r="R36" s="2">
        <v>0</v>
      </c>
    </row>
    <row r="37" spans="1:18" ht="14" customHeight="1" x14ac:dyDescent="0.2">
      <c r="A37" s="1">
        <v>41244</v>
      </c>
      <c r="B37" s="2">
        <v>58</v>
      </c>
      <c r="C37" s="2">
        <f t="shared" ca="1" si="0"/>
        <v>80.541463414634151</v>
      </c>
      <c r="D37" s="2">
        <f t="shared" ca="1" si="1"/>
        <v>72.53983739837399</v>
      </c>
      <c r="E37" s="2">
        <f t="shared" ca="1" si="2"/>
        <v>64.538211382113829</v>
      </c>
      <c r="F37" s="2">
        <f t="shared" si="17"/>
        <v>56.536585365853661</v>
      </c>
      <c r="G37" s="2">
        <f t="shared" ca="1" si="4"/>
        <v>48.5349593495935</v>
      </c>
      <c r="H37" s="2">
        <f t="shared" ca="1" si="5"/>
        <v>40.533333333333331</v>
      </c>
      <c r="I37" s="2">
        <f t="shared" ca="1" si="6"/>
        <v>32.53170731707317</v>
      </c>
      <c r="J37">
        <f t="shared" ca="1" si="8"/>
        <v>58</v>
      </c>
      <c r="K37" s="2">
        <f t="shared" ca="1" si="9"/>
        <v>6</v>
      </c>
      <c r="L37" s="2">
        <f t="shared" ca="1" si="10"/>
        <v>29.482682926829266</v>
      </c>
      <c r="M37" s="2">
        <f t="shared" ca="1" si="11"/>
        <v>22.663252032520322</v>
      </c>
      <c r="N37" s="2">
        <f t="shared" ca="1" si="12"/>
        <v>15.84382113821138</v>
      </c>
      <c r="O37" s="2">
        <f t="shared" ca="1" si="18"/>
        <v>9.0243902439024382</v>
      </c>
      <c r="P37" s="2">
        <f t="shared" ca="1" si="13"/>
        <v>2.204959349593496</v>
      </c>
      <c r="Q37" s="2">
        <f t="shared" ca="1" si="14"/>
        <v>0</v>
      </c>
      <c r="R37" s="2">
        <v>0</v>
      </c>
    </row>
    <row r="38" spans="1:18" ht="14" customHeight="1" x14ac:dyDescent="0.2">
      <c r="A38" s="1">
        <v>41275</v>
      </c>
      <c r="B38" s="2">
        <v>59</v>
      </c>
      <c r="C38" s="2">
        <f t="shared" ca="1" si="0"/>
        <v>80.541463414634151</v>
      </c>
      <c r="D38" s="2">
        <f t="shared" ca="1" si="1"/>
        <v>72.53983739837399</v>
      </c>
      <c r="E38" s="2">
        <f t="shared" ca="1" si="2"/>
        <v>64.538211382113829</v>
      </c>
      <c r="F38" s="2">
        <f t="shared" si="17"/>
        <v>56.536585365853661</v>
      </c>
      <c r="G38" s="2">
        <f t="shared" ca="1" si="4"/>
        <v>48.5349593495935</v>
      </c>
      <c r="H38" s="2">
        <f t="shared" ca="1" si="5"/>
        <v>40.533333333333331</v>
      </c>
      <c r="I38" s="2">
        <f t="shared" ca="1" si="6"/>
        <v>32.53170731707317</v>
      </c>
      <c r="J38">
        <f t="shared" ca="1" si="8"/>
        <v>59</v>
      </c>
      <c r="K38" s="2">
        <f t="shared" ca="1" si="9"/>
        <v>1</v>
      </c>
      <c r="L38" s="2">
        <f t="shared" ca="1" si="10"/>
        <v>29.482682926829266</v>
      </c>
      <c r="M38" s="2">
        <f t="shared" ca="1" si="11"/>
        <v>22.663252032520322</v>
      </c>
      <c r="N38" s="2">
        <f t="shared" ca="1" si="12"/>
        <v>15.84382113821138</v>
      </c>
      <c r="O38" s="2">
        <f t="shared" ca="1" si="18"/>
        <v>9.0243902439024382</v>
      </c>
      <c r="P38" s="2">
        <f t="shared" ca="1" si="13"/>
        <v>2.204959349593496</v>
      </c>
      <c r="Q38" s="2">
        <f t="shared" ca="1" si="14"/>
        <v>0</v>
      </c>
      <c r="R38" s="2">
        <v>0</v>
      </c>
    </row>
    <row r="39" spans="1:18" ht="14" customHeight="1" x14ac:dyDescent="0.2">
      <c r="A39" s="1">
        <v>41306</v>
      </c>
      <c r="B39" s="2">
        <v>64</v>
      </c>
      <c r="C39" s="2">
        <f t="shared" ca="1" si="0"/>
        <v>80.541463414634151</v>
      </c>
      <c r="D39" s="2">
        <f t="shared" ca="1" si="1"/>
        <v>72.53983739837399</v>
      </c>
      <c r="E39" s="2">
        <f t="shared" ca="1" si="2"/>
        <v>64.538211382113829</v>
      </c>
      <c r="F39" s="2">
        <f t="shared" si="17"/>
        <v>56.536585365853661</v>
      </c>
      <c r="G39" s="2">
        <f t="shared" ca="1" si="4"/>
        <v>48.5349593495935</v>
      </c>
      <c r="H39" s="2">
        <f t="shared" ca="1" si="5"/>
        <v>40.533333333333331</v>
      </c>
      <c r="I39" s="2">
        <f t="shared" ca="1" si="6"/>
        <v>32.53170731707317</v>
      </c>
      <c r="J39">
        <f t="shared" ca="1" si="8"/>
        <v>64</v>
      </c>
      <c r="K39" s="2">
        <f t="shared" ca="1" si="9"/>
        <v>5</v>
      </c>
      <c r="L39" s="2">
        <f t="shared" ca="1" si="10"/>
        <v>29.482682926829266</v>
      </c>
      <c r="M39" s="2">
        <f t="shared" ca="1" si="11"/>
        <v>22.663252032520322</v>
      </c>
      <c r="N39" s="2">
        <f t="shared" ca="1" si="12"/>
        <v>15.84382113821138</v>
      </c>
      <c r="O39" s="2">
        <f t="shared" ca="1" si="18"/>
        <v>9.0243902439024382</v>
      </c>
      <c r="P39" s="2">
        <f t="shared" ca="1" si="13"/>
        <v>2.204959349593496</v>
      </c>
      <c r="Q39" s="2">
        <f t="shared" ca="1" si="14"/>
        <v>0</v>
      </c>
      <c r="R39" s="2">
        <v>0</v>
      </c>
    </row>
    <row r="40" spans="1:18" ht="14" customHeight="1" x14ac:dyDescent="0.2">
      <c r="A40" s="1">
        <v>41334</v>
      </c>
      <c r="B40" s="2">
        <v>56</v>
      </c>
      <c r="C40" s="2">
        <f t="shared" ca="1" si="0"/>
        <v>80.541463414634151</v>
      </c>
      <c r="D40" s="2">
        <f t="shared" ca="1" si="1"/>
        <v>72.53983739837399</v>
      </c>
      <c r="E40" s="2">
        <f t="shared" ca="1" si="2"/>
        <v>64.538211382113829</v>
      </c>
      <c r="F40" s="2">
        <f t="shared" si="17"/>
        <v>56.536585365853661</v>
      </c>
      <c r="G40" s="2">
        <f t="shared" ca="1" si="4"/>
        <v>48.5349593495935</v>
      </c>
      <c r="H40" s="2">
        <f t="shared" ca="1" si="5"/>
        <v>40.533333333333331</v>
      </c>
      <c r="I40" s="2">
        <f t="shared" ca="1" si="6"/>
        <v>32.53170731707317</v>
      </c>
      <c r="J40">
        <f t="shared" ca="1" si="8"/>
        <v>56</v>
      </c>
      <c r="K40" s="2">
        <f t="shared" ca="1" si="9"/>
        <v>8</v>
      </c>
      <c r="L40" s="2">
        <f t="shared" ca="1" si="10"/>
        <v>29.482682926829266</v>
      </c>
      <c r="M40" s="2">
        <f t="shared" ca="1" si="11"/>
        <v>22.663252032520322</v>
      </c>
      <c r="N40" s="2">
        <f t="shared" ca="1" si="12"/>
        <v>15.84382113821138</v>
      </c>
      <c r="O40" s="2">
        <f t="shared" ca="1" si="18"/>
        <v>9.0243902439024382</v>
      </c>
      <c r="P40" s="2">
        <f t="shared" ca="1" si="13"/>
        <v>2.204959349593496</v>
      </c>
      <c r="Q40" s="2">
        <f t="shared" ca="1" si="14"/>
        <v>0</v>
      </c>
      <c r="R40" s="2">
        <v>0</v>
      </c>
    </row>
    <row r="41" spans="1:18" ht="14" customHeight="1" x14ac:dyDescent="0.2">
      <c r="A41" s="1">
        <v>41365</v>
      </c>
      <c r="B41" s="2">
        <v>58</v>
      </c>
      <c r="C41" s="2">
        <f t="shared" ca="1" si="0"/>
        <v>80.541463414634151</v>
      </c>
      <c r="D41" s="2">
        <f t="shared" ca="1" si="1"/>
        <v>72.53983739837399</v>
      </c>
      <c r="E41" s="2">
        <f t="shared" ca="1" si="2"/>
        <v>64.538211382113829</v>
      </c>
      <c r="F41" s="2">
        <f t="shared" si="17"/>
        <v>56.536585365853661</v>
      </c>
      <c r="G41" s="2">
        <f t="shared" ca="1" si="4"/>
        <v>48.5349593495935</v>
      </c>
      <c r="H41" s="2">
        <f t="shared" ca="1" si="5"/>
        <v>40.533333333333331</v>
      </c>
      <c r="I41" s="2">
        <f t="shared" ca="1" si="6"/>
        <v>32.53170731707317</v>
      </c>
      <c r="J41">
        <f t="shared" ca="1" si="8"/>
        <v>58</v>
      </c>
      <c r="K41" s="2">
        <f t="shared" ca="1" si="9"/>
        <v>2</v>
      </c>
      <c r="L41" s="2">
        <f t="shared" ca="1" si="10"/>
        <v>29.482682926829266</v>
      </c>
      <c r="M41" s="2">
        <f t="shared" ca="1" si="11"/>
        <v>22.663252032520322</v>
      </c>
      <c r="N41" s="2">
        <f t="shared" ca="1" si="12"/>
        <v>15.84382113821138</v>
      </c>
      <c r="O41" s="2">
        <f t="shared" ca="1" si="18"/>
        <v>9.0243902439024382</v>
      </c>
      <c r="P41" s="2">
        <f t="shared" ca="1" si="13"/>
        <v>2.204959349593496</v>
      </c>
      <c r="Q41" s="2">
        <f t="shared" ca="1" si="14"/>
        <v>0</v>
      </c>
      <c r="R41" s="2">
        <v>0</v>
      </c>
    </row>
    <row r="42" spans="1:18" ht="14" customHeight="1" x14ac:dyDescent="0.2">
      <c r="A42" s="1">
        <v>41395</v>
      </c>
      <c r="B42" s="2">
        <v>66</v>
      </c>
      <c r="C42" s="2">
        <f t="shared" ca="1" si="0"/>
        <v>80.541463414634151</v>
      </c>
      <c r="D42" s="2">
        <f t="shared" ca="1" si="1"/>
        <v>72.53983739837399</v>
      </c>
      <c r="E42" s="2">
        <f t="shared" ca="1" si="2"/>
        <v>64.538211382113829</v>
      </c>
      <c r="F42" s="2">
        <f t="shared" si="17"/>
        <v>56.536585365853661</v>
      </c>
      <c r="G42" s="2">
        <f t="shared" ca="1" si="4"/>
        <v>48.5349593495935</v>
      </c>
      <c r="H42" s="2">
        <f t="shared" ca="1" si="5"/>
        <v>40.533333333333331</v>
      </c>
      <c r="I42" s="2">
        <f t="shared" ca="1" si="6"/>
        <v>32.53170731707317</v>
      </c>
      <c r="J42">
        <f t="shared" ca="1" si="8"/>
        <v>66</v>
      </c>
      <c r="K42" s="2">
        <f t="shared" ca="1" si="9"/>
        <v>8</v>
      </c>
      <c r="L42" s="2">
        <f t="shared" ca="1" si="10"/>
        <v>29.482682926829266</v>
      </c>
      <c r="M42" s="2">
        <f t="shared" ca="1" si="11"/>
        <v>22.663252032520322</v>
      </c>
      <c r="N42" s="2">
        <f t="shared" ca="1" si="12"/>
        <v>15.84382113821138</v>
      </c>
      <c r="O42" s="2">
        <f t="shared" ca="1" si="18"/>
        <v>9.0243902439024382</v>
      </c>
      <c r="P42" s="2">
        <f t="shared" ca="1" si="13"/>
        <v>2.204959349593496</v>
      </c>
      <c r="Q42" s="2">
        <f t="shared" ca="1" si="14"/>
        <v>0</v>
      </c>
      <c r="R42" s="2">
        <v>0</v>
      </c>
    </row>
    <row r="43" spans="1:18" ht="14" customHeight="1" x14ac:dyDescent="0.2">
      <c r="A43" s="1">
        <v>41426</v>
      </c>
      <c r="B43" s="2">
        <v>52</v>
      </c>
      <c r="C43" s="2">
        <f t="shared" ca="1" si="0"/>
        <v>80.541463414634151</v>
      </c>
      <c r="D43" s="2">
        <f t="shared" ca="1" si="1"/>
        <v>72.53983739837399</v>
      </c>
      <c r="E43" s="2">
        <f t="shared" ca="1" si="2"/>
        <v>64.538211382113829</v>
      </c>
      <c r="F43" s="2">
        <f t="shared" si="17"/>
        <v>56.536585365853661</v>
      </c>
      <c r="G43" s="2">
        <f t="shared" ca="1" si="4"/>
        <v>48.5349593495935</v>
      </c>
      <c r="H43" s="2">
        <f t="shared" ca="1" si="5"/>
        <v>40.533333333333331</v>
      </c>
      <c r="I43" s="2">
        <f t="shared" ca="1" si="6"/>
        <v>32.53170731707317</v>
      </c>
      <c r="J43">
        <f t="shared" ca="1" si="8"/>
        <v>52</v>
      </c>
      <c r="K43" s="2">
        <f t="shared" ca="1" si="9"/>
        <v>14</v>
      </c>
      <c r="L43" s="2">
        <f t="shared" ca="1" si="10"/>
        <v>29.482682926829266</v>
      </c>
      <c r="M43" s="2">
        <f t="shared" ca="1" si="11"/>
        <v>22.663252032520322</v>
      </c>
      <c r="N43" s="2">
        <f t="shared" ca="1" si="12"/>
        <v>15.84382113821138</v>
      </c>
      <c r="O43" s="2">
        <f t="shared" ca="1" si="18"/>
        <v>9.0243902439024382</v>
      </c>
      <c r="P43" s="2">
        <f t="shared" ca="1" si="13"/>
        <v>2.204959349593496</v>
      </c>
      <c r="Q43" s="2">
        <f t="shared" ca="1" si="14"/>
        <v>0</v>
      </c>
      <c r="R43" s="2">
        <v>0</v>
      </c>
    </row>
    <row r="44" spans="1:18" ht="14" customHeight="1" x14ac:dyDescent="0.2">
      <c r="A44" s="1">
        <v>41456</v>
      </c>
      <c r="B44" s="2">
        <v>57</v>
      </c>
      <c r="C44" s="2">
        <f t="shared" ca="1" si="0"/>
        <v>80.541463414634151</v>
      </c>
      <c r="D44" s="2">
        <f t="shared" ca="1" si="1"/>
        <v>72.53983739837399</v>
      </c>
      <c r="E44" s="2">
        <f t="shared" ca="1" si="2"/>
        <v>64.538211382113829</v>
      </c>
      <c r="F44" s="2">
        <f t="shared" si="17"/>
        <v>56.536585365853661</v>
      </c>
      <c r="G44" s="2">
        <f t="shared" ca="1" si="4"/>
        <v>48.5349593495935</v>
      </c>
      <c r="H44" s="2">
        <f t="shared" ca="1" si="5"/>
        <v>40.533333333333331</v>
      </c>
      <c r="I44" s="2">
        <f t="shared" ca="1" si="6"/>
        <v>32.53170731707317</v>
      </c>
      <c r="J44">
        <f t="shared" ca="1" si="8"/>
        <v>57</v>
      </c>
      <c r="K44" s="2">
        <f t="shared" ca="1" si="9"/>
        <v>5</v>
      </c>
      <c r="L44" s="2">
        <f t="shared" ca="1" si="10"/>
        <v>29.482682926829266</v>
      </c>
      <c r="M44" s="2">
        <f t="shared" ca="1" si="11"/>
        <v>22.663252032520322</v>
      </c>
      <c r="N44" s="2">
        <f t="shared" ca="1" si="12"/>
        <v>15.84382113821138</v>
      </c>
      <c r="O44" s="2">
        <f t="shared" ca="1" si="18"/>
        <v>9.0243902439024382</v>
      </c>
      <c r="P44" s="2">
        <f t="shared" ca="1" si="13"/>
        <v>2.204959349593496</v>
      </c>
      <c r="Q44" s="2">
        <f t="shared" ca="1" si="14"/>
        <v>0</v>
      </c>
      <c r="R44" s="2">
        <v>0</v>
      </c>
    </row>
    <row r="45" spans="1:18" ht="14" customHeight="1" x14ac:dyDescent="0.2">
      <c r="A45" s="1">
        <v>41487</v>
      </c>
      <c r="B45" s="2">
        <v>55</v>
      </c>
      <c r="C45" s="2">
        <f t="shared" ca="1" si="0"/>
        <v>80.541463414634151</v>
      </c>
      <c r="D45" s="2">
        <f t="shared" ca="1" si="1"/>
        <v>72.53983739837399</v>
      </c>
      <c r="E45" s="2">
        <f t="shared" ca="1" si="2"/>
        <v>64.538211382113829</v>
      </c>
      <c r="F45" s="2">
        <f t="shared" si="17"/>
        <v>56.536585365853661</v>
      </c>
      <c r="G45" s="2">
        <f t="shared" ca="1" si="4"/>
        <v>48.5349593495935</v>
      </c>
      <c r="H45" s="2">
        <f t="shared" ca="1" si="5"/>
        <v>40.533333333333331</v>
      </c>
      <c r="I45" s="2">
        <f t="shared" ca="1" si="6"/>
        <v>32.53170731707317</v>
      </c>
      <c r="J45">
        <f t="shared" ca="1" si="8"/>
        <v>55</v>
      </c>
      <c r="K45" s="2">
        <f t="shared" ca="1" si="9"/>
        <v>2</v>
      </c>
      <c r="L45" s="2">
        <f t="shared" ca="1" si="10"/>
        <v>29.482682926829266</v>
      </c>
      <c r="M45" s="2">
        <f t="shared" ca="1" si="11"/>
        <v>22.663252032520322</v>
      </c>
      <c r="N45" s="2">
        <f t="shared" ca="1" si="12"/>
        <v>15.84382113821138</v>
      </c>
      <c r="O45" s="2">
        <f t="shared" ca="1" si="18"/>
        <v>9.0243902439024382</v>
      </c>
      <c r="P45" s="2">
        <f t="shared" ca="1" si="13"/>
        <v>2.204959349593496</v>
      </c>
      <c r="Q45" s="2">
        <f t="shared" ca="1" si="14"/>
        <v>0</v>
      </c>
      <c r="R45" s="2">
        <v>0</v>
      </c>
    </row>
    <row r="46" spans="1:18" ht="14" customHeight="1" x14ac:dyDescent="0.2">
      <c r="A46" s="1">
        <v>41518</v>
      </c>
      <c r="B46" s="2">
        <v>52</v>
      </c>
      <c r="C46" s="2">
        <f t="shared" ca="1" si="0"/>
        <v>80.541463414634151</v>
      </c>
      <c r="D46" s="2">
        <f t="shared" ca="1" si="1"/>
        <v>72.53983739837399</v>
      </c>
      <c r="E46" s="2">
        <f t="shared" ca="1" si="2"/>
        <v>64.538211382113829</v>
      </c>
      <c r="F46" s="2">
        <f t="shared" si="17"/>
        <v>56.536585365853661</v>
      </c>
      <c r="G46" s="2">
        <f t="shared" ca="1" si="4"/>
        <v>48.5349593495935</v>
      </c>
      <c r="H46" s="2">
        <f t="shared" ca="1" si="5"/>
        <v>40.533333333333331</v>
      </c>
      <c r="I46" s="2">
        <f t="shared" ca="1" si="6"/>
        <v>32.53170731707317</v>
      </c>
      <c r="J46">
        <f t="shared" ca="1" si="8"/>
        <v>52</v>
      </c>
      <c r="K46" s="2">
        <f t="shared" ca="1" si="9"/>
        <v>3</v>
      </c>
      <c r="L46" s="2">
        <f t="shared" ca="1" si="10"/>
        <v>29.482682926829266</v>
      </c>
      <c r="M46" s="2">
        <f t="shared" ca="1" si="11"/>
        <v>22.663252032520322</v>
      </c>
      <c r="N46" s="2">
        <f t="shared" ca="1" si="12"/>
        <v>15.84382113821138</v>
      </c>
      <c r="O46" s="2">
        <f t="shared" ca="1" si="18"/>
        <v>9.0243902439024382</v>
      </c>
      <c r="P46" s="2">
        <f t="shared" ca="1" si="13"/>
        <v>2.204959349593496</v>
      </c>
      <c r="Q46" s="2">
        <f t="shared" ca="1" si="14"/>
        <v>0</v>
      </c>
      <c r="R46" s="2">
        <v>0</v>
      </c>
    </row>
    <row r="47" spans="1:18" ht="14" customHeight="1" x14ac:dyDescent="0.2">
      <c r="A47" s="1">
        <v>41548</v>
      </c>
      <c r="B47" s="2">
        <v>46</v>
      </c>
      <c r="C47" s="2">
        <f t="shared" ca="1" si="0"/>
        <v>80.541463414634151</v>
      </c>
      <c r="D47" s="2">
        <f t="shared" ca="1" si="1"/>
        <v>72.53983739837399</v>
      </c>
      <c r="E47" s="2">
        <f t="shared" ca="1" si="2"/>
        <v>64.538211382113829</v>
      </c>
      <c r="F47" s="2">
        <f t="shared" si="17"/>
        <v>56.536585365853661</v>
      </c>
      <c r="G47" s="2">
        <f t="shared" ca="1" si="4"/>
        <v>48.5349593495935</v>
      </c>
      <c r="H47" s="2">
        <f t="shared" ca="1" si="5"/>
        <v>40.533333333333331</v>
      </c>
      <c r="I47" s="2">
        <f t="shared" ca="1" si="6"/>
        <v>32.53170731707317</v>
      </c>
      <c r="J47">
        <f t="shared" ca="1" si="8"/>
        <v>46</v>
      </c>
      <c r="K47" s="2">
        <f t="shared" ca="1" si="9"/>
        <v>6</v>
      </c>
      <c r="L47" s="2">
        <f t="shared" ca="1" si="10"/>
        <v>29.482682926829266</v>
      </c>
      <c r="M47" s="2">
        <f t="shared" ca="1" si="11"/>
        <v>22.663252032520322</v>
      </c>
      <c r="N47" s="2">
        <f t="shared" ca="1" si="12"/>
        <v>15.84382113821138</v>
      </c>
      <c r="O47" s="2">
        <f t="shared" ca="1" si="18"/>
        <v>9.0243902439024382</v>
      </c>
      <c r="P47" s="2">
        <f t="shared" ca="1" si="13"/>
        <v>2.204959349593496</v>
      </c>
      <c r="Q47" s="2">
        <f t="shared" ca="1" si="14"/>
        <v>0</v>
      </c>
      <c r="R47" s="2">
        <v>0</v>
      </c>
    </row>
    <row r="48" spans="1:18" ht="14" customHeight="1" x14ac:dyDescent="0.2">
      <c r="A48" s="1">
        <v>41579</v>
      </c>
      <c r="B48" s="2">
        <v>45</v>
      </c>
      <c r="C48" s="2">
        <f t="shared" ca="1" si="0"/>
        <v>80.541463414634151</v>
      </c>
      <c r="D48" s="2">
        <f t="shared" ca="1" si="1"/>
        <v>72.53983739837399</v>
      </c>
      <c r="E48" s="2">
        <f t="shared" ca="1" si="2"/>
        <v>64.538211382113829</v>
      </c>
      <c r="F48" s="2">
        <f t="shared" si="17"/>
        <v>56.536585365853661</v>
      </c>
      <c r="G48" s="2">
        <f t="shared" ca="1" si="4"/>
        <v>48.5349593495935</v>
      </c>
      <c r="H48" s="2">
        <f t="shared" ca="1" si="5"/>
        <v>40.533333333333331</v>
      </c>
      <c r="I48" s="2">
        <f t="shared" ca="1" si="6"/>
        <v>32.53170731707317</v>
      </c>
      <c r="J48">
        <f t="shared" ca="1" si="8"/>
        <v>45</v>
      </c>
      <c r="K48" s="2">
        <f t="shared" ca="1" si="9"/>
        <v>1</v>
      </c>
      <c r="L48" s="2">
        <f t="shared" ca="1" si="10"/>
        <v>29.482682926829266</v>
      </c>
      <c r="M48" s="2">
        <f t="shared" ca="1" si="11"/>
        <v>22.663252032520322</v>
      </c>
      <c r="N48" s="2">
        <f t="shared" ca="1" si="12"/>
        <v>15.84382113821138</v>
      </c>
      <c r="O48" s="2">
        <f t="shared" ca="1" si="18"/>
        <v>9.0243902439024382</v>
      </c>
      <c r="P48" s="2">
        <f t="shared" ca="1" si="13"/>
        <v>2.204959349593496</v>
      </c>
      <c r="Q48" s="2">
        <f t="shared" ca="1" si="14"/>
        <v>0</v>
      </c>
      <c r="R48" s="2">
        <v>0</v>
      </c>
    </row>
    <row r="49" spans="1:18" ht="14" customHeight="1" x14ac:dyDescent="0.2">
      <c r="A49" s="1">
        <v>41609</v>
      </c>
      <c r="B49" s="2">
        <v>45</v>
      </c>
      <c r="C49" s="2">
        <f t="shared" ca="1" si="0"/>
        <v>80.541463414634151</v>
      </c>
      <c r="D49" s="2">
        <f t="shared" ca="1" si="1"/>
        <v>72.53983739837399</v>
      </c>
      <c r="E49" s="2">
        <f t="shared" ca="1" si="2"/>
        <v>64.538211382113829</v>
      </c>
      <c r="F49" s="2">
        <f t="shared" si="17"/>
        <v>56.536585365853661</v>
      </c>
      <c r="G49" s="2">
        <f t="shared" ca="1" si="4"/>
        <v>48.5349593495935</v>
      </c>
      <c r="H49" s="2">
        <f t="shared" ca="1" si="5"/>
        <v>40.533333333333331</v>
      </c>
      <c r="I49" s="2">
        <f t="shared" ca="1" si="6"/>
        <v>32.53170731707317</v>
      </c>
      <c r="J49">
        <f t="shared" ca="1" si="8"/>
        <v>45</v>
      </c>
      <c r="K49" s="2">
        <f t="shared" ca="1" si="9"/>
        <v>0</v>
      </c>
      <c r="L49" s="2">
        <f t="shared" ca="1" si="10"/>
        <v>29.482682926829266</v>
      </c>
      <c r="M49" s="2">
        <f t="shared" ca="1" si="11"/>
        <v>22.663252032520322</v>
      </c>
      <c r="N49" s="2">
        <f t="shared" ca="1" si="12"/>
        <v>15.84382113821138</v>
      </c>
      <c r="O49" s="2">
        <f t="shared" ca="1" si="18"/>
        <v>9.0243902439024382</v>
      </c>
      <c r="P49" s="2">
        <f t="shared" ca="1" si="13"/>
        <v>2.204959349593496</v>
      </c>
      <c r="Q49" s="2">
        <f t="shared" ca="1" si="14"/>
        <v>0</v>
      </c>
      <c r="R49" s="2">
        <v>0</v>
      </c>
    </row>
    <row r="50" spans="1:18" ht="14" customHeight="1" x14ac:dyDescent="0.2">
      <c r="A50" s="1">
        <v>41640</v>
      </c>
      <c r="B50" s="2">
        <v>66</v>
      </c>
      <c r="C50" s="2">
        <f t="shared" ca="1" si="0"/>
        <v>80.541463414634151</v>
      </c>
      <c r="D50" s="2">
        <f t="shared" ca="1" si="1"/>
        <v>72.53983739837399</v>
      </c>
      <c r="E50" s="2">
        <f t="shared" ca="1" si="2"/>
        <v>64.538211382113829</v>
      </c>
      <c r="F50" s="2">
        <f t="shared" si="17"/>
        <v>56.536585365853661</v>
      </c>
      <c r="G50" s="2">
        <f t="shared" ca="1" si="4"/>
        <v>48.5349593495935</v>
      </c>
      <c r="H50" s="2">
        <f t="shared" ca="1" si="5"/>
        <v>40.533333333333331</v>
      </c>
      <c r="I50" s="2">
        <f t="shared" ca="1" si="6"/>
        <v>32.53170731707317</v>
      </c>
      <c r="J50">
        <f t="shared" ca="1" si="8"/>
        <v>66</v>
      </c>
      <c r="K50" s="2">
        <f t="shared" ca="1" si="9"/>
        <v>21</v>
      </c>
      <c r="L50" s="2">
        <f t="shared" ca="1" si="10"/>
        <v>29.482682926829266</v>
      </c>
      <c r="M50" s="2">
        <f t="shared" ca="1" si="11"/>
        <v>22.663252032520322</v>
      </c>
      <c r="N50" s="2">
        <f t="shared" ca="1" si="12"/>
        <v>15.84382113821138</v>
      </c>
      <c r="O50" s="2">
        <f t="shared" ca="1" si="18"/>
        <v>9.0243902439024382</v>
      </c>
      <c r="P50" s="2">
        <f t="shared" ca="1" si="13"/>
        <v>2.204959349593496</v>
      </c>
      <c r="Q50" s="2">
        <f t="shared" ca="1" si="14"/>
        <v>0</v>
      </c>
      <c r="R50" s="2">
        <v>0</v>
      </c>
    </row>
    <row r="51" spans="1:18" ht="14" customHeight="1" x14ac:dyDescent="0.2">
      <c r="A51" s="1">
        <v>41671</v>
      </c>
      <c r="B51" s="2">
        <v>53</v>
      </c>
      <c r="C51" s="2">
        <f t="shared" ca="1" si="0"/>
        <v>80.541463414634151</v>
      </c>
      <c r="D51" s="2">
        <f t="shared" ca="1" si="1"/>
        <v>72.53983739837399</v>
      </c>
      <c r="E51" s="2">
        <f t="shared" ca="1" si="2"/>
        <v>64.538211382113829</v>
      </c>
      <c r="F51" s="2">
        <f t="shared" si="17"/>
        <v>56.536585365853661</v>
      </c>
      <c r="G51" s="2">
        <f t="shared" ca="1" si="4"/>
        <v>48.5349593495935</v>
      </c>
      <c r="H51" s="2">
        <f t="shared" ca="1" si="5"/>
        <v>40.533333333333331</v>
      </c>
      <c r="I51" s="2">
        <f t="shared" ca="1" si="6"/>
        <v>32.53170731707317</v>
      </c>
      <c r="J51">
        <f t="shared" ca="1" si="8"/>
        <v>53</v>
      </c>
      <c r="K51" s="2">
        <f t="shared" ca="1" si="9"/>
        <v>13</v>
      </c>
      <c r="L51" s="2">
        <f t="shared" ca="1" si="10"/>
        <v>29.482682926829266</v>
      </c>
      <c r="M51" s="2">
        <f t="shared" ca="1" si="11"/>
        <v>22.663252032520322</v>
      </c>
      <c r="N51" s="2">
        <f t="shared" ca="1" si="12"/>
        <v>15.84382113821138</v>
      </c>
      <c r="O51" s="2">
        <f t="shared" ca="1" si="18"/>
        <v>9.0243902439024382</v>
      </c>
      <c r="P51" s="2">
        <f t="shared" ca="1" si="13"/>
        <v>2.204959349593496</v>
      </c>
      <c r="Q51" s="2">
        <f t="shared" ca="1" si="14"/>
        <v>0</v>
      </c>
      <c r="R51" s="2">
        <v>0</v>
      </c>
    </row>
    <row r="52" spans="1:18" ht="14" customHeight="1" x14ac:dyDescent="0.2">
      <c r="A52" s="1">
        <v>41699</v>
      </c>
      <c r="B52" s="2">
        <v>49</v>
      </c>
      <c r="C52" s="2">
        <f t="shared" ca="1" si="0"/>
        <v>80.541463414634151</v>
      </c>
      <c r="D52" s="2">
        <f t="shared" ca="1" si="1"/>
        <v>72.53983739837399</v>
      </c>
      <c r="E52" s="2">
        <f t="shared" ca="1" si="2"/>
        <v>64.538211382113829</v>
      </c>
      <c r="F52" s="2">
        <f t="shared" si="17"/>
        <v>56.536585365853661</v>
      </c>
      <c r="G52" s="2">
        <f t="shared" ca="1" si="4"/>
        <v>48.5349593495935</v>
      </c>
      <c r="H52" s="2">
        <f t="shared" ca="1" si="5"/>
        <v>40.533333333333331</v>
      </c>
      <c r="I52" s="2">
        <f t="shared" ca="1" si="6"/>
        <v>32.53170731707317</v>
      </c>
      <c r="J52">
        <f t="shared" ca="1" si="8"/>
        <v>49</v>
      </c>
      <c r="K52" s="2">
        <f t="shared" ca="1" si="9"/>
        <v>4</v>
      </c>
      <c r="L52" s="2">
        <f t="shared" ca="1" si="10"/>
        <v>29.482682926829266</v>
      </c>
      <c r="M52" s="2">
        <f t="shared" ca="1" si="11"/>
        <v>22.663252032520322</v>
      </c>
      <c r="N52" s="2">
        <f t="shared" ca="1" si="12"/>
        <v>15.84382113821138</v>
      </c>
      <c r="O52" s="2">
        <f t="shared" ca="1" si="18"/>
        <v>9.0243902439024382</v>
      </c>
      <c r="P52" s="2">
        <f t="shared" ca="1" si="13"/>
        <v>2.204959349593496</v>
      </c>
      <c r="Q52" s="2">
        <f t="shared" ca="1" si="14"/>
        <v>0</v>
      </c>
      <c r="R52" s="2">
        <v>0</v>
      </c>
    </row>
    <row r="53" spans="1:18" x14ac:dyDescent="0.2">
      <c r="A53" s="1">
        <v>41730</v>
      </c>
      <c r="B53" s="2">
        <v>73</v>
      </c>
      <c r="C53" s="4">
        <f t="shared" ca="1" si="0"/>
        <v>80.541463414634151</v>
      </c>
      <c r="D53" s="4">
        <f t="shared" ca="1" si="1"/>
        <v>72.53983739837399</v>
      </c>
      <c r="E53" s="4">
        <f t="shared" ca="1" si="2"/>
        <v>64.538211382113829</v>
      </c>
      <c r="F53" s="4">
        <f t="shared" si="17"/>
        <v>56.536585365853661</v>
      </c>
      <c r="G53" s="4">
        <f t="shared" ca="1" si="4"/>
        <v>48.5349593495935</v>
      </c>
      <c r="H53" s="4">
        <f t="shared" ca="1" si="5"/>
        <v>40.533333333333331</v>
      </c>
      <c r="I53" s="4">
        <f t="shared" ca="1" si="6"/>
        <v>32.53170731707317</v>
      </c>
      <c r="J53" s="5">
        <f t="shared" ca="1" si="8"/>
        <v>73</v>
      </c>
      <c r="K53" s="4">
        <f t="shared" ca="1" si="9"/>
        <v>24</v>
      </c>
      <c r="L53" s="2">
        <f t="shared" ca="1" si="10"/>
        <v>29.482682926829266</v>
      </c>
      <c r="M53" s="2">
        <f t="shared" ca="1" si="11"/>
        <v>22.663252032520322</v>
      </c>
      <c r="N53" s="2">
        <f t="shared" ca="1" si="12"/>
        <v>15.84382113821138</v>
      </c>
      <c r="O53" s="2">
        <f t="shared" ca="1" si="18"/>
        <v>9.0243902439024382</v>
      </c>
      <c r="P53" s="2">
        <f t="shared" ca="1" si="13"/>
        <v>2.204959349593496</v>
      </c>
      <c r="Q53" s="2">
        <f t="shared" ca="1" si="14"/>
        <v>0</v>
      </c>
      <c r="R53" s="2">
        <v>0</v>
      </c>
    </row>
    <row r="54" spans="1:18" x14ac:dyDescent="0.2">
      <c r="A54" s="1">
        <v>41760</v>
      </c>
      <c r="B54" s="2">
        <v>70</v>
      </c>
      <c r="C54" s="4">
        <f t="shared" ca="1" si="0"/>
        <v>80.541463414634151</v>
      </c>
      <c r="D54" s="4">
        <f t="shared" ca="1" si="1"/>
        <v>72.53983739837399</v>
      </c>
      <c r="E54" s="4">
        <f t="shared" ca="1" si="2"/>
        <v>64.538211382113829</v>
      </c>
      <c r="F54" s="4">
        <f t="shared" si="17"/>
        <v>56.536585365853661</v>
      </c>
      <c r="G54" s="4">
        <f t="shared" ca="1" si="4"/>
        <v>48.5349593495935</v>
      </c>
      <c r="H54" s="4">
        <f t="shared" ca="1" si="5"/>
        <v>40.533333333333331</v>
      </c>
      <c r="I54" s="4">
        <f t="shared" ca="1" si="6"/>
        <v>32.53170731707317</v>
      </c>
      <c r="J54" s="5">
        <f t="shared" ca="1" si="8"/>
        <v>70</v>
      </c>
      <c r="K54" s="4">
        <f t="shared" ca="1" si="9"/>
        <v>3</v>
      </c>
      <c r="L54" s="2">
        <f t="shared" ca="1" si="10"/>
        <v>29.482682926829266</v>
      </c>
      <c r="M54" s="2">
        <f t="shared" ca="1" si="11"/>
        <v>22.663252032520322</v>
      </c>
      <c r="N54" s="2">
        <f t="shared" ca="1" si="12"/>
        <v>15.84382113821138</v>
      </c>
      <c r="O54" s="2">
        <f t="shared" ca="1" si="18"/>
        <v>9.0243902439024382</v>
      </c>
      <c r="P54" s="2">
        <f t="shared" ca="1" si="13"/>
        <v>2.204959349593496</v>
      </c>
      <c r="Q54" s="2">
        <f t="shared" ca="1" si="14"/>
        <v>0</v>
      </c>
      <c r="R54" s="2">
        <v>0</v>
      </c>
    </row>
    <row r="55" spans="1:18" x14ac:dyDescent="0.2">
      <c r="A55" s="1">
        <v>41791</v>
      </c>
      <c r="B55" s="2">
        <v>52</v>
      </c>
      <c r="C55" s="4">
        <f t="shared" ca="1" si="0"/>
        <v>80.541463414634151</v>
      </c>
      <c r="D55" s="4">
        <f t="shared" ca="1" si="1"/>
        <v>72.53983739837399</v>
      </c>
      <c r="E55" s="4">
        <f t="shared" ca="1" si="2"/>
        <v>64.538211382113829</v>
      </c>
      <c r="F55" s="4">
        <f t="shared" si="17"/>
        <v>56.536585365853661</v>
      </c>
      <c r="G55" s="4">
        <f t="shared" ca="1" si="4"/>
        <v>48.5349593495935</v>
      </c>
      <c r="H55" s="4">
        <f t="shared" ca="1" si="5"/>
        <v>40.533333333333331</v>
      </c>
      <c r="I55" s="4">
        <f t="shared" ca="1" si="6"/>
        <v>32.53170731707317</v>
      </c>
      <c r="J55" s="5">
        <f t="shared" ca="1" si="8"/>
        <v>52</v>
      </c>
      <c r="K55" s="4">
        <f t="shared" ca="1" si="9"/>
        <v>18</v>
      </c>
      <c r="L55" s="2">
        <f t="shared" ca="1" si="10"/>
        <v>29.482682926829266</v>
      </c>
      <c r="M55" s="2">
        <f t="shared" ca="1" si="11"/>
        <v>22.663252032520322</v>
      </c>
      <c r="N55" s="2">
        <f t="shared" ca="1" si="12"/>
        <v>15.84382113821138</v>
      </c>
      <c r="O55" s="2">
        <f t="shared" ca="1" si="18"/>
        <v>9.0243902439024382</v>
      </c>
      <c r="P55" s="2">
        <f t="shared" ca="1" si="13"/>
        <v>2.204959349593496</v>
      </c>
      <c r="Q55" s="2">
        <f t="shared" ca="1" si="14"/>
        <v>0</v>
      </c>
      <c r="R55" s="2">
        <v>0</v>
      </c>
    </row>
    <row r="56" spans="1:18" x14ac:dyDescent="0.2">
      <c r="A56" s="1">
        <v>41821</v>
      </c>
      <c r="B56" s="2">
        <v>68</v>
      </c>
      <c r="C56" s="4">
        <f t="shared" ca="1" si="0"/>
        <v>80.541463414634151</v>
      </c>
      <c r="D56" s="4">
        <f t="shared" ca="1" si="1"/>
        <v>72.53983739837399</v>
      </c>
      <c r="E56" s="4">
        <f t="shared" ca="1" si="2"/>
        <v>64.538211382113829</v>
      </c>
      <c r="F56" s="4">
        <f t="shared" si="17"/>
        <v>56.536585365853661</v>
      </c>
      <c r="G56" s="4">
        <f t="shared" ca="1" si="4"/>
        <v>48.5349593495935</v>
      </c>
      <c r="H56" s="4">
        <f t="shared" ca="1" si="5"/>
        <v>40.533333333333331</v>
      </c>
      <c r="I56" s="4">
        <f t="shared" ca="1" si="6"/>
        <v>32.53170731707317</v>
      </c>
      <c r="J56" s="5">
        <f t="shared" ca="1" si="8"/>
        <v>68</v>
      </c>
      <c r="K56" s="4">
        <f t="shared" ca="1" si="9"/>
        <v>16</v>
      </c>
      <c r="L56" s="2">
        <f t="shared" ca="1" si="10"/>
        <v>29.482682926829266</v>
      </c>
      <c r="M56" s="2">
        <f t="shared" ca="1" si="11"/>
        <v>22.663252032520322</v>
      </c>
      <c r="N56" s="2">
        <f t="shared" ca="1" si="12"/>
        <v>15.84382113821138</v>
      </c>
      <c r="O56" s="2">
        <f t="shared" ca="1" si="18"/>
        <v>9.0243902439024382</v>
      </c>
      <c r="P56" s="2">
        <f t="shared" ca="1" si="13"/>
        <v>2.204959349593496</v>
      </c>
      <c r="Q56" s="2">
        <f t="shared" ca="1" si="14"/>
        <v>0</v>
      </c>
      <c r="R56" s="2">
        <v>0</v>
      </c>
    </row>
    <row r="57" spans="1:18" x14ac:dyDescent="0.2">
      <c r="A57" s="1">
        <v>41852</v>
      </c>
      <c r="B57" s="2">
        <v>49</v>
      </c>
      <c r="C57" s="4">
        <f t="shared" ca="1" si="0"/>
        <v>80.541463414634151</v>
      </c>
      <c r="D57" s="4">
        <f t="shared" ca="1" si="1"/>
        <v>72.53983739837399</v>
      </c>
      <c r="E57" s="4">
        <f t="shared" ca="1" si="2"/>
        <v>64.538211382113829</v>
      </c>
      <c r="F57" s="4">
        <f t="shared" si="17"/>
        <v>56.536585365853661</v>
      </c>
      <c r="G57" s="4">
        <f t="shared" ca="1" si="4"/>
        <v>48.5349593495935</v>
      </c>
      <c r="H57" s="4">
        <f t="shared" ca="1" si="5"/>
        <v>40.533333333333331</v>
      </c>
      <c r="I57" s="4">
        <f t="shared" ca="1" si="6"/>
        <v>32.53170731707317</v>
      </c>
      <c r="J57" s="5">
        <f t="shared" ca="1" si="8"/>
        <v>49</v>
      </c>
      <c r="K57" s="4">
        <f t="shared" ca="1" si="9"/>
        <v>19</v>
      </c>
      <c r="L57" s="2">
        <f t="shared" ca="1" si="10"/>
        <v>29.482682926829266</v>
      </c>
      <c r="M57" s="2">
        <f t="shared" ca="1" si="11"/>
        <v>22.663252032520322</v>
      </c>
      <c r="N57" s="2">
        <f t="shared" ca="1" si="12"/>
        <v>15.84382113821138</v>
      </c>
      <c r="O57" s="2">
        <f t="shared" ca="1" si="18"/>
        <v>9.0243902439024382</v>
      </c>
      <c r="P57" s="2">
        <f t="shared" ca="1" si="13"/>
        <v>2.204959349593496</v>
      </c>
      <c r="Q57" s="2">
        <f t="shared" ca="1" si="14"/>
        <v>0</v>
      </c>
      <c r="R57" s="2">
        <v>0</v>
      </c>
    </row>
    <row r="58" spans="1:18" x14ac:dyDescent="0.2">
      <c r="A58" s="1">
        <v>41883</v>
      </c>
      <c r="B58" s="2">
        <v>59</v>
      </c>
      <c r="C58" s="2">
        <f t="shared" ca="1" si="0"/>
        <v>80.541463414634151</v>
      </c>
      <c r="D58" s="2">
        <f t="shared" ca="1" si="1"/>
        <v>72.53983739837399</v>
      </c>
      <c r="E58" s="2">
        <f t="shared" ca="1" si="2"/>
        <v>64.538211382113829</v>
      </c>
      <c r="F58" s="2">
        <f t="shared" si="17"/>
        <v>56.536585365853661</v>
      </c>
      <c r="G58" s="2">
        <f t="shared" ca="1" si="4"/>
        <v>48.5349593495935</v>
      </c>
      <c r="H58" s="2">
        <f t="shared" ca="1" si="5"/>
        <v>40.533333333333331</v>
      </c>
      <c r="I58" s="2">
        <f t="shared" ca="1" si="6"/>
        <v>32.53170731707317</v>
      </c>
      <c r="J58">
        <f t="shared" ca="1" si="8"/>
        <v>59</v>
      </c>
      <c r="K58" s="2">
        <f t="shared" ca="1" si="9"/>
        <v>10</v>
      </c>
      <c r="L58" s="2">
        <f t="shared" ca="1" si="10"/>
        <v>29.482682926829266</v>
      </c>
      <c r="M58" s="2">
        <f t="shared" ca="1" si="11"/>
        <v>22.663252032520322</v>
      </c>
      <c r="N58" s="2">
        <f t="shared" ca="1" si="12"/>
        <v>15.84382113821138</v>
      </c>
      <c r="O58" s="2">
        <f t="shared" ca="1" si="18"/>
        <v>9.0243902439024382</v>
      </c>
      <c r="P58" s="2">
        <f t="shared" ca="1" si="13"/>
        <v>2.204959349593496</v>
      </c>
      <c r="Q58" s="2">
        <f t="shared" ca="1" si="14"/>
        <v>0</v>
      </c>
      <c r="R58" s="2">
        <v>0</v>
      </c>
    </row>
    <row r="59" spans="1:18" x14ac:dyDescent="0.2">
      <c r="A59" s="1">
        <v>41913</v>
      </c>
      <c r="B59" s="2">
        <v>57</v>
      </c>
      <c r="C59" s="2">
        <f t="shared" ca="1" si="0"/>
        <v>80.541463414634151</v>
      </c>
      <c r="D59" s="2">
        <f t="shared" ca="1" si="1"/>
        <v>72.53983739837399</v>
      </c>
      <c r="E59" s="2">
        <f t="shared" ca="1" si="2"/>
        <v>64.538211382113829</v>
      </c>
      <c r="F59" s="2">
        <f t="shared" si="17"/>
        <v>56.536585365853661</v>
      </c>
      <c r="G59" s="2">
        <f t="shared" ca="1" si="4"/>
        <v>48.5349593495935</v>
      </c>
      <c r="H59" s="2">
        <f t="shared" ca="1" si="5"/>
        <v>40.533333333333331</v>
      </c>
      <c r="I59" s="2">
        <f t="shared" ca="1" si="6"/>
        <v>32.53170731707317</v>
      </c>
      <c r="J59">
        <f t="shared" ca="1" si="8"/>
        <v>57</v>
      </c>
      <c r="K59" s="2">
        <f t="shared" ca="1" si="9"/>
        <v>2</v>
      </c>
      <c r="L59" s="2">
        <f t="shared" ca="1" si="10"/>
        <v>29.482682926829266</v>
      </c>
      <c r="M59" s="2">
        <f t="shared" ca="1" si="11"/>
        <v>22.663252032520322</v>
      </c>
      <c r="N59" s="2">
        <f t="shared" ca="1" si="12"/>
        <v>15.84382113821138</v>
      </c>
      <c r="O59" s="2">
        <f t="shared" ca="1" si="18"/>
        <v>9.0243902439024382</v>
      </c>
      <c r="P59" s="2">
        <f t="shared" ca="1" si="13"/>
        <v>2.204959349593496</v>
      </c>
      <c r="Q59" s="2">
        <f t="shared" ca="1" si="14"/>
        <v>0</v>
      </c>
      <c r="R59" s="2">
        <v>0</v>
      </c>
    </row>
    <row r="60" spans="1:18" x14ac:dyDescent="0.2">
      <c r="A60" s="1">
        <v>41944</v>
      </c>
      <c r="B60" s="2">
        <v>60</v>
      </c>
      <c r="C60" s="2">
        <f t="shared" ca="1" si="0"/>
        <v>80.541463414634151</v>
      </c>
      <c r="D60" s="2">
        <f t="shared" ca="1" si="1"/>
        <v>72.53983739837399</v>
      </c>
      <c r="E60" s="2">
        <f t="shared" ca="1" si="2"/>
        <v>64.538211382113829</v>
      </c>
      <c r="F60" s="2">
        <f t="shared" si="17"/>
        <v>56.536585365853661</v>
      </c>
      <c r="G60" s="2">
        <f t="shared" ca="1" si="4"/>
        <v>48.5349593495935</v>
      </c>
      <c r="H60" s="2">
        <f t="shared" ca="1" si="5"/>
        <v>40.533333333333331</v>
      </c>
      <c r="I60" s="2">
        <f t="shared" ca="1" si="6"/>
        <v>32.53170731707317</v>
      </c>
      <c r="J60">
        <f t="shared" ca="1" si="8"/>
        <v>60</v>
      </c>
      <c r="K60" s="2">
        <f t="shared" ca="1" si="9"/>
        <v>3</v>
      </c>
      <c r="L60" s="2">
        <f t="shared" ca="1" si="10"/>
        <v>29.482682926829266</v>
      </c>
      <c r="M60" s="2">
        <f t="shared" ca="1" si="11"/>
        <v>22.663252032520322</v>
      </c>
      <c r="N60" s="2">
        <f t="shared" ca="1" si="12"/>
        <v>15.84382113821138</v>
      </c>
      <c r="O60" s="2">
        <f t="shared" ca="1" si="18"/>
        <v>9.0243902439024382</v>
      </c>
      <c r="P60" s="2">
        <f t="shared" ca="1" si="13"/>
        <v>2.204959349593496</v>
      </c>
      <c r="Q60" s="2">
        <f t="shared" ca="1" si="14"/>
        <v>0</v>
      </c>
      <c r="R60" s="2">
        <v>0</v>
      </c>
    </row>
    <row r="61" spans="1:18" x14ac:dyDescent="0.2">
      <c r="A61" s="1">
        <v>41974</v>
      </c>
      <c r="B61" s="2">
        <v>65</v>
      </c>
      <c r="C61" s="2">
        <f t="shared" ca="1" si="0"/>
        <v>80.541463414634151</v>
      </c>
      <c r="D61" s="2">
        <f t="shared" ca="1" si="1"/>
        <v>72.53983739837399</v>
      </c>
      <c r="E61" s="2">
        <f t="shared" ca="1" si="2"/>
        <v>64.538211382113829</v>
      </c>
      <c r="F61" s="2">
        <f t="shared" si="17"/>
        <v>56.536585365853661</v>
      </c>
      <c r="G61" s="2">
        <f t="shared" ca="1" si="4"/>
        <v>48.5349593495935</v>
      </c>
      <c r="H61" s="2">
        <f t="shared" ca="1" si="5"/>
        <v>40.533333333333331</v>
      </c>
      <c r="I61" s="2">
        <f t="shared" ca="1" si="6"/>
        <v>32.53170731707317</v>
      </c>
      <c r="J61">
        <f t="shared" ca="1" si="8"/>
        <v>65</v>
      </c>
      <c r="K61" s="2">
        <f t="shared" ca="1" si="9"/>
        <v>5</v>
      </c>
      <c r="L61" s="2">
        <f t="shared" ca="1" si="10"/>
        <v>29.482682926829266</v>
      </c>
      <c r="M61" s="2">
        <f t="shared" ca="1" si="11"/>
        <v>22.663252032520322</v>
      </c>
      <c r="N61" s="2">
        <f t="shared" ca="1" si="12"/>
        <v>15.84382113821138</v>
      </c>
      <c r="O61" s="2">
        <f t="shared" ca="1" si="18"/>
        <v>9.0243902439024382</v>
      </c>
      <c r="P61" s="2">
        <f t="shared" ca="1" si="13"/>
        <v>2.204959349593496</v>
      </c>
      <c r="Q61" s="2">
        <f t="shared" ca="1" si="14"/>
        <v>0</v>
      </c>
      <c r="R61" s="2">
        <v>0</v>
      </c>
    </row>
    <row r="62" spans="1:18" x14ac:dyDescent="0.2">
      <c r="A62" s="1">
        <v>42005</v>
      </c>
      <c r="B62" s="2">
        <v>61</v>
      </c>
      <c r="C62" s="2">
        <f t="shared" ca="1" si="0"/>
        <v>80.541463414634151</v>
      </c>
      <c r="D62" s="2">
        <f t="shared" ca="1" si="1"/>
        <v>72.53983739837399</v>
      </c>
      <c r="E62" s="2">
        <f t="shared" ca="1" si="2"/>
        <v>64.538211382113829</v>
      </c>
      <c r="F62" s="2">
        <f t="shared" si="17"/>
        <v>56.536585365853661</v>
      </c>
      <c r="G62" s="2">
        <f t="shared" ca="1" si="4"/>
        <v>48.5349593495935</v>
      </c>
      <c r="H62" s="2">
        <f t="shared" ca="1" si="5"/>
        <v>40.533333333333331</v>
      </c>
      <c r="I62" s="2">
        <f t="shared" ca="1" si="6"/>
        <v>32.53170731707317</v>
      </c>
      <c r="J62">
        <f t="shared" ca="1" si="8"/>
        <v>61</v>
      </c>
      <c r="K62" s="2">
        <f t="shared" ca="1" si="9"/>
        <v>4</v>
      </c>
      <c r="L62" s="2">
        <f t="shared" ca="1" si="10"/>
        <v>29.482682926829266</v>
      </c>
      <c r="M62" s="2">
        <f t="shared" ca="1" si="11"/>
        <v>22.663252032520322</v>
      </c>
      <c r="N62" s="2">
        <f t="shared" ca="1" si="12"/>
        <v>15.84382113821138</v>
      </c>
      <c r="O62" s="2">
        <f t="shared" ca="1" si="18"/>
        <v>9.0243902439024382</v>
      </c>
      <c r="P62" s="2">
        <f t="shared" ca="1" si="13"/>
        <v>2.204959349593496</v>
      </c>
      <c r="Q62" s="2">
        <f t="shared" ca="1" si="14"/>
        <v>0</v>
      </c>
      <c r="R62" s="2">
        <v>0</v>
      </c>
    </row>
    <row r="63" spans="1:18" x14ac:dyDescent="0.2">
      <c r="A63" s="1">
        <v>42036</v>
      </c>
      <c r="B63" s="2">
        <v>48</v>
      </c>
      <c r="C63" s="2">
        <f t="shared" ca="1" si="0"/>
        <v>80.541463414634151</v>
      </c>
      <c r="D63" s="2">
        <f t="shared" ca="1" si="1"/>
        <v>72.53983739837399</v>
      </c>
      <c r="E63" s="2">
        <f t="shared" ca="1" si="2"/>
        <v>64.538211382113829</v>
      </c>
      <c r="F63" s="2">
        <f t="shared" si="17"/>
        <v>56.536585365853661</v>
      </c>
      <c r="G63" s="2">
        <f t="shared" ca="1" si="4"/>
        <v>48.5349593495935</v>
      </c>
      <c r="H63" s="2">
        <f t="shared" ca="1" si="5"/>
        <v>40.533333333333331</v>
      </c>
      <c r="I63" s="2">
        <f t="shared" ca="1" si="6"/>
        <v>32.53170731707317</v>
      </c>
      <c r="J63">
        <f t="shared" ca="1" si="8"/>
        <v>48</v>
      </c>
      <c r="K63" s="2">
        <f t="shared" ca="1" si="9"/>
        <v>13</v>
      </c>
      <c r="L63" s="2">
        <f t="shared" ca="1" si="10"/>
        <v>29.482682926829266</v>
      </c>
      <c r="M63" s="2">
        <f t="shared" ca="1" si="11"/>
        <v>22.663252032520322</v>
      </c>
      <c r="N63" s="2">
        <f t="shared" ca="1" si="12"/>
        <v>15.84382113821138</v>
      </c>
      <c r="O63" s="2">
        <f t="shared" ca="1" si="18"/>
        <v>9.0243902439024382</v>
      </c>
      <c r="P63" s="2">
        <f t="shared" ca="1" si="13"/>
        <v>2.204959349593496</v>
      </c>
      <c r="Q63" s="2">
        <f t="shared" ca="1" si="14"/>
        <v>0</v>
      </c>
      <c r="R63" s="2">
        <v>0</v>
      </c>
    </row>
    <row r="64" spans="1:18" x14ac:dyDescent="0.2">
      <c r="A64" s="1">
        <v>42064</v>
      </c>
      <c r="B64" s="2">
        <v>55</v>
      </c>
      <c r="C64" s="2">
        <f t="shared" ca="1" si="0"/>
        <v>80.541463414634151</v>
      </c>
      <c r="D64" s="2">
        <f t="shared" ca="1" si="1"/>
        <v>72.53983739837399</v>
      </c>
      <c r="E64" s="2">
        <f t="shared" ca="1" si="2"/>
        <v>64.538211382113829</v>
      </c>
      <c r="F64" s="2">
        <f t="shared" si="17"/>
        <v>56.536585365853661</v>
      </c>
      <c r="G64" s="2">
        <f t="shared" ca="1" si="4"/>
        <v>48.5349593495935</v>
      </c>
      <c r="H64" s="2">
        <f t="shared" ca="1" si="5"/>
        <v>40.533333333333331</v>
      </c>
      <c r="I64" s="2">
        <f t="shared" ca="1" si="6"/>
        <v>32.53170731707317</v>
      </c>
      <c r="J64">
        <f t="shared" ca="1" si="8"/>
        <v>55</v>
      </c>
      <c r="K64" s="2">
        <f t="shared" ca="1" si="9"/>
        <v>7</v>
      </c>
      <c r="L64" s="2">
        <f t="shared" ca="1" si="10"/>
        <v>29.482682926829266</v>
      </c>
      <c r="M64" s="2">
        <f t="shared" ca="1" si="11"/>
        <v>22.663252032520322</v>
      </c>
      <c r="N64" s="2">
        <f t="shared" ca="1" si="12"/>
        <v>15.84382113821138</v>
      </c>
      <c r="O64" s="2">
        <f t="shared" ca="1" si="18"/>
        <v>9.0243902439024382</v>
      </c>
      <c r="P64" s="2">
        <f t="shared" ca="1" si="13"/>
        <v>2.204959349593496</v>
      </c>
      <c r="Q64" s="2">
        <f t="shared" ca="1" si="14"/>
        <v>0</v>
      </c>
      <c r="R64" s="2">
        <v>0</v>
      </c>
    </row>
    <row r="65" spans="1:18" x14ac:dyDescent="0.2">
      <c r="A65" s="1">
        <v>42095</v>
      </c>
      <c r="B65" s="2">
        <v>52</v>
      </c>
      <c r="C65" s="2">
        <f t="shared" ca="1" si="0"/>
        <v>80.541463414634151</v>
      </c>
      <c r="D65" s="2">
        <f t="shared" ca="1" si="1"/>
        <v>72.53983739837399</v>
      </c>
      <c r="E65" s="2">
        <f t="shared" ca="1" si="2"/>
        <v>64.538211382113829</v>
      </c>
      <c r="F65" s="2">
        <f t="shared" si="17"/>
        <v>56.536585365853661</v>
      </c>
      <c r="G65" s="2">
        <f t="shared" ca="1" si="4"/>
        <v>48.5349593495935</v>
      </c>
      <c r="H65" s="2">
        <f t="shared" ca="1" si="5"/>
        <v>40.533333333333331</v>
      </c>
      <c r="I65" s="2">
        <f t="shared" ca="1" si="6"/>
        <v>32.53170731707317</v>
      </c>
      <c r="J65">
        <f t="shared" ca="1" si="8"/>
        <v>52</v>
      </c>
      <c r="K65" s="2">
        <f t="shared" ca="1" si="9"/>
        <v>3</v>
      </c>
      <c r="L65" s="2">
        <f t="shared" ca="1" si="10"/>
        <v>29.482682926829266</v>
      </c>
      <c r="M65" s="2">
        <f t="shared" ca="1" si="11"/>
        <v>22.663252032520322</v>
      </c>
      <c r="N65" s="2">
        <f t="shared" ca="1" si="12"/>
        <v>15.84382113821138</v>
      </c>
      <c r="O65" s="2">
        <f t="shared" ca="1" si="18"/>
        <v>9.0243902439024382</v>
      </c>
      <c r="P65" s="2">
        <f t="shared" ca="1" si="13"/>
        <v>2.204959349593496</v>
      </c>
      <c r="Q65" s="2">
        <f t="shared" ca="1" si="14"/>
        <v>0</v>
      </c>
      <c r="R65" s="2">
        <v>0</v>
      </c>
    </row>
    <row r="66" spans="1:18" x14ac:dyDescent="0.2">
      <c r="A66" s="1">
        <v>42125</v>
      </c>
      <c r="B66" s="2">
        <v>49</v>
      </c>
      <c r="C66" s="2">
        <f t="shared" ref="C66:C129" ca="1" si="19">F66+2.66*O66</f>
        <v>80.541463414634151</v>
      </c>
      <c r="D66" s="2">
        <f t="shared" ref="D66:D129" ca="1" si="20">F66+(2/3)*2.66*O66</f>
        <v>72.53983739837399</v>
      </c>
      <c r="E66" s="2">
        <f t="shared" ref="E66:E129" ca="1" si="21">F66+(1/3)*2.66*O66</f>
        <v>64.538211382113829</v>
      </c>
      <c r="F66" s="2">
        <f t="shared" si="17"/>
        <v>56.536585365853661</v>
      </c>
      <c r="G66" s="2">
        <f t="shared" ref="G66:G129" ca="1" si="22">F66-(1/3)*2.66*O66</f>
        <v>48.5349593495935</v>
      </c>
      <c r="H66" s="2">
        <f t="shared" ref="H66:H129" ca="1" si="23">F66-(2/3)*2.66*O66</f>
        <v>40.533333333333331</v>
      </c>
      <c r="I66" s="2">
        <f t="shared" ref="I66:I129" ca="1" si="24">F66-2.66*O66</f>
        <v>32.53170731707317</v>
      </c>
      <c r="J66">
        <f t="shared" ca="1" si="8"/>
        <v>49</v>
      </c>
      <c r="K66" s="2">
        <f t="shared" ca="1" si="9"/>
        <v>3</v>
      </c>
      <c r="L66" s="2">
        <f t="shared" ca="1" si="10"/>
        <v>29.482682926829266</v>
      </c>
      <c r="M66" s="2">
        <f t="shared" ca="1" si="11"/>
        <v>22.663252032520322</v>
      </c>
      <c r="N66" s="2">
        <f t="shared" ca="1" si="12"/>
        <v>15.84382113821138</v>
      </c>
      <c r="O66" s="2">
        <f t="shared" ca="1" si="18"/>
        <v>9.0243902439024382</v>
      </c>
      <c r="P66" s="2">
        <f t="shared" ca="1" si="13"/>
        <v>2.204959349593496</v>
      </c>
      <c r="Q66" s="2">
        <f t="shared" ca="1" si="14"/>
        <v>0</v>
      </c>
      <c r="R66" s="2">
        <v>0</v>
      </c>
    </row>
    <row r="67" spans="1:18" x14ac:dyDescent="0.2">
      <c r="A67" s="1">
        <v>42156</v>
      </c>
      <c r="B67" s="2">
        <v>66</v>
      </c>
      <c r="C67" s="2">
        <f t="shared" ca="1" si="19"/>
        <v>80.541463414634151</v>
      </c>
      <c r="D67" s="2">
        <f t="shared" ca="1" si="20"/>
        <v>72.53983739837399</v>
      </c>
      <c r="E67" s="2">
        <f t="shared" ca="1" si="21"/>
        <v>64.538211382113829</v>
      </c>
      <c r="F67" s="2">
        <f t="shared" si="17"/>
        <v>56.536585365853661</v>
      </c>
      <c r="G67" s="2">
        <f t="shared" ca="1" si="22"/>
        <v>48.5349593495935</v>
      </c>
      <c r="H67" s="2">
        <f t="shared" ca="1" si="23"/>
        <v>40.533333333333331</v>
      </c>
      <c r="I67" s="2">
        <f t="shared" ca="1" si="24"/>
        <v>32.53170731707317</v>
      </c>
      <c r="J67">
        <f t="shared" ref="J67:J130" ca="1" si="25">IF(ISBLANK(B67),OFFSET(J67,-1,0,1,1),B67)</f>
        <v>66</v>
      </c>
      <c r="K67" s="2">
        <f t="shared" ref="K67:K130" ca="1" si="26">IF(OR(OFFSET(K67,-1,-9,1,1)="",OFFSET(K67,0,-9,1,1)=""),"",IF(ISERROR(ABS(B67-OFFSET(K67,-1,-1,1,1))),"",ABS(B67-OFFSET(K67,-1,-1,1,1))))</f>
        <v>17</v>
      </c>
      <c r="L67" s="2">
        <f t="shared" ref="L67:L130" ca="1" si="27">3.267*O67</f>
        <v>29.482682926829266</v>
      </c>
      <c r="M67" s="2">
        <f t="shared" ref="M67:M130" ca="1" si="28">(2/3)*(L67-O67)+O67</f>
        <v>22.663252032520322</v>
      </c>
      <c r="N67" s="2">
        <f t="shared" ref="N67:N130" ca="1" si="29">(1/3)*(L67-O67)+O67</f>
        <v>15.84382113821138</v>
      </c>
      <c r="O67" s="2">
        <f t="shared" ca="1" si="18"/>
        <v>9.0243902439024382</v>
      </c>
      <c r="P67" s="2">
        <f t="shared" ref="P67:P130" ca="1" si="30">(MAX(O67-(1/3)*(L67-O67),0))</f>
        <v>2.204959349593496</v>
      </c>
      <c r="Q67" s="2">
        <f t="shared" ref="Q67:Q130" ca="1" si="31">MAX(O67-(2/3)*(L67-O67),0)</f>
        <v>0</v>
      </c>
      <c r="R67" s="2">
        <v>0</v>
      </c>
    </row>
    <row r="68" spans="1:18" x14ac:dyDescent="0.2">
      <c r="A68" s="1">
        <v>42186</v>
      </c>
      <c r="B68" s="2">
        <v>60</v>
      </c>
      <c r="C68" s="2">
        <f t="shared" ca="1" si="19"/>
        <v>80.541463414634151</v>
      </c>
      <c r="D68" s="2">
        <f t="shared" ca="1" si="20"/>
        <v>72.53983739837399</v>
      </c>
      <c r="E68" s="2">
        <f t="shared" ca="1" si="21"/>
        <v>64.538211382113829</v>
      </c>
      <c r="F68" s="2">
        <f t="shared" si="17"/>
        <v>56.536585365853661</v>
      </c>
      <c r="G68" s="2">
        <f t="shared" ca="1" si="22"/>
        <v>48.5349593495935</v>
      </c>
      <c r="H68" s="2">
        <f t="shared" ca="1" si="23"/>
        <v>40.533333333333331</v>
      </c>
      <c r="I68" s="2">
        <f t="shared" ca="1" si="24"/>
        <v>32.53170731707317</v>
      </c>
      <c r="J68">
        <f t="shared" ca="1" si="25"/>
        <v>60</v>
      </c>
      <c r="K68" s="2">
        <f t="shared" ca="1" si="26"/>
        <v>6</v>
      </c>
      <c r="L68" s="2">
        <f t="shared" ca="1" si="27"/>
        <v>29.482682926829266</v>
      </c>
      <c r="M68" s="2">
        <f t="shared" ca="1" si="28"/>
        <v>22.663252032520322</v>
      </c>
      <c r="N68" s="2">
        <f t="shared" ca="1" si="29"/>
        <v>15.84382113821138</v>
      </c>
      <c r="O68" s="2">
        <f t="shared" ca="1" si="18"/>
        <v>9.0243902439024382</v>
      </c>
      <c r="P68" s="2">
        <f t="shared" ca="1" si="30"/>
        <v>2.204959349593496</v>
      </c>
      <c r="Q68" s="2">
        <f t="shared" ca="1" si="31"/>
        <v>0</v>
      </c>
      <c r="R68" s="2">
        <v>0</v>
      </c>
    </row>
    <row r="69" spans="1:18" x14ac:dyDescent="0.2">
      <c r="A69" s="1">
        <v>42217</v>
      </c>
      <c r="B69" s="2">
        <v>57</v>
      </c>
      <c r="C69" s="2">
        <f t="shared" ca="1" si="19"/>
        <v>80.541463414634151</v>
      </c>
      <c r="D69" s="2">
        <f t="shared" ca="1" si="20"/>
        <v>72.53983739837399</v>
      </c>
      <c r="E69" s="2">
        <f t="shared" ca="1" si="21"/>
        <v>64.538211382113829</v>
      </c>
      <c r="F69" s="2">
        <f t="shared" si="17"/>
        <v>56.536585365853661</v>
      </c>
      <c r="G69" s="2">
        <f t="shared" ca="1" si="22"/>
        <v>48.5349593495935</v>
      </c>
      <c r="H69" s="2">
        <f t="shared" ca="1" si="23"/>
        <v>40.533333333333331</v>
      </c>
      <c r="I69" s="2">
        <f t="shared" ca="1" si="24"/>
        <v>32.53170731707317</v>
      </c>
      <c r="J69">
        <f t="shared" ca="1" si="25"/>
        <v>57</v>
      </c>
      <c r="K69" s="2">
        <f t="shared" ca="1" si="26"/>
        <v>3</v>
      </c>
      <c r="L69" s="2">
        <f t="shared" ca="1" si="27"/>
        <v>29.482682926829266</v>
      </c>
      <c r="M69" s="2">
        <f t="shared" ca="1" si="28"/>
        <v>22.663252032520322</v>
      </c>
      <c r="N69" s="2">
        <f t="shared" ca="1" si="29"/>
        <v>15.84382113821138</v>
      </c>
      <c r="O69" s="2">
        <f t="shared" ca="1" si="18"/>
        <v>9.0243902439024382</v>
      </c>
      <c r="P69" s="2">
        <f t="shared" ca="1" si="30"/>
        <v>2.204959349593496</v>
      </c>
      <c r="Q69" s="2">
        <f t="shared" ca="1" si="31"/>
        <v>0</v>
      </c>
      <c r="R69" s="2">
        <v>0</v>
      </c>
    </row>
    <row r="70" spans="1:18" x14ac:dyDescent="0.2">
      <c r="A70" s="1">
        <v>42248</v>
      </c>
      <c r="B70" s="2">
        <v>62</v>
      </c>
      <c r="C70" s="2">
        <f t="shared" ca="1" si="19"/>
        <v>80.541463414634151</v>
      </c>
      <c r="D70" s="2">
        <f t="shared" ca="1" si="20"/>
        <v>72.53983739837399</v>
      </c>
      <c r="E70" s="2">
        <f t="shared" ca="1" si="21"/>
        <v>64.538211382113829</v>
      </c>
      <c r="F70" s="2">
        <f t="shared" si="17"/>
        <v>56.536585365853661</v>
      </c>
      <c r="G70" s="2">
        <f t="shared" ca="1" si="22"/>
        <v>48.5349593495935</v>
      </c>
      <c r="H70" s="2">
        <f t="shared" ca="1" si="23"/>
        <v>40.533333333333331</v>
      </c>
      <c r="I70" s="2">
        <f t="shared" ca="1" si="24"/>
        <v>32.53170731707317</v>
      </c>
      <c r="J70">
        <f t="shared" ca="1" si="25"/>
        <v>62</v>
      </c>
      <c r="K70" s="2">
        <f t="shared" ca="1" si="26"/>
        <v>5</v>
      </c>
      <c r="L70" s="2">
        <f t="shared" ca="1" si="27"/>
        <v>29.482682926829266</v>
      </c>
      <c r="M70" s="2">
        <f t="shared" ca="1" si="28"/>
        <v>22.663252032520322</v>
      </c>
      <c r="N70" s="2">
        <f t="shared" ca="1" si="29"/>
        <v>15.84382113821138</v>
      </c>
      <c r="O70" s="2">
        <f t="shared" ca="1" si="18"/>
        <v>9.0243902439024382</v>
      </c>
      <c r="P70" s="2">
        <f t="shared" ca="1" si="30"/>
        <v>2.204959349593496</v>
      </c>
      <c r="Q70" s="2">
        <f t="shared" ca="1" si="31"/>
        <v>0</v>
      </c>
      <c r="R70" s="2">
        <v>0</v>
      </c>
    </row>
    <row r="71" spans="1:18" x14ac:dyDescent="0.2">
      <c r="A71" s="1">
        <v>42278</v>
      </c>
      <c r="B71" s="2">
        <v>48</v>
      </c>
      <c r="C71" s="2">
        <f t="shared" ca="1" si="19"/>
        <v>80.541463414634151</v>
      </c>
      <c r="D71" s="2">
        <f t="shared" ca="1" si="20"/>
        <v>72.53983739837399</v>
      </c>
      <c r="E71" s="2">
        <f t="shared" ca="1" si="21"/>
        <v>64.538211382113829</v>
      </c>
      <c r="F71" s="2">
        <f t="shared" si="17"/>
        <v>56.536585365853661</v>
      </c>
      <c r="G71" s="2">
        <f t="shared" ca="1" si="22"/>
        <v>48.5349593495935</v>
      </c>
      <c r="H71" s="2">
        <f t="shared" ca="1" si="23"/>
        <v>40.533333333333331</v>
      </c>
      <c r="I71" s="2">
        <f t="shared" ca="1" si="24"/>
        <v>32.53170731707317</v>
      </c>
      <c r="J71">
        <f t="shared" ca="1" si="25"/>
        <v>48</v>
      </c>
      <c r="K71" s="2">
        <f t="shared" ca="1" si="26"/>
        <v>14</v>
      </c>
      <c r="L71" s="2">
        <f t="shared" ca="1" si="27"/>
        <v>29.482682926829266</v>
      </c>
      <c r="M71" s="2">
        <f t="shared" ca="1" si="28"/>
        <v>22.663252032520322</v>
      </c>
      <c r="N71" s="2">
        <f t="shared" ca="1" si="29"/>
        <v>15.84382113821138</v>
      </c>
      <c r="O71" s="2">
        <f t="shared" ca="1" si="18"/>
        <v>9.0243902439024382</v>
      </c>
      <c r="P71" s="2">
        <f t="shared" ca="1" si="30"/>
        <v>2.204959349593496</v>
      </c>
      <c r="Q71" s="2">
        <f t="shared" ca="1" si="31"/>
        <v>0</v>
      </c>
      <c r="R71" s="2">
        <v>0</v>
      </c>
    </row>
    <row r="72" spans="1:18" x14ac:dyDescent="0.2">
      <c r="A72" s="1">
        <v>42309</v>
      </c>
      <c r="B72" s="2">
        <v>52</v>
      </c>
      <c r="C72" s="2">
        <f t="shared" ca="1" si="19"/>
        <v>80.541463414634151</v>
      </c>
      <c r="D72" s="2">
        <f t="shared" ca="1" si="20"/>
        <v>72.53983739837399</v>
      </c>
      <c r="E72" s="2">
        <f t="shared" ca="1" si="21"/>
        <v>64.538211382113829</v>
      </c>
      <c r="F72" s="2">
        <f t="shared" si="17"/>
        <v>56.536585365853661</v>
      </c>
      <c r="G72" s="2">
        <f t="shared" ca="1" si="22"/>
        <v>48.5349593495935</v>
      </c>
      <c r="H72" s="2">
        <f t="shared" ca="1" si="23"/>
        <v>40.533333333333331</v>
      </c>
      <c r="I72" s="2">
        <f t="shared" ca="1" si="24"/>
        <v>32.53170731707317</v>
      </c>
      <c r="J72">
        <f t="shared" ca="1" si="25"/>
        <v>52</v>
      </c>
      <c r="K72" s="2">
        <f t="shared" ca="1" si="26"/>
        <v>4</v>
      </c>
      <c r="L72" s="2">
        <f t="shared" ca="1" si="27"/>
        <v>29.482682926829266</v>
      </c>
      <c r="M72" s="2">
        <f t="shared" ca="1" si="28"/>
        <v>22.663252032520322</v>
      </c>
      <c r="N72" s="2">
        <f t="shared" ca="1" si="29"/>
        <v>15.84382113821138</v>
      </c>
      <c r="O72" s="2">
        <f t="shared" ca="1" si="18"/>
        <v>9.0243902439024382</v>
      </c>
      <c r="P72" s="2">
        <f t="shared" ca="1" si="30"/>
        <v>2.204959349593496</v>
      </c>
      <c r="Q72" s="2">
        <f t="shared" ca="1" si="31"/>
        <v>0</v>
      </c>
      <c r="R72" s="2">
        <v>0</v>
      </c>
    </row>
    <row r="73" spans="1:18" x14ac:dyDescent="0.2">
      <c r="A73" s="1">
        <v>42339</v>
      </c>
      <c r="B73" s="2">
        <v>72</v>
      </c>
      <c r="C73" s="2">
        <f t="shared" ca="1" si="19"/>
        <v>80.541463414634151</v>
      </c>
      <c r="D73" s="2">
        <f t="shared" ca="1" si="20"/>
        <v>72.53983739837399</v>
      </c>
      <c r="E73" s="2">
        <f t="shared" ca="1" si="21"/>
        <v>64.538211382113829</v>
      </c>
      <c r="F73" s="2">
        <f t="shared" si="17"/>
        <v>56.536585365853661</v>
      </c>
      <c r="G73" s="2">
        <f t="shared" ca="1" si="22"/>
        <v>48.5349593495935</v>
      </c>
      <c r="H73" s="2">
        <f t="shared" ca="1" si="23"/>
        <v>40.533333333333331</v>
      </c>
      <c r="I73" s="2">
        <f t="shared" ca="1" si="24"/>
        <v>32.53170731707317</v>
      </c>
      <c r="J73">
        <f t="shared" ca="1" si="25"/>
        <v>72</v>
      </c>
      <c r="K73" s="2">
        <f t="shared" ca="1" si="26"/>
        <v>20</v>
      </c>
      <c r="L73" s="2">
        <f t="shared" ca="1" si="27"/>
        <v>29.482682926829266</v>
      </c>
      <c r="M73" s="2">
        <f t="shared" ca="1" si="28"/>
        <v>22.663252032520322</v>
      </c>
      <c r="N73" s="2">
        <f t="shared" ca="1" si="29"/>
        <v>15.84382113821138</v>
      </c>
      <c r="O73" s="2">
        <f t="shared" ca="1" si="18"/>
        <v>9.0243902439024382</v>
      </c>
      <c r="P73" s="2">
        <f t="shared" ca="1" si="30"/>
        <v>2.204959349593496</v>
      </c>
      <c r="Q73" s="2">
        <f t="shared" ca="1" si="31"/>
        <v>0</v>
      </c>
      <c r="R73" s="2">
        <v>0</v>
      </c>
    </row>
    <row r="74" spans="1:18" x14ac:dyDescent="0.2">
      <c r="A74" s="1">
        <v>42370</v>
      </c>
      <c r="B74" s="2">
        <v>44</v>
      </c>
      <c r="C74" s="2">
        <f t="shared" ca="1" si="19"/>
        <v>80.541463414634151</v>
      </c>
      <c r="D74" s="2">
        <f t="shared" ca="1" si="20"/>
        <v>72.53983739837399</v>
      </c>
      <c r="E74" s="2">
        <f t="shared" ca="1" si="21"/>
        <v>64.538211382113829</v>
      </c>
      <c r="F74" s="2">
        <f t="shared" si="17"/>
        <v>56.536585365853661</v>
      </c>
      <c r="G74" s="2">
        <f t="shared" ca="1" si="22"/>
        <v>48.5349593495935</v>
      </c>
      <c r="H74" s="2">
        <f t="shared" ca="1" si="23"/>
        <v>40.533333333333331</v>
      </c>
      <c r="I74" s="2">
        <f t="shared" ca="1" si="24"/>
        <v>32.53170731707317</v>
      </c>
      <c r="J74">
        <f t="shared" ca="1" si="25"/>
        <v>44</v>
      </c>
      <c r="K74" s="2">
        <f t="shared" ca="1" si="26"/>
        <v>28</v>
      </c>
      <c r="L74" s="2">
        <f t="shared" ca="1" si="27"/>
        <v>29.482682926829266</v>
      </c>
      <c r="M74" s="2">
        <f t="shared" ca="1" si="28"/>
        <v>22.663252032520322</v>
      </c>
      <c r="N74" s="2">
        <f t="shared" ca="1" si="29"/>
        <v>15.84382113821138</v>
      </c>
      <c r="O74" s="2">
        <f t="shared" ca="1" si="18"/>
        <v>9.0243902439024382</v>
      </c>
      <c r="P74" s="2">
        <f t="shared" ca="1" si="30"/>
        <v>2.204959349593496</v>
      </c>
      <c r="Q74" s="2">
        <f t="shared" ca="1" si="31"/>
        <v>0</v>
      </c>
      <c r="R74" s="2">
        <v>0</v>
      </c>
    </row>
    <row r="75" spans="1:18" x14ac:dyDescent="0.2">
      <c r="A75" s="3">
        <v>42401</v>
      </c>
      <c r="B75" s="4">
        <v>57</v>
      </c>
      <c r="C75" s="2">
        <f t="shared" ca="1" si="19"/>
        <v>87.523076923076928</v>
      </c>
      <c r="D75" s="2">
        <f t="shared" ca="1" si="20"/>
        <v>82.066666666666677</v>
      </c>
      <c r="E75" s="2">
        <f t="shared" ca="1" si="21"/>
        <v>76.610256410256412</v>
      </c>
      <c r="F75" s="2">
        <f t="shared" ref="F75:F87" si="32">AVERAGE($B$75:$B$87)</f>
        <v>71.15384615384616</v>
      </c>
      <c r="G75" s="2">
        <f t="shared" ca="1" si="22"/>
        <v>65.697435897435909</v>
      </c>
      <c r="H75" s="2">
        <f t="shared" ca="1" si="23"/>
        <v>60.241025641025644</v>
      </c>
      <c r="I75" s="2">
        <f t="shared" ca="1" si="24"/>
        <v>54.784615384615392</v>
      </c>
      <c r="J75">
        <f t="shared" ca="1" si="25"/>
        <v>57</v>
      </c>
      <c r="K75" s="2">
        <f t="shared" ca="1" si="26"/>
        <v>13</v>
      </c>
      <c r="L75" s="2">
        <f t="shared" ca="1" si="27"/>
        <v>20.104615384615386</v>
      </c>
      <c r="M75" s="2">
        <f t="shared" ca="1" si="28"/>
        <v>15.454358974358975</v>
      </c>
      <c r="N75" s="2">
        <f t="shared" ca="1" si="29"/>
        <v>10.804102564102564</v>
      </c>
      <c r="O75" s="2">
        <f t="shared" ref="O75:O87" ca="1" si="33">AVERAGE($K$75:$K$87)</f>
        <v>6.1538461538461542</v>
      </c>
      <c r="P75" s="2">
        <f t="shared" ca="1" si="30"/>
        <v>1.5035897435897434</v>
      </c>
      <c r="Q75" s="2">
        <f t="shared" ca="1" si="31"/>
        <v>0</v>
      </c>
      <c r="R75" s="2">
        <v>0</v>
      </c>
    </row>
    <row r="76" spans="1:18" x14ac:dyDescent="0.2">
      <c r="A76" s="3">
        <v>42430</v>
      </c>
      <c r="B76" s="4">
        <v>54</v>
      </c>
      <c r="C76" s="2">
        <f t="shared" ca="1" si="19"/>
        <v>87.523076923076928</v>
      </c>
      <c r="D76" s="2">
        <f t="shared" ca="1" si="20"/>
        <v>82.066666666666677</v>
      </c>
      <c r="E76" s="2">
        <f t="shared" ca="1" si="21"/>
        <v>76.610256410256412</v>
      </c>
      <c r="F76" s="2">
        <f t="shared" si="32"/>
        <v>71.15384615384616</v>
      </c>
      <c r="G76" s="2">
        <f t="shared" ca="1" si="22"/>
        <v>65.697435897435909</v>
      </c>
      <c r="H76" s="2">
        <f t="shared" ca="1" si="23"/>
        <v>60.241025641025644</v>
      </c>
      <c r="I76" s="2">
        <f t="shared" ca="1" si="24"/>
        <v>54.784615384615392</v>
      </c>
      <c r="J76">
        <f t="shared" ca="1" si="25"/>
        <v>54</v>
      </c>
      <c r="K76" s="2">
        <f t="shared" ca="1" si="26"/>
        <v>3</v>
      </c>
      <c r="L76" s="2">
        <f t="shared" ca="1" si="27"/>
        <v>20.104615384615386</v>
      </c>
      <c r="M76" s="2">
        <f t="shared" ca="1" si="28"/>
        <v>15.454358974358975</v>
      </c>
      <c r="N76" s="2">
        <f t="shared" ca="1" si="29"/>
        <v>10.804102564102564</v>
      </c>
      <c r="O76" s="2">
        <f t="shared" ca="1" si="33"/>
        <v>6.1538461538461542</v>
      </c>
      <c r="P76" s="2">
        <f t="shared" ca="1" si="30"/>
        <v>1.5035897435897434</v>
      </c>
      <c r="Q76" s="2">
        <f t="shared" ca="1" si="31"/>
        <v>0</v>
      </c>
      <c r="R76" s="2">
        <v>0</v>
      </c>
    </row>
    <row r="77" spans="1:18" x14ac:dyDescent="0.2">
      <c r="A77" s="3">
        <v>42461</v>
      </c>
      <c r="B77" s="4">
        <v>68</v>
      </c>
      <c r="C77" s="2">
        <f t="shared" ca="1" si="19"/>
        <v>87.523076923076928</v>
      </c>
      <c r="D77" s="2">
        <f t="shared" ca="1" si="20"/>
        <v>82.066666666666677</v>
      </c>
      <c r="E77" s="2">
        <f t="shared" ca="1" si="21"/>
        <v>76.610256410256412</v>
      </c>
      <c r="F77" s="2">
        <f t="shared" si="32"/>
        <v>71.15384615384616</v>
      </c>
      <c r="G77" s="2">
        <f t="shared" ca="1" si="22"/>
        <v>65.697435897435909</v>
      </c>
      <c r="H77" s="2">
        <f t="shared" ca="1" si="23"/>
        <v>60.241025641025644</v>
      </c>
      <c r="I77" s="2">
        <f t="shared" ca="1" si="24"/>
        <v>54.784615384615392</v>
      </c>
      <c r="J77">
        <f t="shared" ca="1" si="25"/>
        <v>68</v>
      </c>
      <c r="K77" s="2">
        <f t="shared" ca="1" si="26"/>
        <v>14</v>
      </c>
      <c r="L77" s="2">
        <f t="shared" ca="1" si="27"/>
        <v>20.104615384615386</v>
      </c>
      <c r="M77" s="2">
        <f t="shared" ca="1" si="28"/>
        <v>15.454358974358975</v>
      </c>
      <c r="N77" s="2">
        <f t="shared" ca="1" si="29"/>
        <v>10.804102564102564</v>
      </c>
      <c r="O77" s="2">
        <f t="shared" ca="1" si="33"/>
        <v>6.1538461538461542</v>
      </c>
      <c r="P77" s="2">
        <f t="shared" ca="1" si="30"/>
        <v>1.5035897435897434</v>
      </c>
      <c r="Q77" s="2">
        <f t="shared" ca="1" si="31"/>
        <v>0</v>
      </c>
      <c r="R77" s="2">
        <v>0</v>
      </c>
    </row>
    <row r="78" spans="1:18" x14ac:dyDescent="0.2">
      <c r="A78" s="3">
        <v>42491</v>
      </c>
      <c r="B78" s="4">
        <v>65</v>
      </c>
      <c r="C78" s="4">
        <f t="shared" ca="1" si="19"/>
        <v>87.523076923076928</v>
      </c>
      <c r="D78" s="4">
        <f t="shared" ca="1" si="20"/>
        <v>82.066666666666677</v>
      </c>
      <c r="E78" s="4">
        <f t="shared" ca="1" si="21"/>
        <v>76.610256410256412</v>
      </c>
      <c r="F78" s="4">
        <f t="shared" si="32"/>
        <v>71.15384615384616</v>
      </c>
      <c r="G78" s="4">
        <f t="shared" ca="1" si="22"/>
        <v>65.697435897435909</v>
      </c>
      <c r="H78" s="4">
        <f t="shared" ca="1" si="23"/>
        <v>60.241025641025644</v>
      </c>
      <c r="I78" s="4">
        <f t="shared" ca="1" si="24"/>
        <v>54.784615384615392</v>
      </c>
      <c r="J78" s="5">
        <f t="shared" ca="1" si="25"/>
        <v>65</v>
      </c>
      <c r="K78" s="4">
        <f t="shared" ca="1" si="26"/>
        <v>3</v>
      </c>
      <c r="L78" s="2">
        <f t="shared" ca="1" si="27"/>
        <v>20.104615384615386</v>
      </c>
      <c r="M78" s="2">
        <f t="shared" ca="1" si="28"/>
        <v>15.454358974358975</v>
      </c>
      <c r="N78" s="2">
        <f t="shared" ca="1" si="29"/>
        <v>10.804102564102564</v>
      </c>
      <c r="O78" s="2">
        <f t="shared" ca="1" si="33"/>
        <v>6.1538461538461542</v>
      </c>
      <c r="P78" s="2">
        <f t="shared" ca="1" si="30"/>
        <v>1.5035897435897434</v>
      </c>
      <c r="Q78" s="2">
        <f t="shared" ca="1" si="31"/>
        <v>0</v>
      </c>
      <c r="R78" s="2">
        <v>0</v>
      </c>
    </row>
    <row r="79" spans="1:18" x14ac:dyDescent="0.2">
      <c r="A79" s="3">
        <v>42522</v>
      </c>
      <c r="B79" s="4">
        <v>62</v>
      </c>
      <c r="C79" s="4">
        <f t="shared" ca="1" si="19"/>
        <v>87.523076923076928</v>
      </c>
      <c r="D79" s="4">
        <f t="shared" ca="1" si="20"/>
        <v>82.066666666666677</v>
      </c>
      <c r="E79" s="4">
        <f t="shared" ca="1" si="21"/>
        <v>76.610256410256412</v>
      </c>
      <c r="F79" s="4">
        <f t="shared" si="32"/>
        <v>71.15384615384616</v>
      </c>
      <c r="G79" s="4">
        <f t="shared" ca="1" si="22"/>
        <v>65.697435897435909</v>
      </c>
      <c r="H79" s="4">
        <f t="shared" ca="1" si="23"/>
        <v>60.241025641025644</v>
      </c>
      <c r="I79" s="4">
        <f t="shared" ca="1" si="24"/>
        <v>54.784615384615392</v>
      </c>
      <c r="J79" s="5">
        <f t="shared" ca="1" si="25"/>
        <v>62</v>
      </c>
      <c r="K79" s="4">
        <f t="shared" ca="1" si="26"/>
        <v>3</v>
      </c>
      <c r="L79" s="2">
        <f t="shared" ca="1" si="27"/>
        <v>20.104615384615386</v>
      </c>
      <c r="M79" s="2">
        <f t="shared" ca="1" si="28"/>
        <v>15.454358974358975</v>
      </c>
      <c r="N79" s="2">
        <f t="shared" ca="1" si="29"/>
        <v>10.804102564102564</v>
      </c>
      <c r="O79" s="2">
        <f t="shared" ca="1" si="33"/>
        <v>6.1538461538461542</v>
      </c>
      <c r="P79" s="2">
        <f t="shared" ca="1" si="30"/>
        <v>1.5035897435897434</v>
      </c>
      <c r="Q79" s="2">
        <f t="shared" ca="1" si="31"/>
        <v>0</v>
      </c>
      <c r="R79" s="2">
        <v>0</v>
      </c>
    </row>
    <row r="80" spans="1:18" x14ac:dyDescent="0.2">
      <c r="A80" s="1">
        <v>42552</v>
      </c>
      <c r="B80" s="2">
        <v>68</v>
      </c>
      <c r="C80" s="4">
        <f t="shared" ca="1" si="19"/>
        <v>87.523076923076928</v>
      </c>
      <c r="D80" s="4">
        <f t="shared" ca="1" si="20"/>
        <v>82.066666666666677</v>
      </c>
      <c r="E80" s="4">
        <f t="shared" ca="1" si="21"/>
        <v>76.610256410256412</v>
      </c>
      <c r="F80" s="4">
        <f t="shared" si="32"/>
        <v>71.15384615384616</v>
      </c>
      <c r="G80" s="4">
        <f t="shared" ca="1" si="22"/>
        <v>65.697435897435909</v>
      </c>
      <c r="H80" s="4">
        <f t="shared" ca="1" si="23"/>
        <v>60.241025641025644</v>
      </c>
      <c r="I80" s="4">
        <f t="shared" ca="1" si="24"/>
        <v>54.784615384615392</v>
      </c>
      <c r="J80" s="5">
        <f t="shared" ca="1" si="25"/>
        <v>68</v>
      </c>
      <c r="K80" s="4">
        <f t="shared" ca="1" si="26"/>
        <v>6</v>
      </c>
      <c r="L80" s="2">
        <f t="shared" ca="1" si="27"/>
        <v>20.104615384615386</v>
      </c>
      <c r="M80" s="2">
        <f t="shared" ca="1" si="28"/>
        <v>15.454358974358975</v>
      </c>
      <c r="N80" s="2">
        <f t="shared" ca="1" si="29"/>
        <v>10.804102564102564</v>
      </c>
      <c r="O80" s="2">
        <f t="shared" ca="1" si="33"/>
        <v>6.1538461538461542</v>
      </c>
      <c r="P80" s="2">
        <f t="shared" ca="1" si="30"/>
        <v>1.5035897435897434</v>
      </c>
      <c r="Q80" s="2">
        <f t="shared" ca="1" si="31"/>
        <v>0</v>
      </c>
      <c r="R80" s="2">
        <v>0</v>
      </c>
    </row>
    <row r="81" spans="1:18" x14ac:dyDescent="0.2">
      <c r="A81" s="1">
        <v>42583</v>
      </c>
      <c r="B81" s="2">
        <v>71</v>
      </c>
      <c r="C81" s="4">
        <f t="shared" ca="1" si="19"/>
        <v>87.523076923076928</v>
      </c>
      <c r="D81" s="4">
        <f t="shared" ca="1" si="20"/>
        <v>82.066666666666677</v>
      </c>
      <c r="E81" s="4">
        <f t="shared" ca="1" si="21"/>
        <v>76.610256410256412</v>
      </c>
      <c r="F81" s="4">
        <f t="shared" si="32"/>
        <v>71.15384615384616</v>
      </c>
      <c r="G81" s="4">
        <f t="shared" ca="1" si="22"/>
        <v>65.697435897435909</v>
      </c>
      <c r="H81" s="4">
        <f t="shared" ca="1" si="23"/>
        <v>60.241025641025644</v>
      </c>
      <c r="I81" s="4">
        <f t="shared" ca="1" si="24"/>
        <v>54.784615384615392</v>
      </c>
      <c r="J81" s="5">
        <f t="shared" ca="1" si="25"/>
        <v>71</v>
      </c>
      <c r="K81" s="4">
        <f t="shared" ca="1" si="26"/>
        <v>3</v>
      </c>
      <c r="L81" s="2">
        <f t="shared" ca="1" si="27"/>
        <v>20.104615384615386</v>
      </c>
      <c r="M81" s="2">
        <f t="shared" ca="1" si="28"/>
        <v>15.454358974358975</v>
      </c>
      <c r="N81" s="2">
        <f t="shared" ca="1" si="29"/>
        <v>10.804102564102564</v>
      </c>
      <c r="O81" s="2">
        <f t="shared" ca="1" si="33"/>
        <v>6.1538461538461542</v>
      </c>
      <c r="P81" s="2">
        <f t="shared" ca="1" si="30"/>
        <v>1.5035897435897434</v>
      </c>
      <c r="Q81" s="2">
        <f t="shared" ca="1" si="31"/>
        <v>0</v>
      </c>
      <c r="R81" s="2">
        <v>0</v>
      </c>
    </row>
    <row r="82" spans="1:18" x14ac:dyDescent="0.2">
      <c r="A82" s="3">
        <v>42614</v>
      </c>
      <c r="B82" s="4">
        <v>77</v>
      </c>
      <c r="C82" s="4">
        <f t="shared" ca="1" si="19"/>
        <v>87.523076923076928</v>
      </c>
      <c r="D82" s="4">
        <f t="shared" ca="1" si="20"/>
        <v>82.066666666666677</v>
      </c>
      <c r="E82" s="4">
        <f t="shared" ca="1" si="21"/>
        <v>76.610256410256412</v>
      </c>
      <c r="F82" s="4">
        <f t="shared" si="32"/>
        <v>71.15384615384616</v>
      </c>
      <c r="G82" s="4">
        <f t="shared" ca="1" si="22"/>
        <v>65.697435897435909</v>
      </c>
      <c r="H82" s="4">
        <f t="shared" ca="1" si="23"/>
        <v>60.241025641025644</v>
      </c>
      <c r="I82" s="4">
        <f t="shared" ca="1" si="24"/>
        <v>54.784615384615392</v>
      </c>
      <c r="J82" s="5">
        <f t="shared" ca="1" si="25"/>
        <v>77</v>
      </c>
      <c r="K82" s="4">
        <f t="shared" ca="1" si="26"/>
        <v>6</v>
      </c>
      <c r="L82" s="2">
        <f t="shared" ca="1" si="27"/>
        <v>20.104615384615386</v>
      </c>
      <c r="M82" s="2">
        <f t="shared" ca="1" si="28"/>
        <v>15.454358974358975</v>
      </c>
      <c r="N82" s="2">
        <f t="shared" ca="1" si="29"/>
        <v>10.804102564102564</v>
      </c>
      <c r="O82" s="2">
        <f t="shared" ca="1" si="33"/>
        <v>6.1538461538461542</v>
      </c>
      <c r="P82" s="2">
        <f t="shared" ca="1" si="30"/>
        <v>1.5035897435897434</v>
      </c>
      <c r="Q82" s="2">
        <f t="shared" ca="1" si="31"/>
        <v>0</v>
      </c>
      <c r="R82" s="2">
        <v>0</v>
      </c>
    </row>
    <row r="83" spans="1:18" x14ac:dyDescent="0.2">
      <c r="A83" s="3">
        <v>42644</v>
      </c>
      <c r="B83" s="4">
        <v>78</v>
      </c>
      <c r="C83" s="4">
        <f t="shared" ca="1" si="19"/>
        <v>87.523076923076928</v>
      </c>
      <c r="D83" s="4">
        <f t="shared" ca="1" si="20"/>
        <v>82.066666666666677</v>
      </c>
      <c r="E83" s="4">
        <f t="shared" ca="1" si="21"/>
        <v>76.610256410256412</v>
      </c>
      <c r="F83" s="4">
        <f t="shared" si="32"/>
        <v>71.15384615384616</v>
      </c>
      <c r="G83" s="4">
        <f t="shared" ca="1" si="22"/>
        <v>65.697435897435909</v>
      </c>
      <c r="H83" s="4">
        <f t="shared" ca="1" si="23"/>
        <v>60.241025641025644</v>
      </c>
      <c r="I83" s="4">
        <f t="shared" ca="1" si="24"/>
        <v>54.784615384615392</v>
      </c>
      <c r="J83" s="5">
        <f t="shared" ca="1" si="25"/>
        <v>78</v>
      </c>
      <c r="K83" s="4">
        <f t="shared" ca="1" si="26"/>
        <v>1</v>
      </c>
      <c r="L83" s="2">
        <f t="shared" ca="1" si="27"/>
        <v>20.104615384615386</v>
      </c>
      <c r="M83" s="2">
        <f t="shared" ca="1" si="28"/>
        <v>15.454358974358975</v>
      </c>
      <c r="N83" s="2">
        <f t="shared" ca="1" si="29"/>
        <v>10.804102564102564</v>
      </c>
      <c r="O83" s="2">
        <f t="shared" ca="1" si="33"/>
        <v>6.1538461538461542</v>
      </c>
      <c r="P83" s="2">
        <f t="shared" ca="1" si="30"/>
        <v>1.5035897435897434</v>
      </c>
      <c r="Q83" s="2">
        <f t="shared" ca="1" si="31"/>
        <v>0</v>
      </c>
      <c r="R83" s="2">
        <v>0</v>
      </c>
    </row>
    <row r="84" spans="1:18" x14ac:dyDescent="0.2">
      <c r="A84" s="3">
        <v>42675</v>
      </c>
      <c r="B84" s="4">
        <v>84</v>
      </c>
      <c r="C84" s="4">
        <f t="shared" ca="1" si="19"/>
        <v>87.523076923076928</v>
      </c>
      <c r="D84" s="4">
        <f t="shared" ca="1" si="20"/>
        <v>82.066666666666677</v>
      </c>
      <c r="E84" s="4">
        <f t="shared" ca="1" si="21"/>
        <v>76.610256410256412</v>
      </c>
      <c r="F84" s="4">
        <f t="shared" si="32"/>
        <v>71.15384615384616</v>
      </c>
      <c r="G84" s="4">
        <f t="shared" ca="1" si="22"/>
        <v>65.697435897435909</v>
      </c>
      <c r="H84" s="4">
        <f t="shared" ca="1" si="23"/>
        <v>60.241025641025644</v>
      </c>
      <c r="I84" s="4">
        <f t="shared" ca="1" si="24"/>
        <v>54.784615384615392</v>
      </c>
      <c r="J84" s="5">
        <f t="shared" ca="1" si="25"/>
        <v>84</v>
      </c>
      <c r="K84" s="4">
        <f t="shared" ca="1" si="26"/>
        <v>6</v>
      </c>
      <c r="L84" s="2">
        <f t="shared" ca="1" si="27"/>
        <v>20.104615384615386</v>
      </c>
      <c r="M84" s="2">
        <f t="shared" ca="1" si="28"/>
        <v>15.454358974358975</v>
      </c>
      <c r="N84" s="2">
        <f t="shared" ca="1" si="29"/>
        <v>10.804102564102564</v>
      </c>
      <c r="O84" s="2">
        <f t="shared" ca="1" si="33"/>
        <v>6.1538461538461542</v>
      </c>
      <c r="P84" s="2">
        <f t="shared" ca="1" si="30"/>
        <v>1.5035897435897434</v>
      </c>
      <c r="Q84" s="2">
        <f t="shared" ca="1" si="31"/>
        <v>0</v>
      </c>
      <c r="R84" s="2">
        <v>0</v>
      </c>
    </row>
    <row r="85" spans="1:18" x14ac:dyDescent="0.2">
      <c r="A85" s="3">
        <v>42705</v>
      </c>
      <c r="B85" s="4">
        <v>86</v>
      </c>
      <c r="C85" s="4">
        <f t="shared" ca="1" si="19"/>
        <v>87.523076923076928</v>
      </c>
      <c r="D85" s="4">
        <f t="shared" ca="1" si="20"/>
        <v>82.066666666666677</v>
      </c>
      <c r="E85" s="4">
        <f t="shared" ca="1" si="21"/>
        <v>76.610256410256412</v>
      </c>
      <c r="F85" s="4">
        <f t="shared" si="32"/>
        <v>71.15384615384616</v>
      </c>
      <c r="G85" s="4">
        <f t="shared" ca="1" si="22"/>
        <v>65.697435897435909</v>
      </c>
      <c r="H85" s="4">
        <f t="shared" ca="1" si="23"/>
        <v>60.241025641025644</v>
      </c>
      <c r="I85" s="4">
        <f t="shared" ca="1" si="24"/>
        <v>54.784615384615392</v>
      </c>
      <c r="J85" s="5">
        <f t="shared" ca="1" si="25"/>
        <v>86</v>
      </c>
      <c r="K85" s="4">
        <f t="shared" ca="1" si="26"/>
        <v>2</v>
      </c>
      <c r="L85" s="2">
        <f t="shared" ca="1" si="27"/>
        <v>20.104615384615386</v>
      </c>
      <c r="M85" s="2">
        <f t="shared" ca="1" si="28"/>
        <v>15.454358974358975</v>
      </c>
      <c r="N85" s="2">
        <f t="shared" ca="1" si="29"/>
        <v>10.804102564102564</v>
      </c>
      <c r="O85" s="2">
        <f t="shared" ca="1" si="33"/>
        <v>6.1538461538461542</v>
      </c>
      <c r="P85" s="2">
        <f t="shared" ca="1" si="30"/>
        <v>1.5035897435897434</v>
      </c>
      <c r="Q85" s="2">
        <f t="shared" ca="1" si="31"/>
        <v>0</v>
      </c>
      <c r="R85" s="2">
        <v>0</v>
      </c>
    </row>
    <row r="86" spans="1:18" x14ac:dyDescent="0.2">
      <c r="A86" s="3">
        <v>42736</v>
      </c>
      <c r="B86" s="4">
        <v>87</v>
      </c>
      <c r="C86" s="4">
        <f t="shared" ca="1" si="19"/>
        <v>87.523076923076928</v>
      </c>
      <c r="D86" s="4">
        <f t="shared" ca="1" si="20"/>
        <v>82.066666666666677</v>
      </c>
      <c r="E86" s="4">
        <f t="shared" ca="1" si="21"/>
        <v>76.610256410256412</v>
      </c>
      <c r="F86" s="4">
        <f t="shared" si="32"/>
        <v>71.15384615384616</v>
      </c>
      <c r="G86" s="4">
        <f t="shared" ca="1" si="22"/>
        <v>65.697435897435909</v>
      </c>
      <c r="H86" s="4">
        <f t="shared" ca="1" si="23"/>
        <v>60.241025641025644</v>
      </c>
      <c r="I86" s="4">
        <f t="shared" ca="1" si="24"/>
        <v>54.784615384615392</v>
      </c>
      <c r="J86" s="5">
        <f t="shared" ca="1" si="25"/>
        <v>87</v>
      </c>
      <c r="K86" s="4">
        <f t="shared" ca="1" si="26"/>
        <v>1</v>
      </c>
      <c r="L86" s="2">
        <f t="shared" ca="1" si="27"/>
        <v>20.104615384615386</v>
      </c>
      <c r="M86" s="2">
        <f t="shared" ca="1" si="28"/>
        <v>15.454358974358975</v>
      </c>
      <c r="N86" s="2">
        <f t="shared" ca="1" si="29"/>
        <v>10.804102564102564</v>
      </c>
      <c r="O86" s="2">
        <f t="shared" ca="1" si="33"/>
        <v>6.1538461538461542</v>
      </c>
      <c r="P86" s="2">
        <f t="shared" ca="1" si="30"/>
        <v>1.5035897435897434</v>
      </c>
      <c r="Q86" s="2">
        <f t="shared" ca="1" si="31"/>
        <v>0</v>
      </c>
      <c r="R86" s="2">
        <v>0</v>
      </c>
    </row>
    <row r="87" spans="1:18" x14ac:dyDescent="0.2">
      <c r="A87" s="1">
        <v>42767</v>
      </c>
      <c r="B87" s="2">
        <v>68</v>
      </c>
      <c r="C87" s="2">
        <f t="shared" ca="1" si="19"/>
        <v>87.523076923076928</v>
      </c>
      <c r="D87" s="2">
        <f t="shared" ca="1" si="20"/>
        <v>82.066666666666677</v>
      </c>
      <c r="E87" s="2">
        <f t="shared" ca="1" si="21"/>
        <v>76.610256410256412</v>
      </c>
      <c r="F87" s="2">
        <f t="shared" si="32"/>
        <v>71.15384615384616</v>
      </c>
      <c r="G87" s="2">
        <f t="shared" ca="1" si="22"/>
        <v>65.697435897435909</v>
      </c>
      <c r="H87" s="2">
        <f t="shared" ca="1" si="23"/>
        <v>60.241025641025644</v>
      </c>
      <c r="I87" s="2">
        <f t="shared" ca="1" si="24"/>
        <v>54.784615384615392</v>
      </c>
      <c r="J87">
        <f t="shared" ca="1" si="25"/>
        <v>68</v>
      </c>
      <c r="K87" s="2">
        <f t="shared" ca="1" si="26"/>
        <v>19</v>
      </c>
      <c r="L87" s="2">
        <f t="shared" ca="1" si="27"/>
        <v>20.104615384615386</v>
      </c>
      <c r="M87" s="2">
        <f t="shared" ca="1" si="28"/>
        <v>15.454358974358975</v>
      </c>
      <c r="N87" s="2">
        <f t="shared" ca="1" si="29"/>
        <v>10.804102564102564</v>
      </c>
      <c r="O87" s="2">
        <f t="shared" ca="1" si="33"/>
        <v>6.1538461538461542</v>
      </c>
      <c r="P87" s="2">
        <f t="shared" ca="1" si="30"/>
        <v>1.5035897435897434</v>
      </c>
      <c r="Q87" s="2">
        <f t="shared" ca="1" si="31"/>
        <v>0</v>
      </c>
      <c r="R87" s="2">
        <v>0</v>
      </c>
    </row>
    <row r="88" spans="1:18" x14ac:dyDescent="0.2">
      <c r="A88" s="1">
        <v>42795</v>
      </c>
      <c r="B88" s="2">
        <v>43</v>
      </c>
      <c r="C88" s="2">
        <f t="shared" ca="1" si="19"/>
        <v>92.728571428571428</v>
      </c>
      <c r="D88" s="2">
        <f t="shared" ca="1" si="20"/>
        <v>81.961904761904762</v>
      </c>
      <c r="E88" s="2">
        <f t="shared" ca="1" si="21"/>
        <v>71.195238095238096</v>
      </c>
      <c r="F88" s="2">
        <f t="shared" ref="F88:F94" si="34">AVERAGE($B$88:$B$94)</f>
        <v>60.428571428571431</v>
      </c>
      <c r="G88" s="2">
        <f t="shared" ca="1" si="22"/>
        <v>49.661904761904765</v>
      </c>
      <c r="H88" s="2">
        <f t="shared" ca="1" si="23"/>
        <v>38.895238095238099</v>
      </c>
      <c r="I88" s="2">
        <f t="shared" ca="1" si="24"/>
        <v>28.128571428571433</v>
      </c>
      <c r="J88">
        <f t="shared" ca="1" si="25"/>
        <v>43</v>
      </c>
      <c r="K88" s="2">
        <f t="shared" ca="1" si="26"/>
        <v>25</v>
      </c>
      <c r="L88" s="2">
        <f t="shared" ca="1" si="27"/>
        <v>39.670714285714283</v>
      </c>
      <c r="M88" s="2">
        <f t="shared" ca="1" si="28"/>
        <v>30.494761904761901</v>
      </c>
      <c r="N88" s="2">
        <f t="shared" ca="1" si="29"/>
        <v>21.31880952380952</v>
      </c>
      <c r="O88" s="2">
        <f t="shared" ref="O88:O94" ca="1" si="35">AVERAGE($K$88:$K$94)</f>
        <v>12.142857142857142</v>
      </c>
      <c r="P88" s="2">
        <f t="shared" ca="1" si="30"/>
        <v>2.9669047619047628</v>
      </c>
      <c r="Q88" s="2">
        <f t="shared" ca="1" si="31"/>
        <v>0</v>
      </c>
      <c r="R88" s="2">
        <v>0</v>
      </c>
    </row>
    <row r="89" spans="1:18" x14ac:dyDescent="0.2">
      <c r="A89" s="1">
        <v>42826</v>
      </c>
      <c r="B89" s="2">
        <v>70</v>
      </c>
      <c r="C89" s="2">
        <f t="shared" ca="1" si="19"/>
        <v>92.728571428571428</v>
      </c>
      <c r="D89" s="2">
        <f t="shared" ca="1" si="20"/>
        <v>81.961904761904762</v>
      </c>
      <c r="E89" s="2">
        <f t="shared" ca="1" si="21"/>
        <v>71.195238095238096</v>
      </c>
      <c r="F89" s="2">
        <f t="shared" si="34"/>
        <v>60.428571428571431</v>
      </c>
      <c r="G89" s="2">
        <f t="shared" ca="1" si="22"/>
        <v>49.661904761904765</v>
      </c>
      <c r="H89" s="2">
        <f t="shared" ca="1" si="23"/>
        <v>38.895238095238099</v>
      </c>
      <c r="I89" s="2">
        <f t="shared" ca="1" si="24"/>
        <v>28.128571428571433</v>
      </c>
      <c r="J89">
        <f t="shared" ca="1" si="25"/>
        <v>70</v>
      </c>
      <c r="K89" s="2">
        <f t="shared" ca="1" si="26"/>
        <v>27</v>
      </c>
      <c r="L89" s="2">
        <f t="shared" ca="1" si="27"/>
        <v>39.670714285714283</v>
      </c>
      <c r="M89" s="2">
        <f t="shared" ca="1" si="28"/>
        <v>30.494761904761901</v>
      </c>
      <c r="N89" s="2">
        <f t="shared" ca="1" si="29"/>
        <v>21.31880952380952</v>
      </c>
      <c r="O89" s="2">
        <f t="shared" ca="1" si="35"/>
        <v>12.142857142857142</v>
      </c>
      <c r="P89" s="2">
        <f t="shared" ca="1" si="30"/>
        <v>2.9669047619047628</v>
      </c>
      <c r="Q89" s="2">
        <f t="shared" ca="1" si="31"/>
        <v>0</v>
      </c>
      <c r="R89" s="2">
        <v>0</v>
      </c>
    </row>
    <row r="90" spans="1:18" x14ac:dyDescent="0.2">
      <c r="A90" s="1">
        <v>42856</v>
      </c>
      <c r="B90" s="2">
        <v>63</v>
      </c>
      <c r="C90" s="2">
        <f t="shared" ca="1" si="19"/>
        <v>92.728571428571428</v>
      </c>
      <c r="D90" s="2">
        <f t="shared" ca="1" si="20"/>
        <v>81.961904761904762</v>
      </c>
      <c r="E90" s="2">
        <f t="shared" ca="1" si="21"/>
        <v>71.195238095238096</v>
      </c>
      <c r="F90" s="2">
        <f t="shared" si="34"/>
        <v>60.428571428571431</v>
      </c>
      <c r="G90" s="2">
        <f t="shared" ca="1" si="22"/>
        <v>49.661904761904765</v>
      </c>
      <c r="H90" s="2">
        <f t="shared" ca="1" si="23"/>
        <v>38.895238095238099</v>
      </c>
      <c r="I90" s="2">
        <f t="shared" ca="1" si="24"/>
        <v>28.128571428571433</v>
      </c>
      <c r="J90">
        <f t="shared" ca="1" si="25"/>
        <v>63</v>
      </c>
      <c r="K90" s="2">
        <f t="shared" ca="1" si="26"/>
        <v>7</v>
      </c>
      <c r="L90" s="2">
        <f t="shared" ca="1" si="27"/>
        <v>39.670714285714283</v>
      </c>
      <c r="M90" s="2">
        <f t="shared" ca="1" si="28"/>
        <v>30.494761904761901</v>
      </c>
      <c r="N90" s="2">
        <f t="shared" ca="1" si="29"/>
        <v>21.31880952380952</v>
      </c>
      <c r="O90" s="2">
        <f t="shared" ca="1" si="35"/>
        <v>12.142857142857142</v>
      </c>
      <c r="P90" s="2">
        <f t="shared" ca="1" si="30"/>
        <v>2.9669047619047628</v>
      </c>
      <c r="Q90" s="2">
        <f t="shared" ca="1" si="31"/>
        <v>0</v>
      </c>
      <c r="R90" s="2">
        <v>0</v>
      </c>
    </row>
    <row r="91" spans="1:18" x14ac:dyDescent="0.2">
      <c r="A91" s="1">
        <v>42887</v>
      </c>
      <c r="B91" s="2">
        <v>65</v>
      </c>
      <c r="C91" s="2">
        <f t="shared" ca="1" si="19"/>
        <v>92.728571428571428</v>
      </c>
      <c r="D91" s="2">
        <f t="shared" ca="1" si="20"/>
        <v>81.961904761904762</v>
      </c>
      <c r="E91" s="2">
        <f t="shared" ca="1" si="21"/>
        <v>71.195238095238096</v>
      </c>
      <c r="F91" s="2">
        <f t="shared" si="34"/>
        <v>60.428571428571431</v>
      </c>
      <c r="G91" s="2">
        <f t="shared" ca="1" si="22"/>
        <v>49.661904761904765</v>
      </c>
      <c r="H91" s="2">
        <f t="shared" ca="1" si="23"/>
        <v>38.895238095238099</v>
      </c>
      <c r="I91" s="2">
        <f t="shared" ca="1" si="24"/>
        <v>28.128571428571433</v>
      </c>
      <c r="J91">
        <f t="shared" ca="1" si="25"/>
        <v>65</v>
      </c>
      <c r="K91" s="2">
        <f t="shared" ca="1" si="26"/>
        <v>2</v>
      </c>
      <c r="L91" s="2">
        <f t="shared" ca="1" si="27"/>
        <v>39.670714285714283</v>
      </c>
      <c r="M91" s="2">
        <f t="shared" ca="1" si="28"/>
        <v>30.494761904761901</v>
      </c>
      <c r="N91" s="2">
        <f t="shared" ca="1" si="29"/>
        <v>21.31880952380952</v>
      </c>
      <c r="O91" s="2">
        <f t="shared" ca="1" si="35"/>
        <v>12.142857142857142</v>
      </c>
      <c r="P91" s="2">
        <f t="shared" ca="1" si="30"/>
        <v>2.9669047619047628</v>
      </c>
      <c r="Q91" s="2">
        <f t="shared" ca="1" si="31"/>
        <v>0</v>
      </c>
      <c r="R91" s="2">
        <v>0</v>
      </c>
    </row>
    <row r="92" spans="1:18" x14ac:dyDescent="0.2">
      <c r="A92" s="1">
        <v>42917</v>
      </c>
      <c r="B92" s="2">
        <v>68</v>
      </c>
      <c r="C92" s="2">
        <f t="shared" ca="1" si="19"/>
        <v>92.728571428571428</v>
      </c>
      <c r="D92" s="2">
        <f t="shared" ca="1" si="20"/>
        <v>81.961904761904762</v>
      </c>
      <c r="E92" s="2">
        <f t="shared" ca="1" si="21"/>
        <v>71.195238095238096</v>
      </c>
      <c r="F92" s="2">
        <f t="shared" si="34"/>
        <v>60.428571428571431</v>
      </c>
      <c r="G92" s="2">
        <f t="shared" ca="1" si="22"/>
        <v>49.661904761904765</v>
      </c>
      <c r="H92" s="2">
        <f t="shared" ca="1" si="23"/>
        <v>38.895238095238099</v>
      </c>
      <c r="I92" s="2">
        <f t="shared" ca="1" si="24"/>
        <v>28.128571428571433</v>
      </c>
      <c r="J92">
        <f t="shared" ca="1" si="25"/>
        <v>68</v>
      </c>
      <c r="K92" s="2">
        <f t="shared" ca="1" si="26"/>
        <v>3</v>
      </c>
      <c r="L92" s="2">
        <f t="shared" ca="1" si="27"/>
        <v>39.670714285714283</v>
      </c>
      <c r="M92" s="2">
        <f t="shared" ca="1" si="28"/>
        <v>30.494761904761901</v>
      </c>
      <c r="N92" s="2">
        <f t="shared" ca="1" si="29"/>
        <v>21.31880952380952</v>
      </c>
      <c r="O92" s="2">
        <f t="shared" ca="1" si="35"/>
        <v>12.142857142857142</v>
      </c>
      <c r="P92" s="2">
        <f t="shared" ca="1" si="30"/>
        <v>2.9669047619047628</v>
      </c>
      <c r="Q92" s="2">
        <f t="shared" ca="1" si="31"/>
        <v>0</v>
      </c>
      <c r="R92" s="2">
        <v>0</v>
      </c>
    </row>
    <row r="93" spans="1:18" x14ac:dyDescent="0.2">
      <c r="A93" s="1">
        <v>42948</v>
      </c>
      <c r="B93" s="2">
        <v>67</v>
      </c>
      <c r="C93" s="2">
        <f t="shared" ca="1" si="19"/>
        <v>92.728571428571428</v>
      </c>
      <c r="D93" s="2">
        <f t="shared" ca="1" si="20"/>
        <v>81.961904761904762</v>
      </c>
      <c r="E93" s="2">
        <f t="shared" ca="1" si="21"/>
        <v>71.195238095238096</v>
      </c>
      <c r="F93" s="2">
        <f t="shared" si="34"/>
        <v>60.428571428571431</v>
      </c>
      <c r="G93" s="2">
        <f t="shared" ca="1" si="22"/>
        <v>49.661904761904765</v>
      </c>
      <c r="H93" s="2">
        <f t="shared" ca="1" si="23"/>
        <v>38.895238095238099</v>
      </c>
      <c r="I93" s="2">
        <f t="shared" ca="1" si="24"/>
        <v>28.128571428571433</v>
      </c>
      <c r="J93">
        <f t="shared" ca="1" si="25"/>
        <v>67</v>
      </c>
      <c r="K93" s="2">
        <f t="shared" ca="1" si="26"/>
        <v>1</v>
      </c>
      <c r="L93" s="2">
        <f t="shared" ca="1" si="27"/>
        <v>39.670714285714283</v>
      </c>
      <c r="M93" s="2">
        <f t="shared" ca="1" si="28"/>
        <v>30.494761904761901</v>
      </c>
      <c r="N93" s="2">
        <f t="shared" ca="1" si="29"/>
        <v>21.31880952380952</v>
      </c>
      <c r="O93" s="2">
        <f t="shared" ca="1" si="35"/>
        <v>12.142857142857142</v>
      </c>
      <c r="P93" s="2">
        <f t="shared" ca="1" si="30"/>
        <v>2.9669047619047628</v>
      </c>
      <c r="Q93" s="2">
        <f t="shared" ca="1" si="31"/>
        <v>0</v>
      </c>
      <c r="R93" s="2">
        <v>0</v>
      </c>
    </row>
    <row r="94" spans="1:18" x14ac:dyDescent="0.2">
      <c r="A94" s="1">
        <v>42979</v>
      </c>
      <c r="B94" s="2">
        <v>47</v>
      </c>
      <c r="C94" s="2">
        <f t="shared" ca="1" si="19"/>
        <v>92.728571428571428</v>
      </c>
      <c r="D94" s="2">
        <f t="shared" ca="1" si="20"/>
        <v>81.961904761904762</v>
      </c>
      <c r="E94" s="2">
        <f t="shared" ca="1" si="21"/>
        <v>71.195238095238096</v>
      </c>
      <c r="F94" s="2">
        <f t="shared" si="34"/>
        <v>60.428571428571431</v>
      </c>
      <c r="G94" s="2">
        <f t="shared" ca="1" si="22"/>
        <v>49.661904761904765</v>
      </c>
      <c r="H94" s="2">
        <f t="shared" ca="1" si="23"/>
        <v>38.895238095238099</v>
      </c>
      <c r="I94" s="2">
        <f t="shared" ca="1" si="24"/>
        <v>28.128571428571433</v>
      </c>
      <c r="J94">
        <f t="shared" ca="1" si="25"/>
        <v>47</v>
      </c>
      <c r="K94" s="2">
        <f t="shared" ca="1" si="26"/>
        <v>20</v>
      </c>
      <c r="L94" s="2">
        <f t="shared" ca="1" si="27"/>
        <v>39.670714285714283</v>
      </c>
      <c r="M94" s="2">
        <f t="shared" ca="1" si="28"/>
        <v>30.494761904761901</v>
      </c>
      <c r="N94" s="2">
        <f t="shared" ca="1" si="29"/>
        <v>21.31880952380952</v>
      </c>
      <c r="O94" s="2">
        <f t="shared" ca="1" si="35"/>
        <v>12.142857142857142</v>
      </c>
      <c r="P94" s="2">
        <f t="shared" ca="1" si="30"/>
        <v>2.9669047619047628</v>
      </c>
      <c r="Q94" s="2">
        <f t="shared" ca="1" si="31"/>
        <v>0</v>
      </c>
      <c r="R94" s="2">
        <v>0</v>
      </c>
    </row>
    <row r="95" spans="1:18" x14ac:dyDescent="0.2">
      <c r="A95" s="1">
        <v>43009</v>
      </c>
      <c r="B95" s="2">
        <v>77</v>
      </c>
      <c r="C95" s="2">
        <f t="shared" ca="1" si="19"/>
        <v>97.981818181818184</v>
      </c>
      <c r="D95" s="2">
        <f t="shared" ca="1" si="20"/>
        <v>87.5030303030303</v>
      </c>
      <c r="E95" s="2">
        <f t="shared" ca="1" si="21"/>
        <v>77.024242424242431</v>
      </c>
      <c r="F95" s="2">
        <f t="shared" ref="F95:F105" si="36">AVERAGE($B$95:$B$105)</f>
        <v>66.545454545454547</v>
      </c>
      <c r="G95" s="2">
        <f t="shared" ca="1" si="22"/>
        <v>56.066666666666663</v>
      </c>
      <c r="H95" s="2">
        <f t="shared" ca="1" si="23"/>
        <v>45.587878787878786</v>
      </c>
      <c r="I95" s="2">
        <f t="shared" ca="1" si="24"/>
        <v>35.109090909090909</v>
      </c>
      <c r="J95">
        <f t="shared" ca="1" si="25"/>
        <v>77</v>
      </c>
      <c r="K95" s="2">
        <f t="shared" ca="1" si="26"/>
        <v>30</v>
      </c>
      <c r="L95" s="2">
        <f t="shared" ca="1" si="27"/>
        <v>38.61</v>
      </c>
      <c r="M95" s="2">
        <f t="shared" ca="1" si="28"/>
        <v>29.67939393939394</v>
      </c>
      <c r="N95" s="2">
        <f t="shared" ca="1" si="29"/>
        <v>20.74878787878788</v>
      </c>
      <c r="O95" s="2">
        <f t="shared" ref="O95:O105" ca="1" si="37">AVERAGE($K$95:$K$105)</f>
        <v>11.818181818181818</v>
      </c>
      <c r="P95" s="2">
        <f t="shared" ca="1" si="30"/>
        <v>2.8875757575757586</v>
      </c>
      <c r="Q95" s="2">
        <f t="shared" ca="1" si="31"/>
        <v>0</v>
      </c>
      <c r="R95" s="2">
        <v>0</v>
      </c>
    </row>
    <row r="96" spans="1:18" x14ac:dyDescent="0.2">
      <c r="A96" s="1">
        <v>43040</v>
      </c>
      <c r="B96" s="2">
        <v>63</v>
      </c>
      <c r="C96" s="2">
        <f t="shared" ca="1" si="19"/>
        <v>97.981818181818184</v>
      </c>
      <c r="D96" s="2">
        <f t="shared" ca="1" si="20"/>
        <v>87.5030303030303</v>
      </c>
      <c r="E96" s="2">
        <f t="shared" ca="1" si="21"/>
        <v>77.024242424242431</v>
      </c>
      <c r="F96" s="2">
        <f t="shared" si="36"/>
        <v>66.545454545454547</v>
      </c>
      <c r="G96" s="2">
        <f t="shared" ca="1" si="22"/>
        <v>56.066666666666663</v>
      </c>
      <c r="H96" s="2">
        <f t="shared" ca="1" si="23"/>
        <v>45.587878787878786</v>
      </c>
      <c r="I96" s="2">
        <f t="shared" ca="1" si="24"/>
        <v>35.109090909090909</v>
      </c>
      <c r="J96">
        <f t="shared" ca="1" si="25"/>
        <v>63</v>
      </c>
      <c r="K96" s="2">
        <f t="shared" ca="1" si="26"/>
        <v>14</v>
      </c>
      <c r="L96" s="2">
        <f t="shared" ca="1" si="27"/>
        <v>38.61</v>
      </c>
      <c r="M96" s="2">
        <f t="shared" ca="1" si="28"/>
        <v>29.67939393939394</v>
      </c>
      <c r="N96" s="2">
        <f t="shared" ca="1" si="29"/>
        <v>20.74878787878788</v>
      </c>
      <c r="O96" s="2">
        <f t="shared" ca="1" si="37"/>
        <v>11.818181818181818</v>
      </c>
      <c r="P96" s="2">
        <f t="shared" ca="1" si="30"/>
        <v>2.8875757575757586</v>
      </c>
      <c r="Q96" s="2">
        <f t="shared" ca="1" si="31"/>
        <v>0</v>
      </c>
      <c r="R96" s="2">
        <v>0</v>
      </c>
    </row>
    <row r="97" spans="1:18" x14ac:dyDescent="0.2">
      <c r="A97" s="1">
        <v>43070</v>
      </c>
      <c r="B97" s="2">
        <v>76</v>
      </c>
      <c r="C97" s="2">
        <f t="shared" ca="1" si="19"/>
        <v>97.981818181818184</v>
      </c>
      <c r="D97" s="2">
        <f t="shared" ca="1" si="20"/>
        <v>87.5030303030303</v>
      </c>
      <c r="E97" s="2">
        <f t="shared" ca="1" si="21"/>
        <v>77.024242424242431</v>
      </c>
      <c r="F97" s="2">
        <f t="shared" si="36"/>
        <v>66.545454545454547</v>
      </c>
      <c r="G97" s="2">
        <f t="shared" ca="1" si="22"/>
        <v>56.066666666666663</v>
      </c>
      <c r="H97" s="2">
        <f t="shared" ca="1" si="23"/>
        <v>45.587878787878786</v>
      </c>
      <c r="I97" s="2">
        <f t="shared" ca="1" si="24"/>
        <v>35.109090909090909</v>
      </c>
      <c r="J97">
        <f t="shared" ca="1" si="25"/>
        <v>76</v>
      </c>
      <c r="K97" s="2">
        <f t="shared" ca="1" si="26"/>
        <v>13</v>
      </c>
      <c r="L97" s="2">
        <f t="shared" ca="1" si="27"/>
        <v>38.61</v>
      </c>
      <c r="M97" s="2">
        <f t="shared" ca="1" si="28"/>
        <v>29.67939393939394</v>
      </c>
      <c r="N97" s="2">
        <f t="shared" ca="1" si="29"/>
        <v>20.74878787878788</v>
      </c>
      <c r="O97" s="2">
        <f t="shared" ca="1" si="37"/>
        <v>11.818181818181818</v>
      </c>
      <c r="P97" s="2">
        <f t="shared" ca="1" si="30"/>
        <v>2.8875757575757586</v>
      </c>
      <c r="Q97" s="2">
        <f t="shared" ca="1" si="31"/>
        <v>0</v>
      </c>
      <c r="R97" s="2">
        <v>0</v>
      </c>
    </row>
    <row r="98" spans="1:18" x14ac:dyDescent="0.2">
      <c r="A98" s="1">
        <v>43101</v>
      </c>
      <c r="B98" s="2">
        <v>60</v>
      </c>
      <c r="C98" s="2">
        <f t="shared" ca="1" si="19"/>
        <v>97.981818181818184</v>
      </c>
      <c r="D98" s="2">
        <f t="shared" ca="1" si="20"/>
        <v>87.5030303030303</v>
      </c>
      <c r="E98" s="2">
        <f t="shared" ca="1" si="21"/>
        <v>77.024242424242431</v>
      </c>
      <c r="F98" s="2">
        <f t="shared" si="36"/>
        <v>66.545454545454547</v>
      </c>
      <c r="G98" s="2">
        <f t="shared" ca="1" si="22"/>
        <v>56.066666666666663</v>
      </c>
      <c r="H98" s="2">
        <f t="shared" ca="1" si="23"/>
        <v>45.587878787878786</v>
      </c>
      <c r="I98" s="2">
        <f t="shared" ca="1" si="24"/>
        <v>35.109090909090909</v>
      </c>
      <c r="J98">
        <f t="shared" ca="1" si="25"/>
        <v>60</v>
      </c>
      <c r="K98" s="2">
        <f t="shared" ca="1" si="26"/>
        <v>16</v>
      </c>
      <c r="L98" s="2">
        <f t="shared" ca="1" si="27"/>
        <v>38.61</v>
      </c>
      <c r="M98" s="2">
        <f t="shared" ca="1" si="28"/>
        <v>29.67939393939394</v>
      </c>
      <c r="N98" s="2">
        <f t="shared" ca="1" si="29"/>
        <v>20.74878787878788</v>
      </c>
      <c r="O98" s="2">
        <f t="shared" ca="1" si="37"/>
        <v>11.818181818181818</v>
      </c>
      <c r="P98" s="2">
        <f t="shared" ca="1" si="30"/>
        <v>2.8875757575757586</v>
      </c>
      <c r="Q98" s="2">
        <f t="shared" ca="1" si="31"/>
        <v>0</v>
      </c>
      <c r="R98" s="2">
        <v>0</v>
      </c>
    </row>
    <row r="99" spans="1:18" x14ac:dyDescent="0.2">
      <c r="A99" s="1">
        <v>43132</v>
      </c>
      <c r="B99" s="2">
        <v>66</v>
      </c>
      <c r="C99" s="2">
        <f t="shared" ca="1" si="19"/>
        <v>97.981818181818184</v>
      </c>
      <c r="D99" s="2">
        <f t="shared" ca="1" si="20"/>
        <v>87.5030303030303</v>
      </c>
      <c r="E99" s="2">
        <f t="shared" ca="1" si="21"/>
        <v>77.024242424242431</v>
      </c>
      <c r="F99" s="2">
        <f t="shared" si="36"/>
        <v>66.545454545454547</v>
      </c>
      <c r="G99" s="2">
        <f t="shared" ca="1" si="22"/>
        <v>56.066666666666663</v>
      </c>
      <c r="H99" s="2">
        <f t="shared" ca="1" si="23"/>
        <v>45.587878787878786</v>
      </c>
      <c r="I99" s="2">
        <f t="shared" ca="1" si="24"/>
        <v>35.109090909090909</v>
      </c>
      <c r="J99">
        <f t="shared" ca="1" si="25"/>
        <v>66</v>
      </c>
      <c r="K99" s="2">
        <f t="shared" ca="1" si="26"/>
        <v>6</v>
      </c>
      <c r="L99" s="2">
        <f t="shared" ca="1" si="27"/>
        <v>38.61</v>
      </c>
      <c r="M99" s="2">
        <f t="shared" ca="1" si="28"/>
        <v>29.67939393939394</v>
      </c>
      <c r="N99" s="2">
        <f t="shared" ca="1" si="29"/>
        <v>20.74878787878788</v>
      </c>
      <c r="O99" s="2">
        <f t="shared" ca="1" si="37"/>
        <v>11.818181818181818</v>
      </c>
      <c r="P99" s="2">
        <f t="shared" ca="1" si="30"/>
        <v>2.8875757575757586</v>
      </c>
      <c r="Q99" s="2">
        <f t="shared" ca="1" si="31"/>
        <v>0</v>
      </c>
      <c r="R99" s="2">
        <v>0</v>
      </c>
    </row>
    <row r="100" spans="1:18" x14ac:dyDescent="0.2">
      <c r="A100" s="1">
        <v>43160</v>
      </c>
      <c r="B100" s="2">
        <v>62</v>
      </c>
      <c r="C100" s="2">
        <f t="shared" ca="1" si="19"/>
        <v>97.981818181818184</v>
      </c>
      <c r="D100" s="2">
        <f t="shared" ca="1" si="20"/>
        <v>87.5030303030303</v>
      </c>
      <c r="E100" s="2">
        <f t="shared" ca="1" si="21"/>
        <v>77.024242424242431</v>
      </c>
      <c r="F100" s="2">
        <f t="shared" si="36"/>
        <v>66.545454545454547</v>
      </c>
      <c r="G100" s="2">
        <f t="shared" ca="1" si="22"/>
        <v>56.066666666666663</v>
      </c>
      <c r="H100" s="2">
        <f t="shared" ca="1" si="23"/>
        <v>45.587878787878786</v>
      </c>
      <c r="I100" s="2">
        <f t="shared" ca="1" si="24"/>
        <v>35.109090909090909</v>
      </c>
      <c r="J100">
        <f t="shared" ca="1" si="25"/>
        <v>62</v>
      </c>
      <c r="K100" s="2">
        <f t="shared" ca="1" si="26"/>
        <v>4</v>
      </c>
      <c r="L100" s="2">
        <f t="shared" ca="1" si="27"/>
        <v>38.61</v>
      </c>
      <c r="M100" s="2">
        <f t="shared" ca="1" si="28"/>
        <v>29.67939393939394</v>
      </c>
      <c r="N100" s="2">
        <f t="shared" ca="1" si="29"/>
        <v>20.74878787878788</v>
      </c>
      <c r="O100" s="2">
        <f t="shared" ca="1" si="37"/>
        <v>11.818181818181818</v>
      </c>
      <c r="P100" s="2">
        <f t="shared" ca="1" si="30"/>
        <v>2.8875757575757586</v>
      </c>
      <c r="Q100" s="2">
        <f t="shared" ca="1" si="31"/>
        <v>0</v>
      </c>
      <c r="R100" s="2">
        <v>0</v>
      </c>
    </row>
    <row r="101" spans="1:18" x14ac:dyDescent="0.2">
      <c r="A101" s="1">
        <v>43191</v>
      </c>
      <c r="B101" s="2">
        <v>76</v>
      </c>
      <c r="C101" s="2">
        <f t="shared" ca="1" si="19"/>
        <v>97.981818181818184</v>
      </c>
      <c r="D101" s="2">
        <f t="shared" ca="1" si="20"/>
        <v>87.5030303030303</v>
      </c>
      <c r="E101" s="2">
        <f t="shared" ca="1" si="21"/>
        <v>77.024242424242431</v>
      </c>
      <c r="F101" s="2">
        <f t="shared" si="36"/>
        <v>66.545454545454547</v>
      </c>
      <c r="G101" s="2">
        <f t="shared" ca="1" si="22"/>
        <v>56.066666666666663</v>
      </c>
      <c r="H101" s="2">
        <f t="shared" ca="1" si="23"/>
        <v>45.587878787878786</v>
      </c>
      <c r="I101" s="2">
        <f t="shared" ca="1" si="24"/>
        <v>35.109090909090909</v>
      </c>
      <c r="J101">
        <f t="shared" ca="1" si="25"/>
        <v>76</v>
      </c>
      <c r="K101" s="2">
        <f t="shared" ca="1" si="26"/>
        <v>14</v>
      </c>
      <c r="L101" s="2">
        <f t="shared" ca="1" si="27"/>
        <v>38.61</v>
      </c>
      <c r="M101" s="2">
        <f t="shared" ca="1" si="28"/>
        <v>29.67939393939394</v>
      </c>
      <c r="N101" s="2">
        <f t="shared" ca="1" si="29"/>
        <v>20.74878787878788</v>
      </c>
      <c r="O101" s="2">
        <f t="shared" ca="1" si="37"/>
        <v>11.818181818181818</v>
      </c>
      <c r="P101" s="2">
        <f t="shared" ca="1" si="30"/>
        <v>2.8875757575757586</v>
      </c>
      <c r="Q101" s="2">
        <f t="shared" ca="1" si="31"/>
        <v>0</v>
      </c>
      <c r="R101" s="2">
        <v>0</v>
      </c>
    </row>
    <row r="102" spans="1:18" x14ac:dyDescent="0.2">
      <c r="A102" s="1">
        <v>43221</v>
      </c>
      <c r="B102" s="2">
        <v>57</v>
      </c>
      <c r="C102" s="2">
        <f t="shared" ca="1" si="19"/>
        <v>97.981818181818184</v>
      </c>
      <c r="D102" s="2">
        <f t="shared" ca="1" si="20"/>
        <v>87.5030303030303</v>
      </c>
      <c r="E102" s="2">
        <f t="shared" ca="1" si="21"/>
        <v>77.024242424242431</v>
      </c>
      <c r="F102" s="2">
        <f t="shared" si="36"/>
        <v>66.545454545454547</v>
      </c>
      <c r="G102" s="2">
        <f t="shared" ca="1" si="22"/>
        <v>56.066666666666663</v>
      </c>
      <c r="H102" s="2">
        <f t="shared" ca="1" si="23"/>
        <v>45.587878787878786</v>
      </c>
      <c r="I102" s="2">
        <f t="shared" ca="1" si="24"/>
        <v>35.109090909090909</v>
      </c>
      <c r="J102">
        <f t="shared" ca="1" si="25"/>
        <v>57</v>
      </c>
      <c r="K102" s="2">
        <f t="shared" ca="1" si="26"/>
        <v>19</v>
      </c>
      <c r="L102" s="2">
        <f t="shared" ca="1" si="27"/>
        <v>38.61</v>
      </c>
      <c r="M102" s="2">
        <f t="shared" ca="1" si="28"/>
        <v>29.67939393939394</v>
      </c>
      <c r="N102" s="2">
        <f t="shared" ca="1" si="29"/>
        <v>20.74878787878788</v>
      </c>
      <c r="O102" s="2">
        <f t="shared" ca="1" si="37"/>
        <v>11.818181818181818</v>
      </c>
      <c r="P102" s="2">
        <f t="shared" ca="1" si="30"/>
        <v>2.8875757575757586</v>
      </c>
      <c r="Q102" s="2">
        <f t="shared" ca="1" si="31"/>
        <v>0</v>
      </c>
      <c r="R102" s="2">
        <v>0</v>
      </c>
    </row>
    <row r="103" spans="1:18" x14ac:dyDescent="0.2">
      <c r="A103" s="1">
        <v>43252</v>
      </c>
      <c r="B103" s="2">
        <v>65</v>
      </c>
      <c r="C103" s="2">
        <f t="shared" ca="1" si="19"/>
        <v>97.981818181818184</v>
      </c>
      <c r="D103" s="2">
        <f t="shared" ca="1" si="20"/>
        <v>87.5030303030303</v>
      </c>
      <c r="E103" s="2">
        <f t="shared" ca="1" si="21"/>
        <v>77.024242424242431</v>
      </c>
      <c r="F103" s="2">
        <f t="shared" si="36"/>
        <v>66.545454545454547</v>
      </c>
      <c r="G103" s="2">
        <f t="shared" ca="1" si="22"/>
        <v>56.066666666666663</v>
      </c>
      <c r="H103" s="2">
        <f t="shared" ca="1" si="23"/>
        <v>45.587878787878786</v>
      </c>
      <c r="I103" s="2">
        <f t="shared" ca="1" si="24"/>
        <v>35.109090909090909</v>
      </c>
      <c r="J103">
        <f t="shared" ca="1" si="25"/>
        <v>65</v>
      </c>
      <c r="K103" s="2">
        <f t="shared" ca="1" si="26"/>
        <v>8</v>
      </c>
      <c r="L103" s="2">
        <f t="shared" ca="1" si="27"/>
        <v>38.61</v>
      </c>
      <c r="M103" s="2">
        <f t="shared" ca="1" si="28"/>
        <v>29.67939393939394</v>
      </c>
      <c r="N103" s="2">
        <f t="shared" ca="1" si="29"/>
        <v>20.74878787878788</v>
      </c>
      <c r="O103" s="2">
        <f t="shared" ca="1" si="37"/>
        <v>11.818181818181818</v>
      </c>
      <c r="P103" s="2">
        <f t="shared" ca="1" si="30"/>
        <v>2.8875757575757586</v>
      </c>
      <c r="Q103" s="2">
        <f t="shared" ca="1" si="31"/>
        <v>0</v>
      </c>
      <c r="R103" s="2">
        <v>0</v>
      </c>
    </row>
    <row r="104" spans="1:18" x14ac:dyDescent="0.2">
      <c r="A104" s="1">
        <v>43282</v>
      </c>
      <c r="B104" s="2">
        <v>63</v>
      </c>
      <c r="C104" s="2">
        <f t="shared" ca="1" si="19"/>
        <v>97.981818181818184</v>
      </c>
      <c r="D104" s="2">
        <f t="shared" ca="1" si="20"/>
        <v>87.5030303030303</v>
      </c>
      <c r="E104" s="2">
        <f t="shared" ca="1" si="21"/>
        <v>77.024242424242431</v>
      </c>
      <c r="F104" s="2">
        <f t="shared" si="36"/>
        <v>66.545454545454547</v>
      </c>
      <c r="G104" s="2">
        <f t="shared" ca="1" si="22"/>
        <v>56.066666666666663</v>
      </c>
      <c r="H104" s="2">
        <f t="shared" ca="1" si="23"/>
        <v>45.587878787878786</v>
      </c>
      <c r="I104" s="2">
        <f t="shared" ca="1" si="24"/>
        <v>35.109090909090909</v>
      </c>
      <c r="J104">
        <f t="shared" ca="1" si="25"/>
        <v>63</v>
      </c>
      <c r="K104" s="2">
        <f t="shared" ca="1" si="26"/>
        <v>2</v>
      </c>
      <c r="L104" s="2">
        <f t="shared" ca="1" si="27"/>
        <v>38.61</v>
      </c>
      <c r="M104" s="2">
        <f t="shared" ca="1" si="28"/>
        <v>29.67939393939394</v>
      </c>
      <c r="N104" s="2">
        <f t="shared" ca="1" si="29"/>
        <v>20.74878787878788</v>
      </c>
      <c r="O104" s="2">
        <f t="shared" ca="1" si="37"/>
        <v>11.818181818181818</v>
      </c>
      <c r="P104" s="2">
        <f t="shared" ca="1" si="30"/>
        <v>2.8875757575757586</v>
      </c>
      <c r="Q104" s="2">
        <f t="shared" ca="1" si="31"/>
        <v>0</v>
      </c>
      <c r="R104" s="2">
        <v>0</v>
      </c>
    </row>
    <row r="105" spans="1:18" x14ac:dyDescent="0.2">
      <c r="A105" s="1">
        <v>43313</v>
      </c>
      <c r="B105" s="2">
        <v>67</v>
      </c>
      <c r="C105" s="2">
        <f t="shared" ca="1" si="19"/>
        <v>97.981818181818184</v>
      </c>
      <c r="D105" s="2">
        <f t="shared" ca="1" si="20"/>
        <v>87.5030303030303</v>
      </c>
      <c r="E105" s="2">
        <f t="shared" ca="1" si="21"/>
        <v>77.024242424242431</v>
      </c>
      <c r="F105" s="2">
        <f t="shared" si="36"/>
        <v>66.545454545454547</v>
      </c>
      <c r="G105" s="2">
        <f t="shared" ca="1" si="22"/>
        <v>56.066666666666663</v>
      </c>
      <c r="H105" s="2">
        <f t="shared" ca="1" si="23"/>
        <v>45.587878787878786</v>
      </c>
      <c r="I105" s="2">
        <f t="shared" ca="1" si="24"/>
        <v>35.109090909090909</v>
      </c>
      <c r="J105">
        <f t="shared" ca="1" si="25"/>
        <v>67</v>
      </c>
      <c r="K105" s="2">
        <f t="shared" ca="1" si="26"/>
        <v>4</v>
      </c>
      <c r="L105" s="2">
        <f t="shared" ca="1" si="27"/>
        <v>38.61</v>
      </c>
      <c r="M105" s="2">
        <f t="shared" ca="1" si="28"/>
        <v>29.67939393939394</v>
      </c>
      <c r="N105" s="2">
        <f t="shared" ca="1" si="29"/>
        <v>20.74878787878788</v>
      </c>
      <c r="O105" s="2">
        <f t="shared" ca="1" si="37"/>
        <v>11.818181818181818</v>
      </c>
      <c r="P105" s="2">
        <f t="shared" ca="1" si="30"/>
        <v>2.8875757575757586</v>
      </c>
      <c r="Q105" s="2">
        <f t="shared" ca="1" si="31"/>
        <v>0</v>
      </c>
      <c r="R105" s="2">
        <v>0</v>
      </c>
    </row>
    <row r="106" spans="1:18" x14ac:dyDescent="0.2">
      <c r="A106" s="1">
        <v>43344</v>
      </c>
      <c r="B106" s="2">
        <v>41</v>
      </c>
      <c r="C106" s="2">
        <f t="shared" ca="1" si="19"/>
        <v>84.863200000000006</v>
      </c>
      <c r="D106" s="2">
        <f t="shared" ca="1" si="20"/>
        <v>73.762133333333338</v>
      </c>
      <c r="E106" s="2">
        <f t="shared" ca="1" si="21"/>
        <v>62.66106666666667</v>
      </c>
      <c r="F106" s="2">
        <f t="shared" ref="F106:F130" si="38">AVERAGE($B$106:$B$130)</f>
        <v>51.56</v>
      </c>
      <c r="G106" s="2">
        <f t="shared" ca="1" si="22"/>
        <v>40.458933333333334</v>
      </c>
      <c r="H106" s="2">
        <f t="shared" ca="1" si="23"/>
        <v>29.35786666666667</v>
      </c>
      <c r="I106" s="2">
        <f t="shared" ca="1" si="24"/>
        <v>18.256799999999998</v>
      </c>
      <c r="J106">
        <f t="shared" ca="1" si="25"/>
        <v>41</v>
      </c>
      <c r="K106" s="2">
        <f t="shared" ca="1" si="26"/>
        <v>26</v>
      </c>
      <c r="L106" s="2">
        <f t="shared" ca="1" si="27"/>
        <v>40.902839999999998</v>
      </c>
      <c r="M106" s="2">
        <f t="shared" ca="1" si="28"/>
        <v>31.441893333333329</v>
      </c>
      <c r="N106" s="2">
        <f t="shared" ca="1" si="29"/>
        <v>21.980946666666664</v>
      </c>
      <c r="O106" s="2">
        <f t="shared" ref="O106:O130" ca="1" si="39">AVERAGE($K$106:$K$130)</f>
        <v>12.52</v>
      </c>
      <c r="P106" s="2">
        <f t="shared" ca="1" si="30"/>
        <v>3.0590533333333347</v>
      </c>
      <c r="Q106" s="2">
        <f t="shared" ca="1" si="31"/>
        <v>0</v>
      </c>
      <c r="R106" s="2">
        <v>0</v>
      </c>
    </row>
    <row r="107" spans="1:18" x14ac:dyDescent="0.2">
      <c r="A107" s="1">
        <v>43374</v>
      </c>
      <c r="B107" s="2">
        <v>62</v>
      </c>
      <c r="C107" s="2">
        <f t="shared" ca="1" si="19"/>
        <v>84.863200000000006</v>
      </c>
      <c r="D107" s="2">
        <f t="shared" ca="1" si="20"/>
        <v>73.762133333333338</v>
      </c>
      <c r="E107" s="2">
        <f t="shared" ca="1" si="21"/>
        <v>62.66106666666667</v>
      </c>
      <c r="F107" s="2">
        <f t="shared" si="38"/>
        <v>51.56</v>
      </c>
      <c r="G107" s="2">
        <f t="shared" ca="1" si="22"/>
        <v>40.458933333333334</v>
      </c>
      <c r="H107" s="2">
        <f t="shared" ca="1" si="23"/>
        <v>29.35786666666667</v>
      </c>
      <c r="I107" s="2">
        <f t="shared" ca="1" si="24"/>
        <v>18.256799999999998</v>
      </c>
      <c r="J107">
        <f t="shared" ca="1" si="25"/>
        <v>62</v>
      </c>
      <c r="K107" s="2">
        <f t="shared" ca="1" si="26"/>
        <v>21</v>
      </c>
      <c r="L107" s="2">
        <f t="shared" ca="1" si="27"/>
        <v>40.902839999999998</v>
      </c>
      <c r="M107" s="2">
        <f t="shared" ca="1" si="28"/>
        <v>31.441893333333329</v>
      </c>
      <c r="N107" s="2">
        <f t="shared" ca="1" si="29"/>
        <v>21.980946666666664</v>
      </c>
      <c r="O107" s="2">
        <f t="shared" ca="1" si="39"/>
        <v>12.52</v>
      </c>
      <c r="P107" s="2">
        <f t="shared" ca="1" si="30"/>
        <v>3.0590533333333347</v>
      </c>
      <c r="Q107" s="2">
        <f t="shared" ca="1" si="31"/>
        <v>0</v>
      </c>
      <c r="R107" s="2">
        <v>0</v>
      </c>
    </row>
    <row r="108" spans="1:18" x14ac:dyDescent="0.2">
      <c r="A108" s="1">
        <v>43405</v>
      </c>
      <c r="B108" s="2">
        <v>84</v>
      </c>
      <c r="C108" s="2">
        <f t="shared" ca="1" si="19"/>
        <v>84.863200000000006</v>
      </c>
      <c r="D108" s="2">
        <f t="shared" ca="1" si="20"/>
        <v>73.762133333333338</v>
      </c>
      <c r="E108" s="2">
        <f t="shared" ca="1" si="21"/>
        <v>62.66106666666667</v>
      </c>
      <c r="F108" s="2">
        <f t="shared" si="38"/>
        <v>51.56</v>
      </c>
      <c r="G108" s="2">
        <f t="shared" ca="1" si="22"/>
        <v>40.458933333333334</v>
      </c>
      <c r="H108" s="2">
        <f t="shared" ca="1" si="23"/>
        <v>29.35786666666667</v>
      </c>
      <c r="I108" s="2">
        <f t="shared" ca="1" si="24"/>
        <v>18.256799999999998</v>
      </c>
      <c r="J108">
        <f t="shared" ca="1" si="25"/>
        <v>84</v>
      </c>
      <c r="K108" s="2">
        <f t="shared" ca="1" si="26"/>
        <v>22</v>
      </c>
      <c r="L108" s="2">
        <f t="shared" ca="1" si="27"/>
        <v>40.902839999999998</v>
      </c>
      <c r="M108" s="2">
        <f t="shared" ca="1" si="28"/>
        <v>31.441893333333329</v>
      </c>
      <c r="N108" s="2">
        <f t="shared" ca="1" si="29"/>
        <v>21.980946666666664</v>
      </c>
      <c r="O108" s="2">
        <f t="shared" ca="1" si="39"/>
        <v>12.52</v>
      </c>
      <c r="P108" s="2">
        <f t="shared" ca="1" si="30"/>
        <v>3.0590533333333347</v>
      </c>
      <c r="Q108" s="2">
        <f t="shared" ca="1" si="31"/>
        <v>0</v>
      </c>
      <c r="R108" s="2">
        <v>0</v>
      </c>
    </row>
    <row r="109" spans="1:18" x14ac:dyDescent="0.2">
      <c r="A109" s="1">
        <v>43435</v>
      </c>
      <c r="B109" s="2">
        <v>63</v>
      </c>
      <c r="C109" s="2">
        <f t="shared" ca="1" si="19"/>
        <v>84.863200000000006</v>
      </c>
      <c r="D109" s="2">
        <f t="shared" ca="1" si="20"/>
        <v>73.762133333333338</v>
      </c>
      <c r="E109" s="2">
        <f t="shared" ca="1" si="21"/>
        <v>62.66106666666667</v>
      </c>
      <c r="F109" s="2">
        <f t="shared" si="38"/>
        <v>51.56</v>
      </c>
      <c r="G109" s="2">
        <f t="shared" ca="1" si="22"/>
        <v>40.458933333333334</v>
      </c>
      <c r="H109" s="2">
        <f t="shared" ca="1" si="23"/>
        <v>29.35786666666667</v>
      </c>
      <c r="I109" s="2">
        <f t="shared" ca="1" si="24"/>
        <v>18.256799999999998</v>
      </c>
      <c r="J109">
        <f t="shared" ca="1" si="25"/>
        <v>63</v>
      </c>
      <c r="K109" s="2">
        <f t="shared" ca="1" si="26"/>
        <v>21</v>
      </c>
      <c r="L109" s="2">
        <f t="shared" ca="1" si="27"/>
        <v>40.902839999999998</v>
      </c>
      <c r="M109" s="2">
        <f t="shared" ca="1" si="28"/>
        <v>31.441893333333329</v>
      </c>
      <c r="N109" s="2">
        <f t="shared" ca="1" si="29"/>
        <v>21.980946666666664</v>
      </c>
      <c r="O109" s="2">
        <f t="shared" ca="1" si="39"/>
        <v>12.52</v>
      </c>
      <c r="P109" s="2">
        <f t="shared" ca="1" si="30"/>
        <v>3.0590533333333347</v>
      </c>
      <c r="Q109" s="2">
        <f t="shared" ca="1" si="31"/>
        <v>0</v>
      </c>
      <c r="R109" s="2">
        <v>0</v>
      </c>
    </row>
    <row r="110" spans="1:18" x14ac:dyDescent="0.2">
      <c r="A110" s="1">
        <v>43466</v>
      </c>
      <c r="B110" s="2">
        <v>58</v>
      </c>
      <c r="C110" s="2">
        <f t="shared" ca="1" si="19"/>
        <v>84.863200000000006</v>
      </c>
      <c r="D110" s="2">
        <f t="shared" ca="1" si="20"/>
        <v>73.762133333333338</v>
      </c>
      <c r="E110" s="2">
        <f t="shared" ca="1" si="21"/>
        <v>62.66106666666667</v>
      </c>
      <c r="F110" s="2">
        <f t="shared" si="38"/>
        <v>51.56</v>
      </c>
      <c r="G110" s="2">
        <f t="shared" ca="1" si="22"/>
        <v>40.458933333333334</v>
      </c>
      <c r="H110" s="2">
        <f t="shared" ca="1" si="23"/>
        <v>29.35786666666667</v>
      </c>
      <c r="I110" s="2">
        <f t="shared" ca="1" si="24"/>
        <v>18.256799999999998</v>
      </c>
      <c r="J110">
        <f t="shared" ca="1" si="25"/>
        <v>58</v>
      </c>
      <c r="K110" s="2">
        <f t="shared" ca="1" si="26"/>
        <v>5</v>
      </c>
      <c r="L110" s="2">
        <f t="shared" ca="1" si="27"/>
        <v>40.902839999999998</v>
      </c>
      <c r="M110" s="2">
        <f t="shared" ca="1" si="28"/>
        <v>31.441893333333329</v>
      </c>
      <c r="N110" s="2">
        <f t="shared" ca="1" si="29"/>
        <v>21.980946666666664</v>
      </c>
      <c r="O110" s="2">
        <f t="shared" ca="1" si="39"/>
        <v>12.52</v>
      </c>
      <c r="P110" s="2">
        <f t="shared" ca="1" si="30"/>
        <v>3.0590533333333347</v>
      </c>
      <c r="Q110" s="2">
        <f t="shared" ca="1" si="31"/>
        <v>0</v>
      </c>
      <c r="R110" s="2">
        <v>0</v>
      </c>
    </row>
    <row r="111" spans="1:18" x14ac:dyDescent="0.2">
      <c r="A111" s="1">
        <v>43497</v>
      </c>
      <c r="B111" s="2">
        <v>36</v>
      </c>
      <c r="C111" s="2">
        <f t="shared" ca="1" si="19"/>
        <v>84.863200000000006</v>
      </c>
      <c r="D111" s="2">
        <f t="shared" ca="1" si="20"/>
        <v>73.762133333333338</v>
      </c>
      <c r="E111" s="2">
        <f t="shared" ca="1" si="21"/>
        <v>62.66106666666667</v>
      </c>
      <c r="F111" s="2">
        <f t="shared" si="38"/>
        <v>51.56</v>
      </c>
      <c r="G111" s="2">
        <f t="shared" ca="1" si="22"/>
        <v>40.458933333333334</v>
      </c>
      <c r="H111" s="2">
        <f t="shared" ca="1" si="23"/>
        <v>29.35786666666667</v>
      </c>
      <c r="I111" s="2">
        <f t="shared" ca="1" si="24"/>
        <v>18.256799999999998</v>
      </c>
      <c r="J111">
        <f t="shared" ca="1" si="25"/>
        <v>36</v>
      </c>
      <c r="K111" s="2">
        <f t="shared" ca="1" si="26"/>
        <v>22</v>
      </c>
      <c r="L111" s="2">
        <f t="shared" ca="1" si="27"/>
        <v>40.902839999999998</v>
      </c>
      <c r="M111" s="2">
        <f t="shared" ca="1" si="28"/>
        <v>31.441893333333329</v>
      </c>
      <c r="N111" s="2">
        <f t="shared" ca="1" si="29"/>
        <v>21.980946666666664</v>
      </c>
      <c r="O111" s="2">
        <f t="shared" ca="1" si="39"/>
        <v>12.52</v>
      </c>
      <c r="P111" s="2">
        <f t="shared" ca="1" si="30"/>
        <v>3.0590533333333347</v>
      </c>
      <c r="Q111" s="2">
        <f t="shared" ca="1" si="31"/>
        <v>0</v>
      </c>
      <c r="R111" s="2">
        <v>0</v>
      </c>
    </row>
    <row r="112" spans="1:18" x14ac:dyDescent="0.2">
      <c r="A112" s="1">
        <v>43525</v>
      </c>
      <c r="B112" s="2">
        <v>53</v>
      </c>
      <c r="C112" s="2">
        <f t="shared" ca="1" si="19"/>
        <v>84.863200000000006</v>
      </c>
      <c r="D112" s="2">
        <f t="shared" ca="1" si="20"/>
        <v>73.762133333333338</v>
      </c>
      <c r="E112" s="2">
        <f t="shared" ca="1" si="21"/>
        <v>62.66106666666667</v>
      </c>
      <c r="F112" s="2">
        <f t="shared" si="38"/>
        <v>51.56</v>
      </c>
      <c r="G112" s="2">
        <f t="shared" ca="1" si="22"/>
        <v>40.458933333333334</v>
      </c>
      <c r="H112" s="2">
        <f t="shared" ca="1" si="23"/>
        <v>29.35786666666667</v>
      </c>
      <c r="I112" s="2">
        <f t="shared" ca="1" si="24"/>
        <v>18.256799999999998</v>
      </c>
      <c r="J112">
        <f t="shared" ca="1" si="25"/>
        <v>53</v>
      </c>
      <c r="K112" s="2">
        <f t="shared" ca="1" si="26"/>
        <v>17</v>
      </c>
      <c r="L112" s="2">
        <f t="shared" ca="1" si="27"/>
        <v>40.902839999999998</v>
      </c>
      <c r="M112" s="2">
        <f t="shared" ca="1" si="28"/>
        <v>31.441893333333329</v>
      </c>
      <c r="N112" s="2">
        <f t="shared" ca="1" si="29"/>
        <v>21.980946666666664</v>
      </c>
      <c r="O112" s="2">
        <f t="shared" ca="1" si="39"/>
        <v>12.52</v>
      </c>
      <c r="P112" s="2">
        <f t="shared" ca="1" si="30"/>
        <v>3.0590533333333347</v>
      </c>
      <c r="Q112" s="2">
        <f t="shared" ca="1" si="31"/>
        <v>0</v>
      </c>
      <c r="R112" s="2">
        <v>0</v>
      </c>
    </row>
    <row r="113" spans="1:18" x14ac:dyDescent="0.2">
      <c r="A113" s="1">
        <v>43556</v>
      </c>
      <c r="B113" s="2">
        <v>74</v>
      </c>
      <c r="C113" s="2">
        <f t="shared" ca="1" si="19"/>
        <v>84.863200000000006</v>
      </c>
      <c r="D113" s="2">
        <f t="shared" ca="1" si="20"/>
        <v>73.762133333333338</v>
      </c>
      <c r="E113" s="2">
        <f t="shared" ca="1" si="21"/>
        <v>62.66106666666667</v>
      </c>
      <c r="F113" s="2">
        <f t="shared" si="38"/>
        <v>51.56</v>
      </c>
      <c r="G113" s="2">
        <f t="shared" ca="1" si="22"/>
        <v>40.458933333333334</v>
      </c>
      <c r="H113" s="2">
        <f t="shared" ca="1" si="23"/>
        <v>29.35786666666667</v>
      </c>
      <c r="I113" s="2">
        <f t="shared" ca="1" si="24"/>
        <v>18.256799999999998</v>
      </c>
      <c r="J113">
        <f t="shared" ca="1" si="25"/>
        <v>74</v>
      </c>
      <c r="K113" s="2">
        <f t="shared" ca="1" si="26"/>
        <v>21</v>
      </c>
      <c r="L113" s="2">
        <f t="shared" ca="1" si="27"/>
        <v>40.902839999999998</v>
      </c>
      <c r="M113" s="2">
        <f t="shared" ca="1" si="28"/>
        <v>31.441893333333329</v>
      </c>
      <c r="N113" s="2">
        <f t="shared" ca="1" si="29"/>
        <v>21.980946666666664</v>
      </c>
      <c r="O113" s="2">
        <f t="shared" ca="1" si="39"/>
        <v>12.52</v>
      </c>
      <c r="P113" s="2">
        <f t="shared" ca="1" si="30"/>
        <v>3.0590533333333347</v>
      </c>
      <c r="Q113" s="2">
        <f t="shared" ca="1" si="31"/>
        <v>0</v>
      </c>
      <c r="R113" s="2">
        <v>0</v>
      </c>
    </row>
    <row r="114" spans="1:18" x14ac:dyDescent="0.2">
      <c r="A114" s="1">
        <v>43586</v>
      </c>
      <c r="B114" s="2">
        <v>72</v>
      </c>
      <c r="C114" s="2">
        <f t="shared" ca="1" si="19"/>
        <v>84.863200000000006</v>
      </c>
      <c r="D114" s="2">
        <f t="shared" ca="1" si="20"/>
        <v>73.762133333333338</v>
      </c>
      <c r="E114" s="2">
        <f t="shared" ca="1" si="21"/>
        <v>62.66106666666667</v>
      </c>
      <c r="F114" s="2">
        <f t="shared" si="38"/>
        <v>51.56</v>
      </c>
      <c r="G114" s="2">
        <f t="shared" ca="1" si="22"/>
        <v>40.458933333333334</v>
      </c>
      <c r="H114" s="2">
        <f t="shared" ca="1" si="23"/>
        <v>29.35786666666667</v>
      </c>
      <c r="I114" s="2">
        <f t="shared" ca="1" si="24"/>
        <v>18.256799999999998</v>
      </c>
      <c r="J114">
        <f t="shared" ca="1" si="25"/>
        <v>72</v>
      </c>
      <c r="K114" s="2">
        <f t="shared" ca="1" si="26"/>
        <v>2</v>
      </c>
      <c r="L114" s="2">
        <f t="shared" ca="1" si="27"/>
        <v>40.902839999999998</v>
      </c>
      <c r="M114" s="2">
        <f t="shared" ca="1" si="28"/>
        <v>31.441893333333329</v>
      </c>
      <c r="N114" s="2">
        <f t="shared" ca="1" si="29"/>
        <v>21.980946666666664</v>
      </c>
      <c r="O114" s="2">
        <f t="shared" ca="1" si="39"/>
        <v>12.52</v>
      </c>
      <c r="P114" s="2">
        <f t="shared" ca="1" si="30"/>
        <v>3.0590533333333347</v>
      </c>
      <c r="Q114" s="2">
        <f t="shared" ca="1" si="31"/>
        <v>0</v>
      </c>
      <c r="R114" s="2">
        <v>0</v>
      </c>
    </row>
    <row r="115" spans="1:18" x14ac:dyDescent="0.2">
      <c r="A115" s="1">
        <v>43617</v>
      </c>
      <c r="B115" s="2">
        <v>59</v>
      </c>
      <c r="C115" s="2">
        <f t="shared" ca="1" si="19"/>
        <v>84.863200000000006</v>
      </c>
      <c r="D115" s="2">
        <f t="shared" ca="1" si="20"/>
        <v>73.762133333333338</v>
      </c>
      <c r="E115" s="2">
        <f t="shared" ca="1" si="21"/>
        <v>62.66106666666667</v>
      </c>
      <c r="F115" s="2">
        <f t="shared" si="38"/>
        <v>51.56</v>
      </c>
      <c r="G115" s="2">
        <f t="shared" ca="1" si="22"/>
        <v>40.458933333333334</v>
      </c>
      <c r="H115" s="2">
        <f t="shared" ca="1" si="23"/>
        <v>29.35786666666667</v>
      </c>
      <c r="I115" s="2">
        <f t="shared" ca="1" si="24"/>
        <v>18.256799999999998</v>
      </c>
      <c r="J115">
        <f t="shared" ca="1" si="25"/>
        <v>59</v>
      </c>
      <c r="K115" s="2">
        <f t="shared" ca="1" si="26"/>
        <v>13</v>
      </c>
      <c r="L115" s="2">
        <f t="shared" ca="1" si="27"/>
        <v>40.902839999999998</v>
      </c>
      <c r="M115" s="2">
        <f t="shared" ca="1" si="28"/>
        <v>31.441893333333329</v>
      </c>
      <c r="N115" s="2">
        <f t="shared" ca="1" si="29"/>
        <v>21.980946666666664</v>
      </c>
      <c r="O115" s="2">
        <f t="shared" ca="1" si="39"/>
        <v>12.52</v>
      </c>
      <c r="P115" s="2">
        <f t="shared" ca="1" si="30"/>
        <v>3.0590533333333347</v>
      </c>
      <c r="Q115" s="2">
        <f t="shared" ca="1" si="31"/>
        <v>0</v>
      </c>
      <c r="R115" s="2">
        <v>0</v>
      </c>
    </row>
    <row r="116" spans="1:18" x14ac:dyDescent="0.2">
      <c r="A116" s="1">
        <v>43647</v>
      </c>
      <c r="B116" s="2">
        <v>50</v>
      </c>
      <c r="C116" s="2">
        <f t="shared" ca="1" si="19"/>
        <v>84.863200000000006</v>
      </c>
      <c r="D116" s="2">
        <f t="shared" ca="1" si="20"/>
        <v>73.762133333333338</v>
      </c>
      <c r="E116" s="2">
        <f t="shared" ca="1" si="21"/>
        <v>62.66106666666667</v>
      </c>
      <c r="F116" s="2">
        <f t="shared" si="38"/>
        <v>51.56</v>
      </c>
      <c r="G116" s="2">
        <f t="shared" ca="1" si="22"/>
        <v>40.458933333333334</v>
      </c>
      <c r="H116" s="2">
        <f t="shared" ca="1" si="23"/>
        <v>29.35786666666667</v>
      </c>
      <c r="I116" s="2">
        <f t="shared" ca="1" si="24"/>
        <v>18.256799999999998</v>
      </c>
      <c r="J116">
        <f t="shared" ca="1" si="25"/>
        <v>50</v>
      </c>
      <c r="K116" s="2">
        <f t="shared" ca="1" si="26"/>
        <v>9</v>
      </c>
      <c r="L116" s="2">
        <f t="shared" ca="1" si="27"/>
        <v>40.902839999999998</v>
      </c>
      <c r="M116" s="2">
        <f t="shared" ca="1" si="28"/>
        <v>31.441893333333329</v>
      </c>
      <c r="N116" s="2">
        <f t="shared" ca="1" si="29"/>
        <v>21.980946666666664</v>
      </c>
      <c r="O116" s="2">
        <f t="shared" ca="1" si="39"/>
        <v>12.52</v>
      </c>
      <c r="P116" s="2">
        <f t="shared" ca="1" si="30"/>
        <v>3.0590533333333347</v>
      </c>
      <c r="Q116" s="2">
        <f t="shared" ca="1" si="31"/>
        <v>0</v>
      </c>
      <c r="R116" s="2">
        <v>0</v>
      </c>
    </row>
    <row r="117" spans="1:18" x14ac:dyDescent="0.2">
      <c r="A117" s="1">
        <v>43678</v>
      </c>
      <c r="B117" s="2">
        <v>42</v>
      </c>
      <c r="C117" s="2">
        <f t="shared" ca="1" si="19"/>
        <v>84.863200000000006</v>
      </c>
      <c r="D117" s="2">
        <f t="shared" ca="1" si="20"/>
        <v>73.762133333333338</v>
      </c>
      <c r="E117" s="2">
        <f t="shared" ca="1" si="21"/>
        <v>62.66106666666667</v>
      </c>
      <c r="F117" s="2">
        <f t="shared" si="38"/>
        <v>51.56</v>
      </c>
      <c r="G117" s="2">
        <f t="shared" ca="1" si="22"/>
        <v>40.458933333333334</v>
      </c>
      <c r="H117" s="2">
        <f t="shared" ca="1" si="23"/>
        <v>29.35786666666667</v>
      </c>
      <c r="I117" s="2">
        <f t="shared" ca="1" si="24"/>
        <v>18.256799999999998</v>
      </c>
      <c r="J117">
        <f t="shared" ca="1" si="25"/>
        <v>42</v>
      </c>
      <c r="K117" s="2">
        <f t="shared" ca="1" si="26"/>
        <v>8</v>
      </c>
      <c r="L117" s="2">
        <f t="shared" ca="1" si="27"/>
        <v>40.902839999999998</v>
      </c>
      <c r="M117" s="2">
        <f t="shared" ca="1" si="28"/>
        <v>31.441893333333329</v>
      </c>
      <c r="N117" s="2">
        <f t="shared" ca="1" si="29"/>
        <v>21.980946666666664</v>
      </c>
      <c r="O117" s="2">
        <f t="shared" ca="1" si="39"/>
        <v>12.52</v>
      </c>
      <c r="P117" s="2">
        <f t="shared" ca="1" si="30"/>
        <v>3.0590533333333347</v>
      </c>
      <c r="Q117" s="2">
        <f t="shared" ca="1" si="31"/>
        <v>0</v>
      </c>
      <c r="R117" s="2">
        <v>0</v>
      </c>
    </row>
    <row r="118" spans="1:18" x14ac:dyDescent="0.2">
      <c r="A118" s="1">
        <v>43709</v>
      </c>
      <c r="B118" s="2">
        <v>41</v>
      </c>
      <c r="C118" s="2">
        <f t="shared" ca="1" si="19"/>
        <v>84.863200000000006</v>
      </c>
      <c r="D118" s="2">
        <f t="shared" ca="1" si="20"/>
        <v>73.762133333333338</v>
      </c>
      <c r="E118" s="2">
        <f t="shared" ca="1" si="21"/>
        <v>62.66106666666667</v>
      </c>
      <c r="F118" s="2">
        <f t="shared" si="38"/>
        <v>51.56</v>
      </c>
      <c r="G118" s="2">
        <f t="shared" ca="1" si="22"/>
        <v>40.458933333333334</v>
      </c>
      <c r="H118" s="2">
        <f t="shared" ca="1" si="23"/>
        <v>29.35786666666667</v>
      </c>
      <c r="I118" s="2">
        <f t="shared" ca="1" si="24"/>
        <v>18.256799999999998</v>
      </c>
      <c r="J118">
        <f t="shared" ca="1" si="25"/>
        <v>41</v>
      </c>
      <c r="K118" s="2">
        <f t="shared" ca="1" si="26"/>
        <v>1</v>
      </c>
      <c r="L118" s="2">
        <f t="shared" ca="1" si="27"/>
        <v>40.902839999999998</v>
      </c>
      <c r="M118" s="2">
        <f t="shared" ca="1" si="28"/>
        <v>31.441893333333329</v>
      </c>
      <c r="N118" s="2">
        <f t="shared" ca="1" si="29"/>
        <v>21.980946666666664</v>
      </c>
      <c r="O118" s="2">
        <f t="shared" ca="1" si="39"/>
        <v>12.52</v>
      </c>
      <c r="P118" s="2">
        <f t="shared" ca="1" si="30"/>
        <v>3.0590533333333347</v>
      </c>
      <c r="Q118" s="2">
        <f t="shared" ca="1" si="31"/>
        <v>0</v>
      </c>
      <c r="R118" s="2">
        <v>0</v>
      </c>
    </row>
    <row r="119" spans="1:18" x14ac:dyDescent="0.2">
      <c r="A119" s="1">
        <v>43739</v>
      </c>
      <c r="B119" s="2">
        <v>47</v>
      </c>
      <c r="C119" s="2">
        <f t="shared" ca="1" si="19"/>
        <v>84.863200000000006</v>
      </c>
      <c r="D119" s="2">
        <f t="shared" ca="1" si="20"/>
        <v>73.762133333333338</v>
      </c>
      <c r="E119" s="2">
        <f t="shared" ca="1" si="21"/>
        <v>62.66106666666667</v>
      </c>
      <c r="F119" s="2">
        <f t="shared" si="38"/>
        <v>51.56</v>
      </c>
      <c r="G119" s="2">
        <f t="shared" ca="1" si="22"/>
        <v>40.458933333333334</v>
      </c>
      <c r="H119" s="2">
        <f t="shared" ca="1" si="23"/>
        <v>29.35786666666667</v>
      </c>
      <c r="I119" s="2">
        <f t="shared" ca="1" si="24"/>
        <v>18.256799999999998</v>
      </c>
      <c r="J119">
        <f t="shared" ca="1" si="25"/>
        <v>47</v>
      </c>
      <c r="K119" s="2">
        <f t="shared" ca="1" si="26"/>
        <v>6</v>
      </c>
      <c r="L119" s="2">
        <f t="shared" ca="1" si="27"/>
        <v>40.902839999999998</v>
      </c>
      <c r="M119" s="2">
        <f t="shared" ca="1" si="28"/>
        <v>31.441893333333329</v>
      </c>
      <c r="N119" s="2">
        <f t="shared" ca="1" si="29"/>
        <v>21.980946666666664</v>
      </c>
      <c r="O119" s="2">
        <f t="shared" ca="1" si="39"/>
        <v>12.52</v>
      </c>
      <c r="P119" s="2">
        <f t="shared" ca="1" si="30"/>
        <v>3.0590533333333347</v>
      </c>
      <c r="Q119" s="2">
        <f t="shared" ca="1" si="31"/>
        <v>0</v>
      </c>
      <c r="R119" s="2">
        <v>0</v>
      </c>
    </row>
    <row r="120" spans="1:18" x14ac:dyDescent="0.2">
      <c r="A120" s="1">
        <v>43770</v>
      </c>
      <c r="B120" s="2">
        <v>42</v>
      </c>
      <c r="C120" s="2">
        <f t="shared" ca="1" si="19"/>
        <v>84.863200000000006</v>
      </c>
      <c r="D120" s="2">
        <f t="shared" ca="1" si="20"/>
        <v>73.762133333333338</v>
      </c>
      <c r="E120" s="2">
        <f t="shared" ca="1" si="21"/>
        <v>62.66106666666667</v>
      </c>
      <c r="F120" s="2">
        <f t="shared" si="38"/>
        <v>51.56</v>
      </c>
      <c r="G120" s="2">
        <f t="shared" ca="1" si="22"/>
        <v>40.458933333333334</v>
      </c>
      <c r="H120" s="2">
        <f t="shared" ca="1" si="23"/>
        <v>29.35786666666667</v>
      </c>
      <c r="I120" s="2">
        <f t="shared" ca="1" si="24"/>
        <v>18.256799999999998</v>
      </c>
      <c r="J120">
        <f t="shared" ca="1" si="25"/>
        <v>42</v>
      </c>
      <c r="K120" s="2">
        <f t="shared" ca="1" si="26"/>
        <v>5</v>
      </c>
      <c r="L120" s="2">
        <f t="shared" ca="1" si="27"/>
        <v>40.902839999999998</v>
      </c>
      <c r="M120" s="2">
        <f t="shared" ca="1" si="28"/>
        <v>31.441893333333329</v>
      </c>
      <c r="N120" s="2">
        <f t="shared" ca="1" si="29"/>
        <v>21.980946666666664</v>
      </c>
      <c r="O120" s="2">
        <f t="shared" ca="1" si="39"/>
        <v>12.52</v>
      </c>
      <c r="P120" s="2">
        <f t="shared" ca="1" si="30"/>
        <v>3.0590533333333347</v>
      </c>
      <c r="Q120" s="2">
        <f t="shared" ca="1" si="31"/>
        <v>0</v>
      </c>
      <c r="R120" s="2">
        <v>0</v>
      </c>
    </row>
    <row r="121" spans="1:18" x14ac:dyDescent="0.2">
      <c r="A121" s="1">
        <v>43800</v>
      </c>
      <c r="B121" s="2">
        <v>64</v>
      </c>
      <c r="C121" s="2">
        <f t="shared" ca="1" si="19"/>
        <v>84.863200000000006</v>
      </c>
      <c r="D121" s="2">
        <f t="shared" ca="1" si="20"/>
        <v>73.762133333333338</v>
      </c>
      <c r="E121" s="2">
        <f t="shared" ca="1" si="21"/>
        <v>62.66106666666667</v>
      </c>
      <c r="F121" s="2">
        <f t="shared" si="38"/>
        <v>51.56</v>
      </c>
      <c r="G121" s="2">
        <f t="shared" ca="1" si="22"/>
        <v>40.458933333333334</v>
      </c>
      <c r="H121" s="2">
        <f t="shared" ca="1" si="23"/>
        <v>29.35786666666667</v>
      </c>
      <c r="I121" s="2">
        <f t="shared" ca="1" si="24"/>
        <v>18.256799999999998</v>
      </c>
      <c r="J121">
        <f t="shared" ca="1" si="25"/>
        <v>64</v>
      </c>
      <c r="K121" s="2">
        <f t="shared" ca="1" si="26"/>
        <v>22</v>
      </c>
      <c r="L121" s="2">
        <f t="shared" ca="1" si="27"/>
        <v>40.902839999999998</v>
      </c>
      <c r="M121" s="2">
        <f t="shared" ca="1" si="28"/>
        <v>31.441893333333329</v>
      </c>
      <c r="N121" s="2">
        <f t="shared" ca="1" si="29"/>
        <v>21.980946666666664</v>
      </c>
      <c r="O121" s="2">
        <f t="shared" ca="1" si="39"/>
        <v>12.52</v>
      </c>
      <c r="P121" s="2">
        <f t="shared" ca="1" si="30"/>
        <v>3.0590533333333347</v>
      </c>
      <c r="Q121" s="2">
        <f t="shared" ca="1" si="31"/>
        <v>0</v>
      </c>
      <c r="R121" s="2">
        <v>0</v>
      </c>
    </row>
    <row r="122" spans="1:18" x14ac:dyDescent="0.2">
      <c r="A122" s="1">
        <v>43831</v>
      </c>
      <c r="B122" s="2">
        <v>44</v>
      </c>
      <c r="C122" s="2">
        <f t="shared" ca="1" si="19"/>
        <v>84.863200000000006</v>
      </c>
      <c r="D122" s="2">
        <f t="shared" ca="1" si="20"/>
        <v>73.762133333333338</v>
      </c>
      <c r="E122" s="2">
        <f t="shared" ca="1" si="21"/>
        <v>62.66106666666667</v>
      </c>
      <c r="F122" s="2">
        <f t="shared" si="38"/>
        <v>51.56</v>
      </c>
      <c r="G122" s="2">
        <f t="shared" ca="1" si="22"/>
        <v>40.458933333333334</v>
      </c>
      <c r="H122" s="2">
        <f t="shared" ca="1" si="23"/>
        <v>29.35786666666667</v>
      </c>
      <c r="I122" s="2">
        <f t="shared" ca="1" si="24"/>
        <v>18.256799999999998</v>
      </c>
      <c r="J122">
        <f t="shared" ca="1" si="25"/>
        <v>44</v>
      </c>
      <c r="K122" s="2">
        <f t="shared" ca="1" si="26"/>
        <v>20</v>
      </c>
      <c r="L122" s="2">
        <f t="shared" ca="1" si="27"/>
        <v>40.902839999999998</v>
      </c>
      <c r="M122" s="2">
        <f t="shared" ca="1" si="28"/>
        <v>31.441893333333329</v>
      </c>
      <c r="N122" s="2">
        <f t="shared" ca="1" si="29"/>
        <v>21.980946666666664</v>
      </c>
      <c r="O122" s="2">
        <f t="shared" ca="1" si="39"/>
        <v>12.52</v>
      </c>
      <c r="P122" s="2">
        <f t="shared" ca="1" si="30"/>
        <v>3.0590533333333347</v>
      </c>
      <c r="Q122" s="2">
        <f t="shared" ca="1" si="31"/>
        <v>0</v>
      </c>
      <c r="R122" s="2">
        <v>0</v>
      </c>
    </row>
    <row r="123" spans="1:18" x14ac:dyDescent="0.2">
      <c r="A123" s="1">
        <v>43862</v>
      </c>
      <c r="B123" s="2">
        <v>55</v>
      </c>
      <c r="C123" s="2">
        <f t="shared" ca="1" si="19"/>
        <v>84.863200000000006</v>
      </c>
      <c r="D123" s="2">
        <f t="shared" ca="1" si="20"/>
        <v>73.762133333333338</v>
      </c>
      <c r="E123" s="2">
        <f t="shared" ca="1" si="21"/>
        <v>62.66106666666667</v>
      </c>
      <c r="F123" s="2">
        <f t="shared" si="38"/>
        <v>51.56</v>
      </c>
      <c r="G123" s="2">
        <f t="shared" ca="1" si="22"/>
        <v>40.458933333333334</v>
      </c>
      <c r="H123" s="2">
        <f t="shared" ca="1" si="23"/>
        <v>29.35786666666667</v>
      </c>
      <c r="I123" s="2">
        <f t="shared" ca="1" si="24"/>
        <v>18.256799999999998</v>
      </c>
      <c r="J123">
        <f t="shared" ca="1" si="25"/>
        <v>55</v>
      </c>
      <c r="K123" s="2">
        <f t="shared" ca="1" si="26"/>
        <v>11</v>
      </c>
      <c r="L123" s="2">
        <f t="shared" ca="1" si="27"/>
        <v>40.902839999999998</v>
      </c>
      <c r="M123" s="2">
        <f t="shared" ca="1" si="28"/>
        <v>31.441893333333329</v>
      </c>
      <c r="N123" s="2">
        <f t="shared" ca="1" si="29"/>
        <v>21.980946666666664</v>
      </c>
      <c r="O123" s="2">
        <f t="shared" ca="1" si="39"/>
        <v>12.52</v>
      </c>
      <c r="P123" s="2">
        <f t="shared" ca="1" si="30"/>
        <v>3.0590533333333347</v>
      </c>
      <c r="Q123" s="2">
        <f t="shared" ca="1" si="31"/>
        <v>0</v>
      </c>
      <c r="R123" s="2">
        <v>0</v>
      </c>
    </row>
    <row r="124" spans="1:18" x14ac:dyDescent="0.2">
      <c r="A124" s="1">
        <v>43891</v>
      </c>
      <c r="B124" s="2">
        <v>50</v>
      </c>
      <c r="C124" s="2">
        <f t="shared" ca="1" si="19"/>
        <v>84.863200000000006</v>
      </c>
      <c r="D124" s="2">
        <f t="shared" ca="1" si="20"/>
        <v>73.762133333333338</v>
      </c>
      <c r="E124" s="2">
        <f t="shared" ca="1" si="21"/>
        <v>62.66106666666667</v>
      </c>
      <c r="F124" s="2">
        <f t="shared" si="38"/>
        <v>51.56</v>
      </c>
      <c r="G124" s="2">
        <f t="shared" ca="1" si="22"/>
        <v>40.458933333333334</v>
      </c>
      <c r="H124" s="2">
        <f t="shared" ca="1" si="23"/>
        <v>29.35786666666667</v>
      </c>
      <c r="I124" s="2">
        <f t="shared" ca="1" si="24"/>
        <v>18.256799999999998</v>
      </c>
      <c r="J124">
        <f t="shared" ca="1" si="25"/>
        <v>50</v>
      </c>
      <c r="K124" s="2">
        <f t="shared" ca="1" si="26"/>
        <v>5</v>
      </c>
      <c r="L124" s="2">
        <f t="shared" ca="1" si="27"/>
        <v>40.902839999999998</v>
      </c>
      <c r="M124" s="2">
        <f t="shared" ca="1" si="28"/>
        <v>31.441893333333329</v>
      </c>
      <c r="N124" s="2">
        <f t="shared" ca="1" si="29"/>
        <v>21.980946666666664</v>
      </c>
      <c r="O124" s="2">
        <f t="shared" ca="1" si="39"/>
        <v>12.52</v>
      </c>
      <c r="P124" s="2">
        <f t="shared" ca="1" si="30"/>
        <v>3.0590533333333347</v>
      </c>
      <c r="Q124" s="2">
        <f t="shared" ca="1" si="31"/>
        <v>0</v>
      </c>
      <c r="R124" s="2">
        <v>0</v>
      </c>
    </row>
    <row r="125" spans="1:18" x14ac:dyDescent="0.2">
      <c r="A125" s="1">
        <v>43922</v>
      </c>
      <c r="B125" s="2">
        <v>31</v>
      </c>
      <c r="C125" s="2">
        <f t="shared" ca="1" si="19"/>
        <v>84.863200000000006</v>
      </c>
      <c r="D125" s="2">
        <f t="shared" ca="1" si="20"/>
        <v>73.762133333333338</v>
      </c>
      <c r="E125" s="2">
        <f t="shared" ca="1" si="21"/>
        <v>62.66106666666667</v>
      </c>
      <c r="F125" s="2">
        <f t="shared" si="38"/>
        <v>51.56</v>
      </c>
      <c r="G125" s="2">
        <f t="shared" ca="1" si="22"/>
        <v>40.458933333333334</v>
      </c>
      <c r="H125" s="2">
        <f t="shared" ca="1" si="23"/>
        <v>29.35786666666667</v>
      </c>
      <c r="I125" s="2">
        <f t="shared" ca="1" si="24"/>
        <v>18.256799999999998</v>
      </c>
      <c r="J125">
        <f t="shared" ca="1" si="25"/>
        <v>31</v>
      </c>
      <c r="K125" s="2">
        <f t="shared" ca="1" si="26"/>
        <v>19</v>
      </c>
      <c r="L125" s="2">
        <f t="shared" ca="1" si="27"/>
        <v>40.902839999999998</v>
      </c>
      <c r="M125" s="2">
        <f t="shared" ca="1" si="28"/>
        <v>31.441893333333329</v>
      </c>
      <c r="N125" s="2">
        <f t="shared" ca="1" si="29"/>
        <v>21.980946666666664</v>
      </c>
      <c r="O125" s="2">
        <f t="shared" ca="1" si="39"/>
        <v>12.52</v>
      </c>
      <c r="P125" s="2">
        <f t="shared" ca="1" si="30"/>
        <v>3.0590533333333347</v>
      </c>
      <c r="Q125" s="2">
        <f t="shared" ca="1" si="31"/>
        <v>0</v>
      </c>
      <c r="R125" s="2">
        <v>0</v>
      </c>
    </row>
    <row r="126" spans="1:18" x14ac:dyDescent="0.2">
      <c r="A126" s="1">
        <v>43952</v>
      </c>
      <c r="B126" s="2">
        <v>44</v>
      </c>
      <c r="C126" s="2">
        <f t="shared" ca="1" si="19"/>
        <v>84.863200000000006</v>
      </c>
      <c r="D126" s="2">
        <f t="shared" ca="1" si="20"/>
        <v>73.762133333333338</v>
      </c>
      <c r="E126" s="2">
        <f t="shared" ca="1" si="21"/>
        <v>62.66106666666667</v>
      </c>
      <c r="F126" s="2">
        <f t="shared" si="38"/>
        <v>51.56</v>
      </c>
      <c r="G126" s="2">
        <f t="shared" ca="1" si="22"/>
        <v>40.458933333333334</v>
      </c>
      <c r="H126" s="2">
        <f t="shared" ca="1" si="23"/>
        <v>29.35786666666667</v>
      </c>
      <c r="I126" s="2">
        <f t="shared" ca="1" si="24"/>
        <v>18.256799999999998</v>
      </c>
      <c r="J126">
        <f t="shared" ca="1" si="25"/>
        <v>44</v>
      </c>
      <c r="K126" s="2">
        <f t="shared" ca="1" si="26"/>
        <v>13</v>
      </c>
      <c r="L126" s="2">
        <f t="shared" ca="1" si="27"/>
        <v>40.902839999999998</v>
      </c>
      <c r="M126" s="2">
        <f t="shared" ca="1" si="28"/>
        <v>31.441893333333329</v>
      </c>
      <c r="N126" s="2">
        <f t="shared" ca="1" si="29"/>
        <v>21.980946666666664</v>
      </c>
      <c r="O126" s="2">
        <f t="shared" ca="1" si="39"/>
        <v>12.52</v>
      </c>
      <c r="P126" s="2">
        <f t="shared" ca="1" si="30"/>
        <v>3.0590533333333347</v>
      </c>
      <c r="Q126" s="2">
        <f t="shared" ca="1" si="31"/>
        <v>0</v>
      </c>
      <c r="R126" s="2">
        <v>0</v>
      </c>
    </row>
    <row r="127" spans="1:18" x14ac:dyDescent="0.2">
      <c r="A127" s="1">
        <v>43983</v>
      </c>
      <c r="B127" s="2">
        <v>37</v>
      </c>
      <c r="C127" s="2">
        <f t="shared" ca="1" si="19"/>
        <v>84.863200000000006</v>
      </c>
      <c r="D127" s="2">
        <f t="shared" ca="1" si="20"/>
        <v>73.762133333333338</v>
      </c>
      <c r="E127" s="2">
        <f t="shared" ca="1" si="21"/>
        <v>62.66106666666667</v>
      </c>
      <c r="F127" s="2">
        <f t="shared" si="38"/>
        <v>51.56</v>
      </c>
      <c r="G127" s="2">
        <f t="shared" ca="1" si="22"/>
        <v>40.458933333333334</v>
      </c>
      <c r="H127" s="2">
        <f t="shared" ca="1" si="23"/>
        <v>29.35786666666667</v>
      </c>
      <c r="I127" s="2">
        <f t="shared" ca="1" si="24"/>
        <v>18.256799999999998</v>
      </c>
      <c r="J127">
        <f t="shared" ca="1" si="25"/>
        <v>37</v>
      </c>
      <c r="K127" s="2">
        <f t="shared" ca="1" si="26"/>
        <v>7</v>
      </c>
      <c r="L127" s="2">
        <f t="shared" ca="1" si="27"/>
        <v>40.902839999999998</v>
      </c>
      <c r="M127" s="2">
        <f t="shared" ca="1" si="28"/>
        <v>31.441893333333329</v>
      </c>
      <c r="N127" s="2">
        <f t="shared" ca="1" si="29"/>
        <v>21.980946666666664</v>
      </c>
      <c r="O127" s="2">
        <f t="shared" ca="1" si="39"/>
        <v>12.52</v>
      </c>
      <c r="P127" s="2">
        <f t="shared" ca="1" si="30"/>
        <v>3.0590533333333347</v>
      </c>
      <c r="Q127" s="2">
        <f t="shared" ca="1" si="31"/>
        <v>0</v>
      </c>
      <c r="R127" s="2">
        <v>0</v>
      </c>
    </row>
    <row r="128" spans="1:18" x14ac:dyDescent="0.2">
      <c r="A128" s="1">
        <v>44013</v>
      </c>
      <c r="B128" s="2">
        <v>42</v>
      </c>
      <c r="C128" s="2">
        <f t="shared" ca="1" si="19"/>
        <v>84.863200000000006</v>
      </c>
      <c r="D128" s="2">
        <f t="shared" ca="1" si="20"/>
        <v>73.762133333333338</v>
      </c>
      <c r="E128" s="2">
        <f t="shared" ca="1" si="21"/>
        <v>62.66106666666667</v>
      </c>
      <c r="F128" s="2">
        <f t="shared" si="38"/>
        <v>51.56</v>
      </c>
      <c r="G128" s="2">
        <f t="shared" ca="1" si="22"/>
        <v>40.458933333333334</v>
      </c>
      <c r="H128" s="2">
        <f t="shared" ca="1" si="23"/>
        <v>29.35786666666667</v>
      </c>
      <c r="I128" s="2">
        <f t="shared" ca="1" si="24"/>
        <v>18.256799999999998</v>
      </c>
      <c r="J128">
        <f t="shared" ca="1" si="25"/>
        <v>42</v>
      </c>
      <c r="K128" s="2">
        <f t="shared" ca="1" si="26"/>
        <v>5</v>
      </c>
      <c r="L128" s="2">
        <f t="shared" ca="1" si="27"/>
        <v>40.902839999999998</v>
      </c>
      <c r="M128" s="2">
        <f t="shared" ca="1" si="28"/>
        <v>31.441893333333329</v>
      </c>
      <c r="N128" s="2">
        <f t="shared" ca="1" si="29"/>
        <v>21.980946666666664</v>
      </c>
      <c r="O128" s="2">
        <f t="shared" ca="1" si="39"/>
        <v>12.52</v>
      </c>
      <c r="P128" s="2">
        <f t="shared" ca="1" si="30"/>
        <v>3.0590533333333347</v>
      </c>
      <c r="Q128" s="2">
        <f t="shared" ca="1" si="31"/>
        <v>0</v>
      </c>
      <c r="R128" s="2">
        <v>0</v>
      </c>
    </row>
    <row r="129" spans="1:18" x14ac:dyDescent="0.2">
      <c r="A129" s="1">
        <v>44044</v>
      </c>
      <c r="B129" s="2">
        <v>44</v>
      </c>
      <c r="C129" s="2">
        <f t="shared" ca="1" si="19"/>
        <v>84.863200000000006</v>
      </c>
      <c r="D129" s="2">
        <f t="shared" ca="1" si="20"/>
        <v>73.762133333333338</v>
      </c>
      <c r="E129" s="2">
        <f t="shared" ca="1" si="21"/>
        <v>62.66106666666667</v>
      </c>
      <c r="F129" s="2">
        <f t="shared" si="38"/>
        <v>51.56</v>
      </c>
      <c r="G129" s="2">
        <f t="shared" ca="1" si="22"/>
        <v>40.458933333333334</v>
      </c>
      <c r="H129" s="2">
        <f t="shared" ca="1" si="23"/>
        <v>29.35786666666667</v>
      </c>
      <c r="I129" s="2">
        <f t="shared" ca="1" si="24"/>
        <v>18.256799999999998</v>
      </c>
      <c r="J129">
        <f t="shared" ca="1" si="25"/>
        <v>44</v>
      </c>
      <c r="K129" s="2">
        <f t="shared" ca="1" si="26"/>
        <v>2</v>
      </c>
      <c r="L129" s="2">
        <f t="shared" ca="1" si="27"/>
        <v>40.902839999999998</v>
      </c>
      <c r="M129" s="2">
        <f t="shared" ca="1" si="28"/>
        <v>31.441893333333329</v>
      </c>
      <c r="N129" s="2">
        <f t="shared" ca="1" si="29"/>
        <v>21.980946666666664</v>
      </c>
      <c r="O129" s="2">
        <f t="shared" ca="1" si="39"/>
        <v>12.52</v>
      </c>
      <c r="P129" s="2">
        <f t="shared" ca="1" si="30"/>
        <v>3.0590533333333347</v>
      </c>
      <c r="Q129" s="2">
        <f t="shared" ca="1" si="31"/>
        <v>0</v>
      </c>
      <c r="R129" s="2">
        <v>0</v>
      </c>
    </row>
    <row r="130" spans="1:18" x14ac:dyDescent="0.2">
      <c r="A130" s="1">
        <v>44075</v>
      </c>
      <c r="B130" s="2">
        <v>54</v>
      </c>
      <c r="C130" s="2">
        <f t="shared" ref="C130:C193" ca="1" si="40">F130+2.66*O130</f>
        <v>84.863200000000006</v>
      </c>
      <c r="D130" s="2">
        <f t="shared" ref="D130:D193" ca="1" si="41">F130+(2/3)*2.66*O130</f>
        <v>73.762133333333338</v>
      </c>
      <c r="E130" s="2">
        <f t="shared" ref="E130:E193" ca="1" si="42">F130+(1/3)*2.66*O130</f>
        <v>62.66106666666667</v>
      </c>
      <c r="F130" s="2">
        <f t="shared" si="38"/>
        <v>51.56</v>
      </c>
      <c r="G130" s="2">
        <f t="shared" ref="G130:G193" ca="1" si="43">F130-(1/3)*2.66*O130</f>
        <v>40.458933333333334</v>
      </c>
      <c r="H130" s="2">
        <f t="shared" ref="H130:H193" ca="1" si="44">F130-(2/3)*2.66*O130</f>
        <v>29.35786666666667</v>
      </c>
      <c r="I130" s="2">
        <f t="shared" ref="I130:I193" ca="1" si="45">F130-2.66*O130</f>
        <v>18.256799999999998</v>
      </c>
      <c r="J130">
        <f t="shared" ca="1" si="25"/>
        <v>54</v>
      </c>
      <c r="K130" s="2">
        <f t="shared" ca="1" si="26"/>
        <v>10</v>
      </c>
      <c r="L130" s="2">
        <f t="shared" ca="1" si="27"/>
        <v>40.902839999999998</v>
      </c>
      <c r="M130" s="2">
        <f t="shared" ca="1" si="28"/>
        <v>31.441893333333329</v>
      </c>
      <c r="N130" s="2">
        <f t="shared" ca="1" si="29"/>
        <v>21.980946666666664</v>
      </c>
      <c r="O130" s="2">
        <f t="shared" ca="1" si="39"/>
        <v>12.52</v>
      </c>
      <c r="P130" s="2">
        <f t="shared" ca="1" si="30"/>
        <v>3.0590533333333347</v>
      </c>
      <c r="Q130" s="2">
        <f t="shared" ca="1" si="31"/>
        <v>0</v>
      </c>
      <c r="R130" s="2">
        <v>0</v>
      </c>
    </row>
    <row r="131" spans="1:18" x14ac:dyDescent="0.2">
      <c r="A131" s="1">
        <v>44105</v>
      </c>
      <c r="B131" s="2">
        <v>50</v>
      </c>
      <c r="C131" s="2">
        <f t="shared" ca="1" si="40"/>
        <v>59.357142857142861</v>
      </c>
      <c r="D131" s="2">
        <f t="shared" ca="1" si="41"/>
        <v>51.968253968253968</v>
      </c>
      <c r="E131" s="2">
        <f t="shared" ca="1" si="42"/>
        <v>44.579365079365083</v>
      </c>
      <c r="F131" s="2">
        <f t="shared" ref="F131:F151" si="46">AVERAGE($B$131:$B$151)</f>
        <v>37.19047619047619</v>
      </c>
      <c r="G131" s="2">
        <f t="shared" ca="1" si="43"/>
        <v>29.801587301587301</v>
      </c>
      <c r="H131" s="2">
        <f t="shared" ca="1" si="44"/>
        <v>22.412698412698411</v>
      </c>
      <c r="I131" s="2">
        <f t="shared" ca="1" si="45"/>
        <v>15.023809523809522</v>
      </c>
      <c r="J131">
        <f t="shared" ref="J131:J194" ca="1" si="47">IF(ISBLANK(B131),OFFSET(J131,-1,0,1,1),B131)</f>
        <v>50</v>
      </c>
      <c r="K131" s="2">
        <f t="shared" ref="K131:K194" ca="1" si="48">IF(OR(OFFSET(K131,-1,-9,1,1)="",OFFSET(K131,0,-9,1,1)=""),"",IF(ISERROR(ABS(B131-OFFSET(K131,-1,-1,1,1))),"",ABS(B131-OFFSET(K131,-1,-1,1,1))))</f>
        <v>4</v>
      </c>
      <c r="L131" s="2">
        <f t="shared" ref="L131:L194" ca="1" si="49">3.267*O131</f>
        <v>27.225000000000001</v>
      </c>
      <c r="M131" s="2">
        <f t="shared" ref="M131:M194" ca="1" si="50">(2/3)*(L131-O131)+O131</f>
        <v>20.927777777777777</v>
      </c>
      <c r="N131" s="2">
        <f t="shared" ref="N131:N194" ca="1" si="51">(1/3)*(L131-O131)+O131</f>
        <v>14.630555555555556</v>
      </c>
      <c r="O131" s="2">
        <f t="shared" ref="O131:O151" ca="1" si="52">AVERAGE($K$131:$K$151)</f>
        <v>8.3333333333333339</v>
      </c>
      <c r="P131" s="2">
        <f t="shared" ref="P131:P194" ca="1" si="53">(MAX(O131-(1/3)*(L131-O131),0))</f>
        <v>2.0361111111111123</v>
      </c>
      <c r="Q131" s="2">
        <f t="shared" ref="Q131:Q194" ca="1" si="54">MAX(O131-(2/3)*(L131-O131),0)</f>
        <v>0</v>
      </c>
      <c r="R131" s="2">
        <v>0</v>
      </c>
    </row>
    <row r="132" spans="1:18" x14ac:dyDescent="0.2">
      <c r="A132" s="1">
        <v>44136</v>
      </c>
      <c r="B132" s="2">
        <v>33</v>
      </c>
      <c r="C132" s="2">
        <f t="shared" ca="1" si="40"/>
        <v>59.357142857142861</v>
      </c>
      <c r="D132" s="2">
        <f t="shared" ca="1" si="41"/>
        <v>51.968253968253968</v>
      </c>
      <c r="E132" s="2">
        <f t="shared" ca="1" si="42"/>
        <v>44.579365079365083</v>
      </c>
      <c r="F132" s="2">
        <f t="shared" si="46"/>
        <v>37.19047619047619</v>
      </c>
      <c r="G132" s="2">
        <f t="shared" ca="1" si="43"/>
        <v>29.801587301587301</v>
      </c>
      <c r="H132" s="2">
        <f t="shared" ca="1" si="44"/>
        <v>22.412698412698411</v>
      </c>
      <c r="I132" s="2">
        <f t="shared" ca="1" si="45"/>
        <v>15.023809523809522</v>
      </c>
      <c r="J132">
        <f t="shared" ca="1" si="47"/>
        <v>33</v>
      </c>
      <c r="K132" s="2">
        <f t="shared" ca="1" si="48"/>
        <v>17</v>
      </c>
      <c r="L132" s="2">
        <f t="shared" ca="1" si="49"/>
        <v>27.225000000000001</v>
      </c>
      <c r="M132" s="2">
        <f t="shared" ca="1" si="50"/>
        <v>20.927777777777777</v>
      </c>
      <c r="N132" s="2">
        <f t="shared" ca="1" si="51"/>
        <v>14.630555555555556</v>
      </c>
      <c r="O132" s="2">
        <f t="shared" ca="1" si="52"/>
        <v>8.3333333333333339</v>
      </c>
      <c r="P132" s="2">
        <f t="shared" ca="1" si="53"/>
        <v>2.0361111111111123</v>
      </c>
      <c r="Q132" s="2">
        <f t="shared" ca="1" si="54"/>
        <v>0</v>
      </c>
      <c r="R132" s="2">
        <v>0</v>
      </c>
    </row>
    <row r="133" spans="1:18" x14ac:dyDescent="0.2">
      <c r="A133" s="1">
        <v>44166</v>
      </c>
      <c r="B133" s="2">
        <v>37</v>
      </c>
      <c r="C133" s="2">
        <f t="shared" ca="1" si="40"/>
        <v>59.357142857142861</v>
      </c>
      <c r="D133" s="2">
        <f t="shared" ca="1" si="41"/>
        <v>51.968253968253968</v>
      </c>
      <c r="E133" s="2">
        <f t="shared" ca="1" si="42"/>
        <v>44.579365079365083</v>
      </c>
      <c r="F133" s="2">
        <f t="shared" si="46"/>
        <v>37.19047619047619</v>
      </c>
      <c r="G133" s="2">
        <f t="shared" ca="1" si="43"/>
        <v>29.801587301587301</v>
      </c>
      <c r="H133" s="2">
        <f t="shared" ca="1" si="44"/>
        <v>22.412698412698411</v>
      </c>
      <c r="I133" s="2">
        <f t="shared" ca="1" si="45"/>
        <v>15.023809523809522</v>
      </c>
      <c r="J133">
        <f t="shared" ca="1" si="47"/>
        <v>37</v>
      </c>
      <c r="K133" s="2">
        <f t="shared" ca="1" si="48"/>
        <v>4</v>
      </c>
      <c r="L133" s="2">
        <f t="shared" ca="1" si="49"/>
        <v>27.225000000000001</v>
      </c>
      <c r="M133" s="2">
        <f t="shared" ca="1" si="50"/>
        <v>20.927777777777777</v>
      </c>
      <c r="N133" s="2">
        <f t="shared" ca="1" si="51"/>
        <v>14.630555555555556</v>
      </c>
      <c r="O133" s="2">
        <f t="shared" ca="1" si="52"/>
        <v>8.3333333333333339</v>
      </c>
      <c r="P133" s="2">
        <f t="shared" ca="1" si="53"/>
        <v>2.0361111111111123</v>
      </c>
      <c r="Q133" s="2">
        <f t="shared" ca="1" si="54"/>
        <v>0</v>
      </c>
      <c r="R133" s="2">
        <v>0</v>
      </c>
    </row>
    <row r="134" spans="1:18" x14ac:dyDescent="0.2">
      <c r="A134" s="1">
        <v>44197</v>
      </c>
      <c r="B134" s="2">
        <v>27</v>
      </c>
      <c r="C134" s="2">
        <f t="shared" ca="1" si="40"/>
        <v>59.357142857142861</v>
      </c>
      <c r="D134" s="2">
        <f t="shared" ca="1" si="41"/>
        <v>51.968253968253968</v>
      </c>
      <c r="E134" s="2">
        <f t="shared" ca="1" si="42"/>
        <v>44.579365079365083</v>
      </c>
      <c r="F134" s="2">
        <f t="shared" si="46"/>
        <v>37.19047619047619</v>
      </c>
      <c r="G134" s="2">
        <f t="shared" ca="1" si="43"/>
        <v>29.801587301587301</v>
      </c>
      <c r="H134" s="2">
        <f t="shared" ca="1" si="44"/>
        <v>22.412698412698411</v>
      </c>
      <c r="I134" s="2">
        <f t="shared" ca="1" si="45"/>
        <v>15.023809523809522</v>
      </c>
      <c r="J134">
        <f t="shared" ca="1" si="47"/>
        <v>27</v>
      </c>
      <c r="K134" s="2">
        <f t="shared" ca="1" si="48"/>
        <v>10</v>
      </c>
      <c r="L134" s="2">
        <f t="shared" ca="1" si="49"/>
        <v>27.225000000000001</v>
      </c>
      <c r="M134" s="2">
        <f t="shared" ca="1" si="50"/>
        <v>20.927777777777777</v>
      </c>
      <c r="N134" s="2">
        <f t="shared" ca="1" si="51"/>
        <v>14.630555555555556</v>
      </c>
      <c r="O134" s="2">
        <f t="shared" ca="1" si="52"/>
        <v>8.3333333333333339</v>
      </c>
      <c r="P134" s="2">
        <f t="shared" ca="1" si="53"/>
        <v>2.0361111111111123</v>
      </c>
      <c r="Q134" s="2">
        <f t="shared" ca="1" si="54"/>
        <v>0</v>
      </c>
      <c r="R134" s="2">
        <v>0</v>
      </c>
    </row>
    <row r="135" spans="1:18" x14ac:dyDescent="0.2">
      <c r="A135" s="1">
        <v>44228</v>
      </c>
      <c r="B135" s="2">
        <v>32</v>
      </c>
      <c r="C135" s="2">
        <f t="shared" ca="1" si="40"/>
        <v>59.357142857142861</v>
      </c>
      <c r="D135" s="2">
        <f t="shared" ca="1" si="41"/>
        <v>51.968253968253968</v>
      </c>
      <c r="E135" s="2">
        <f t="shared" ca="1" si="42"/>
        <v>44.579365079365083</v>
      </c>
      <c r="F135" s="2">
        <f t="shared" si="46"/>
        <v>37.19047619047619</v>
      </c>
      <c r="G135" s="2">
        <f t="shared" ca="1" si="43"/>
        <v>29.801587301587301</v>
      </c>
      <c r="H135" s="2">
        <f t="shared" ca="1" si="44"/>
        <v>22.412698412698411</v>
      </c>
      <c r="I135" s="2">
        <f t="shared" ca="1" si="45"/>
        <v>15.023809523809522</v>
      </c>
      <c r="J135">
        <f t="shared" ca="1" si="47"/>
        <v>32</v>
      </c>
      <c r="K135" s="2">
        <f t="shared" ca="1" si="48"/>
        <v>5</v>
      </c>
      <c r="L135" s="2">
        <f t="shared" ca="1" si="49"/>
        <v>27.225000000000001</v>
      </c>
      <c r="M135" s="2">
        <f t="shared" ca="1" si="50"/>
        <v>20.927777777777777</v>
      </c>
      <c r="N135" s="2">
        <f t="shared" ca="1" si="51"/>
        <v>14.630555555555556</v>
      </c>
      <c r="O135" s="2">
        <f t="shared" ca="1" si="52"/>
        <v>8.3333333333333339</v>
      </c>
      <c r="P135" s="2">
        <f t="shared" ca="1" si="53"/>
        <v>2.0361111111111123</v>
      </c>
      <c r="Q135" s="2">
        <f t="shared" ca="1" si="54"/>
        <v>0</v>
      </c>
      <c r="R135" s="2">
        <v>0</v>
      </c>
    </row>
    <row r="136" spans="1:18" x14ac:dyDescent="0.2">
      <c r="A136" s="1">
        <v>44256</v>
      </c>
      <c r="B136" s="2">
        <v>41</v>
      </c>
      <c r="C136" s="2">
        <f t="shared" ca="1" si="40"/>
        <v>59.357142857142861</v>
      </c>
      <c r="D136" s="2">
        <f t="shared" ca="1" si="41"/>
        <v>51.968253968253968</v>
      </c>
      <c r="E136" s="2">
        <f t="shared" ca="1" si="42"/>
        <v>44.579365079365083</v>
      </c>
      <c r="F136" s="2">
        <f t="shared" si="46"/>
        <v>37.19047619047619</v>
      </c>
      <c r="G136" s="2">
        <f t="shared" ca="1" si="43"/>
        <v>29.801587301587301</v>
      </c>
      <c r="H136" s="2">
        <f t="shared" ca="1" si="44"/>
        <v>22.412698412698411</v>
      </c>
      <c r="I136" s="2">
        <f t="shared" ca="1" si="45"/>
        <v>15.023809523809522</v>
      </c>
      <c r="J136">
        <f t="shared" ca="1" si="47"/>
        <v>41</v>
      </c>
      <c r="K136" s="2">
        <f t="shared" ca="1" si="48"/>
        <v>9</v>
      </c>
      <c r="L136" s="2">
        <f t="shared" ca="1" si="49"/>
        <v>27.225000000000001</v>
      </c>
      <c r="M136" s="2">
        <f t="shared" ca="1" si="50"/>
        <v>20.927777777777777</v>
      </c>
      <c r="N136" s="2">
        <f t="shared" ca="1" si="51"/>
        <v>14.630555555555556</v>
      </c>
      <c r="O136" s="2">
        <f t="shared" ca="1" si="52"/>
        <v>8.3333333333333339</v>
      </c>
      <c r="P136" s="2">
        <f t="shared" ca="1" si="53"/>
        <v>2.0361111111111123</v>
      </c>
      <c r="Q136" s="2">
        <f t="shared" ca="1" si="54"/>
        <v>0</v>
      </c>
      <c r="R136" s="2">
        <v>0</v>
      </c>
    </row>
    <row r="137" spans="1:18" x14ac:dyDescent="0.2">
      <c r="A137" s="1">
        <v>44287</v>
      </c>
      <c r="B137" s="2">
        <v>23</v>
      </c>
      <c r="C137" s="2">
        <f t="shared" ca="1" si="40"/>
        <v>59.357142857142861</v>
      </c>
      <c r="D137" s="2">
        <f t="shared" ca="1" si="41"/>
        <v>51.968253968253968</v>
      </c>
      <c r="E137" s="2">
        <f t="shared" ca="1" si="42"/>
        <v>44.579365079365083</v>
      </c>
      <c r="F137" s="2">
        <f t="shared" si="46"/>
        <v>37.19047619047619</v>
      </c>
      <c r="G137" s="2">
        <f t="shared" ca="1" si="43"/>
        <v>29.801587301587301</v>
      </c>
      <c r="H137" s="2">
        <f t="shared" ca="1" si="44"/>
        <v>22.412698412698411</v>
      </c>
      <c r="I137" s="2">
        <f t="shared" ca="1" si="45"/>
        <v>15.023809523809522</v>
      </c>
      <c r="J137">
        <f t="shared" ca="1" si="47"/>
        <v>23</v>
      </c>
      <c r="K137" s="2">
        <f t="shared" ca="1" si="48"/>
        <v>18</v>
      </c>
      <c r="L137" s="2">
        <f t="shared" ca="1" si="49"/>
        <v>27.225000000000001</v>
      </c>
      <c r="M137" s="2">
        <f t="shared" ca="1" si="50"/>
        <v>20.927777777777777</v>
      </c>
      <c r="N137" s="2">
        <f t="shared" ca="1" si="51"/>
        <v>14.630555555555556</v>
      </c>
      <c r="O137" s="2">
        <f t="shared" ca="1" si="52"/>
        <v>8.3333333333333339</v>
      </c>
      <c r="P137" s="2">
        <f t="shared" ca="1" si="53"/>
        <v>2.0361111111111123</v>
      </c>
      <c r="Q137" s="2">
        <f t="shared" ca="1" si="54"/>
        <v>0</v>
      </c>
      <c r="R137" s="2">
        <v>0</v>
      </c>
    </row>
    <row r="138" spans="1:18" x14ac:dyDescent="0.2">
      <c r="A138" s="1">
        <v>44317</v>
      </c>
      <c r="B138" s="2">
        <v>40</v>
      </c>
      <c r="C138" s="2">
        <f t="shared" ca="1" si="40"/>
        <v>59.357142857142861</v>
      </c>
      <c r="D138" s="2">
        <f t="shared" ca="1" si="41"/>
        <v>51.968253968253968</v>
      </c>
      <c r="E138" s="2">
        <f t="shared" ca="1" si="42"/>
        <v>44.579365079365083</v>
      </c>
      <c r="F138" s="2">
        <f t="shared" si="46"/>
        <v>37.19047619047619</v>
      </c>
      <c r="G138" s="2">
        <f t="shared" ca="1" si="43"/>
        <v>29.801587301587301</v>
      </c>
      <c r="H138" s="2">
        <f t="shared" ca="1" si="44"/>
        <v>22.412698412698411</v>
      </c>
      <c r="I138" s="2">
        <f t="shared" ca="1" si="45"/>
        <v>15.023809523809522</v>
      </c>
      <c r="J138">
        <f t="shared" ca="1" si="47"/>
        <v>40</v>
      </c>
      <c r="K138" s="2">
        <f t="shared" ca="1" si="48"/>
        <v>17</v>
      </c>
      <c r="L138" s="2">
        <f t="shared" ca="1" si="49"/>
        <v>27.225000000000001</v>
      </c>
      <c r="M138" s="2">
        <f t="shared" ca="1" si="50"/>
        <v>20.927777777777777</v>
      </c>
      <c r="N138" s="2">
        <f t="shared" ca="1" si="51"/>
        <v>14.630555555555556</v>
      </c>
      <c r="O138" s="2">
        <f t="shared" ca="1" si="52"/>
        <v>8.3333333333333339</v>
      </c>
      <c r="P138" s="2">
        <f t="shared" ca="1" si="53"/>
        <v>2.0361111111111123</v>
      </c>
      <c r="Q138" s="2">
        <f t="shared" ca="1" si="54"/>
        <v>0</v>
      </c>
      <c r="R138" s="2">
        <v>0</v>
      </c>
    </row>
    <row r="139" spans="1:18" x14ac:dyDescent="0.2">
      <c r="A139" s="1">
        <v>44348</v>
      </c>
      <c r="B139" s="2">
        <v>29</v>
      </c>
      <c r="C139" s="2">
        <f t="shared" ca="1" si="40"/>
        <v>59.357142857142861</v>
      </c>
      <c r="D139" s="2">
        <f t="shared" ca="1" si="41"/>
        <v>51.968253968253968</v>
      </c>
      <c r="E139" s="2">
        <f t="shared" ca="1" si="42"/>
        <v>44.579365079365083</v>
      </c>
      <c r="F139" s="2">
        <f t="shared" si="46"/>
        <v>37.19047619047619</v>
      </c>
      <c r="G139" s="2">
        <f t="shared" ca="1" si="43"/>
        <v>29.801587301587301</v>
      </c>
      <c r="H139" s="2">
        <f t="shared" ca="1" si="44"/>
        <v>22.412698412698411</v>
      </c>
      <c r="I139" s="2">
        <f t="shared" ca="1" si="45"/>
        <v>15.023809523809522</v>
      </c>
      <c r="J139">
        <f t="shared" ca="1" si="47"/>
        <v>29</v>
      </c>
      <c r="K139" s="2">
        <f t="shared" ca="1" si="48"/>
        <v>11</v>
      </c>
      <c r="L139" s="2">
        <f t="shared" ca="1" si="49"/>
        <v>27.225000000000001</v>
      </c>
      <c r="M139" s="2">
        <f t="shared" ca="1" si="50"/>
        <v>20.927777777777777</v>
      </c>
      <c r="N139" s="2">
        <f t="shared" ca="1" si="51"/>
        <v>14.630555555555556</v>
      </c>
      <c r="O139" s="2">
        <f t="shared" ca="1" si="52"/>
        <v>8.3333333333333339</v>
      </c>
      <c r="P139" s="2">
        <f t="shared" ca="1" si="53"/>
        <v>2.0361111111111123</v>
      </c>
      <c r="Q139" s="2">
        <f t="shared" ca="1" si="54"/>
        <v>0</v>
      </c>
      <c r="R139" s="2">
        <v>0</v>
      </c>
    </row>
    <row r="140" spans="1:18" x14ac:dyDescent="0.2">
      <c r="A140" s="1">
        <v>44378</v>
      </c>
      <c r="B140" s="2">
        <v>29</v>
      </c>
      <c r="C140" s="2">
        <f t="shared" ca="1" si="40"/>
        <v>59.357142857142861</v>
      </c>
      <c r="D140" s="2">
        <f t="shared" ca="1" si="41"/>
        <v>51.968253968253968</v>
      </c>
      <c r="E140" s="2">
        <f t="shared" ca="1" si="42"/>
        <v>44.579365079365083</v>
      </c>
      <c r="F140" s="2">
        <f t="shared" si="46"/>
        <v>37.19047619047619</v>
      </c>
      <c r="G140" s="2">
        <f t="shared" ca="1" si="43"/>
        <v>29.801587301587301</v>
      </c>
      <c r="H140" s="2">
        <f t="shared" ca="1" si="44"/>
        <v>22.412698412698411</v>
      </c>
      <c r="I140" s="2">
        <f t="shared" ca="1" si="45"/>
        <v>15.023809523809522</v>
      </c>
      <c r="J140">
        <f t="shared" ca="1" si="47"/>
        <v>29</v>
      </c>
      <c r="K140" s="2">
        <f t="shared" ca="1" si="48"/>
        <v>0</v>
      </c>
      <c r="L140" s="2">
        <f t="shared" ca="1" si="49"/>
        <v>27.225000000000001</v>
      </c>
      <c r="M140" s="2">
        <f t="shared" ca="1" si="50"/>
        <v>20.927777777777777</v>
      </c>
      <c r="N140" s="2">
        <f t="shared" ca="1" si="51"/>
        <v>14.630555555555556</v>
      </c>
      <c r="O140" s="2">
        <f t="shared" ca="1" si="52"/>
        <v>8.3333333333333339</v>
      </c>
      <c r="P140" s="2">
        <f t="shared" ca="1" si="53"/>
        <v>2.0361111111111123</v>
      </c>
      <c r="Q140" s="2">
        <f t="shared" ca="1" si="54"/>
        <v>0</v>
      </c>
      <c r="R140" s="2">
        <v>0</v>
      </c>
    </row>
    <row r="141" spans="1:18" x14ac:dyDescent="0.2">
      <c r="A141" s="1">
        <v>44409</v>
      </c>
      <c r="B141" s="2">
        <v>36</v>
      </c>
      <c r="C141" s="2">
        <f t="shared" ca="1" si="40"/>
        <v>59.357142857142861</v>
      </c>
      <c r="D141" s="2">
        <f t="shared" ca="1" si="41"/>
        <v>51.968253968253968</v>
      </c>
      <c r="E141" s="2">
        <f t="shared" ca="1" si="42"/>
        <v>44.579365079365083</v>
      </c>
      <c r="F141" s="2">
        <f t="shared" si="46"/>
        <v>37.19047619047619</v>
      </c>
      <c r="G141" s="2">
        <f t="shared" ca="1" si="43"/>
        <v>29.801587301587301</v>
      </c>
      <c r="H141" s="2">
        <f t="shared" ca="1" si="44"/>
        <v>22.412698412698411</v>
      </c>
      <c r="I141" s="2">
        <f t="shared" ca="1" si="45"/>
        <v>15.023809523809522</v>
      </c>
      <c r="J141">
        <f t="shared" ca="1" si="47"/>
        <v>36</v>
      </c>
      <c r="K141" s="2">
        <f t="shared" ca="1" si="48"/>
        <v>7</v>
      </c>
      <c r="L141" s="2">
        <f t="shared" ca="1" si="49"/>
        <v>27.225000000000001</v>
      </c>
      <c r="M141" s="2">
        <f t="shared" ca="1" si="50"/>
        <v>20.927777777777777</v>
      </c>
      <c r="N141" s="2">
        <f t="shared" ca="1" si="51"/>
        <v>14.630555555555556</v>
      </c>
      <c r="O141" s="2">
        <f t="shared" ca="1" si="52"/>
        <v>8.3333333333333339</v>
      </c>
      <c r="P141" s="2">
        <f t="shared" ca="1" si="53"/>
        <v>2.0361111111111123</v>
      </c>
      <c r="Q141" s="2">
        <f t="shared" ca="1" si="54"/>
        <v>0</v>
      </c>
      <c r="R141" s="2">
        <v>0</v>
      </c>
    </row>
    <row r="142" spans="1:18" x14ac:dyDescent="0.2">
      <c r="A142" s="1">
        <v>44440</v>
      </c>
      <c r="B142" s="2">
        <v>34</v>
      </c>
      <c r="C142" s="2">
        <f t="shared" ca="1" si="40"/>
        <v>59.357142857142861</v>
      </c>
      <c r="D142" s="2">
        <f t="shared" ca="1" si="41"/>
        <v>51.968253968253968</v>
      </c>
      <c r="E142" s="2">
        <f t="shared" ca="1" si="42"/>
        <v>44.579365079365083</v>
      </c>
      <c r="F142" s="2">
        <f t="shared" si="46"/>
        <v>37.19047619047619</v>
      </c>
      <c r="G142" s="2">
        <f t="shared" ca="1" si="43"/>
        <v>29.801587301587301</v>
      </c>
      <c r="H142" s="2">
        <f t="shared" ca="1" si="44"/>
        <v>22.412698412698411</v>
      </c>
      <c r="I142" s="2">
        <f t="shared" ca="1" si="45"/>
        <v>15.023809523809522</v>
      </c>
      <c r="J142">
        <f t="shared" ca="1" si="47"/>
        <v>34</v>
      </c>
      <c r="K142" s="2">
        <f t="shared" ca="1" si="48"/>
        <v>2</v>
      </c>
      <c r="L142" s="2">
        <f t="shared" ca="1" si="49"/>
        <v>27.225000000000001</v>
      </c>
      <c r="M142" s="2">
        <f t="shared" ca="1" si="50"/>
        <v>20.927777777777777</v>
      </c>
      <c r="N142" s="2">
        <f t="shared" ca="1" si="51"/>
        <v>14.630555555555556</v>
      </c>
      <c r="O142" s="2">
        <f t="shared" ca="1" si="52"/>
        <v>8.3333333333333339</v>
      </c>
      <c r="P142" s="2">
        <f t="shared" ca="1" si="53"/>
        <v>2.0361111111111123</v>
      </c>
      <c r="Q142" s="2">
        <f t="shared" ca="1" si="54"/>
        <v>0</v>
      </c>
      <c r="R142" s="2">
        <v>0</v>
      </c>
    </row>
    <row r="143" spans="1:18" x14ac:dyDescent="0.2">
      <c r="A143" s="1">
        <v>44470</v>
      </c>
      <c r="B143" s="2">
        <v>32</v>
      </c>
      <c r="C143" s="2">
        <f t="shared" ca="1" si="40"/>
        <v>59.357142857142861</v>
      </c>
      <c r="D143" s="2">
        <f t="shared" ca="1" si="41"/>
        <v>51.968253968253968</v>
      </c>
      <c r="E143" s="2">
        <f t="shared" ca="1" si="42"/>
        <v>44.579365079365083</v>
      </c>
      <c r="F143" s="2">
        <f t="shared" si="46"/>
        <v>37.19047619047619</v>
      </c>
      <c r="G143" s="2">
        <f t="shared" ca="1" si="43"/>
        <v>29.801587301587301</v>
      </c>
      <c r="H143" s="2">
        <f t="shared" ca="1" si="44"/>
        <v>22.412698412698411</v>
      </c>
      <c r="I143" s="2">
        <f t="shared" ca="1" si="45"/>
        <v>15.023809523809522</v>
      </c>
      <c r="J143">
        <f t="shared" ca="1" si="47"/>
        <v>32</v>
      </c>
      <c r="K143" s="2">
        <f t="shared" ca="1" si="48"/>
        <v>2</v>
      </c>
      <c r="L143" s="2">
        <f t="shared" ca="1" si="49"/>
        <v>27.225000000000001</v>
      </c>
      <c r="M143" s="2">
        <f t="shared" ca="1" si="50"/>
        <v>20.927777777777777</v>
      </c>
      <c r="N143" s="2">
        <f t="shared" ca="1" si="51"/>
        <v>14.630555555555556</v>
      </c>
      <c r="O143" s="2">
        <f t="shared" ca="1" si="52"/>
        <v>8.3333333333333339</v>
      </c>
      <c r="P143" s="2">
        <f t="shared" ca="1" si="53"/>
        <v>2.0361111111111123</v>
      </c>
      <c r="Q143" s="2">
        <f t="shared" ca="1" si="54"/>
        <v>0</v>
      </c>
      <c r="R143" s="2">
        <v>0</v>
      </c>
    </row>
    <row r="144" spans="1:18" x14ac:dyDescent="0.2">
      <c r="A144" s="1">
        <v>44501</v>
      </c>
      <c r="B144" s="2">
        <v>35</v>
      </c>
      <c r="C144" s="2">
        <f t="shared" ca="1" si="40"/>
        <v>59.357142857142861</v>
      </c>
      <c r="D144" s="2">
        <f t="shared" ca="1" si="41"/>
        <v>51.968253968253968</v>
      </c>
      <c r="E144" s="2">
        <f t="shared" ca="1" si="42"/>
        <v>44.579365079365083</v>
      </c>
      <c r="F144" s="2">
        <f t="shared" si="46"/>
        <v>37.19047619047619</v>
      </c>
      <c r="G144" s="2">
        <f t="shared" ca="1" si="43"/>
        <v>29.801587301587301</v>
      </c>
      <c r="H144" s="2">
        <f t="shared" ca="1" si="44"/>
        <v>22.412698412698411</v>
      </c>
      <c r="I144" s="2">
        <f t="shared" ca="1" si="45"/>
        <v>15.023809523809522</v>
      </c>
      <c r="J144">
        <f t="shared" ca="1" si="47"/>
        <v>35</v>
      </c>
      <c r="K144" s="2">
        <f t="shared" ca="1" si="48"/>
        <v>3</v>
      </c>
      <c r="L144" s="2">
        <f t="shared" ca="1" si="49"/>
        <v>27.225000000000001</v>
      </c>
      <c r="M144" s="2">
        <f t="shared" ca="1" si="50"/>
        <v>20.927777777777777</v>
      </c>
      <c r="N144" s="2">
        <f t="shared" ca="1" si="51"/>
        <v>14.630555555555556</v>
      </c>
      <c r="O144" s="2">
        <f t="shared" ca="1" si="52"/>
        <v>8.3333333333333339</v>
      </c>
      <c r="P144" s="2">
        <f t="shared" ca="1" si="53"/>
        <v>2.0361111111111123</v>
      </c>
      <c r="Q144" s="2">
        <f t="shared" ca="1" si="54"/>
        <v>0</v>
      </c>
      <c r="R144" s="2">
        <v>0</v>
      </c>
    </row>
    <row r="145" spans="1:18" x14ac:dyDescent="0.2">
      <c r="A145" s="1">
        <v>44531</v>
      </c>
      <c r="B145" s="2">
        <v>51</v>
      </c>
      <c r="C145" s="2">
        <f t="shared" ca="1" si="40"/>
        <v>59.357142857142861</v>
      </c>
      <c r="D145" s="2">
        <f t="shared" ca="1" si="41"/>
        <v>51.968253968253968</v>
      </c>
      <c r="E145" s="2">
        <f t="shared" ca="1" si="42"/>
        <v>44.579365079365083</v>
      </c>
      <c r="F145" s="2">
        <f t="shared" si="46"/>
        <v>37.19047619047619</v>
      </c>
      <c r="G145" s="2">
        <f t="shared" ca="1" si="43"/>
        <v>29.801587301587301</v>
      </c>
      <c r="H145" s="2">
        <f t="shared" ca="1" si="44"/>
        <v>22.412698412698411</v>
      </c>
      <c r="I145" s="2">
        <f t="shared" ca="1" si="45"/>
        <v>15.023809523809522</v>
      </c>
      <c r="J145">
        <f t="shared" ca="1" si="47"/>
        <v>51</v>
      </c>
      <c r="K145" s="2">
        <f t="shared" ca="1" si="48"/>
        <v>16</v>
      </c>
      <c r="L145" s="2">
        <f t="shared" ca="1" si="49"/>
        <v>27.225000000000001</v>
      </c>
      <c r="M145" s="2">
        <f t="shared" ca="1" si="50"/>
        <v>20.927777777777777</v>
      </c>
      <c r="N145" s="2">
        <f t="shared" ca="1" si="51"/>
        <v>14.630555555555556</v>
      </c>
      <c r="O145" s="2">
        <f t="shared" ca="1" si="52"/>
        <v>8.3333333333333339</v>
      </c>
      <c r="P145" s="2">
        <f t="shared" ca="1" si="53"/>
        <v>2.0361111111111123</v>
      </c>
      <c r="Q145" s="2">
        <f t="shared" ca="1" si="54"/>
        <v>0</v>
      </c>
      <c r="R145" s="2">
        <v>0</v>
      </c>
    </row>
    <row r="146" spans="1:18" x14ac:dyDescent="0.2">
      <c r="A146" s="1">
        <v>44562</v>
      </c>
      <c r="B146" s="2">
        <v>32</v>
      </c>
      <c r="C146" s="2">
        <f t="shared" ca="1" si="40"/>
        <v>59.357142857142861</v>
      </c>
      <c r="D146" s="2">
        <f t="shared" ca="1" si="41"/>
        <v>51.968253968253968</v>
      </c>
      <c r="E146" s="2">
        <f t="shared" ca="1" si="42"/>
        <v>44.579365079365083</v>
      </c>
      <c r="F146" s="2">
        <f t="shared" si="46"/>
        <v>37.19047619047619</v>
      </c>
      <c r="G146" s="2">
        <f t="shared" ca="1" si="43"/>
        <v>29.801587301587301</v>
      </c>
      <c r="H146" s="2">
        <f t="shared" ca="1" si="44"/>
        <v>22.412698412698411</v>
      </c>
      <c r="I146" s="2">
        <f t="shared" ca="1" si="45"/>
        <v>15.023809523809522</v>
      </c>
      <c r="J146">
        <f t="shared" ca="1" si="47"/>
        <v>32</v>
      </c>
      <c r="K146" s="2">
        <f t="shared" ca="1" si="48"/>
        <v>19</v>
      </c>
      <c r="L146" s="2">
        <f t="shared" ca="1" si="49"/>
        <v>27.225000000000001</v>
      </c>
      <c r="M146" s="2">
        <f t="shared" ca="1" si="50"/>
        <v>20.927777777777777</v>
      </c>
      <c r="N146" s="2">
        <f t="shared" ca="1" si="51"/>
        <v>14.630555555555556</v>
      </c>
      <c r="O146" s="2">
        <f t="shared" ca="1" si="52"/>
        <v>8.3333333333333339</v>
      </c>
      <c r="P146" s="2">
        <f t="shared" ca="1" si="53"/>
        <v>2.0361111111111123</v>
      </c>
      <c r="Q146" s="2">
        <f t="shared" ca="1" si="54"/>
        <v>0</v>
      </c>
      <c r="R146" s="2">
        <v>0</v>
      </c>
    </row>
    <row r="147" spans="1:18" x14ac:dyDescent="0.2">
      <c r="A147" s="1">
        <v>44593</v>
      </c>
      <c r="B147" s="2">
        <v>28</v>
      </c>
      <c r="C147" s="2">
        <f t="shared" ca="1" si="40"/>
        <v>59.357142857142861</v>
      </c>
      <c r="D147" s="2">
        <f t="shared" ca="1" si="41"/>
        <v>51.968253968253968</v>
      </c>
      <c r="E147" s="2">
        <f t="shared" ca="1" si="42"/>
        <v>44.579365079365083</v>
      </c>
      <c r="F147" s="2">
        <f t="shared" si="46"/>
        <v>37.19047619047619</v>
      </c>
      <c r="G147" s="2">
        <f t="shared" ca="1" si="43"/>
        <v>29.801587301587301</v>
      </c>
      <c r="H147" s="2">
        <f t="shared" ca="1" si="44"/>
        <v>22.412698412698411</v>
      </c>
      <c r="I147" s="2">
        <f t="shared" ca="1" si="45"/>
        <v>15.023809523809522</v>
      </c>
      <c r="J147">
        <f t="shared" ca="1" si="47"/>
        <v>28</v>
      </c>
      <c r="K147" s="2">
        <f t="shared" ca="1" si="48"/>
        <v>4</v>
      </c>
      <c r="L147" s="2">
        <f t="shared" ca="1" si="49"/>
        <v>27.225000000000001</v>
      </c>
      <c r="M147" s="2">
        <f t="shared" ca="1" si="50"/>
        <v>20.927777777777777</v>
      </c>
      <c r="N147" s="2">
        <f t="shared" ca="1" si="51"/>
        <v>14.630555555555556</v>
      </c>
      <c r="O147" s="2">
        <f t="shared" ca="1" si="52"/>
        <v>8.3333333333333339</v>
      </c>
      <c r="P147" s="2">
        <f t="shared" ca="1" si="53"/>
        <v>2.0361111111111123</v>
      </c>
      <c r="Q147" s="2">
        <f t="shared" ca="1" si="54"/>
        <v>0</v>
      </c>
      <c r="R147" s="2">
        <v>0</v>
      </c>
    </row>
    <row r="148" spans="1:18" x14ac:dyDescent="0.2">
      <c r="A148" s="1">
        <v>44621</v>
      </c>
      <c r="B148" s="2">
        <v>40</v>
      </c>
      <c r="C148" s="2">
        <f t="shared" ca="1" si="40"/>
        <v>59.357142857142861</v>
      </c>
      <c r="D148" s="2">
        <f t="shared" ca="1" si="41"/>
        <v>51.968253968253968</v>
      </c>
      <c r="E148" s="2">
        <f t="shared" ca="1" si="42"/>
        <v>44.579365079365083</v>
      </c>
      <c r="F148" s="2">
        <f t="shared" si="46"/>
        <v>37.19047619047619</v>
      </c>
      <c r="G148" s="2">
        <f t="shared" ca="1" si="43"/>
        <v>29.801587301587301</v>
      </c>
      <c r="H148" s="2">
        <f t="shared" ca="1" si="44"/>
        <v>22.412698412698411</v>
      </c>
      <c r="I148" s="2">
        <f t="shared" ca="1" si="45"/>
        <v>15.023809523809522</v>
      </c>
      <c r="J148">
        <f t="shared" ca="1" si="47"/>
        <v>40</v>
      </c>
      <c r="K148" s="2">
        <f t="shared" ca="1" si="48"/>
        <v>12</v>
      </c>
      <c r="L148" s="2">
        <f t="shared" ca="1" si="49"/>
        <v>27.225000000000001</v>
      </c>
      <c r="M148" s="2">
        <f t="shared" ca="1" si="50"/>
        <v>20.927777777777777</v>
      </c>
      <c r="N148" s="2">
        <f t="shared" ca="1" si="51"/>
        <v>14.630555555555556</v>
      </c>
      <c r="O148" s="2">
        <f t="shared" ca="1" si="52"/>
        <v>8.3333333333333339</v>
      </c>
      <c r="P148" s="2">
        <f t="shared" ca="1" si="53"/>
        <v>2.0361111111111123</v>
      </c>
      <c r="Q148" s="2">
        <f t="shared" ca="1" si="54"/>
        <v>0</v>
      </c>
      <c r="R148" s="2">
        <v>0</v>
      </c>
    </row>
    <row r="149" spans="1:18" x14ac:dyDescent="0.2">
      <c r="A149" s="1">
        <v>44652</v>
      </c>
      <c r="B149" s="2">
        <v>52</v>
      </c>
      <c r="C149" s="2">
        <f t="shared" ca="1" si="40"/>
        <v>59.357142857142861</v>
      </c>
      <c r="D149" s="2">
        <f t="shared" ca="1" si="41"/>
        <v>51.968253968253968</v>
      </c>
      <c r="E149" s="2">
        <f t="shared" ca="1" si="42"/>
        <v>44.579365079365083</v>
      </c>
      <c r="F149" s="2">
        <f t="shared" si="46"/>
        <v>37.19047619047619</v>
      </c>
      <c r="G149" s="2">
        <f t="shared" ca="1" si="43"/>
        <v>29.801587301587301</v>
      </c>
      <c r="H149" s="2">
        <f t="shared" ca="1" si="44"/>
        <v>22.412698412698411</v>
      </c>
      <c r="I149" s="2">
        <f t="shared" ca="1" si="45"/>
        <v>15.023809523809522</v>
      </c>
      <c r="J149">
        <f t="shared" ca="1" si="47"/>
        <v>52</v>
      </c>
      <c r="K149" s="2">
        <f t="shared" ca="1" si="48"/>
        <v>12</v>
      </c>
      <c r="L149" s="2">
        <f t="shared" ca="1" si="49"/>
        <v>27.225000000000001</v>
      </c>
      <c r="M149" s="2">
        <f t="shared" ca="1" si="50"/>
        <v>20.927777777777777</v>
      </c>
      <c r="N149" s="2">
        <f t="shared" ca="1" si="51"/>
        <v>14.630555555555556</v>
      </c>
      <c r="O149" s="2">
        <f t="shared" ca="1" si="52"/>
        <v>8.3333333333333339</v>
      </c>
      <c r="P149" s="2">
        <f t="shared" ca="1" si="53"/>
        <v>2.0361111111111123</v>
      </c>
      <c r="Q149" s="2">
        <f t="shared" ca="1" si="54"/>
        <v>0</v>
      </c>
      <c r="R149" s="2">
        <v>0</v>
      </c>
    </row>
    <row r="150" spans="1:18" x14ac:dyDescent="0.2">
      <c r="A150" s="1">
        <v>44682</v>
      </c>
      <c r="B150" s="2">
        <v>51</v>
      </c>
      <c r="C150" s="2">
        <f t="shared" ca="1" si="40"/>
        <v>59.357142857142861</v>
      </c>
      <c r="D150" s="2">
        <f t="shared" ca="1" si="41"/>
        <v>51.968253968253968</v>
      </c>
      <c r="E150" s="2">
        <f t="shared" ca="1" si="42"/>
        <v>44.579365079365083</v>
      </c>
      <c r="F150" s="2">
        <f t="shared" si="46"/>
        <v>37.19047619047619</v>
      </c>
      <c r="G150" s="2">
        <f t="shared" ca="1" si="43"/>
        <v>29.801587301587301</v>
      </c>
      <c r="H150" s="2">
        <f t="shared" ca="1" si="44"/>
        <v>22.412698412698411</v>
      </c>
      <c r="I150" s="2">
        <f t="shared" ca="1" si="45"/>
        <v>15.023809523809522</v>
      </c>
      <c r="J150">
        <f t="shared" ca="1" si="47"/>
        <v>51</v>
      </c>
      <c r="K150" s="2">
        <f t="shared" ca="1" si="48"/>
        <v>1</v>
      </c>
      <c r="L150" s="2">
        <f t="shared" ca="1" si="49"/>
        <v>27.225000000000001</v>
      </c>
      <c r="M150" s="2">
        <f t="shared" ca="1" si="50"/>
        <v>20.927777777777777</v>
      </c>
      <c r="N150" s="2">
        <f t="shared" ca="1" si="51"/>
        <v>14.630555555555556</v>
      </c>
      <c r="O150" s="2">
        <f t="shared" ca="1" si="52"/>
        <v>8.3333333333333339</v>
      </c>
      <c r="P150" s="2">
        <f t="shared" ca="1" si="53"/>
        <v>2.0361111111111123</v>
      </c>
      <c r="Q150" s="2">
        <f t="shared" ca="1" si="54"/>
        <v>0</v>
      </c>
      <c r="R150" s="2">
        <v>0</v>
      </c>
    </row>
    <row r="151" spans="1:18" x14ac:dyDescent="0.2">
      <c r="A151" s="1">
        <v>44713</v>
      </c>
      <c r="B151" s="2">
        <v>49</v>
      </c>
      <c r="C151" s="2">
        <f t="shared" ca="1" si="40"/>
        <v>59.357142857142861</v>
      </c>
      <c r="D151" s="2">
        <f t="shared" ca="1" si="41"/>
        <v>51.968253968253968</v>
      </c>
      <c r="E151" s="2">
        <f t="shared" ca="1" si="42"/>
        <v>44.579365079365083</v>
      </c>
      <c r="F151" s="2">
        <f t="shared" si="46"/>
        <v>37.19047619047619</v>
      </c>
      <c r="G151" s="2">
        <f t="shared" ca="1" si="43"/>
        <v>29.801587301587301</v>
      </c>
      <c r="H151" s="2">
        <f t="shared" ca="1" si="44"/>
        <v>22.412698412698411</v>
      </c>
      <c r="I151" s="2">
        <f t="shared" ca="1" si="45"/>
        <v>15.023809523809522</v>
      </c>
      <c r="J151">
        <f t="shared" ca="1" si="47"/>
        <v>49</v>
      </c>
      <c r="K151" s="2">
        <f t="shared" ca="1" si="48"/>
        <v>2</v>
      </c>
      <c r="L151" s="2">
        <f t="shared" ca="1" si="49"/>
        <v>27.225000000000001</v>
      </c>
      <c r="M151" s="2">
        <f t="shared" ca="1" si="50"/>
        <v>20.927777777777777</v>
      </c>
      <c r="N151" s="2">
        <f t="shared" ca="1" si="51"/>
        <v>14.630555555555556</v>
      </c>
      <c r="O151" s="2">
        <f t="shared" ca="1" si="52"/>
        <v>8.3333333333333339</v>
      </c>
      <c r="P151" s="2">
        <f t="shared" ca="1" si="53"/>
        <v>2.0361111111111123</v>
      </c>
      <c r="Q151" s="2">
        <f t="shared" ca="1" si="54"/>
        <v>0</v>
      </c>
      <c r="R151" s="2">
        <v>0</v>
      </c>
    </row>
    <row r="152" spans="1:18" x14ac:dyDescent="0.2">
      <c r="A152" s="1">
        <v>44743</v>
      </c>
      <c r="B152" s="2">
        <v>53</v>
      </c>
      <c r="C152" s="2">
        <f t="shared" ca="1" si="40"/>
        <v>75.34</v>
      </c>
      <c r="D152" s="2">
        <f t="shared" ca="1" si="41"/>
        <v>67.36</v>
      </c>
      <c r="E152" s="2">
        <f t="shared" ca="1" si="42"/>
        <v>59.379999999999995</v>
      </c>
      <c r="F152" s="2">
        <f t="shared" ref="F152:F156" si="55">AVERAGE($B$152:$B$156)</f>
        <v>51.4</v>
      </c>
      <c r="G152" s="2">
        <f t="shared" ca="1" si="43"/>
        <v>43.42</v>
      </c>
      <c r="H152" s="2">
        <f t="shared" ca="1" si="44"/>
        <v>35.44</v>
      </c>
      <c r="I152" s="2">
        <f t="shared" ca="1" si="45"/>
        <v>27.459999999999997</v>
      </c>
      <c r="J152">
        <f t="shared" ca="1" si="47"/>
        <v>53</v>
      </c>
      <c r="K152" s="2">
        <f t="shared" ca="1" si="48"/>
        <v>4</v>
      </c>
      <c r="L152" s="2">
        <f t="shared" ca="1" si="49"/>
        <v>29.402999999999999</v>
      </c>
      <c r="M152" s="2">
        <f t="shared" ca="1" si="50"/>
        <v>22.601999999999997</v>
      </c>
      <c r="N152" s="2">
        <f t="shared" ca="1" si="51"/>
        <v>15.800999999999998</v>
      </c>
      <c r="O152" s="2">
        <f t="shared" ref="O152:O156" ca="1" si="56">AVERAGE($K$152:$K$154,$K$156)</f>
        <v>9</v>
      </c>
      <c r="P152" s="2">
        <f t="shared" ca="1" si="53"/>
        <v>2.1990000000000007</v>
      </c>
      <c r="Q152" s="2">
        <f t="shared" ca="1" si="54"/>
        <v>0</v>
      </c>
      <c r="R152" s="2">
        <v>0</v>
      </c>
    </row>
    <row r="153" spans="1:18" x14ac:dyDescent="0.2">
      <c r="A153" s="1">
        <v>44774</v>
      </c>
      <c r="B153" s="2">
        <v>39</v>
      </c>
      <c r="C153" s="2">
        <f t="shared" ca="1" si="40"/>
        <v>75.34</v>
      </c>
      <c r="D153" s="2">
        <f t="shared" ca="1" si="41"/>
        <v>67.36</v>
      </c>
      <c r="E153" s="2">
        <f t="shared" ca="1" si="42"/>
        <v>59.379999999999995</v>
      </c>
      <c r="F153" s="2">
        <f t="shared" si="55"/>
        <v>51.4</v>
      </c>
      <c r="G153" s="2">
        <f t="shared" ca="1" si="43"/>
        <v>43.42</v>
      </c>
      <c r="H153" s="2">
        <f t="shared" ca="1" si="44"/>
        <v>35.44</v>
      </c>
      <c r="I153" s="2">
        <f t="shared" ca="1" si="45"/>
        <v>27.459999999999997</v>
      </c>
      <c r="J153">
        <f t="shared" ca="1" si="47"/>
        <v>39</v>
      </c>
      <c r="K153" s="2">
        <f t="shared" ca="1" si="48"/>
        <v>14</v>
      </c>
      <c r="L153" s="2">
        <f t="shared" ca="1" si="49"/>
        <v>29.402999999999999</v>
      </c>
      <c r="M153" s="2">
        <f t="shared" ca="1" si="50"/>
        <v>22.601999999999997</v>
      </c>
      <c r="N153" s="2">
        <f t="shared" ca="1" si="51"/>
        <v>15.800999999999998</v>
      </c>
      <c r="O153" s="2">
        <f t="shared" ca="1" si="56"/>
        <v>9</v>
      </c>
      <c r="P153" s="2">
        <f t="shared" ca="1" si="53"/>
        <v>2.1990000000000007</v>
      </c>
      <c r="Q153" s="2">
        <f t="shared" ca="1" si="54"/>
        <v>0</v>
      </c>
      <c r="R153" s="2">
        <v>0</v>
      </c>
    </row>
    <row r="154" spans="1:18" x14ac:dyDescent="0.2">
      <c r="A154" s="1">
        <v>44805</v>
      </c>
      <c r="B154" s="2">
        <v>38</v>
      </c>
      <c r="C154" s="2">
        <f t="shared" ca="1" si="40"/>
        <v>75.34</v>
      </c>
      <c r="D154" s="2">
        <f t="shared" ca="1" si="41"/>
        <v>67.36</v>
      </c>
      <c r="E154" s="2">
        <f t="shared" ca="1" si="42"/>
        <v>59.379999999999995</v>
      </c>
      <c r="F154" s="2">
        <f t="shared" si="55"/>
        <v>51.4</v>
      </c>
      <c r="G154" s="2">
        <f t="shared" ca="1" si="43"/>
        <v>43.42</v>
      </c>
      <c r="H154" s="2">
        <f t="shared" ca="1" si="44"/>
        <v>35.44</v>
      </c>
      <c r="I154" s="2">
        <f t="shared" ca="1" si="45"/>
        <v>27.459999999999997</v>
      </c>
      <c r="J154">
        <f t="shared" ca="1" si="47"/>
        <v>38</v>
      </c>
      <c r="K154" s="2">
        <f t="shared" ca="1" si="48"/>
        <v>1</v>
      </c>
      <c r="L154" s="2">
        <f t="shared" ca="1" si="49"/>
        <v>29.402999999999999</v>
      </c>
      <c r="M154" s="2">
        <f t="shared" ca="1" si="50"/>
        <v>22.601999999999997</v>
      </c>
      <c r="N154" s="2">
        <f t="shared" ca="1" si="51"/>
        <v>15.800999999999998</v>
      </c>
      <c r="O154" s="2">
        <f t="shared" ca="1" si="56"/>
        <v>9</v>
      </c>
      <c r="P154" s="2">
        <f t="shared" ca="1" si="53"/>
        <v>2.1990000000000007</v>
      </c>
      <c r="Q154" s="2">
        <f t="shared" ca="1" si="54"/>
        <v>0</v>
      </c>
      <c r="R154" s="2">
        <v>0</v>
      </c>
    </row>
    <row r="155" spans="1:18" x14ac:dyDescent="0.2">
      <c r="A155" s="1">
        <v>44835</v>
      </c>
      <c r="B155" s="2">
        <v>72</v>
      </c>
      <c r="C155" s="4">
        <f t="shared" ca="1" si="40"/>
        <v>75.34</v>
      </c>
      <c r="D155" s="4">
        <f t="shared" ca="1" si="41"/>
        <v>67.36</v>
      </c>
      <c r="E155" s="4">
        <f t="shared" ca="1" si="42"/>
        <v>59.379999999999995</v>
      </c>
      <c r="F155" s="4">
        <f t="shared" si="55"/>
        <v>51.4</v>
      </c>
      <c r="G155" s="4">
        <f t="shared" ca="1" si="43"/>
        <v>43.42</v>
      </c>
      <c r="H155" s="4">
        <f t="shared" ca="1" si="44"/>
        <v>35.44</v>
      </c>
      <c r="I155" s="4">
        <f t="shared" ca="1" si="45"/>
        <v>27.459999999999997</v>
      </c>
      <c r="J155" s="5">
        <f t="shared" ca="1" si="47"/>
        <v>72</v>
      </c>
      <c r="K155" s="4">
        <f t="shared" ca="1" si="48"/>
        <v>34</v>
      </c>
      <c r="L155" s="2">
        <f t="shared" ca="1" si="49"/>
        <v>29.402999999999999</v>
      </c>
      <c r="M155" s="2">
        <f t="shared" ca="1" si="50"/>
        <v>22.601999999999997</v>
      </c>
      <c r="N155" s="2">
        <f t="shared" ca="1" si="51"/>
        <v>15.800999999999998</v>
      </c>
      <c r="O155" s="2">
        <f t="shared" ca="1" si="56"/>
        <v>9</v>
      </c>
      <c r="P155" s="2">
        <f t="shared" ca="1" si="53"/>
        <v>2.1990000000000007</v>
      </c>
      <c r="Q155" s="2">
        <f t="shared" ca="1" si="54"/>
        <v>0</v>
      </c>
      <c r="R155" s="2">
        <v>0</v>
      </c>
    </row>
    <row r="156" spans="1:18" x14ac:dyDescent="0.2">
      <c r="A156" s="1">
        <v>44866</v>
      </c>
      <c r="B156" s="2">
        <v>55</v>
      </c>
      <c r="C156" s="2">
        <f t="shared" ca="1" si="40"/>
        <v>75.34</v>
      </c>
      <c r="D156" s="2">
        <f t="shared" ca="1" si="41"/>
        <v>67.36</v>
      </c>
      <c r="E156" s="2">
        <f t="shared" ca="1" si="42"/>
        <v>59.379999999999995</v>
      </c>
      <c r="F156" s="2">
        <f t="shared" si="55"/>
        <v>51.4</v>
      </c>
      <c r="G156" s="2">
        <f t="shared" ca="1" si="43"/>
        <v>43.42</v>
      </c>
      <c r="H156" s="2">
        <f t="shared" ca="1" si="44"/>
        <v>35.44</v>
      </c>
      <c r="I156" s="2">
        <f t="shared" ca="1" si="45"/>
        <v>27.459999999999997</v>
      </c>
      <c r="J156">
        <f t="shared" ca="1" si="47"/>
        <v>55</v>
      </c>
      <c r="K156" s="2">
        <f t="shared" ca="1" si="48"/>
        <v>17</v>
      </c>
      <c r="L156" s="2">
        <f t="shared" ca="1" si="49"/>
        <v>29.402999999999999</v>
      </c>
      <c r="M156" s="2">
        <f t="shared" ca="1" si="50"/>
        <v>22.601999999999997</v>
      </c>
      <c r="N156" s="2">
        <f t="shared" ca="1" si="51"/>
        <v>15.800999999999998</v>
      </c>
      <c r="O156" s="2">
        <f t="shared" ca="1" si="56"/>
        <v>9</v>
      </c>
      <c r="P156" s="2">
        <f t="shared" ca="1" si="53"/>
        <v>2.1990000000000007</v>
      </c>
      <c r="Q156" s="2">
        <f t="shared" ca="1" si="54"/>
        <v>0</v>
      </c>
      <c r="R156" s="2">
        <v>0</v>
      </c>
    </row>
    <row r="157" spans="1:18" x14ac:dyDescent="0.2">
      <c r="A157" s="1">
        <v>44896</v>
      </c>
      <c r="B157" s="2">
        <v>49</v>
      </c>
      <c r="C157" s="2">
        <f t="shared" ca="1" si="40"/>
        <v>62.832857142857151</v>
      </c>
      <c r="D157" s="2">
        <f t="shared" ca="1" si="41"/>
        <v>56.436190476190482</v>
      </c>
      <c r="E157" s="2">
        <f t="shared" ca="1" si="42"/>
        <v>50.039523809523814</v>
      </c>
      <c r="F157" s="2">
        <f t="shared" ref="F157:F170" si="57">AVERAGE($B$157:$B$170)</f>
        <v>43.642857142857146</v>
      </c>
      <c r="G157" s="2">
        <f t="shared" ca="1" si="43"/>
        <v>37.246190476190478</v>
      </c>
      <c r="H157" s="2">
        <f t="shared" ca="1" si="44"/>
        <v>30.849523809523809</v>
      </c>
      <c r="I157" s="2">
        <f t="shared" ca="1" si="45"/>
        <v>24.452857142857145</v>
      </c>
      <c r="J157">
        <f t="shared" ca="1" si="47"/>
        <v>49</v>
      </c>
      <c r="K157" s="2">
        <f t="shared" ca="1" si="48"/>
        <v>6</v>
      </c>
      <c r="L157" s="2">
        <f t="shared" ca="1" si="49"/>
        <v>23.56907142857143</v>
      </c>
      <c r="M157" s="2">
        <f t="shared" ca="1" si="50"/>
        <v>18.117476190476189</v>
      </c>
      <c r="N157" s="2">
        <f t="shared" ca="1" si="51"/>
        <v>12.665880952380952</v>
      </c>
      <c r="O157" s="2">
        <f t="shared" ref="O157:O170" ca="1" si="58">AVERAGE($K$157:$K$170)</f>
        <v>7.2142857142857144</v>
      </c>
      <c r="P157" s="2">
        <f t="shared" ca="1" si="53"/>
        <v>1.7626904761904765</v>
      </c>
      <c r="Q157" s="2">
        <f t="shared" ca="1" si="54"/>
        <v>0</v>
      </c>
      <c r="R157" s="2">
        <v>0</v>
      </c>
    </row>
    <row r="158" spans="1:18" x14ac:dyDescent="0.2">
      <c r="A158" s="1">
        <v>44927</v>
      </c>
      <c r="B158" s="2">
        <v>47</v>
      </c>
      <c r="C158" s="2">
        <f t="shared" ca="1" si="40"/>
        <v>62.832857142857151</v>
      </c>
      <c r="D158" s="2">
        <f t="shared" ca="1" si="41"/>
        <v>56.436190476190482</v>
      </c>
      <c r="E158" s="2">
        <f t="shared" ca="1" si="42"/>
        <v>50.039523809523814</v>
      </c>
      <c r="F158" s="2">
        <f t="shared" si="57"/>
        <v>43.642857142857146</v>
      </c>
      <c r="G158" s="2">
        <f t="shared" ca="1" si="43"/>
        <v>37.246190476190478</v>
      </c>
      <c r="H158" s="2">
        <f t="shared" ca="1" si="44"/>
        <v>30.849523809523809</v>
      </c>
      <c r="I158" s="2">
        <f t="shared" ca="1" si="45"/>
        <v>24.452857142857145</v>
      </c>
      <c r="J158">
        <f t="shared" ca="1" si="47"/>
        <v>47</v>
      </c>
      <c r="K158" s="2">
        <f t="shared" ca="1" si="48"/>
        <v>2</v>
      </c>
      <c r="L158" s="2">
        <f t="shared" ca="1" si="49"/>
        <v>23.56907142857143</v>
      </c>
      <c r="M158" s="2">
        <f t="shared" ca="1" si="50"/>
        <v>18.117476190476189</v>
      </c>
      <c r="N158" s="2">
        <f t="shared" ca="1" si="51"/>
        <v>12.665880952380952</v>
      </c>
      <c r="O158" s="2">
        <f t="shared" ca="1" si="58"/>
        <v>7.2142857142857144</v>
      </c>
      <c r="P158" s="2">
        <f t="shared" ca="1" si="53"/>
        <v>1.7626904761904765</v>
      </c>
      <c r="Q158" s="2">
        <f t="shared" ca="1" si="54"/>
        <v>0</v>
      </c>
      <c r="R158" s="2">
        <v>0</v>
      </c>
    </row>
    <row r="159" spans="1:18" x14ac:dyDescent="0.2">
      <c r="A159" s="1">
        <v>44958</v>
      </c>
      <c r="B159" s="2">
        <v>39</v>
      </c>
      <c r="C159" s="2">
        <f t="shared" ca="1" si="40"/>
        <v>62.832857142857151</v>
      </c>
      <c r="D159" s="2">
        <f t="shared" ca="1" si="41"/>
        <v>56.436190476190482</v>
      </c>
      <c r="E159" s="2">
        <f t="shared" ca="1" si="42"/>
        <v>50.039523809523814</v>
      </c>
      <c r="F159" s="2">
        <f t="shared" si="57"/>
        <v>43.642857142857146</v>
      </c>
      <c r="G159" s="2">
        <f t="shared" ca="1" si="43"/>
        <v>37.246190476190478</v>
      </c>
      <c r="H159" s="2">
        <f t="shared" ca="1" si="44"/>
        <v>30.849523809523809</v>
      </c>
      <c r="I159" s="2">
        <f t="shared" ca="1" si="45"/>
        <v>24.452857142857145</v>
      </c>
      <c r="J159">
        <f t="shared" ca="1" si="47"/>
        <v>39</v>
      </c>
      <c r="K159" s="2">
        <f t="shared" ca="1" si="48"/>
        <v>8</v>
      </c>
      <c r="L159" s="2">
        <f t="shared" ca="1" si="49"/>
        <v>23.56907142857143</v>
      </c>
      <c r="M159" s="2">
        <f t="shared" ca="1" si="50"/>
        <v>18.117476190476189</v>
      </c>
      <c r="N159" s="2">
        <f t="shared" ca="1" si="51"/>
        <v>12.665880952380952</v>
      </c>
      <c r="O159" s="2">
        <f t="shared" ca="1" si="58"/>
        <v>7.2142857142857144</v>
      </c>
      <c r="P159" s="2">
        <f t="shared" ca="1" si="53"/>
        <v>1.7626904761904765</v>
      </c>
      <c r="Q159" s="2">
        <f t="shared" ca="1" si="54"/>
        <v>0</v>
      </c>
      <c r="R159" s="2">
        <v>0</v>
      </c>
    </row>
    <row r="160" spans="1:18" x14ac:dyDescent="0.2">
      <c r="A160" s="1">
        <v>44986</v>
      </c>
      <c r="B160" s="2">
        <v>37</v>
      </c>
      <c r="C160" s="2">
        <f t="shared" ca="1" si="40"/>
        <v>62.832857142857151</v>
      </c>
      <c r="D160" s="2">
        <f t="shared" ca="1" si="41"/>
        <v>56.436190476190482</v>
      </c>
      <c r="E160" s="2">
        <f t="shared" ca="1" si="42"/>
        <v>50.039523809523814</v>
      </c>
      <c r="F160" s="2">
        <f t="shared" si="57"/>
        <v>43.642857142857146</v>
      </c>
      <c r="G160" s="2">
        <f t="shared" ca="1" si="43"/>
        <v>37.246190476190478</v>
      </c>
      <c r="H160" s="2">
        <f t="shared" ca="1" si="44"/>
        <v>30.849523809523809</v>
      </c>
      <c r="I160" s="2">
        <f t="shared" ca="1" si="45"/>
        <v>24.452857142857145</v>
      </c>
      <c r="J160">
        <f t="shared" ca="1" si="47"/>
        <v>37</v>
      </c>
      <c r="K160" s="2">
        <f t="shared" ca="1" si="48"/>
        <v>2</v>
      </c>
      <c r="L160" s="2">
        <f t="shared" ca="1" si="49"/>
        <v>23.56907142857143</v>
      </c>
      <c r="M160" s="2">
        <f t="shared" ca="1" si="50"/>
        <v>18.117476190476189</v>
      </c>
      <c r="N160" s="2">
        <f t="shared" ca="1" si="51"/>
        <v>12.665880952380952</v>
      </c>
      <c r="O160" s="2">
        <f t="shared" ca="1" si="58"/>
        <v>7.2142857142857144</v>
      </c>
      <c r="P160" s="2">
        <f t="shared" ca="1" si="53"/>
        <v>1.7626904761904765</v>
      </c>
      <c r="Q160" s="2">
        <f t="shared" ca="1" si="54"/>
        <v>0</v>
      </c>
      <c r="R160" s="2">
        <v>0</v>
      </c>
    </row>
    <row r="161" spans="1:18" x14ac:dyDescent="0.2">
      <c r="A161" s="1">
        <v>45017</v>
      </c>
      <c r="B161" s="2">
        <v>43</v>
      </c>
      <c r="C161" s="2">
        <f t="shared" ca="1" si="40"/>
        <v>62.832857142857151</v>
      </c>
      <c r="D161" s="2">
        <f t="shared" ca="1" si="41"/>
        <v>56.436190476190482</v>
      </c>
      <c r="E161" s="2">
        <f t="shared" ca="1" si="42"/>
        <v>50.039523809523814</v>
      </c>
      <c r="F161" s="2">
        <f t="shared" si="57"/>
        <v>43.642857142857146</v>
      </c>
      <c r="G161" s="2">
        <f t="shared" ca="1" si="43"/>
        <v>37.246190476190478</v>
      </c>
      <c r="H161" s="2">
        <f t="shared" ca="1" si="44"/>
        <v>30.849523809523809</v>
      </c>
      <c r="I161" s="2">
        <f t="shared" ca="1" si="45"/>
        <v>24.452857142857145</v>
      </c>
      <c r="J161">
        <f t="shared" ca="1" si="47"/>
        <v>43</v>
      </c>
      <c r="K161" s="2">
        <f t="shared" ca="1" si="48"/>
        <v>6</v>
      </c>
      <c r="L161" s="2">
        <f t="shared" ca="1" si="49"/>
        <v>23.56907142857143</v>
      </c>
      <c r="M161" s="2">
        <f t="shared" ca="1" si="50"/>
        <v>18.117476190476189</v>
      </c>
      <c r="N161" s="2">
        <f t="shared" ca="1" si="51"/>
        <v>12.665880952380952</v>
      </c>
      <c r="O161" s="2">
        <f t="shared" ca="1" si="58"/>
        <v>7.2142857142857144</v>
      </c>
      <c r="P161" s="2">
        <f t="shared" ca="1" si="53"/>
        <v>1.7626904761904765</v>
      </c>
      <c r="Q161" s="2">
        <f t="shared" ca="1" si="54"/>
        <v>0</v>
      </c>
      <c r="R161" s="2">
        <v>0</v>
      </c>
    </row>
    <row r="162" spans="1:18" x14ac:dyDescent="0.2">
      <c r="A162" s="1">
        <v>45047</v>
      </c>
      <c r="B162" s="2">
        <v>44</v>
      </c>
      <c r="C162" s="2">
        <f t="shared" ca="1" si="40"/>
        <v>62.832857142857151</v>
      </c>
      <c r="D162" s="2">
        <f t="shared" ca="1" si="41"/>
        <v>56.436190476190482</v>
      </c>
      <c r="E162" s="2">
        <f t="shared" ca="1" si="42"/>
        <v>50.039523809523814</v>
      </c>
      <c r="F162" s="2">
        <f t="shared" si="57"/>
        <v>43.642857142857146</v>
      </c>
      <c r="G162" s="2">
        <f t="shared" ca="1" si="43"/>
        <v>37.246190476190478</v>
      </c>
      <c r="H162" s="2">
        <f t="shared" ca="1" si="44"/>
        <v>30.849523809523809</v>
      </c>
      <c r="I162" s="2">
        <f t="shared" ca="1" si="45"/>
        <v>24.452857142857145</v>
      </c>
      <c r="J162">
        <f t="shared" ca="1" si="47"/>
        <v>44</v>
      </c>
      <c r="K162" s="2">
        <f t="shared" ca="1" si="48"/>
        <v>1</v>
      </c>
      <c r="L162" s="2">
        <f t="shared" ca="1" si="49"/>
        <v>23.56907142857143</v>
      </c>
      <c r="M162" s="2">
        <f t="shared" ca="1" si="50"/>
        <v>18.117476190476189</v>
      </c>
      <c r="N162" s="2">
        <f t="shared" ca="1" si="51"/>
        <v>12.665880952380952</v>
      </c>
      <c r="O162" s="2">
        <f t="shared" ca="1" si="58"/>
        <v>7.2142857142857144</v>
      </c>
      <c r="P162" s="2">
        <f t="shared" ca="1" si="53"/>
        <v>1.7626904761904765</v>
      </c>
      <c r="Q162" s="2">
        <f t="shared" ca="1" si="54"/>
        <v>0</v>
      </c>
      <c r="R162" s="2">
        <v>0</v>
      </c>
    </row>
    <row r="163" spans="1:18" x14ac:dyDescent="0.2">
      <c r="A163" s="1">
        <v>45078</v>
      </c>
      <c r="B163" s="2">
        <v>38</v>
      </c>
      <c r="C163" s="2">
        <f t="shared" ca="1" si="40"/>
        <v>62.832857142857151</v>
      </c>
      <c r="D163" s="2">
        <f t="shared" ca="1" si="41"/>
        <v>56.436190476190482</v>
      </c>
      <c r="E163" s="2">
        <f t="shared" ca="1" si="42"/>
        <v>50.039523809523814</v>
      </c>
      <c r="F163" s="2">
        <f t="shared" si="57"/>
        <v>43.642857142857146</v>
      </c>
      <c r="G163" s="2">
        <f t="shared" ca="1" si="43"/>
        <v>37.246190476190478</v>
      </c>
      <c r="H163" s="2">
        <f t="shared" ca="1" si="44"/>
        <v>30.849523809523809</v>
      </c>
      <c r="I163" s="2">
        <f t="shared" ca="1" si="45"/>
        <v>24.452857142857145</v>
      </c>
      <c r="J163">
        <f t="shared" ca="1" si="47"/>
        <v>38</v>
      </c>
      <c r="K163" s="2">
        <f t="shared" ca="1" si="48"/>
        <v>6</v>
      </c>
      <c r="L163" s="2">
        <f t="shared" ca="1" si="49"/>
        <v>23.56907142857143</v>
      </c>
      <c r="M163" s="2">
        <f t="shared" ca="1" si="50"/>
        <v>18.117476190476189</v>
      </c>
      <c r="N163" s="2">
        <f t="shared" ca="1" si="51"/>
        <v>12.665880952380952</v>
      </c>
      <c r="O163" s="2">
        <f t="shared" ca="1" si="58"/>
        <v>7.2142857142857144</v>
      </c>
      <c r="P163" s="2">
        <f t="shared" ca="1" si="53"/>
        <v>1.7626904761904765</v>
      </c>
      <c r="Q163" s="2">
        <f t="shared" ca="1" si="54"/>
        <v>0</v>
      </c>
      <c r="R163" s="2">
        <v>0</v>
      </c>
    </row>
    <row r="164" spans="1:18" x14ac:dyDescent="0.2">
      <c r="A164" s="1">
        <v>45108</v>
      </c>
      <c r="B164" s="2">
        <v>37</v>
      </c>
      <c r="C164" s="2">
        <f t="shared" ca="1" si="40"/>
        <v>62.832857142857151</v>
      </c>
      <c r="D164" s="2">
        <f t="shared" ca="1" si="41"/>
        <v>56.436190476190482</v>
      </c>
      <c r="E164" s="2">
        <f t="shared" ca="1" si="42"/>
        <v>50.039523809523814</v>
      </c>
      <c r="F164" s="2">
        <f t="shared" si="57"/>
        <v>43.642857142857146</v>
      </c>
      <c r="G164" s="2">
        <f t="shared" ca="1" si="43"/>
        <v>37.246190476190478</v>
      </c>
      <c r="H164" s="2">
        <f t="shared" ca="1" si="44"/>
        <v>30.849523809523809</v>
      </c>
      <c r="I164" s="2">
        <f t="shared" ca="1" si="45"/>
        <v>24.452857142857145</v>
      </c>
      <c r="J164">
        <f t="shared" ca="1" si="47"/>
        <v>37</v>
      </c>
      <c r="K164" s="2">
        <f t="shared" ca="1" si="48"/>
        <v>1</v>
      </c>
      <c r="L164" s="2">
        <f t="shared" ca="1" si="49"/>
        <v>23.56907142857143</v>
      </c>
      <c r="M164" s="2">
        <f t="shared" ca="1" si="50"/>
        <v>18.117476190476189</v>
      </c>
      <c r="N164" s="2">
        <f t="shared" ca="1" si="51"/>
        <v>12.665880952380952</v>
      </c>
      <c r="O164" s="2">
        <f t="shared" ca="1" si="58"/>
        <v>7.2142857142857144</v>
      </c>
      <c r="P164" s="2">
        <f t="shared" ca="1" si="53"/>
        <v>1.7626904761904765</v>
      </c>
      <c r="Q164" s="2">
        <f t="shared" ca="1" si="54"/>
        <v>0</v>
      </c>
      <c r="R164" s="2">
        <v>0</v>
      </c>
    </row>
    <row r="165" spans="1:18" x14ac:dyDescent="0.2">
      <c r="A165" s="1">
        <v>45139</v>
      </c>
      <c r="B165" s="2">
        <v>53</v>
      </c>
      <c r="C165" s="2">
        <f t="shared" ca="1" si="40"/>
        <v>62.832857142857151</v>
      </c>
      <c r="D165" s="2">
        <f t="shared" ca="1" si="41"/>
        <v>56.436190476190482</v>
      </c>
      <c r="E165" s="2">
        <f t="shared" ca="1" si="42"/>
        <v>50.039523809523814</v>
      </c>
      <c r="F165" s="2">
        <f t="shared" si="57"/>
        <v>43.642857142857146</v>
      </c>
      <c r="G165" s="2">
        <f t="shared" ca="1" si="43"/>
        <v>37.246190476190478</v>
      </c>
      <c r="H165" s="2">
        <f t="shared" ca="1" si="44"/>
        <v>30.849523809523809</v>
      </c>
      <c r="I165" s="2">
        <f t="shared" ca="1" si="45"/>
        <v>24.452857142857145</v>
      </c>
      <c r="J165">
        <f t="shared" ca="1" si="47"/>
        <v>53</v>
      </c>
      <c r="K165" s="2">
        <f t="shared" ca="1" si="48"/>
        <v>16</v>
      </c>
      <c r="L165" s="2">
        <f t="shared" ca="1" si="49"/>
        <v>23.56907142857143</v>
      </c>
      <c r="M165" s="2">
        <f t="shared" ca="1" si="50"/>
        <v>18.117476190476189</v>
      </c>
      <c r="N165" s="2">
        <f t="shared" ca="1" si="51"/>
        <v>12.665880952380952</v>
      </c>
      <c r="O165" s="2">
        <f t="shared" ca="1" si="58"/>
        <v>7.2142857142857144</v>
      </c>
      <c r="P165" s="2">
        <f t="shared" ca="1" si="53"/>
        <v>1.7626904761904765</v>
      </c>
      <c r="Q165" s="2">
        <f t="shared" ca="1" si="54"/>
        <v>0</v>
      </c>
      <c r="R165" s="2">
        <v>0</v>
      </c>
    </row>
    <row r="166" spans="1:18" x14ac:dyDescent="0.2">
      <c r="A166" s="1">
        <v>45170</v>
      </c>
      <c r="B166" s="2">
        <v>34</v>
      </c>
      <c r="C166" s="2">
        <f t="shared" ca="1" si="40"/>
        <v>62.832857142857151</v>
      </c>
      <c r="D166" s="2">
        <f t="shared" ca="1" si="41"/>
        <v>56.436190476190482</v>
      </c>
      <c r="E166" s="2">
        <f t="shared" ca="1" si="42"/>
        <v>50.039523809523814</v>
      </c>
      <c r="F166" s="2">
        <f t="shared" si="57"/>
        <v>43.642857142857146</v>
      </c>
      <c r="G166" s="2">
        <f t="shared" ca="1" si="43"/>
        <v>37.246190476190478</v>
      </c>
      <c r="H166" s="2">
        <f t="shared" ca="1" si="44"/>
        <v>30.849523809523809</v>
      </c>
      <c r="I166" s="2">
        <f t="shared" ca="1" si="45"/>
        <v>24.452857142857145</v>
      </c>
      <c r="J166">
        <f t="shared" ca="1" si="47"/>
        <v>34</v>
      </c>
      <c r="K166" s="2">
        <f t="shared" ca="1" si="48"/>
        <v>19</v>
      </c>
      <c r="L166" s="2">
        <f t="shared" ca="1" si="49"/>
        <v>23.56907142857143</v>
      </c>
      <c r="M166" s="2">
        <f t="shared" ca="1" si="50"/>
        <v>18.117476190476189</v>
      </c>
      <c r="N166" s="2">
        <f t="shared" ca="1" si="51"/>
        <v>12.665880952380952</v>
      </c>
      <c r="O166" s="2">
        <f t="shared" ca="1" si="58"/>
        <v>7.2142857142857144</v>
      </c>
      <c r="P166" s="2">
        <f t="shared" ca="1" si="53"/>
        <v>1.7626904761904765</v>
      </c>
      <c r="Q166" s="2">
        <f t="shared" ca="1" si="54"/>
        <v>0</v>
      </c>
      <c r="R166" s="2">
        <v>0</v>
      </c>
    </row>
    <row r="167" spans="1:18" x14ac:dyDescent="0.2">
      <c r="A167" s="1">
        <v>45200</v>
      </c>
      <c r="B167" s="2">
        <v>36</v>
      </c>
      <c r="C167" s="2">
        <f t="shared" ca="1" si="40"/>
        <v>62.832857142857151</v>
      </c>
      <c r="D167" s="2">
        <f t="shared" ca="1" si="41"/>
        <v>56.436190476190482</v>
      </c>
      <c r="E167" s="2">
        <f t="shared" ca="1" si="42"/>
        <v>50.039523809523814</v>
      </c>
      <c r="F167" s="2">
        <f t="shared" si="57"/>
        <v>43.642857142857146</v>
      </c>
      <c r="G167" s="2">
        <f t="shared" ca="1" si="43"/>
        <v>37.246190476190478</v>
      </c>
      <c r="H167" s="2">
        <f t="shared" ca="1" si="44"/>
        <v>30.849523809523809</v>
      </c>
      <c r="I167" s="2">
        <f t="shared" ca="1" si="45"/>
        <v>24.452857142857145</v>
      </c>
      <c r="J167">
        <f t="shared" ca="1" si="47"/>
        <v>36</v>
      </c>
      <c r="K167" s="2">
        <f t="shared" ca="1" si="48"/>
        <v>2</v>
      </c>
      <c r="L167" s="2">
        <f t="shared" ca="1" si="49"/>
        <v>23.56907142857143</v>
      </c>
      <c r="M167" s="2">
        <f t="shared" ca="1" si="50"/>
        <v>18.117476190476189</v>
      </c>
      <c r="N167" s="2">
        <f t="shared" ca="1" si="51"/>
        <v>12.665880952380952</v>
      </c>
      <c r="O167" s="2">
        <f t="shared" ca="1" si="58"/>
        <v>7.2142857142857144</v>
      </c>
      <c r="P167" s="2">
        <f t="shared" ca="1" si="53"/>
        <v>1.7626904761904765</v>
      </c>
      <c r="Q167" s="2">
        <f t="shared" ca="1" si="54"/>
        <v>0</v>
      </c>
      <c r="R167" s="2">
        <v>0</v>
      </c>
    </row>
    <row r="168" spans="1:18" x14ac:dyDescent="0.2">
      <c r="A168" s="1">
        <v>45231</v>
      </c>
      <c r="B168" s="2">
        <v>38</v>
      </c>
      <c r="C168" s="2">
        <f t="shared" ca="1" si="40"/>
        <v>62.832857142857151</v>
      </c>
      <c r="D168" s="2">
        <f t="shared" ca="1" si="41"/>
        <v>56.436190476190482</v>
      </c>
      <c r="E168" s="2">
        <f t="shared" ca="1" si="42"/>
        <v>50.039523809523814</v>
      </c>
      <c r="F168" s="2">
        <f t="shared" si="57"/>
        <v>43.642857142857146</v>
      </c>
      <c r="G168" s="2">
        <f t="shared" ca="1" si="43"/>
        <v>37.246190476190478</v>
      </c>
      <c r="H168" s="2">
        <f t="shared" ca="1" si="44"/>
        <v>30.849523809523809</v>
      </c>
      <c r="I168" s="2">
        <f t="shared" ca="1" si="45"/>
        <v>24.452857142857145</v>
      </c>
      <c r="J168">
        <f t="shared" ca="1" si="47"/>
        <v>38</v>
      </c>
      <c r="K168" s="2">
        <f t="shared" ca="1" si="48"/>
        <v>2</v>
      </c>
      <c r="L168" s="2">
        <f t="shared" ca="1" si="49"/>
        <v>23.56907142857143</v>
      </c>
      <c r="M168" s="2">
        <f t="shared" ca="1" si="50"/>
        <v>18.117476190476189</v>
      </c>
      <c r="N168" s="2">
        <f t="shared" ca="1" si="51"/>
        <v>12.665880952380952</v>
      </c>
      <c r="O168" s="2">
        <f t="shared" ca="1" si="58"/>
        <v>7.2142857142857144</v>
      </c>
      <c r="P168" s="2">
        <f t="shared" ca="1" si="53"/>
        <v>1.7626904761904765</v>
      </c>
      <c r="Q168" s="2">
        <f t="shared" ca="1" si="54"/>
        <v>0</v>
      </c>
      <c r="R168" s="2">
        <v>0</v>
      </c>
    </row>
    <row r="169" spans="1:18" x14ac:dyDescent="0.2">
      <c r="A169" s="1">
        <v>45261</v>
      </c>
      <c r="B169" s="2">
        <v>48</v>
      </c>
      <c r="C169" s="2">
        <f t="shared" ca="1" si="40"/>
        <v>62.832857142857151</v>
      </c>
      <c r="D169" s="2">
        <f t="shared" ca="1" si="41"/>
        <v>56.436190476190482</v>
      </c>
      <c r="E169" s="2">
        <f t="shared" ca="1" si="42"/>
        <v>50.039523809523814</v>
      </c>
      <c r="F169" s="2">
        <f t="shared" si="57"/>
        <v>43.642857142857146</v>
      </c>
      <c r="G169" s="2">
        <f t="shared" ca="1" si="43"/>
        <v>37.246190476190478</v>
      </c>
      <c r="H169" s="2">
        <f t="shared" ca="1" si="44"/>
        <v>30.849523809523809</v>
      </c>
      <c r="I169" s="2">
        <f t="shared" ca="1" si="45"/>
        <v>24.452857142857145</v>
      </c>
      <c r="J169">
        <f t="shared" ca="1" si="47"/>
        <v>48</v>
      </c>
      <c r="K169" s="2">
        <f t="shared" ca="1" si="48"/>
        <v>10</v>
      </c>
      <c r="L169" s="2">
        <f t="shared" ca="1" si="49"/>
        <v>23.56907142857143</v>
      </c>
      <c r="M169" s="2">
        <f t="shared" ca="1" si="50"/>
        <v>18.117476190476189</v>
      </c>
      <c r="N169" s="2">
        <f t="shared" ca="1" si="51"/>
        <v>12.665880952380952</v>
      </c>
      <c r="O169" s="2">
        <f t="shared" ca="1" si="58"/>
        <v>7.2142857142857144</v>
      </c>
      <c r="P169" s="2">
        <f t="shared" ca="1" si="53"/>
        <v>1.7626904761904765</v>
      </c>
      <c r="Q169" s="2">
        <f t="shared" ca="1" si="54"/>
        <v>0</v>
      </c>
      <c r="R169" s="2">
        <v>0</v>
      </c>
    </row>
    <row r="170" spans="1:18" x14ac:dyDescent="0.2">
      <c r="A170" s="3">
        <v>45292</v>
      </c>
      <c r="B170" s="4">
        <v>68</v>
      </c>
      <c r="C170" s="2">
        <f t="shared" ca="1" si="40"/>
        <v>62.832857142857151</v>
      </c>
      <c r="D170" s="2">
        <f t="shared" ca="1" si="41"/>
        <v>56.436190476190482</v>
      </c>
      <c r="E170" s="2">
        <f t="shared" ca="1" si="42"/>
        <v>50.039523809523814</v>
      </c>
      <c r="F170" s="2">
        <f t="shared" si="57"/>
        <v>43.642857142857146</v>
      </c>
      <c r="G170" s="2">
        <f t="shared" ca="1" si="43"/>
        <v>37.246190476190478</v>
      </c>
      <c r="H170" s="2">
        <f t="shared" ca="1" si="44"/>
        <v>30.849523809523809</v>
      </c>
      <c r="I170" s="2">
        <f t="shared" ca="1" si="45"/>
        <v>24.452857142857145</v>
      </c>
      <c r="J170">
        <f t="shared" ca="1" si="47"/>
        <v>68</v>
      </c>
      <c r="K170" s="2">
        <f t="shared" ca="1" si="48"/>
        <v>20</v>
      </c>
      <c r="L170" s="2">
        <f t="shared" ca="1" si="49"/>
        <v>23.56907142857143</v>
      </c>
      <c r="M170" s="2">
        <f t="shared" ca="1" si="50"/>
        <v>18.117476190476189</v>
      </c>
      <c r="N170" s="2">
        <f t="shared" ca="1" si="51"/>
        <v>12.665880952380952</v>
      </c>
      <c r="O170" s="2">
        <f t="shared" ca="1" si="58"/>
        <v>7.2142857142857144</v>
      </c>
      <c r="P170" s="2">
        <f t="shared" ca="1" si="53"/>
        <v>1.7626904761904765</v>
      </c>
      <c r="Q170" s="2">
        <f t="shared" ca="1" si="54"/>
        <v>0</v>
      </c>
      <c r="R170" s="2">
        <v>0</v>
      </c>
    </row>
    <row r="171" spans="1:18" x14ac:dyDescent="0.2">
      <c r="A171" s="1">
        <v>45323</v>
      </c>
      <c r="B171" s="2">
        <v>35</v>
      </c>
      <c r="C171" s="4">
        <f t="shared" ca="1" si="40"/>
        <v>58.565333333333335</v>
      </c>
      <c r="D171" s="4">
        <f t="shared" ca="1" si="41"/>
        <v>50.999111111111112</v>
      </c>
      <c r="E171" s="4">
        <f t="shared" ca="1" si="42"/>
        <v>43.43288888888889</v>
      </c>
      <c r="F171" s="4">
        <f t="shared" ref="F171:F185" si="59">AVERAGE($B$171:$B$185)</f>
        <v>35.866666666666667</v>
      </c>
      <c r="G171" s="4">
        <f t="shared" ca="1" si="43"/>
        <v>28.300444444444445</v>
      </c>
      <c r="H171" s="4">
        <f t="shared" ca="1" si="44"/>
        <v>20.734222222222222</v>
      </c>
      <c r="I171" s="4">
        <f t="shared" ca="1" si="45"/>
        <v>13.167999999999999</v>
      </c>
      <c r="J171" s="5">
        <f t="shared" ca="1" si="47"/>
        <v>35</v>
      </c>
      <c r="K171" s="4">
        <f t="shared" ca="1" si="48"/>
        <v>33</v>
      </c>
      <c r="L171" s="2">
        <f t="shared" ca="1" si="49"/>
        <v>27.878399999999999</v>
      </c>
      <c r="M171" s="2">
        <f t="shared" ca="1" si="50"/>
        <v>21.430044444444444</v>
      </c>
      <c r="N171" s="2">
        <f t="shared" ca="1" si="51"/>
        <v>14.98168888888889</v>
      </c>
      <c r="O171" s="2">
        <f t="shared" ref="O171:O185" ca="1" si="60">AVERAGE($K$171:$K$185)</f>
        <v>8.5333333333333332</v>
      </c>
      <c r="P171" s="2">
        <f t="shared" ca="1" si="53"/>
        <v>2.0849777777777776</v>
      </c>
      <c r="Q171" s="2">
        <f t="shared" ca="1" si="54"/>
        <v>0</v>
      </c>
      <c r="R171" s="2">
        <v>0</v>
      </c>
    </row>
    <row r="172" spans="1:18" x14ac:dyDescent="0.2">
      <c r="A172" s="1">
        <v>45352</v>
      </c>
      <c r="B172" s="2">
        <v>47</v>
      </c>
      <c r="C172" s="2">
        <f t="shared" ca="1" si="40"/>
        <v>58.565333333333335</v>
      </c>
      <c r="D172" s="2">
        <f t="shared" ca="1" si="41"/>
        <v>50.999111111111112</v>
      </c>
      <c r="E172" s="2">
        <f t="shared" ca="1" si="42"/>
        <v>43.43288888888889</v>
      </c>
      <c r="F172" s="2">
        <f t="shared" si="59"/>
        <v>35.866666666666667</v>
      </c>
      <c r="G172" s="2">
        <f t="shared" ca="1" si="43"/>
        <v>28.300444444444445</v>
      </c>
      <c r="H172" s="2">
        <f t="shared" ca="1" si="44"/>
        <v>20.734222222222222</v>
      </c>
      <c r="I172" s="2">
        <f t="shared" ca="1" si="45"/>
        <v>13.167999999999999</v>
      </c>
      <c r="J172">
        <f t="shared" ca="1" si="47"/>
        <v>47</v>
      </c>
      <c r="K172" s="2">
        <f t="shared" ca="1" si="48"/>
        <v>12</v>
      </c>
      <c r="L172" s="2">
        <f t="shared" ca="1" si="49"/>
        <v>27.878399999999999</v>
      </c>
      <c r="M172" s="2">
        <f t="shared" ca="1" si="50"/>
        <v>21.430044444444444</v>
      </c>
      <c r="N172" s="2">
        <f t="shared" ca="1" si="51"/>
        <v>14.98168888888889</v>
      </c>
      <c r="O172" s="2">
        <f t="shared" ca="1" si="60"/>
        <v>8.5333333333333332</v>
      </c>
      <c r="P172" s="2">
        <f t="shared" ca="1" si="53"/>
        <v>2.0849777777777776</v>
      </c>
      <c r="Q172" s="2">
        <f t="shared" ca="1" si="54"/>
        <v>0</v>
      </c>
      <c r="R172" s="2">
        <v>0</v>
      </c>
    </row>
    <row r="173" spans="1:18" x14ac:dyDescent="0.2">
      <c r="A173" s="1">
        <v>45383</v>
      </c>
      <c r="B173" s="2">
        <v>36</v>
      </c>
      <c r="C173" s="2">
        <f t="shared" ca="1" si="40"/>
        <v>58.565333333333335</v>
      </c>
      <c r="D173" s="2">
        <f t="shared" ca="1" si="41"/>
        <v>50.999111111111112</v>
      </c>
      <c r="E173" s="2">
        <f t="shared" ca="1" si="42"/>
        <v>43.43288888888889</v>
      </c>
      <c r="F173" s="2">
        <f t="shared" si="59"/>
        <v>35.866666666666667</v>
      </c>
      <c r="G173" s="2">
        <f t="shared" ca="1" si="43"/>
        <v>28.300444444444445</v>
      </c>
      <c r="H173" s="2">
        <f t="shared" ca="1" si="44"/>
        <v>20.734222222222222</v>
      </c>
      <c r="I173" s="2">
        <f t="shared" ca="1" si="45"/>
        <v>13.167999999999999</v>
      </c>
      <c r="J173">
        <f t="shared" ca="1" si="47"/>
        <v>36</v>
      </c>
      <c r="K173" s="2">
        <f t="shared" ca="1" si="48"/>
        <v>11</v>
      </c>
      <c r="L173" s="2">
        <f t="shared" ca="1" si="49"/>
        <v>27.878399999999999</v>
      </c>
      <c r="M173" s="2">
        <f t="shared" ca="1" si="50"/>
        <v>21.430044444444444</v>
      </c>
      <c r="N173" s="2">
        <f t="shared" ca="1" si="51"/>
        <v>14.98168888888889</v>
      </c>
      <c r="O173" s="2">
        <f t="shared" ca="1" si="60"/>
        <v>8.5333333333333332</v>
      </c>
      <c r="P173" s="2">
        <f t="shared" ca="1" si="53"/>
        <v>2.0849777777777776</v>
      </c>
      <c r="Q173" s="2">
        <f t="shared" ca="1" si="54"/>
        <v>0</v>
      </c>
      <c r="R173" s="2">
        <v>0</v>
      </c>
    </row>
    <row r="174" spans="1:18" x14ac:dyDescent="0.2">
      <c r="A174" s="1">
        <v>45413</v>
      </c>
      <c r="B174" s="2">
        <v>36</v>
      </c>
      <c r="C174" s="2">
        <f t="shared" ca="1" si="40"/>
        <v>58.565333333333335</v>
      </c>
      <c r="D174" s="2">
        <f t="shared" ca="1" si="41"/>
        <v>50.999111111111112</v>
      </c>
      <c r="E174" s="2">
        <f t="shared" ca="1" si="42"/>
        <v>43.43288888888889</v>
      </c>
      <c r="F174" s="2">
        <f t="shared" si="59"/>
        <v>35.866666666666667</v>
      </c>
      <c r="G174" s="2">
        <f t="shared" ca="1" si="43"/>
        <v>28.300444444444445</v>
      </c>
      <c r="H174" s="2">
        <f t="shared" ca="1" si="44"/>
        <v>20.734222222222222</v>
      </c>
      <c r="I174" s="2">
        <f t="shared" ca="1" si="45"/>
        <v>13.167999999999999</v>
      </c>
      <c r="J174">
        <f t="shared" ca="1" si="47"/>
        <v>36</v>
      </c>
      <c r="K174" s="2">
        <f t="shared" ca="1" si="48"/>
        <v>0</v>
      </c>
      <c r="L174" s="2">
        <f t="shared" ca="1" si="49"/>
        <v>27.878399999999999</v>
      </c>
      <c r="M174" s="2">
        <f t="shared" ca="1" si="50"/>
        <v>21.430044444444444</v>
      </c>
      <c r="N174" s="2">
        <f t="shared" ca="1" si="51"/>
        <v>14.98168888888889</v>
      </c>
      <c r="O174" s="2">
        <f t="shared" ca="1" si="60"/>
        <v>8.5333333333333332</v>
      </c>
      <c r="P174" s="2">
        <f t="shared" ca="1" si="53"/>
        <v>2.0849777777777776</v>
      </c>
      <c r="Q174" s="2">
        <f t="shared" ca="1" si="54"/>
        <v>0</v>
      </c>
      <c r="R174" s="2">
        <v>0</v>
      </c>
    </row>
    <row r="175" spans="1:18" x14ac:dyDescent="0.2">
      <c r="A175" s="1">
        <v>45444</v>
      </c>
      <c r="B175" s="2">
        <v>52</v>
      </c>
      <c r="C175" s="2">
        <f t="shared" ca="1" si="40"/>
        <v>58.565333333333335</v>
      </c>
      <c r="D175" s="2">
        <f t="shared" ca="1" si="41"/>
        <v>50.999111111111112</v>
      </c>
      <c r="E175" s="2">
        <f t="shared" ca="1" si="42"/>
        <v>43.43288888888889</v>
      </c>
      <c r="F175" s="2">
        <f t="shared" si="59"/>
        <v>35.866666666666667</v>
      </c>
      <c r="G175" s="2">
        <f t="shared" ca="1" si="43"/>
        <v>28.300444444444445</v>
      </c>
      <c r="H175" s="2">
        <f t="shared" ca="1" si="44"/>
        <v>20.734222222222222</v>
      </c>
      <c r="I175" s="2">
        <f t="shared" ca="1" si="45"/>
        <v>13.167999999999999</v>
      </c>
      <c r="J175">
        <f t="shared" ca="1" si="47"/>
        <v>52</v>
      </c>
      <c r="K175" s="2">
        <f t="shared" ca="1" si="48"/>
        <v>16</v>
      </c>
      <c r="L175" s="2">
        <f t="shared" ca="1" si="49"/>
        <v>27.878399999999999</v>
      </c>
      <c r="M175" s="2">
        <f t="shared" ca="1" si="50"/>
        <v>21.430044444444444</v>
      </c>
      <c r="N175" s="2">
        <f t="shared" ca="1" si="51"/>
        <v>14.98168888888889</v>
      </c>
      <c r="O175" s="2">
        <f t="shared" ca="1" si="60"/>
        <v>8.5333333333333332</v>
      </c>
      <c r="P175" s="2">
        <f t="shared" ca="1" si="53"/>
        <v>2.0849777777777776</v>
      </c>
      <c r="Q175" s="2">
        <f t="shared" ca="1" si="54"/>
        <v>0</v>
      </c>
      <c r="R175" s="2">
        <v>0</v>
      </c>
    </row>
    <row r="176" spans="1:18" x14ac:dyDescent="0.2">
      <c r="A176" s="1">
        <v>45474</v>
      </c>
      <c r="B176" s="2">
        <v>43</v>
      </c>
      <c r="C176" s="2">
        <f t="shared" ca="1" si="40"/>
        <v>58.565333333333335</v>
      </c>
      <c r="D176" s="2">
        <f t="shared" ca="1" si="41"/>
        <v>50.999111111111112</v>
      </c>
      <c r="E176" s="2">
        <f t="shared" ca="1" si="42"/>
        <v>43.43288888888889</v>
      </c>
      <c r="F176" s="2">
        <f t="shared" si="59"/>
        <v>35.866666666666667</v>
      </c>
      <c r="G176" s="2">
        <f t="shared" ca="1" si="43"/>
        <v>28.300444444444445</v>
      </c>
      <c r="H176" s="2">
        <f t="shared" ca="1" si="44"/>
        <v>20.734222222222222</v>
      </c>
      <c r="I176" s="2">
        <f t="shared" ca="1" si="45"/>
        <v>13.167999999999999</v>
      </c>
      <c r="J176">
        <f t="shared" ca="1" si="47"/>
        <v>43</v>
      </c>
      <c r="K176" s="2">
        <f t="shared" ca="1" si="48"/>
        <v>9</v>
      </c>
      <c r="L176" s="2">
        <f t="shared" ca="1" si="49"/>
        <v>27.878399999999999</v>
      </c>
      <c r="M176" s="2">
        <f t="shared" ca="1" si="50"/>
        <v>21.430044444444444</v>
      </c>
      <c r="N176" s="2">
        <f t="shared" ca="1" si="51"/>
        <v>14.98168888888889</v>
      </c>
      <c r="O176" s="2">
        <f t="shared" ca="1" si="60"/>
        <v>8.5333333333333332</v>
      </c>
      <c r="P176" s="2">
        <f t="shared" ca="1" si="53"/>
        <v>2.0849777777777776</v>
      </c>
      <c r="Q176" s="2">
        <f t="shared" ca="1" si="54"/>
        <v>0</v>
      </c>
      <c r="R176" s="2">
        <v>0</v>
      </c>
    </row>
    <row r="177" spans="1:18" x14ac:dyDescent="0.2">
      <c r="A177" s="1">
        <v>45505</v>
      </c>
      <c r="B177" s="2">
        <v>31</v>
      </c>
      <c r="C177" s="2">
        <f t="shared" ca="1" si="40"/>
        <v>58.565333333333335</v>
      </c>
      <c r="D177" s="2">
        <f t="shared" ca="1" si="41"/>
        <v>50.999111111111112</v>
      </c>
      <c r="E177" s="2">
        <f t="shared" ca="1" si="42"/>
        <v>43.43288888888889</v>
      </c>
      <c r="F177" s="2">
        <f t="shared" si="59"/>
        <v>35.866666666666667</v>
      </c>
      <c r="G177" s="2">
        <f t="shared" ca="1" si="43"/>
        <v>28.300444444444445</v>
      </c>
      <c r="H177" s="2">
        <f t="shared" ca="1" si="44"/>
        <v>20.734222222222222</v>
      </c>
      <c r="I177" s="2">
        <f t="shared" ca="1" si="45"/>
        <v>13.167999999999999</v>
      </c>
      <c r="J177">
        <f t="shared" ca="1" si="47"/>
        <v>31</v>
      </c>
      <c r="K177" s="2">
        <f t="shared" ca="1" si="48"/>
        <v>12</v>
      </c>
      <c r="L177" s="2">
        <f t="shared" ca="1" si="49"/>
        <v>27.878399999999999</v>
      </c>
      <c r="M177" s="2">
        <f t="shared" ca="1" si="50"/>
        <v>21.430044444444444</v>
      </c>
      <c r="N177" s="2">
        <f t="shared" ca="1" si="51"/>
        <v>14.98168888888889</v>
      </c>
      <c r="O177" s="2">
        <f t="shared" ca="1" si="60"/>
        <v>8.5333333333333332</v>
      </c>
      <c r="P177" s="2">
        <f t="shared" ca="1" si="53"/>
        <v>2.0849777777777776</v>
      </c>
      <c r="Q177" s="2">
        <f t="shared" ca="1" si="54"/>
        <v>0</v>
      </c>
      <c r="R177" s="2">
        <v>0</v>
      </c>
    </row>
    <row r="178" spans="1:18" x14ac:dyDescent="0.2">
      <c r="A178" s="1">
        <v>45536</v>
      </c>
      <c r="B178" s="2">
        <v>32</v>
      </c>
      <c r="C178" s="2">
        <f t="shared" ca="1" si="40"/>
        <v>58.565333333333335</v>
      </c>
      <c r="D178" s="2">
        <f t="shared" ca="1" si="41"/>
        <v>50.999111111111112</v>
      </c>
      <c r="E178" s="2">
        <f t="shared" ca="1" si="42"/>
        <v>43.43288888888889</v>
      </c>
      <c r="F178" s="2">
        <f t="shared" si="59"/>
        <v>35.866666666666667</v>
      </c>
      <c r="G178" s="2">
        <f t="shared" ca="1" si="43"/>
        <v>28.300444444444445</v>
      </c>
      <c r="H178" s="2">
        <f t="shared" ca="1" si="44"/>
        <v>20.734222222222222</v>
      </c>
      <c r="I178" s="2">
        <f t="shared" ca="1" si="45"/>
        <v>13.167999999999999</v>
      </c>
      <c r="J178">
        <f t="shared" ca="1" si="47"/>
        <v>32</v>
      </c>
      <c r="K178" s="2">
        <f t="shared" ca="1" si="48"/>
        <v>1</v>
      </c>
      <c r="L178" s="2">
        <f t="shared" ca="1" si="49"/>
        <v>27.878399999999999</v>
      </c>
      <c r="M178" s="2">
        <f t="shared" ca="1" si="50"/>
        <v>21.430044444444444</v>
      </c>
      <c r="N178" s="2">
        <f t="shared" ca="1" si="51"/>
        <v>14.98168888888889</v>
      </c>
      <c r="O178" s="2">
        <f t="shared" ca="1" si="60"/>
        <v>8.5333333333333332</v>
      </c>
      <c r="P178" s="2">
        <f t="shared" ca="1" si="53"/>
        <v>2.0849777777777776</v>
      </c>
      <c r="Q178" s="2">
        <f t="shared" ca="1" si="54"/>
        <v>0</v>
      </c>
      <c r="R178" s="2">
        <v>0</v>
      </c>
    </row>
    <row r="179" spans="1:18" x14ac:dyDescent="0.2">
      <c r="A179" s="1">
        <v>45566</v>
      </c>
      <c r="B179" s="2">
        <v>24</v>
      </c>
      <c r="C179" s="2">
        <f t="shared" ca="1" si="40"/>
        <v>58.565333333333335</v>
      </c>
      <c r="D179" s="2">
        <f t="shared" ca="1" si="41"/>
        <v>50.999111111111112</v>
      </c>
      <c r="E179" s="2">
        <f t="shared" ca="1" si="42"/>
        <v>43.43288888888889</v>
      </c>
      <c r="F179" s="2">
        <f t="shared" si="59"/>
        <v>35.866666666666667</v>
      </c>
      <c r="G179" s="2">
        <f t="shared" ca="1" si="43"/>
        <v>28.300444444444445</v>
      </c>
      <c r="H179" s="2">
        <f t="shared" ca="1" si="44"/>
        <v>20.734222222222222</v>
      </c>
      <c r="I179" s="2">
        <f t="shared" ca="1" si="45"/>
        <v>13.167999999999999</v>
      </c>
      <c r="J179">
        <f t="shared" ca="1" si="47"/>
        <v>24</v>
      </c>
      <c r="K179" s="2">
        <f t="shared" ca="1" si="48"/>
        <v>8</v>
      </c>
      <c r="L179" s="2">
        <f t="shared" ca="1" si="49"/>
        <v>27.878399999999999</v>
      </c>
      <c r="M179" s="2">
        <f t="shared" ca="1" si="50"/>
        <v>21.430044444444444</v>
      </c>
      <c r="N179" s="2">
        <f t="shared" ca="1" si="51"/>
        <v>14.98168888888889</v>
      </c>
      <c r="O179" s="2">
        <f t="shared" ca="1" si="60"/>
        <v>8.5333333333333332</v>
      </c>
      <c r="P179" s="2">
        <f t="shared" ca="1" si="53"/>
        <v>2.0849777777777776</v>
      </c>
      <c r="Q179" s="2">
        <f t="shared" ca="1" si="54"/>
        <v>0</v>
      </c>
      <c r="R179" s="2">
        <v>0</v>
      </c>
    </row>
    <row r="180" spans="1:18" x14ac:dyDescent="0.2">
      <c r="A180" s="1">
        <v>45597</v>
      </c>
      <c r="B180" s="2">
        <v>28</v>
      </c>
      <c r="C180" s="2">
        <f t="shared" ca="1" si="40"/>
        <v>58.565333333333335</v>
      </c>
      <c r="D180" s="2">
        <f t="shared" ca="1" si="41"/>
        <v>50.999111111111112</v>
      </c>
      <c r="E180" s="2">
        <f t="shared" ca="1" si="42"/>
        <v>43.43288888888889</v>
      </c>
      <c r="F180" s="2">
        <f t="shared" si="59"/>
        <v>35.866666666666667</v>
      </c>
      <c r="G180" s="2">
        <f t="shared" ca="1" si="43"/>
        <v>28.300444444444445</v>
      </c>
      <c r="H180" s="2">
        <f t="shared" ca="1" si="44"/>
        <v>20.734222222222222</v>
      </c>
      <c r="I180" s="2">
        <f t="shared" ca="1" si="45"/>
        <v>13.167999999999999</v>
      </c>
      <c r="J180">
        <f t="shared" ca="1" si="47"/>
        <v>28</v>
      </c>
      <c r="K180" s="2">
        <f t="shared" ca="1" si="48"/>
        <v>4</v>
      </c>
      <c r="L180" s="2">
        <f t="shared" ca="1" si="49"/>
        <v>27.878399999999999</v>
      </c>
      <c r="M180" s="2">
        <f t="shared" ca="1" si="50"/>
        <v>21.430044444444444</v>
      </c>
      <c r="N180" s="2">
        <f t="shared" ca="1" si="51"/>
        <v>14.98168888888889</v>
      </c>
      <c r="O180" s="2">
        <f t="shared" ca="1" si="60"/>
        <v>8.5333333333333332</v>
      </c>
      <c r="P180" s="2">
        <f t="shared" ca="1" si="53"/>
        <v>2.0849777777777776</v>
      </c>
      <c r="Q180" s="2">
        <f t="shared" ca="1" si="54"/>
        <v>0</v>
      </c>
      <c r="R180" s="2">
        <v>0</v>
      </c>
    </row>
    <row r="181" spans="1:18" x14ac:dyDescent="0.2">
      <c r="A181" s="1">
        <v>45627</v>
      </c>
      <c r="B181" s="2">
        <v>27</v>
      </c>
      <c r="C181" s="2">
        <f t="shared" ca="1" si="40"/>
        <v>58.565333333333335</v>
      </c>
      <c r="D181" s="2">
        <f t="shared" ca="1" si="41"/>
        <v>50.999111111111112</v>
      </c>
      <c r="E181" s="2">
        <f t="shared" ca="1" si="42"/>
        <v>43.43288888888889</v>
      </c>
      <c r="F181" s="2">
        <f t="shared" si="59"/>
        <v>35.866666666666667</v>
      </c>
      <c r="G181" s="2">
        <f t="shared" ca="1" si="43"/>
        <v>28.300444444444445</v>
      </c>
      <c r="H181" s="2">
        <f t="shared" ca="1" si="44"/>
        <v>20.734222222222222</v>
      </c>
      <c r="I181" s="2">
        <f t="shared" ca="1" si="45"/>
        <v>13.167999999999999</v>
      </c>
      <c r="J181">
        <f t="shared" ca="1" si="47"/>
        <v>27</v>
      </c>
      <c r="K181" s="2">
        <f t="shared" ca="1" si="48"/>
        <v>1</v>
      </c>
      <c r="L181" s="2">
        <f t="shared" ca="1" si="49"/>
        <v>27.878399999999999</v>
      </c>
      <c r="M181" s="2">
        <f t="shared" ca="1" si="50"/>
        <v>21.430044444444444</v>
      </c>
      <c r="N181" s="2">
        <f t="shared" ca="1" si="51"/>
        <v>14.98168888888889</v>
      </c>
      <c r="O181" s="2">
        <f t="shared" ca="1" si="60"/>
        <v>8.5333333333333332</v>
      </c>
      <c r="P181" s="2">
        <f t="shared" ca="1" si="53"/>
        <v>2.0849777777777776</v>
      </c>
      <c r="Q181" s="2">
        <f t="shared" ca="1" si="54"/>
        <v>0</v>
      </c>
      <c r="R181" s="2">
        <v>0</v>
      </c>
    </row>
    <row r="182" spans="1:18" x14ac:dyDescent="0.2">
      <c r="A182" s="1">
        <v>45658</v>
      </c>
      <c r="B182" s="2">
        <v>41</v>
      </c>
      <c r="C182" s="2">
        <f t="shared" ca="1" si="40"/>
        <v>58.565333333333335</v>
      </c>
      <c r="D182" s="2">
        <f t="shared" ca="1" si="41"/>
        <v>50.999111111111112</v>
      </c>
      <c r="E182" s="2">
        <f t="shared" ca="1" si="42"/>
        <v>43.43288888888889</v>
      </c>
      <c r="F182" s="2">
        <f t="shared" si="59"/>
        <v>35.866666666666667</v>
      </c>
      <c r="G182" s="2">
        <f t="shared" ca="1" si="43"/>
        <v>28.300444444444445</v>
      </c>
      <c r="H182" s="2">
        <f t="shared" ca="1" si="44"/>
        <v>20.734222222222222</v>
      </c>
      <c r="I182" s="2">
        <f t="shared" ca="1" si="45"/>
        <v>13.167999999999999</v>
      </c>
      <c r="J182">
        <f t="shared" ca="1" si="47"/>
        <v>41</v>
      </c>
      <c r="K182" s="2">
        <f t="shared" ca="1" si="48"/>
        <v>14</v>
      </c>
      <c r="L182" s="2">
        <f t="shared" ca="1" si="49"/>
        <v>27.878399999999999</v>
      </c>
      <c r="M182" s="2">
        <f t="shared" ca="1" si="50"/>
        <v>21.430044444444444</v>
      </c>
      <c r="N182" s="2">
        <f t="shared" ca="1" si="51"/>
        <v>14.98168888888889</v>
      </c>
      <c r="O182" s="2">
        <f t="shared" ca="1" si="60"/>
        <v>8.5333333333333332</v>
      </c>
      <c r="P182" s="2">
        <f t="shared" ca="1" si="53"/>
        <v>2.0849777777777776</v>
      </c>
      <c r="Q182" s="2">
        <f t="shared" ca="1" si="54"/>
        <v>0</v>
      </c>
      <c r="R182" s="2">
        <v>0</v>
      </c>
    </row>
    <row r="183" spans="1:18" x14ac:dyDescent="0.2">
      <c r="A183" s="1">
        <v>45689</v>
      </c>
      <c r="B183" s="2">
        <v>36</v>
      </c>
      <c r="C183" s="2">
        <f t="shared" ca="1" si="40"/>
        <v>58.565333333333335</v>
      </c>
      <c r="D183" s="2">
        <f t="shared" ca="1" si="41"/>
        <v>50.999111111111112</v>
      </c>
      <c r="E183" s="2">
        <f t="shared" ca="1" si="42"/>
        <v>43.43288888888889</v>
      </c>
      <c r="F183" s="2">
        <f t="shared" si="59"/>
        <v>35.866666666666667</v>
      </c>
      <c r="G183" s="2">
        <f t="shared" ca="1" si="43"/>
        <v>28.300444444444445</v>
      </c>
      <c r="H183" s="2">
        <f t="shared" ca="1" si="44"/>
        <v>20.734222222222222</v>
      </c>
      <c r="I183" s="2">
        <f t="shared" ca="1" si="45"/>
        <v>13.167999999999999</v>
      </c>
      <c r="J183">
        <f t="shared" ca="1" si="47"/>
        <v>36</v>
      </c>
      <c r="K183" s="2">
        <f t="shared" ca="1" si="48"/>
        <v>5</v>
      </c>
      <c r="L183" s="2">
        <f t="shared" ca="1" si="49"/>
        <v>27.878399999999999</v>
      </c>
      <c r="M183" s="2">
        <f t="shared" ca="1" si="50"/>
        <v>21.430044444444444</v>
      </c>
      <c r="N183" s="2">
        <f t="shared" ca="1" si="51"/>
        <v>14.98168888888889</v>
      </c>
      <c r="O183" s="2">
        <f t="shared" ca="1" si="60"/>
        <v>8.5333333333333332</v>
      </c>
      <c r="P183" s="2">
        <f t="shared" ca="1" si="53"/>
        <v>2.0849777777777776</v>
      </c>
      <c r="Q183" s="2">
        <f t="shared" ca="1" si="54"/>
        <v>0</v>
      </c>
      <c r="R183" s="2">
        <v>0</v>
      </c>
    </row>
    <row r="184" spans="1:18" x14ac:dyDescent="0.2">
      <c r="A184" s="1">
        <v>45717</v>
      </c>
      <c r="B184" s="2">
        <v>36</v>
      </c>
      <c r="C184" s="2">
        <f t="shared" ca="1" si="40"/>
        <v>58.565333333333335</v>
      </c>
      <c r="D184" s="2">
        <f t="shared" ca="1" si="41"/>
        <v>50.999111111111112</v>
      </c>
      <c r="E184" s="2">
        <f t="shared" ca="1" si="42"/>
        <v>43.43288888888889</v>
      </c>
      <c r="F184" s="2">
        <f t="shared" si="59"/>
        <v>35.866666666666667</v>
      </c>
      <c r="G184" s="2">
        <f t="shared" ca="1" si="43"/>
        <v>28.300444444444445</v>
      </c>
      <c r="H184" s="2">
        <f t="shared" ca="1" si="44"/>
        <v>20.734222222222222</v>
      </c>
      <c r="I184" s="2">
        <f t="shared" ca="1" si="45"/>
        <v>13.167999999999999</v>
      </c>
      <c r="J184">
        <f t="shared" ca="1" si="47"/>
        <v>36</v>
      </c>
      <c r="K184" s="2">
        <f t="shared" ca="1" si="48"/>
        <v>0</v>
      </c>
      <c r="L184" s="2">
        <f t="shared" ca="1" si="49"/>
        <v>27.878399999999999</v>
      </c>
      <c r="M184" s="2">
        <f t="shared" ca="1" si="50"/>
        <v>21.430044444444444</v>
      </c>
      <c r="N184" s="2">
        <f t="shared" ca="1" si="51"/>
        <v>14.98168888888889</v>
      </c>
      <c r="O184" s="2">
        <f t="shared" ca="1" si="60"/>
        <v>8.5333333333333332</v>
      </c>
      <c r="P184" s="2">
        <f t="shared" ca="1" si="53"/>
        <v>2.0849777777777776</v>
      </c>
      <c r="Q184" s="2">
        <f t="shared" ca="1" si="54"/>
        <v>0</v>
      </c>
      <c r="R184" s="2">
        <v>0</v>
      </c>
    </row>
    <row r="185" spans="1:18" x14ac:dyDescent="0.2">
      <c r="A185" s="1">
        <v>45748</v>
      </c>
      <c r="B185" s="2">
        <v>34</v>
      </c>
      <c r="C185" s="2">
        <f t="shared" ca="1" si="40"/>
        <v>58.565333333333335</v>
      </c>
      <c r="D185" s="2">
        <f t="shared" ca="1" si="41"/>
        <v>50.999111111111112</v>
      </c>
      <c r="E185" s="2">
        <f t="shared" ca="1" si="42"/>
        <v>43.43288888888889</v>
      </c>
      <c r="F185" s="2">
        <f t="shared" si="59"/>
        <v>35.866666666666667</v>
      </c>
      <c r="G185" s="2">
        <f t="shared" ca="1" si="43"/>
        <v>28.300444444444445</v>
      </c>
      <c r="H185" s="2">
        <f t="shared" ca="1" si="44"/>
        <v>20.734222222222222</v>
      </c>
      <c r="I185" s="2">
        <f t="shared" ca="1" si="45"/>
        <v>13.167999999999999</v>
      </c>
      <c r="J185">
        <f t="shared" ca="1" si="47"/>
        <v>34</v>
      </c>
      <c r="K185" s="2">
        <f t="shared" ca="1" si="48"/>
        <v>2</v>
      </c>
      <c r="L185" s="2">
        <f t="shared" ca="1" si="49"/>
        <v>27.878399999999999</v>
      </c>
      <c r="M185" s="2">
        <f t="shared" ca="1" si="50"/>
        <v>21.430044444444444</v>
      </c>
      <c r="N185" s="2">
        <f t="shared" ca="1" si="51"/>
        <v>14.98168888888889</v>
      </c>
      <c r="O185" s="2">
        <f t="shared" ca="1" si="60"/>
        <v>8.5333333333333332</v>
      </c>
      <c r="P185" s="2">
        <f t="shared" ca="1" si="53"/>
        <v>2.0849777777777776</v>
      </c>
      <c r="Q185" s="2">
        <f t="shared" ca="1" si="54"/>
        <v>0</v>
      </c>
      <c r="R185" s="2">
        <v>0</v>
      </c>
    </row>
    <row r="186" spans="1:18" x14ac:dyDescent="0.2">
      <c r="A186" s="1">
        <v>45778</v>
      </c>
      <c r="B186" s="2">
        <v>55</v>
      </c>
      <c r="C186" s="2">
        <f t="shared" ca="1" si="40"/>
        <v>64.933333333333337</v>
      </c>
      <c r="D186" s="2">
        <f t="shared" ca="1" si="41"/>
        <v>56.06666666666667</v>
      </c>
      <c r="E186" s="2">
        <f t="shared" ca="1" si="42"/>
        <v>47.2</v>
      </c>
      <c r="F186" s="2">
        <f t="shared" ref="F186:F214" si="61">AVERAGE($B$186:$B$194)</f>
        <v>38.333333333333336</v>
      </c>
      <c r="G186" s="2">
        <f t="shared" ca="1" si="43"/>
        <v>29.466666666666669</v>
      </c>
      <c r="H186" s="2">
        <f t="shared" ca="1" si="44"/>
        <v>20.6</v>
      </c>
      <c r="I186" s="2">
        <f t="shared" ca="1" si="45"/>
        <v>11.733333333333334</v>
      </c>
      <c r="J186">
        <f t="shared" ca="1" si="47"/>
        <v>55</v>
      </c>
      <c r="K186" s="2">
        <f t="shared" ca="1" si="48"/>
        <v>21</v>
      </c>
      <c r="L186" s="2">
        <f t="shared" ca="1" si="49"/>
        <v>32.67</v>
      </c>
      <c r="M186" s="2">
        <f t="shared" ca="1" si="50"/>
        <v>25.113333333333333</v>
      </c>
      <c r="N186" s="2">
        <f t="shared" ca="1" si="51"/>
        <v>17.556666666666665</v>
      </c>
      <c r="O186" s="2">
        <f t="shared" ref="O186:O214" ca="1" si="62">AVERAGE($K$186:$K$194)</f>
        <v>10</v>
      </c>
      <c r="P186" s="2">
        <f t="shared" ca="1" si="53"/>
        <v>2.4433333333333334</v>
      </c>
      <c r="Q186" s="2">
        <f t="shared" ca="1" si="54"/>
        <v>0</v>
      </c>
      <c r="R186" s="2">
        <v>0</v>
      </c>
    </row>
    <row r="187" spans="1:18" x14ac:dyDescent="0.2">
      <c r="A187" s="1">
        <v>45809</v>
      </c>
      <c r="B187" s="2">
        <v>45</v>
      </c>
      <c r="C187" s="2">
        <f t="shared" ca="1" si="40"/>
        <v>64.933333333333337</v>
      </c>
      <c r="D187" s="2">
        <f t="shared" ca="1" si="41"/>
        <v>56.06666666666667</v>
      </c>
      <c r="E187" s="2">
        <f t="shared" ca="1" si="42"/>
        <v>47.2</v>
      </c>
      <c r="F187" s="2">
        <f t="shared" si="61"/>
        <v>38.333333333333336</v>
      </c>
      <c r="G187" s="2">
        <f t="shared" ca="1" si="43"/>
        <v>29.466666666666669</v>
      </c>
      <c r="H187" s="2">
        <f t="shared" ca="1" si="44"/>
        <v>20.6</v>
      </c>
      <c r="I187" s="2">
        <f t="shared" ca="1" si="45"/>
        <v>11.733333333333334</v>
      </c>
      <c r="J187">
        <f t="shared" ca="1" si="47"/>
        <v>45</v>
      </c>
      <c r="K187" s="2">
        <f t="shared" ca="1" si="48"/>
        <v>10</v>
      </c>
      <c r="L187" s="2">
        <f t="shared" ca="1" si="49"/>
        <v>32.67</v>
      </c>
      <c r="M187" s="2">
        <f t="shared" ca="1" si="50"/>
        <v>25.113333333333333</v>
      </c>
      <c r="N187" s="2">
        <f t="shared" ca="1" si="51"/>
        <v>17.556666666666665</v>
      </c>
      <c r="O187" s="2">
        <f t="shared" ca="1" si="62"/>
        <v>10</v>
      </c>
      <c r="P187" s="2">
        <f t="shared" ca="1" si="53"/>
        <v>2.4433333333333334</v>
      </c>
      <c r="Q187" s="2">
        <f t="shared" ca="1" si="54"/>
        <v>0</v>
      </c>
      <c r="R187" s="2">
        <v>0</v>
      </c>
    </row>
    <row r="188" spans="1:18" x14ac:dyDescent="0.2">
      <c r="A188" s="1">
        <v>45839</v>
      </c>
      <c r="B188" s="2">
        <v>37</v>
      </c>
      <c r="C188" s="2">
        <f t="shared" ca="1" si="40"/>
        <v>64.933333333333337</v>
      </c>
      <c r="D188" s="2">
        <f t="shared" ca="1" si="41"/>
        <v>56.06666666666667</v>
      </c>
      <c r="E188" s="2">
        <f t="shared" ca="1" si="42"/>
        <v>47.2</v>
      </c>
      <c r="F188" s="2">
        <f t="shared" si="61"/>
        <v>38.333333333333336</v>
      </c>
      <c r="G188" s="2">
        <f t="shared" ca="1" si="43"/>
        <v>29.466666666666669</v>
      </c>
      <c r="H188" s="2">
        <f t="shared" ca="1" si="44"/>
        <v>20.6</v>
      </c>
      <c r="I188" s="2">
        <f t="shared" ca="1" si="45"/>
        <v>11.733333333333334</v>
      </c>
      <c r="J188">
        <f t="shared" ca="1" si="47"/>
        <v>37</v>
      </c>
      <c r="K188" s="2">
        <f t="shared" ca="1" si="48"/>
        <v>8</v>
      </c>
      <c r="L188" s="2">
        <f t="shared" ca="1" si="49"/>
        <v>32.67</v>
      </c>
      <c r="M188" s="2">
        <f t="shared" ca="1" si="50"/>
        <v>25.113333333333333</v>
      </c>
      <c r="N188" s="2">
        <f t="shared" ca="1" si="51"/>
        <v>17.556666666666665</v>
      </c>
      <c r="O188" s="2">
        <f t="shared" ca="1" si="62"/>
        <v>10</v>
      </c>
      <c r="P188" s="2">
        <f t="shared" ca="1" si="53"/>
        <v>2.4433333333333334</v>
      </c>
      <c r="Q188" s="2">
        <f t="shared" ca="1" si="54"/>
        <v>0</v>
      </c>
      <c r="R188" s="2">
        <v>0</v>
      </c>
    </row>
    <row r="189" spans="1:18" x14ac:dyDescent="0.2">
      <c r="A189" s="1">
        <v>45870</v>
      </c>
      <c r="B189" s="2">
        <v>34</v>
      </c>
      <c r="C189" s="2">
        <f t="shared" ca="1" si="40"/>
        <v>64.933333333333337</v>
      </c>
      <c r="D189" s="2">
        <f t="shared" ca="1" si="41"/>
        <v>56.06666666666667</v>
      </c>
      <c r="E189" s="2">
        <f t="shared" ca="1" si="42"/>
        <v>47.2</v>
      </c>
      <c r="F189" s="2">
        <f t="shared" si="61"/>
        <v>38.333333333333336</v>
      </c>
      <c r="G189" s="2">
        <f t="shared" ca="1" si="43"/>
        <v>29.466666666666669</v>
      </c>
      <c r="H189" s="2">
        <f t="shared" ca="1" si="44"/>
        <v>20.6</v>
      </c>
      <c r="I189" s="2">
        <f t="shared" ca="1" si="45"/>
        <v>11.733333333333334</v>
      </c>
      <c r="J189">
        <f t="shared" ca="1" si="47"/>
        <v>34</v>
      </c>
      <c r="K189" s="2">
        <f t="shared" ca="1" si="48"/>
        <v>3</v>
      </c>
      <c r="L189" s="2">
        <f t="shared" ca="1" si="49"/>
        <v>32.67</v>
      </c>
      <c r="M189" s="2">
        <f t="shared" ca="1" si="50"/>
        <v>25.113333333333333</v>
      </c>
      <c r="N189" s="2">
        <f t="shared" ca="1" si="51"/>
        <v>17.556666666666665</v>
      </c>
      <c r="O189" s="2">
        <f t="shared" ca="1" si="62"/>
        <v>10</v>
      </c>
      <c r="P189" s="2">
        <f t="shared" ca="1" si="53"/>
        <v>2.4433333333333334</v>
      </c>
      <c r="Q189" s="2">
        <f t="shared" ca="1" si="54"/>
        <v>0</v>
      </c>
      <c r="R189" s="2">
        <v>0</v>
      </c>
    </row>
    <row r="190" spans="1:18" x14ac:dyDescent="0.2">
      <c r="A190" s="1">
        <v>45901</v>
      </c>
      <c r="B190" s="2">
        <v>30</v>
      </c>
      <c r="C190" s="2">
        <f t="shared" ca="1" si="40"/>
        <v>64.933333333333337</v>
      </c>
      <c r="D190" s="2">
        <f t="shared" ca="1" si="41"/>
        <v>56.06666666666667</v>
      </c>
      <c r="E190" s="2">
        <f t="shared" ca="1" si="42"/>
        <v>47.2</v>
      </c>
      <c r="F190" s="2">
        <f t="shared" si="61"/>
        <v>38.333333333333336</v>
      </c>
      <c r="G190" s="2">
        <f t="shared" ca="1" si="43"/>
        <v>29.466666666666669</v>
      </c>
      <c r="H190" s="2">
        <f t="shared" ca="1" si="44"/>
        <v>20.6</v>
      </c>
      <c r="I190" s="2">
        <f t="shared" ca="1" si="45"/>
        <v>11.733333333333334</v>
      </c>
      <c r="J190">
        <f t="shared" ca="1" si="47"/>
        <v>30</v>
      </c>
      <c r="K190" s="2">
        <f t="shared" ca="1" si="48"/>
        <v>4</v>
      </c>
      <c r="L190" s="2">
        <f t="shared" ca="1" si="49"/>
        <v>32.67</v>
      </c>
      <c r="M190" s="2">
        <f t="shared" ca="1" si="50"/>
        <v>25.113333333333333</v>
      </c>
      <c r="N190" s="2">
        <f t="shared" ca="1" si="51"/>
        <v>17.556666666666665</v>
      </c>
      <c r="O190" s="2">
        <f t="shared" ca="1" si="62"/>
        <v>10</v>
      </c>
      <c r="P190" s="2">
        <f t="shared" ca="1" si="53"/>
        <v>2.4433333333333334</v>
      </c>
      <c r="Q190" s="2">
        <f t="shared" ca="1" si="54"/>
        <v>0</v>
      </c>
      <c r="R190" s="2">
        <v>0</v>
      </c>
    </row>
    <row r="191" spans="1:18" x14ac:dyDescent="0.2">
      <c r="A191" s="1">
        <v>45931</v>
      </c>
      <c r="B191" s="2">
        <v>31</v>
      </c>
      <c r="C191" s="2">
        <f t="shared" ca="1" si="40"/>
        <v>64.933333333333337</v>
      </c>
      <c r="D191" s="2">
        <f t="shared" ca="1" si="41"/>
        <v>56.06666666666667</v>
      </c>
      <c r="E191" s="2">
        <f t="shared" ca="1" si="42"/>
        <v>47.2</v>
      </c>
      <c r="F191" s="2">
        <f t="shared" si="61"/>
        <v>38.333333333333336</v>
      </c>
      <c r="G191" s="2">
        <f t="shared" ca="1" si="43"/>
        <v>29.466666666666669</v>
      </c>
      <c r="H191" s="2">
        <f t="shared" ca="1" si="44"/>
        <v>20.6</v>
      </c>
      <c r="I191" s="2">
        <f t="shared" ca="1" si="45"/>
        <v>11.733333333333334</v>
      </c>
      <c r="J191">
        <f t="shared" ca="1" si="47"/>
        <v>31</v>
      </c>
      <c r="K191" s="2">
        <f t="shared" ca="1" si="48"/>
        <v>1</v>
      </c>
      <c r="L191" s="2">
        <f t="shared" ca="1" si="49"/>
        <v>32.67</v>
      </c>
      <c r="M191" s="2">
        <f t="shared" ca="1" si="50"/>
        <v>25.113333333333333</v>
      </c>
      <c r="N191" s="2">
        <f t="shared" ca="1" si="51"/>
        <v>17.556666666666665</v>
      </c>
      <c r="O191" s="2">
        <f t="shared" ca="1" si="62"/>
        <v>10</v>
      </c>
      <c r="P191" s="2">
        <f t="shared" ca="1" si="53"/>
        <v>2.4433333333333334</v>
      </c>
      <c r="Q191" s="2">
        <f t="shared" ca="1" si="54"/>
        <v>0</v>
      </c>
      <c r="R191" s="2">
        <v>0</v>
      </c>
    </row>
    <row r="192" spans="1:18" x14ac:dyDescent="0.2">
      <c r="A192" s="1">
        <v>45962</v>
      </c>
      <c r="B192" s="2">
        <v>31</v>
      </c>
      <c r="C192" s="2">
        <f t="shared" ca="1" si="40"/>
        <v>64.933333333333337</v>
      </c>
      <c r="D192" s="2">
        <f t="shared" ca="1" si="41"/>
        <v>56.06666666666667</v>
      </c>
      <c r="E192" s="2">
        <f t="shared" ca="1" si="42"/>
        <v>47.2</v>
      </c>
      <c r="F192" s="2">
        <f t="shared" si="61"/>
        <v>38.333333333333336</v>
      </c>
      <c r="G192" s="2">
        <f t="shared" ca="1" si="43"/>
        <v>29.466666666666669</v>
      </c>
      <c r="H192" s="2">
        <f t="shared" ca="1" si="44"/>
        <v>20.6</v>
      </c>
      <c r="I192" s="2">
        <f t="shared" ca="1" si="45"/>
        <v>11.733333333333334</v>
      </c>
      <c r="J192">
        <f t="shared" ca="1" si="47"/>
        <v>31</v>
      </c>
      <c r="K192" s="2">
        <f t="shared" ca="1" si="48"/>
        <v>0</v>
      </c>
      <c r="L192" s="2">
        <f t="shared" ca="1" si="49"/>
        <v>32.67</v>
      </c>
      <c r="M192" s="2">
        <f t="shared" ca="1" si="50"/>
        <v>25.113333333333333</v>
      </c>
      <c r="N192" s="2">
        <f t="shared" ca="1" si="51"/>
        <v>17.556666666666665</v>
      </c>
      <c r="O192" s="2">
        <f t="shared" ca="1" si="62"/>
        <v>10</v>
      </c>
      <c r="P192" s="2">
        <f t="shared" ca="1" si="53"/>
        <v>2.4433333333333334</v>
      </c>
      <c r="Q192" s="2">
        <f t="shared" ca="1" si="54"/>
        <v>0</v>
      </c>
      <c r="R192" s="2">
        <v>0</v>
      </c>
    </row>
    <row r="193" spans="1:18" x14ac:dyDescent="0.2">
      <c r="A193" s="1">
        <v>45992</v>
      </c>
      <c r="B193" s="2">
        <v>52</v>
      </c>
      <c r="C193" s="2">
        <f t="shared" ca="1" si="40"/>
        <v>64.933333333333337</v>
      </c>
      <c r="D193" s="2">
        <f t="shared" ca="1" si="41"/>
        <v>56.06666666666667</v>
      </c>
      <c r="E193" s="2">
        <f t="shared" ca="1" si="42"/>
        <v>47.2</v>
      </c>
      <c r="F193" s="2">
        <f t="shared" si="61"/>
        <v>38.333333333333336</v>
      </c>
      <c r="G193" s="2">
        <f t="shared" ca="1" si="43"/>
        <v>29.466666666666669</v>
      </c>
      <c r="H193" s="2">
        <f t="shared" ca="1" si="44"/>
        <v>20.6</v>
      </c>
      <c r="I193" s="2">
        <f t="shared" ca="1" si="45"/>
        <v>11.733333333333334</v>
      </c>
      <c r="J193">
        <f t="shared" ca="1" si="47"/>
        <v>52</v>
      </c>
      <c r="K193" s="2">
        <f t="shared" ca="1" si="48"/>
        <v>21</v>
      </c>
      <c r="L193" s="2">
        <f t="shared" ca="1" si="49"/>
        <v>32.67</v>
      </c>
      <c r="M193" s="2">
        <f t="shared" ca="1" si="50"/>
        <v>25.113333333333333</v>
      </c>
      <c r="N193" s="2">
        <f t="shared" ca="1" si="51"/>
        <v>17.556666666666665</v>
      </c>
      <c r="O193" s="2">
        <f t="shared" ca="1" si="62"/>
        <v>10</v>
      </c>
      <c r="P193" s="2">
        <f t="shared" ca="1" si="53"/>
        <v>2.4433333333333334</v>
      </c>
      <c r="Q193" s="2">
        <f t="shared" ca="1" si="54"/>
        <v>0</v>
      </c>
      <c r="R193" s="2">
        <v>0</v>
      </c>
    </row>
    <row r="194" spans="1:18" x14ac:dyDescent="0.2">
      <c r="A194" s="1">
        <v>46023</v>
      </c>
      <c r="B194" s="2">
        <v>30</v>
      </c>
      <c r="C194" s="2">
        <f t="shared" ref="C194:C214" ca="1" si="63">F194+2.66*O194</f>
        <v>64.933333333333337</v>
      </c>
      <c r="D194" s="2">
        <f t="shared" ref="D194:D214" ca="1" si="64">F194+(2/3)*2.66*O194</f>
        <v>56.06666666666667</v>
      </c>
      <c r="E194" s="2">
        <f t="shared" ref="E194:E214" ca="1" si="65">F194+(1/3)*2.66*O194</f>
        <v>47.2</v>
      </c>
      <c r="F194" s="2">
        <f t="shared" si="61"/>
        <v>38.333333333333336</v>
      </c>
      <c r="G194" s="2">
        <f t="shared" ref="G194:G214" ca="1" si="66">F194-(1/3)*2.66*O194</f>
        <v>29.466666666666669</v>
      </c>
      <c r="H194" s="2">
        <f t="shared" ref="H194:H214" ca="1" si="67">F194-(2/3)*2.66*O194</f>
        <v>20.6</v>
      </c>
      <c r="I194" s="2">
        <f t="shared" ref="I194:I214" ca="1" si="68">F194-2.66*O194</f>
        <v>11.733333333333334</v>
      </c>
      <c r="J194">
        <f t="shared" ca="1" si="47"/>
        <v>30</v>
      </c>
      <c r="K194" s="2">
        <f t="shared" ca="1" si="48"/>
        <v>22</v>
      </c>
      <c r="L194" s="2">
        <f t="shared" ca="1" si="49"/>
        <v>32.67</v>
      </c>
      <c r="M194" s="2">
        <f t="shared" ca="1" si="50"/>
        <v>25.113333333333333</v>
      </c>
      <c r="N194" s="2">
        <f t="shared" ca="1" si="51"/>
        <v>17.556666666666665</v>
      </c>
      <c r="O194" s="2">
        <f t="shared" ca="1" si="62"/>
        <v>10</v>
      </c>
      <c r="P194" s="2">
        <f t="shared" ca="1" si="53"/>
        <v>2.4433333333333334</v>
      </c>
      <c r="Q194" s="2">
        <f t="shared" ca="1" si="54"/>
        <v>0</v>
      </c>
      <c r="R194" s="2">
        <v>0</v>
      </c>
    </row>
    <row r="195" spans="1:18" x14ac:dyDescent="0.2">
      <c r="B195" s="2"/>
      <c r="C195" s="2">
        <f t="shared" ca="1" si="63"/>
        <v>64.933333333333337</v>
      </c>
      <c r="D195" s="2">
        <f t="shared" ca="1" si="64"/>
        <v>56.06666666666667</v>
      </c>
      <c r="E195" s="2">
        <f t="shared" ca="1" si="65"/>
        <v>47.2</v>
      </c>
      <c r="F195" s="2">
        <f t="shared" si="61"/>
        <v>38.333333333333336</v>
      </c>
      <c r="G195" s="2">
        <f t="shared" ca="1" si="66"/>
        <v>29.466666666666669</v>
      </c>
      <c r="H195" s="2">
        <f t="shared" ca="1" si="67"/>
        <v>20.6</v>
      </c>
      <c r="I195" s="2">
        <f t="shared" ca="1" si="68"/>
        <v>11.733333333333334</v>
      </c>
      <c r="J195">
        <f t="shared" ref="J195:J214" ca="1" si="69">IF(ISBLANK(B195),OFFSET(J195,-1,0,1,1),B195)</f>
        <v>30</v>
      </c>
      <c r="K195" t="str">
        <f t="shared" ref="K195:K214" ca="1" si="70">IF(OR(OFFSET(K195,-1,-9,1,1)="",OFFSET(K195,0,-9,1,1)=""),"",IF(ISERROR(ABS(B195-OFFSET(K195,-1,-1,1,1))),"",ABS(B195-OFFSET(K195,-1,-1,1,1))))</f>
        <v/>
      </c>
      <c r="L195">
        <f t="shared" ref="L195:L214" ca="1" si="71">3.267*O195</f>
        <v>32.67</v>
      </c>
      <c r="M195">
        <f t="shared" ref="M195:M214" ca="1" si="72">(2/3)*(L195-O195)+O195</f>
        <v>25.113333333333333</v>
      </c>
      <c r="N195">
        <f t="shared" ref="N195:N214" ca="1" si="73">(1/3)*(L195-O195)+O195</f>
        <v>17.556666666666665</v>
      </c>
      <c r="O195" s="2">
        <f t="shared" ca="1" si="62"/>
        <v>10</v>
      </c>
      <c r="P195">
        <f t="shared" ref="P195:P214" ca="1" si="74">(MAX(O195-(1/3)*(L195-O195),0))</f>
        <v>2.4433333333333334</v>
      </c>
      <c r="Q195">
        <f t="shared" ref="Q195:Q214" ca="1" si="75">MAX(O195-(2/3)*(L195-O195),0)</f>
        <v>0</v>
      </c>
      <c r="R195">
        <v>0</v>
      </c>
    </row>
    <row r="196" spans="1:18" x14ac:dyDescent="0.2">
      <c r="B196" s="2"/>
      <c r="C196" s="2">
        <f t="shared" ca="1" si="63"/>
        <v>64.933333333333337</v>
      </c>
      <c r="D196" s="2">
        <f t="shared" ca="1" si="64"/>
        <v>56.06666666666667</v>
      </c>
      <c r="E196" s="2">
        <f t="shared" ca="1" si="65"/>
        <v>47.2</v>
      </c>
      <c r="F196" s="2">
        <f t="shared" si="61"/>
        <v>38.333333333333336</v>
      </c>
      <c r="G196" s="2">
        <f t="shared" ca="1" si="66"/>
        <v>29.466666666666669</v>
      </c>
      <c r="H196" s="2">
        <f t="shared" ca="1" si="67"/>
        <v>20.6</v>
      </c>
      <c r="I196" s="2">
        <f t="shared" ca="1" si="68"/>
        <v>11.733333333333334</v>
      </c>
      <c r="J196">
        <f t="shared" ca="1" si="69"/>
        <v>30</v>
      </c>
      <c r="K196" t="str">
        <f t="shared" ca="1" si="70"/>
        <v/>
      </c>
      <c r="L196">
        <f t="shared" ca="1" si="71"/>
        <v>32.67</v>
      </c>
      <c r="M196">
        <f t="shared" ca="1" si="72"/>
        <v>25.113333333333333</v>
      </c>
      <c r="N196">
        <f t="shared" ca="1" si="73"/>
        <v>17.556666666666665</v>
      </c>
      <c r="O196" s="2">
        <f t="shared" ca="1" si="62"/>
        <v>10</v>
      </c>
      <c r="P196">
        <f t="shared" ca="1" si="74"/>
        <v>2.4433333333333334</v>
      </c>
      <c r="Q196">
        <f t="shared" ca="1" si="75"/>
        <v>0</v>
      </c>
      <c r="R196">
        <v>0</v>
      </c>
    </row>
    <row r="197" spans="1:18" x14ac:dyDescent="0.2">
      <c r="B197" s="2"/>
      <c r="C197" s="2">
        <f t="shared" ca="1" si="63"/>
        <v>64.933333333333337</v>
      </c>
      <c r="D197" s="2">
        <f t="shared" ca="1" si="64"/>
        <v>56.06666666666667</v>
      </c>
      <c r="E197" s="2">
        <f t="shared" ca="1" si="65"/>
        <v>47.2</v>
      </c>
      <c r="F197" s="2">
        <f t="shared" si="61"/>
        <v>38.333333333333336</v>
      </c>
      <c r="G197" s="2">
        <f t="shared" ca="1" si="66"/>
        <v>29.466666666666669</v>
      </c>
      <c r="H197" s="2">
        <f t="shared" ca="1" si="67"/>
        <v>20.6</v>
      </c>
      <c r="I197" s="2">
        <f t="shared" ca="1" si="68"/>
        <v>11.733333333333334</v>
      </c>
      <c r="J197">
        <f t="shared" ca="1" si="69"/>
        <v>30</v>
      </c>
      <c r="K197" t="str">
        <f t="shared" ca="1" si="70"/>
        <v/>
      </c>
      <c r="L197">
        <f t="shared" ca="1" si="71"/>
        <v>32.67</v>
      </c>
      <c r="M197">
        <f t="shared" ca="1" si="72"/>
        <v>25.113333333333333</v>
      </c>
      <c r="N197">
        <f t="shared" ca="1" si="73"/>
        <v>17.556666666666665</v>
      </c>
      <c r="O197" s="2">
        <f t="shared" ca="1" si="62"/>
        <v>10</v>
      </c>
      <c r="P197">
        <f t="shared" ca="1" si="74"/>
        <v>2.4433333333333334</v>
      </c>
      <c r="Q197">
        <f t="shared" ca="1" si="75"/>
        <v>0</v>
      </c>
      <c r="R197">
        <v>0</v>
      </c>
    </row>
    <row r="198" spans="1:18" x14ac:dyDescent="0.2">
      <c r="B198" s="2"/>
      <c r="C198" s="2">
        <f t="shared" ca="1" si="63"/>
        <v>64.933333333333337</v>
      </c>
      <c r="D198" s="2">
        <f t="shared" ca="1" si="64"/>
        <v>56.06666666666667</v>
      </c>
      <c r="E198" s="2">
        <f t="shared" ca="1" si="65"/>
        <v>47.2</v>
      </c>
      <c r="F198" s="2">
        <f t="shared" si="61"/>
        <v>38.333333333333336</v>
      </c>
      <c r="G198" s="2">
        <f t="shared" ca="1" si="66"/>
        <v>29.466666666666669</v>
      </c>
      <c r="H198" s="2">
        <f t="shared" ca="1" si="67"/>
        <v>20.6</v>
      </c>
      <c r="I198" s="2">
        <f t="shared" ca="1" si="68"/>
        <v>11.733333333333334</v>
      </c>
      <c r="J198">
        <f t="shared" ca="1" si="69"/>
        <v>30</v>
      </c>
      <c r="K198" t="str">
        <f t="shared" ca="1" si="70"/>
        <v/>
      </c>
      <c r="L198">
        <f t="shared" ca="1" si="71"/>
        <v>32.67</v>
      </c>
      <c r="M198">
        <f t="shared" ca="1" si="72"/>
        <v>25.113333333333333</v>
      </c>
      <c r="N198">
        <f t="shared" ca="1" si="73"/>
        <v>17.556666666666665</v>
      </c>
      <c r="O198" s="2">
        <f t="shared" ca="1" si="62"/>
        <v>10</v>
      </c>
      <c r="P198">
        <f t="shared" ca="1" si="74"/>
        <v>2.4433333333333334</v>
      </c>
      <c r="Q198">
        <f t="shared" ca="1" si="75"/>
        <v>0</v>
      </c>
      <c r="R198">
        <v>0</v>
      </c>
    </row>
    <row r="199" spans="1:18" x14ac:dyDescent="0.2">
      <c r="B199" s="2"/>
      <c r="C199" s="2">
        <f t="shared" ca="1" si="63"/>
        <v>64.933333333333337</v>
      </c>
      <c r="D199" s="2">
        <f t="shared" ca="1" si="64"/>
        <v>56.06666666666667</v>
      </c>
      <c r="E199" s="2">
        <f t="shared" ca="1" si="65"/>
        <v>47.2</v>
      </c>
      <c r="F199" s="2">
        <f t="shared" si="61"/>
        <v>38.333333333333336</v>
      </c>
      <c r="G199" s="2">
        <f t="shared" ca="1" si="66"/>
        <v>29.466666666666669</v>
      </c>
      <c r="H199" s="2">
        <f t="shared" ca="1" si="67"/>
        <v>20.6</v>
      </c>
      <c r="I199" s="2">
        <f t="shared" ca="1" si="68"/>
        <v>11.733333333333334</v>
      </c>
      <c r="J199">
        <f t="shared" ca="1" si="69"/>
        <v>30</v>
      </c>
      <c r="K199" t="str">
        <f t="shared" ca="1" si="70"/>
        <v/>
      </c>
      <c r="L199">
        <f t="shared" ca="1" si="71"/>
        <v>32.67</v>
      </c>
      <c r="M199">
        <f t="shared" ca="1" si="72"/>
        <v>25.113333333333333</v>
      </c>
      <c r="N199">
        <f t="shared" ca="1" si="73"/>
        <v>17.556666666666665</v>
      </c>
      <c r="O199" s="2">
        <f t="shared" ca="1" si="62"/>
        <v>10</v>
      </c>
      <c r="P199">
        <f t="shared" ca="1" si="74"/>
        <v>2.4433333333333334</v>
      </c>
      <c r="Q199">
        <f t="shared" ca="1" si="75"/>
        <v>0</v>
      </c>
      <c r="R199">
        <v>0</v>
      </c>
    </row>
    <row r="200" spans="1:18" x14ac:dyDescent="0.2">
      <c r="B200" s="2"/>
      <c r="C200" s="2">
        <f t="shared" ca="1" si="63"/>
        <v>64.933333333333337</v>
      </c>
      <c r="D200" s="2">
        <f t="shared" ca="1" si="64"/>
        <v>56.06666666666667</v>
      </c>
      <c r="E200" s="2">
        <f t="shared" ca="1" si="65"/>
        <v>47.2</v>
      </c>
      <c r="F200" s="2">
        <f t="shared" si="61"/>
        <v>38.333333333333336</v>
      </c>
      <c r="G200" s="2">
        <f t="shared" ca="1" si="66"/>
        <v>29.466666666666669</v>
      </c>
      <c r="H200" s="2">
        <f t="shared" ca="1" si="67"/>
        <v>20.6</v>
      </c>
      <c r="I200" s="2">
        <f t="shared" ca="1" si="68"/>
        <v>11.733333333333334</v>
      </c>
      <c r="J200">
        <f t="shared" ca="1" si="69"/>
        <v>30</v>
      </c>
      <c r="K200" t="str">
        <f t="shared" ca="1" si="70"/>
        <v/>
      </c>
      <c r="L200">
        <f t="shared" ca="1" si="71"/>
        <v>32.67</v>
      </c>
      <c r="M200">
        <f t="shared" ca="1" si="72"/>
        <v>25.113333333333333</v>
      </c>
      <c r="N200">
        <f t="shared" ca="1" si="73"/>
        <v>17.556666666666665</v>
      </c>
      <c r="O200" s="2">
        <f t="shared" ca="1" si="62"/>
        <v>10</v>
      </c>
      <c r="P200">
        <f t="shared" ca="1" si="74"/>
        <v>2.4433333333333334</v>
      </c>
      <c r="Q200">
        <f t="shared" ca="1" si="75"/>
        <v>0</v>
      </c>
      <c r="R200">
        <v>0</v>
      </c>
    </row>
    <row r="201" spans="1:18" x14ac:dyDescent="0.2">
      <c r="B201" s="2"/>
      <c r="C201" s="2">
        <f t="shared" ca="1" si="63"/>
        <v>64.933333333333337</v>
      </c>
      <c r="D201" s="2">
        <f t="shared" ca="1" si="64"/>
        <v>56.06666666666667</v>
      </c>
      <c r="E201" s="2">
        <f t="shared" ca="1" si="65"/>
        <v>47.2</v>
      </c>
      <c r="F201" s="2">
        <f t="shared" si="61"/>
        <v>38.333333333333336</v>
      </c>
      <c r="G201" s="2">
        <f t="shared" ca="1" si="66"/>
        <v>29.466666666666669</v>
      </c>
      <c r="H201" s="2">
        <f t="shared" ca="1" si="67"/>
        <v>20.6</v>
      </c>
      <c r="I201" s="2">
        <f t="shared" ca="1" si="68"/>
        <v>11.733333333333334</v>
      </c>
      <c r="J201">
        <f t="shared" ca="1" si="69"/>
        <v>30</v>
      </c>
      <c r="K201" t="str">
        <f t="shared" ca="1" si="70"/>
        <v/>
      </c>
      <c r="L201">
        <f t="shared" ca="1" si="71"/>
        <v>32.67</v>
      </c>
      <c r="M201">
        <f t="shared" ca="1" si="72"/>
        <v>25.113333333333333</v>
      </c>
      <c r="N201">
        <f t="shared" ca="1" si="73"/>
        <v>17.556666666666665</v>
      </c>
      <c r="O201" s="2">
        <f t="shared" ca="1" si="62"/>
        <v>10</v>
      </c>
      <c r="P201">
        <f t="shared" ca="1" si="74"/>
        <v>2.4433333333333334</v>
      </c>
      <c r="Q201">
        <f t="shared" ca="1" si="75"/>
        <v>0</v>
      </c>
      <c r="R201">
        <v>0</v>
      </c>
    </row>
    <row r="202" spans="1:18" x14ac:dyDescent="0.2">
      <c r="B202" s="2"/>
      <c r="C202" s="2">
        <f t="shared" ca="1" si="63"/>
        <v>64.933333333333337</v>
      </c>
      <c r="D202" s="2">
        <f t="shared" ca="1" si="64"/>
        <v>56.06666666666667</v>
      </c>
      <c r="E202" s="2">
        <f t="shared" ca="1" si="65"/>
        <v>47.2</v>
      </c>
      <c r="F202" s="2">
        <f t="shared" si="61"/>
        <v>38.333333333333336</v>
      </c>
      <c r="G202" s="2">
        <f t="shared" ca="1" si="66"/>
        <v>29.466666666666669</v>
      </c>
      <c r="H202" s="2">
        <f t="shared" ca="1" si="67"/>
        <v>20.6</v>
      </c>
      <c r="I202" s="2">
        <f t="shared" ca="1" si="68"/>
        <v>11.733333333333334</v>
      </c>
      <c r="J202">
        <f t="shared" ca="1" si="69"/>
        <v>30</v>
      </c>
      <c r="K202" t="str">
        <f t="shared" ca="1" si="70"/>
        <v/>
      </c>
      <c r="L202">
        <f t="shared" ca="1" si="71"/>
        <v>32.67</v>
      </c>
      <c r="M202">
        <f t="shared" ca="1" si="72"/>
        <v>25.113333333333333</v>
      </c>
      <c r="N202">
        <f t="shared" ca="1" si="73"/>
        <v>17.556666666666665</v>
      </c>
      <c r="O202" s="2">
        <f t="shared" ca="1" si="62"/>
        <v>10</v>
      </c>
      <c r="P202">
        <f t="shared" ca="1" si="74"/>
        <v>2.4433333333333334</v>
      </c>
      <c r="Q202">
        <f t="shared" ca="1" si="75"/>
        <v>0</v>
      </c>
      <c r="R202">
        <v>0</v>
      </c>
    </row>
    <row r="203" spans="1:18" x14ac:dyDescent="0.2">
      <c r="B203" s="2"/>
      <c r="C203" s="2">
        <f t="shared" ca="1" si="63"/>
        <v>64.933333333333337</v>
      </c>
      <c r="D203" s="2">
        <f t="shared" ca="1" si="64"/>
        <v>56.06666666666667</v>
      </c>
      <c r="E203" s="2">
        <f t="shared" ca="1" si="65"/>
        <v>47.2</v>
      </c>
      <c r="F203" s="2">
        <f t="shared" si="61"/>
        <v>38.333333333333336</v>
      </c>
      <c r="G203" s="2">
        <f t="shared" ca="1" si="66"/>
        <v>29.466666666666669</v>
      </c>
      <c r="H203" s="2">
        <f t="shared" ca="1" si="67"/>
        <v>20.6</v>
      </c>
      <c r="I203" s="2">
        <f t="shared" ca="1" si="68"/>
        <v>11.733333333333334</v>
      </c>
      <c r="J203">
        <f t="shared" ca="1" si="69"/>
        <v>30</v>
      </c>
      <c r="K203" t="str">
        <f t="shared" ca="1" si="70"/>
        <v/>
      </c>
      <c r="L203">
        <f t="shared" ca="1" si="71"/>
        <v>32.67</v>
      </c>
      <c r="M203">
        <f t="shared" ca="1" si="72"/>
        <v>25.113333333333333</v>
      </c>
      <c r="N203">
        <f t="shared" ca="1" si="73"/>
        <v>17.556666666666665</v>
      </c>
      <c r="O203" s="2">
        <f t="shared" ca="1" si="62"/>
        <v>10</v>
      </c>
      <c r="P203">
        <f t="shared" ca="1" si="74"/>
        <v>2.4433333333333334</v>
      </c>
      <c r="Q203">
        <f t="shared" ca="1" si="75"/>
        <v>0</v>
      </c>
      <c r="R203">
        <v>0</v>
      </c>
    </row>
    <row r="204" spans="1:18" x14ac:dyDescent="0.2">
      <c r="B204" s="2"/>
      <c r="C204" s="2">
        <f t="shared" ca="1" si="63"/>
        <v>64.933333333333337</v>
      </c>
      <c r="D204" s="2">
        <f t="shared" ca="1" si="64"/>
        <v>56.06666666666667</v>
      </c>
      <c r="E204" s="2">
        <f t="shared" ca="1" si="65"/>
        <v>47.2</v>
      </c>
      <c r="F204" s="2">
        <f t="shared" si="61"/>
        <v>38.333333333333336</v>
      </c>
      <c r="G204" s="2">
        <f t="shared" ca="1" si="66"/>
        <v>29.466666666666669</v>
      </c>
      <c r="H204" s="2">
        <f t="shared" ca="1" si="67"/>
        <v>20.6</v>
      </c>
      <c r="I204" s="2">
        <f t="shared" ca="1" si="68"/>
        <v>11.733333333333334</v>
      </c>
      <c r="J204">
        <f t="shared" ca="1" si="69"/>
        <v>30</v>
      </c>
      <c r="K204" t="str">
        <f t="shared" ca="1" si="70"/>
        <v/>
      </c>
      <c r="L204">
        <f t="shared" ca="1" si="71"/>
        <v>32.67</v>
      </c>
      <c r="M204">
        <f t="shared" ca="1" si="72"/>
        <v>25.113333333333333</v>
      </c>
      <c r="N204">
        <f t="shared" ca="1" si="73"/>
        <v>17.556666666666665</v>
      </c>
      <c r="O204" s="2">
        <f t="shared" ca="1" si="62"/>
        <v>10</v>
      </c>
      <c r="P204">
        <f t="shared" ca="1" si="74"/>
        <v>2.4433333333333334</v>
      </c>
      <c r="Q204">
        <f t="shared" ca="1" si="75"/>
        <v>0</v>
      </c>
      <c r="R204">
        <v>0</v>
      </c>
    </row>
    <row r="205" spans="1:18" x14ac:dyDescent="0.2">
      <c r="B205" s="2"/>
      <c r="C205" s="2">
        <f t="shared" ca="1" si="63"/>
        <v>64.933333333333337</v>
      </c>
      <c r="D205" s="2">
        <f t="shared" ca="1" si="64"/>
        <v>56.06666666666667</v>
      </c>
      <c r="E205" s="2">
        <f t="shared" ca="1" si="65"/>
        <v>47.2</v>
      </c>
      <c r="F205" s="2">
        <f t="shared" si="61"/>
        <v>38.333333333333336</v>
      </c>
      <c r="G205" s="2">
        <f t="shared" ca="1" si="66"/>
        <v>29.466666666666669</v>
      </c>
      <c r="H205" s="2">
        <f t="shared" ca="1" si="67"/>
        <v>20.6</v>
      </c>
      <c r="I205" s="2">
        <f t="shared" ca="1" si="68"/>
        <v>11.733333333333334</v>
      </c>
      <c r="J205">
        <f t="shared" ca="1" si="69"/>
        <v>30</v>
      </c>
      <c r="K205" t="str">
        <f t="shared" ca="1" si="70"/>
        <v/>
      </c>
      <c r="L205">
        <f t="shared" ca="1" si="71"/>
        <v>32.67</v>
      </c>
      <c r="M205">
        <f t="shared" ca="1" si="72"/>
        <v>25.113333333333333</v>
      </c>
      <c r="N205">
        <f t="shared" ca="1" si="73"/>
        <v>17.556666666666665</v>
      </c>
      <c r="O205" s="2">
        <f t="shared" ca="1" si="62"/>
        <v>10</v>
      </c>
      <c r="P205">
        <f t="shared" ca="1" si="74"/>
        <v>2.4433333333333334</v>
      </c>
      <c r="Q205">
        <f t="shared" ca="1" si="75"/>
        <v>0</v>
      </c>
      <c r="R205">
        <v>0</v>
      </c>
    </row>
    <row r="206" spans="1:18" x14ac:dyDescent="0.2">
      <c r="B206" s="2"/>
      <c r="C206" s="2">
        <f t="shared" ca="1" si="63"/>
        <v>64.933333333333337</v>
      </c>
      <c r="D206" s="2">
        <f t="shared" ca="1" si="64"/>
        <v>56.06666666666667</v>
      </c>
      <c r="E206" s="2">
        <f t="shared" ca="1" si="65"/>
        <v>47.2</v>
      </c>
      <c r="F206" s="2">
        <f t="shared" si="61"/>
        <v>38.333333333333336</v>
      </c>
      <c r="G206" s="2">
        <f t="shared" ca="1" si="66"/>
        <v>29.466666666666669</v>
      </c>
      <c r="H206" s="2">
        <f t="shared" ca="1" si="67"/>
        <v>20.6</v>
      </c>
      <c r="I206" s="2">
        <f t="shared" ca="1" si="68"/>
        <v>11.733333333333334</v>
      </c>
      <c r="J206">
        <f t="shared" ca="1" si="69"/>
        <v>30</v>
      </c>
      <c r="K206" t="str">
        <f t="shared" ca="1" si="70"/>
        <v/>
      </c>
      <c r="L206">
        <f t="shared" ca="1" si="71"/>
        <v>32.67</v>
      </c>
      <c r="M206">
        <f t="shared" ca="1" si="72"/>
        <v>25.113333333333333</v>
      </c>
      <c r="N206">
        <f t="shared" ca="1" si="73"/>
        <v>17.556666666666665</v>
      </c>
      <c r="O206" s="2">
        <f t="shared" ca="1" si="62"/>
        <v>10</v>
      </c>
      <c r="P206">
        <f t="shared" ca="1" si="74"/>
        <v>2.4433333333333334</v>
      </c>
      <c r="Q206">
        <f t="shared" ca="1" si="75"/>
        <v>0</v>
      </c>
      <c r="R206">
        <v>0</v>
      </c>
    </row>
    <row r="207" spans="1:18" x14ac:dyDescent="0.2">
      <c r="B207" s="2"/>
      <c r="C207" s="2">
        <f t="shared" ca="1" si="63"/>
        <v>64.933333333333337</v>
      </c>
      <c r="D207" s="2">
        <f t="shared" ca="1" si="64"/>
        <v>56.06666666666667</v>
      </c>
      <c r="E207" s="2">
        <f t="shared" ca="1" si="65"/>
        <v>47.2</v>
      </c>
      <c r="F207" s="2">
        <f t="shared" si="61"/>
        <v>38.333333333333336</v>
      </c>
      <c r="G207" s="2">
        <f t="shared" ca="1" si="66"/>
        <v>29.466666666666669</v>
      </c>
      <c r="H207" s="2">
        <f t="shared" ca="1" si="67"/>
        <v>20.6</v>
      </c>
      <c r="I207" s="2">
        <f t="shared" ca="1" si="68"/>
        <v>11.733333333333334</v>
      </c>
      <c r="J207">
        <f t="shared" ca="1" si="69"/>
        <v>30</v>
      </c>
      <c r="K207" t="str">
        <f t="shared" ca="1" si="70"/>
        <v/>
      </c>
      <c r="L207">
        <f t="shared" ca="1" si="71"/>
        <v>32.67</v>
      </c>
      <c r="M207">
        <f t="shared" ca="1" si="72"/>
        <v>25.113333333333333</v>
      </c>
      <c r="N207">
        <f t="shared" ca="1" si="73"/>
        <v>17.556666666666665</v>
      </c>
      <c r="O207" s="2">
        <f t="shared" ca="1" si="62"/>
        <v>10</v>
      </c>
      <c r="P207">
        <f t="shared" ca="1" si="74"/>
        <v>2.4433333333333334</v>
      </c>
      <c r="Q207">
        <f t="shared" ca="1" si="75"/>
        <v>0</v>
      </c>
      <c r="R207">
        <v>0</v>
      </c>
    </row>
    <row r="208" spans="1:18" x14ac:dyDescent="0.2">
      <c r="B208" s="2"/>
      <c r="C208" s="2">
        <f t="shared" ca="1" si="63"/>
        <v>64.933333333333337</v>
      </c>
      <c r="D208" s="2">
        <f t="shared" ca="1" si="64"/>
        <v>56.06666666666667</v>
      </c>
      <c r="E208" s="2">
        <f t="shared" ca="1" si="65"/>
        <v>47.2</v>
      </c>
      <c r="F208" s="2">
        <f t="shared" si="61"/>
        <v>38.333333333333336</v>
      </c>
      <c r="G208" s="2">
        <f t="shared" ca="1" si="66"/>
        <v>29.466666666666669</v>
      </c>
      <c r="H208" s="2">
        <f t="shared" ca="1" si="67"/>
        <v>20.6</v>
      </c>
      <c r="I208" s="2">
        <f t="shared" ca="1" si="68"/>
        <v>11.733333333333334</v>
      </c>
      <c r="J208">
        <f t="shared" ca="1" si="69"/>
        <v>30</v>
      </c>
      <c r="K208" t="str">
        <f t="shared" ca="1" si="70"/>
        <v/>
      </c>
      <c r="L208">
        <f t="shared" ca="1" si="71"/>
        <v>32.67</v>
      </c>
      <c r="M208">
        <f t="shared" ca="1" si="72"/>
        <v>25.113333333333333</v>
      </c>
      <c r="N208">
        <f t="shared" ca="1" si="73"/>
        <v>17.556666666666665</v>
      </c>
      <c r="O208" s="2">
        <f t="shared" ca="1" si="62"/>
        <v>10</v>
      </c>
      <c r="P208">
        <f t="shared" ca="1" si="74"/>
        <v>2.4433333333333334</v>
      </c>
      <c r="Q208">
        <f t="shared" ca="1" si="75"/>
        <v>0</v>
      </c>
      <c r="R208">
        <v>0</v>
      </c>
    </row>
    <row r="209" spans="2:18" x14ac:dyDescent="0.2">
      <c r="B209" s="2"/>
      <c r="C209" s="2">
        <f t="shared" ca="1" si="63"/>
        <v>64.933333333333337</v>
      </c>
      <c r="D209" s="2">
        <f t="shared" ca="1" si="64"/>
        <v>56.06666666666667</v>
      </c>
      <c r="E209" s="2">
        <f t="shared" ca="1" si="65"/>
        <v>47.2</v>
      </c>
      <c r="F209" s="2">
        <f t="shared" si="61"/>
        <v>38.333333333333336</v>
      </c>
      <c r="G209" s="2">
        <f t="shared" ca="1" si="66"/>
        <v>29.466666666666669</v>
      </c>
      <c r="H209" s="2">
        <f t="shared" ca="1" si="67"/>
        <v>20.6</v>
      </c>
      <c r="I209" s="2">
        <f t="shared" ca="1" si="68"/>
        <v>11.733333333333334</v>
      </c>
      <c r="J209">
        <f t="shared" ca="1" si="69"/>
        <v>30</v>
      </c>
      <c r="K209" t="str">
        <f t="shared" ca="1" si="70"/>
        <v/>
      </c>
      <c r="L209">
        <f t="shared" ca="1" si="71"/>
        <v>32.67</v>
      </c>
      <c r="M209">
        <f t="shared" ca="1" si="72"/>
        <v>25.113333333333333</v>
      </c>
      <c r="N209">
        <f t="shared" ca="1" si="73"/>
        <v>17.556666666666665</v>
      </c>
      <c r="O209" s="2">
        <f t="shared" ca="1" si="62"/>
        <v>10</v>
      </c>
      <c r="P209">
        <f t="shared" ca="1" si="74"/>
        <v>2.4433333333333334</v>
      </c>
      <c r="Q209">
        <f t="shared" ca="1" si="75"/>
        <v>0</v>
      </c>
      <c r="R209">
        <v>0</v>
      </c>
    </row>
    <row r="210" spans="2:18" x14ac:dyDescent="0.2">
      <c r="B210" s="2"/>
      <c r="C210" s="2">
        <f t="shared" ca="1" si="63"/>
        <v>64.933333333333337</v>
      </c>
      <c r="D210" s="2">
        <f t="shared" ca="1" si="64"/>
        <v>56.06666666666667</v>
      </c>
      <c r="E210" s="2">
        <f t="shared" ca="1" si="65"/>
        <v>47.2</v>
      </c>
      <c r="F210" s="2">
        <f t="shared" si="61"/>
        <v>38.333333333333336</v>
      </c>
      <c r="G210" s="2">
        <f t="shared" ca="1" si="66"/>
        <v>29.466666666666669</v>
      </c>
      <c r="H210" s="2">
        <f t="shared" ca="1" si="67"/>
        <v>20.6</v>
      </c>
      <c r="I210" s="2">
        <f t="shared" ca="1" si="68"/>
        <v>11.733333333333334</v>
      </c>
      <c r="J210">
        <f t="shared" ca="1" si="69"/>
        <v>30</v>
      </c>
      <c r="K210" t="str">
        <f t="shared" ca="1" si="70"/>
        <v/>
      </c>
      <c r="L210">
        <f t="shared" ca="1" si="71"/>
        <v>32.67</v>
      </c>
      <c r="M210">
        <f t="shared" ca="1" si="72"/>
        <v>25.113333333333333</v>
      </c>
      <c r="N210">
        <f t="shared" ca="1" si="73"/>
        <v>17.556666666666665</v>
      </c>
      <c r="O210" s="2">
        <f t="shared" ca="1" si="62"/>
        <v>10</v>
      </c>
      <c r="P210">
        <f t="shared" ca="1" si="74"/>
        <v>2.4433333333333334</v>
      </c>
      <c r="Q210">
        <f t="shared" ca="1" si="75"/>
        <v>0</v>
      </c>
      <c r="R210">
        <v>0</v>
      </c>
    </row>
    <row r="211" spans="2:18" x14ac:dyDescent="0.2">
      <c r="B211" s="2"/>
      <c r="C211" s="2">
        <f t="shared" ca="1" si="63"/>
        <v>64.933333333333337</v>
      </c>
      <c r="D211" s="2">
        <f t="shared" ca="1" si="64"/>
        <v>56.06666666666667</v>
      </c>
      <c r="E211" s="2">
        <f t="shared" ca="1" si="65"/>
        <v>47.2</v>
      </c>
      <c r="F211" s="2">
        <f t="shared" si="61"/>
        <v>38.333333333333336</v>
      </c>
      <c r="G211" s="2">
        <f t="shared" ca="1" si="66"/>
        <v>29.466666666666669</v>
      </c>
      <c r="H211" s="2">
        <f t="shared" ca="1" si="67"/>
        <v>20.6</v>
      </c>
      <c r="I211" s="2">
        <f t="shared" ca="1" si="68"/>
        <v>11.733333333333334</v>
      </c>
      <c r="J211">
        <f t="shared" ca="1" si="69"/>
        <v>30</v>
      </c>
      <c r="K211" t="str">
        <f t="shared" ca="1" si="70"/>
        <v/>
      </c>
      <c r="L211">
        <f t="shared" ca="1" si="71"/>
        <v>32.67</v>
      </c>
      <c r="M211">
        <f t="shared" ca="1" si="72"/>
        <v>25.113333333333333</v>
      </c>
      <c r="N211">
        <f t="shared" ca="1" si="73"/>
        <v>17.556666666666665</v>
      </c>
      <c r="O211" s="2">
        <f t="shared" ca="1" si="62"/>
        <v>10</v>
      </c>
      <c r="P211">
        <f t="shared" ca="1" si="74"/>
        <v>2.4433333333333334</v>
      </c>
      <c r="Q211">
        <f t="shared" ca="1" si="75"/>
        <v>0</v>
      </c>
      <c r="R211">
        <v>0</v>
      </c>
    </row>
    <row r="212" spans="2:18" x14ac:dyDescent="0.2">
      <c r="B212" s="2"/>
      <c r="C212" s="2">
        <f t="shared" ca="1" si="63"/>
        <v>64.933333333333337</v>
      </c>
      <c r="D212" s="2">
        <f t="shared" ca="1" si="64"/>
        <v>56.06666666666667</v>
      </c>
      <c r="E212" s="2">
        <f t="shared" ca="1" si="65"/>
        <v>47.2</v>
      </c>
      <c r="F212" s="2">
        <f t="shared" si="61"/>
        <v>38.333333333333336</v>
      </c>
      <c r="G212" s="2">
        <f t="shared" ca="1" si="66"/>
        <v>29.466666666666669</v>
      </c>
      <c r="H212" s="2">
        <f t="shared" ca="1" si="67"/>
        <v>20.6</v>
      </c>
      <c r="I212" s="2">
        <f t="shared" ca="1" si="68"/>
        <v>11.733333333333334</v>
      </c>
      <c r="J212">
        <f t="shared" ca="1" si="69"/>
        <v>30</v>
      </c>
      <c r="K212" t="str">
        <f t="shared" ca="1" si="70"/>
        <v/>
      </c>
      <c r="L212">
        <f t="shared" ca="1" si="71"/>
        <v>32.67</v>
      </c>
      <c r="M212">
        <f t="shared" ca="1" si="72"/>
        <v>25.113333333333333</v>
      </c>
      <c r="N212">
        <f t="shared" ca="1" si="73"/>
        <v>17.556666666666665</v>
      </c>
      <c r="O212" s="2">
        <f t="shared" ca="1" si="62"/>
        <v>10</v>
      </c>
      <c r="P212">
        <f t="shared" ca="1" si="74"/>
        <v>2.4433333333333334</v>
      </c>
      <c r="Q212">
        <f t="shared" ca="1" si="75"/>
        <v>0</v>
      </c>
      <c r="R212">
        <v>0</v>
      </c>
    </row>
    <row r="213" spans="2:18" x14ac:dyDescent="0.2">
      <c r="B213" s="2"/>
      <c r="C213" s="2">
        <f t="shared" ca="1" si="63"/>
        <v>64.933333333333337</v>
      </c>
      <c r="D213" s="2">
        <f t="shared" ca="1" si="64"/>
        <v>56.06666666666667</v>
      </c>
      <c r="E213" s="2">
        <f t="shared" ca="1" si="65"/>
        <v>47.2</v>
      </c>
      <c r="F213" s="2">
        <f t="shared" si="61"/>
        <v>38.333333333333336</v>
      </c>
      <c r="G213" s="2">
        <f t="shared" ca="1" si="66"/>
        <v>29.466666666666669</v>
      </c>
      <c r="H213" s="2">
        <f t="shared" ca="1" si="67"/>
        <v>20.6</v>
      </c>
      <c r="I213" s="2">
        <f t="shared" ca="1" si="68"/>
        <v>11.733333333333334</v>
      </c>
      <c r="J213">
        <f t="shared" ca="1" si="69"/>
        <v>30</v>
      </c>
      <c r="K213" t="str">
        <f t="shared" ca="1" si="70"/>
        <v/>
      </c>
      <c r="L213">
        <f t="shared" ca="1" si="71"/>
        <v>32.67</v>
      </c>
      <c r="M213">
        <f t="shared" ca="1" si="72"/>
        <v>25.113333333333333</v>
      </c>
      <c r="N213">
        <f t="shared" ca="1" si="73"/>
        <v>17.556666666666665</v>
      </c>
      <c r="O213" s="2">
        <f t="shared" ca="1" si="62"/>
        <v>10</v>
      </c>
      <c r="P213">
        <f t="shared" ca="1" si="74"/>
        <v>2.4433333333333334</v>
      </c>
      <c r="Q213">
        <f t="shared" ca="1" si="75"/>
        <v>0</v>
      </c>
      <c r="R213">
        <v>0</v>
      </c>
    </row>
    <row r="214" spans="2:18" x14ac:dyDescent="0.2">
      <c r="B214" s="2"/>
      <c r="C214" s="2">
        <f t="shared" ca="1" si="63"/>
        <v>64.933333333333337</v>
      </c>
      <c r="D214" s="2">
        <f t="shared" ca="1" si="64"/>
        <v>56.06666666666667</v>
      </c>
      <c r="E214" s="2">
        <f t="shared" ca="1" si="65"/>
        <v>47.2</v>
      </c>
      <c r="F214" s="2">
        <f t="shared" si="61"/>
        <v>38.333333333333336</v>
      </c>
      <c r="G214" s="2">
        <f t="shared" ca="1" si="66"/>
        <v>29.466666666666669</v>
      </c>
      <c r="H214" s="2">
        <f t="shared" ca="1" si="67"/>
        <v>20.6</v>
      </c>
      <c r="I214" s="2">
        <f t="shared" ca="1" si="68"/>
        <v>11.733333333333334</v>
      </c>
      <c r="J214">
        <f t="shared" ca="1" si="69"/>
        <v>30</v>
      </c>
      <c r="K214" t="str">
        <f t="shared" ca="1" si="70"/>
        <v/>
      </c>
      <c r="L214">
        <f t="shared" ca="1" si="71"/>
        <v>32.67</v>
      </c>
      <c r="M214">
        <f t="shared" ca="1" si="72"/>
        <v>25.113333333333333</v>
      </c>
      <c r="N214">
        <f t="shared" ca="1" si="73"/>
        <v>17.556666666666665</v>
      </c>
      <c r="O214" s="2">
        <f t="shared" ca="1" si="62"/>
        <v>10</v>
      </c>
      <c r="P214">
        <f t="shared" ca="1" si="74"/>
        <v>2.4433333333333334</v>
      </c>
      <c r="Q214">
        <f t="shared" ca="1" si="75"/>
        <v>0</v>
      </c>
      <c r="R214">
        <v>0</v>
      </c>
    </row>
  </sheetData>
  <pageMargins left="0.7" right="0.7" top="0.75" bottom="0.75" header="0.3" footer="0.3"/>
  <pageSetup scale="98" orientation="landscape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24F76-951A-FA48-9735-4EE7388E0D9F}">
  <dimension ref="A1:GL5"/>
  <sheetViews>
    <sheetView tabSelected="1" workbookViewId="0">
      <selection sqref="A1:GL2"/>
    </sheetView>
  </sheetViews>
  <sheetFormatPr baseColWidth="10" defaultRowHeight="16" x14ac:dyDescent="0.2"/>
  <cols>
    <col min="1" max="1" width="12.83203125" bestFit="1" customWidth="1"/>
    <col min="2" max="2" width="19.1640625" bestFit="1" customWidth="1"/>
    <col min="3" max="3" width="12" bestFit="1" customWidth="1"/>
    <col min="4" max="4" width="13.33203125" bestFit="1" customWidth="1"/>
    <col min="5" max="5" width="25.33203125" bestFit="1" customWidth="1"/>
    <col min="6" max="6" width="20.5" bestFit="1" customWidth="1"/>
  </cols>
  <sheetData>
    <row r="1" spans="1:194" x14ac:dyDescent="0.2">
      <c r="A1" t="s">
        <v>0</v>
      </c>
      <c r="B1" s="1">
        <v>40179</v>
      </c>
      <c r="C1" s="1">
        <v>40210</v>
      </c>
      <c r="D1" s="1">
        <v>40238</v>
      </c>
      <c r="E1" s="1">
        <v>40269</v>
      </c>
      <c r="F1" s="1">
        <v>40299</v>
      </c>
      <c r="G1" s="1">
        <v>40330</v>
      </c>
      <c r="H1" s="1">
        <v>40360</v>
      </c>
      <c r="I1" s="1">
        <v>40391</v>
      </c>
      <c r="J1" s="1">
        <v>40422</v>
      </c>
      <c r="K1" s="1">
        <v>40452</v>
      </c>
      <c r="L1" s="1">
        <v>40483</v>
      </c>
      <c r="M1" s="1">
        <v>40513</v>
      </c>
      <c r="N1" s="1">
        <v>40544</v>
      </c>
      <c r="O1" s="1">
        <v>40575</v>
      </c>
      <c r="P1" s="1">
        <v>40603</v>
      </c>
      <c r="Q1" s="1">
        <v>40634</v>
      </c>
      <c r="R1" s="1">
        <v>40664</v>
      </c>
      <c r="S1" s="1">
        <v>40695</v>
      </c>
      <c r="T1" s="1">
        <v>40725</v>
      </c>
      <c r="U1" s="1">
        <v>40756</v>
      </c>
      <c r="V1" s="1">
        <v>40787</v>
      </c>
      <c r="W1" s="1">
        <v>40817</v>
      </c>
      <c r="X1" s="1">
        <v>40848</v>
      </c>
      <c r="Y1" s="1">
        <v>40878</v>
      </c>
      <c r="Z1" s="1">
        <v>40909</v>
      </c>
      <c r="AA1" s="1">
        <v>40940</v>
      </c>
      <c r="AB1" s="1">
        <v>40969</v>
      </c>
      <c r="AC1" s="1">
        <v>41000</v>
      </c>
      <c r="AD1" s="1">
        <v>41030</v>
      </c>
      <c r="AE1" s="1">
        <v>41061</v>
      </c>
      <c r="AF1" s="1">
        <v>41091</v>
      </c>
      <c r="AG1" s="1">
        <v>41122</v>
      </c>
      <c r="AH1" s="1">
        <v>41153</v>
      </c>
      <c r="AI1" s="1">
        <v>41183</v>
      </c>
      <c r="AJ1" s="1">
        <v>41214</v>
      </c>
      <c r="AK1" s="1">
        <v>41244</v>
      </c>
      <c r="AL1" s="1">
        <v>41275</v>
      </c>
      <c r="AM1" s="1">
        <v>41306</v>
      </c>
      <c r="AN1" s="1">
        <v>41334</v>
      </c>
      <c r="AO1" s="1">
        <v>41365</v>
      </c>
      <c r="AP1" s="1">
        <v>41395</v>
      </c>
      <c r="AQ1" s="1">
        <v>41426</v>
      </c>
      <c r="AR1" s="1">
        <v>41456</v>
      </c>
      <c r="AS1" s="1">
        <v>41487</v>
      </c>
      <c r="AT1" s="1">
        <v>41518</v>
      </c>
      <c r="AU1" s="1">
        <v>41548</v>
      </c>
      <c r="AV1" s="1">
        <v>41579</v>
      </c>
      <c r="AW1" s="1">
        <v>41609</v>
      </c>
      <c r="AX1" s="1">
        <v>41640</v>
      </c>
      <c r="AY1" s="1">
        <v>41671</v>
      </c>
      <c r="AZ1" s="1">
        <v>41699</v>
      </c>
      <c r="BA1" s="1">
        <v>41730</v>
      </c>
      <c r="BB1" s="1">
        <v>41760</v>
      </c>
      <c r="BC1" s="1">
        <v>41791</v>
      </c>
      <c r="BD1" s="1">
        <v>41821</v>
      </c>
      <c r="BE1" s="1">
        <v>41852</v>
      </c>
      <c r="BF1" s="1">
        <v>41883</v>
      </c>
      <c r="BG1" s="1">
        <v>41913</v>
      </c>
      <c r="BH1" s="1">
        <v>41944</v>
      </c>
      <c r="BI1" s="1">
        <v>41974</v>
      </c>
      <c r="BJ1" s="1">
        <v>42005</v>
      </c>
      <c r="BK1" s="1">
        <v>42036</v>
      </c>
      <c r="BL1" s="1">
        <v>42064</v>
      </c>
      <c r="BM1" s="1">
        <v>42095</v>
      </c>
      <c r="BN1" s="1">
        <v>42125</v>
      </c>
      <c r="BO1" s="1">
        <v>42156</v>
      </c>
      <c r="BP1" s="1">
        <v>42186</v>
      </c>
      <c r="BQ1" s="1">
        <v>42217</v>
      </c>
      <c r="BR1" s="1">
        <v>42248</v>
      </c>
      <c r="BS1" s="1">
        <v>42278</v>
      </c>
      <c r="BT1" s="1">
        <v>42309</v>
      </c>
      <c r="BU1" s="1">
        <v>42339</v>
      </c>
      <c r="BV1" s="1">
        <v>42370</v>
      </c>
      <c r="BW1" s="1">
        <v>42401</v>
      </c>
      <c r="BX1" s="1">
        <v>42430</v>
      </c>
      <c r="BY1" s="1">
        <v>42461</v>
      </c>
      <c r="BZ1" s="1">
        <v>42491</v>
      </c>
      <c r="CA1" s="1">
        <v>42522</v>
      </c>
      <c r="CB1" s="1">
        <v>42552</v>
      </c>
      <c r="CC1" s="1">
        <v>42583</v>
      </c>
      <c r="CD1" s="1">
        <v>42614</v>
      </c>
      <c r="CE1" s="1">
        <v>42644</v>
      </c>
      <c r="CF1" s="1">
        <v>42675</v>
      </c>
      <c r="CG1" s="1">
        <v>42705</v>
      </c>
      <c r="CH1" s="1">
        <v>42736</v>
      </c>
      <c r="CI1" s="1">
        <v>42767</v>
      </c>
      <c r="CJ1" s="1">
        <v>42795</v>
      </c>
      <c r="CK1" s="1">
        <v>42826</v>
      </c>
      <c r="CL1" s="1">
        <v>42856</v>
      </c>
      <c r="CM1" s="1">
        <v>42887</v>
      </c>
      <c r="CN1" s="1">
        <v>42917</v>
      </c>
      <c r="CO1" s="1">
        <v>42948</v>
      </c>
      <c r="CP1" s="1">
        <v>42979</v>
      </c>
      <c r="CQ1" s="1">
        <v>43009</v>
      </c>
      <c r="CR1" s="1">
        <v>43040</v>
      </c>
      <c r="CS1" s="1">
        <v>43070</v>
      </c>
      <c r="CT1" s="1">
        <v>43101</v>
      </c>
      <c r="CU1" s="1">
        <v>43132</v>
      </c>
      <c r="CV1" s="1">
        <v>43160</v>
      </c>
      <c r="CW1" s="1">
        <v>43191</v>
      </c>
      <c r="CX1" s="1">
        <v>43221</v>
      </c>
      <c r="CY1" s="1">
        <v>43252</v>
      </c>
      <c r="CZ1" s="1">
        <v>43282</v>
      </c>
      <c r="DA1" s="1">
        <v>43313</v>
      </c>
      <c r="DB1" s="1">
        <v>43344</v>
      </c>
      <c r="DC1" s="1">
        <v>43374</v>
      </c>
      <c r="DD1" s="1">
        <v>43405</v>
      </c>
      <c r="DE1" s="1">
        <v>43435</v>
      </c>
      <c r="DF1" s="1">
        <v>43466</v>
      </c>
      <c r="DG1" s="1">
        <v>43497</v>
      </c>
      <c r="DH1" s="1">
        <v>43525</v>
      </c>
      <c r="DI1" s="1">
        <v>43556</v>
      </c>
      <c r="DJ1" s="1">
        <v>43586</v>
      </c>
      <c r="DK1" s="1">
        <v>43617</v>
      </c>
      <c r="DL1" s="1">
        <v>43647</v>
      </c>
      <c r="DM1" s="1">
        <v>43678</v>
      </c>
      <c r="DN1" s="1">
        <v>43709</v>
      </c>
      <c r="DO1" s="1">
        <v>43739</v>
      </c>
      <c r="DP1" s="1">
        <v>43770</v>
      </c>
      <c r="DQ1" s="1">
        <v>43800</v>
      </c>
      <c r="DR1" s="1">
        <v>43831</v>
      </c>
      <c r="DS1" s="1">
        <v>43862</v>
      </c>
      <c r="DT1" s="1">
        <v>43891</v>
      </c>
      <c r="DU1" s="1">
        <v>43922</v>
      </c>
      <c r="DV1" s="1">
        <v>43952</v>
      </c>
      <c r="DW1" s="1">
        <v>43983</v>
      </c>
      <c r="DX1" s="1">
        <v>44013</v>
      </c>
      <c r="DY1" s="1">
        <v>44044</v>
      </c>
      <c r="DZ1" s="1">
        <v>44075</v>
      </c>
      <c r="EA1" s="1">
        <v>44105</v>
      </c>
      <c r="EB1" s="1">
        <v>44136</v>
      </c>
      <c r="EC1" s="1">
        <v>44166</v>
      </c>
      <c r="ED1" s="1">
        <v>44197</v>
      </c>
      <c r="EE1" s="1">
        <v>44228</v>
      </c>
      <c r="EF1" s="1">
        <v>44256</v>
      </c>
      <c r="EG1" s="1">
        <v>44287</v>
      </c>
      <c r="EH1" s="1">
        <v>44317</v>
      </c>
      <c r="EI1" s="1">
        <v>44348</v>
      </c>
      <c r="EJ1" s="1">
        <v>44378</v>
      </c>
      <c r="EK1" s="1">
        <v>44409</v>
      </c>
      <c r="EL1" s="1">
        <v>44440</v>
      </c>
      <c r="EM1" s="1">
        <v>44470</v>
      </c>
      <c r="EN1" s="1">
        <v>44501</v>
      </c>
      <c r="EO1" s="1">
        <v>44531</v>
      </c>
      <c r="EP1" s="1">
        <v>44562</v>
      </c>
      <c r="EQ1" s="1">
        <v>44593</v>
      </c>
      <c r="ER1" s="1">
        <v>44621</v>
      </c>
      <c r="ES1" s="1">
        <v>44652</v>
      </c>
      <c r="ET1" s="1">
        <v>44682</v>
      </c>
      <c r="EU1" s="1">
        <v>44713</v>
      </c>
      <c r="EV1" s="1">
        <v>44743</v>
      </c>
      <c r="EW1" s="1">
        <v>44774</v>
      </c>
      <c r="EX1" s="1">
        <v>44805</v>
      </c>
      <c r="EY1" s="1">
        <v>44835</v>
      </c>
      <c r="EZ1" s="1">
        <v>44866</v>
      </c>
      <c r="FA1" s="1">
        <v>44896</v>
      </c>
      <c r="FB1" s="1">
        <v>44927</v>
      </c>
      <c r="FC1" s="1">
        <v>44958</v>
      </c>
      <c r="FD1" s="1">
        <v>44986</v>
      </c>
      <c r="FE1" s="1">
        <v>45017</v>
      </c>
      <c r="FF1" s="1">
        <v>45047</v>
      </c>
      <c r="FG1" s="1">
        <v>45078</v>
      </c>
      <c r="FH1" s="1">
        <v>45108</v>
      </c>
      <c r="FI1" s="1">
        <v>45139</v>
      </c>
      <c r="FJ1" s="1">
        <v>45170</v>
      </c>
      <c r="FK1" s="1">
        <v>45200</v>
      </c>
      <c r="FL1" s="1">
        <v>45231</v>
      </c>
      <c r="FM1" s="1">
        <v>45261</v>
      </c>
      <c r="FN1" s="1">
        <v>45292</v>
      </c>
      <c r="FO1" s="1">
        <v>45323</v>
      </c>
      <c r="FP1" s="1">
        <v>45352</v>
      </c>
      <c r="FQ1" s="1">
        <v>45383</v>
      </c>
      <c r="FR1" s="1">
        <v>45413</v>
      </c>
      <c r="FS1" s="1">
        <v>45444</v>
      </c>
      <c r="FT1" s="1">
        <v>45474</v>
      </c>
      <c r="FU1" s="1">
        <v>45505</v>
      </c>
      <c r="FV1" s="1">
        <v>45536</v>
      </c>
      <c r="FW1" s="1">
        <v>45566</v>
      </c>
      <c r="FX1" s="1">
        <v>45597</v>
      </c>
      <c r="FY1" s="1">
        <v>45627</v>
      </c>
      <c r="FZ1" s="1">
        <v>45658</v>
      </c>
      <c r="GA1" s="1">
        <v>45689</v>
      </c>
      <c r="GB1" s="1">
        <v>45717</v>
      </c>
      <c r="GC1" s="1">
        <v>45748</v>
      </c>
      <c r="GD1" s="1">
        <v>45778</v>
      </c>
      <c r="GE1" s="1">
        <v>45809</v>
      </c>
      <c r="GF1" s="1">
        <v>45839</v>
      </c>
      <c r="GG1" s="1">
        <v>45870</v>
      </c>
      <c r="GH1" s="1">
        <v>45901</v>
      </c>
      <c r="GI1" s="1">
        <v>45931</v>
      </c>
      <c r="GJ1" s="1">
        <v>45962</v>
      </c>
      <c r="GK1" s="1">
        <v>45992</v>
      </c>
      <c r="GL1" s="1">
        <v>46023</v>
      </c>
    </row>
    <row r="2" spans="1:194" x14ac:dyDescent="0.2">
      <c r="A2" t="s">
        <v>1</v>
      </c>
      <c r="B2">
        <v>58</v>
      </c>
      <c r="C2">
        <v>53</v>
      </c>
      <c r="D2">
        <v>40</v>
      </c>
      <c r="E2">
        <v>48</v>
      </c>
      <c r="F2">
        <v>81</v>
      </c>
      <c r="G2">
        <v>85</v>
      </c>
      <c r="H2">
        <v>62</v>
      </c>
      <c r="I2">
        <v>52</v>
      </c>
      <c r="J2">
        <v>53</v>
      </c>
      <c r="K2">
        <v>52</v>
      </c>
      <c r="L2">
        <v>45</v>
      </c>
      <c r="M2">
        <v>56</v>
      </c>
      <c r="N2">
        <v>53</v>
      </c>
      <c r="O2">
        <v>40</v>
      </c>
      <c r="P2">
        <v>61</v>
      </c>
      <c r="Q2">
        <v>48</v>
      </c>
      <c r="R2">
        <v>63</v>
      </c>
      <c r="S2">
        <v>52</v>
      </c>
      <c r="T2">
        <v>66</v>
      </c>
      <c r="U2">
        <v>74</v>
      </c>
      <c r="V2">
        <v>65</v>
      </c>
      <c r="W2">
        <v>65</v>
      </c>
      <c r="X2">
        <v>66</v>
      </c>
      <c r="Y2">
        <v>57</v>
      </c>
      <c r="Z2">
        <v>55</v>
      </c>
      <c r="AA2">
        <v>56</v>
      </c>
      <c r="AB2">
        <v>72</v>
      </c>
      <c r="AC2">
        <v>53</v>
      </c>
      <c r="AD2">
        <v>68</v>
      </c>
      <c r="AE2">
        <v>61</v>
      </c>
      <c r="AF2">
        <v>61</v>
      </c>
      <c r="AG2">
        <v>68</v>
      </c>
      <c r="AH2">
        <v>46</v>
      </c>
      <c r="AI2">
        <v>60</v>
      </c>
      <c r="AJ2">
        <v>52</v>
      </c>
      <c r="AK2">
        <v>58</v>
      </c>
      <c r="AL2">
        <v>59</v>
      </c>
      <c r="AM2">
        <v>64</v>
      </c>
      <c r="AN2">
        <v>56</v>
      </c>
      <c r="AO2">
        <v>58</v>
      </c>
      <c r="AP2">
        <v>66</v>
      </c>
      <c r="AQ2">
        <v>52</v>
      </c>
      <c r="AR2">
        <v>57</v>
      </c>
      <c r="AS2">
        <v>55</v>
      </c>
      <c r="AT2">
        <v>52</v>
      </c>
      <c r="AU2">
        <v>46</v>
      </c>
      <c r="AV2">
        <v>45</v>
      </c>
      <c r="AW2">
        <v>45</v>
      </c>
      <c r="AX2">
        <v>66</v>
      </c>
      <c r="AY2">
        <v>53</v>
      </c>
      <c r="AZ2">
        <v>49</v>
      </c>
      <c r="BA2">
        <v>73</v>
      </c>
      <c r="BB2">
        <v>70</v>
      </c>
      <c r="BC2">
        <v>52</v>
      </c>
      <c r="BD2">
        <v>68</v>
      </c>
      <c r="BE2">
        <v>49</v>
      </c>
      <c r="BF2">
        <v>59</v>
      </c>
      <c r="BG2">
        <v>57</v>
      </c>
      <c r="BH2">
        <v>60</v>
      </c>
      <c r="BI2">
        <v>65</v>
      </c>
      <c r="BJ2">
        <v>61</v>
      </c>
      <c r="BK2">
        <v>48</v>
      </c>
      <c r="BL2">
        <v>55</v>
      </c>
      <c r="BM2">
        <v>52</v>
      </c>
      <c r="BN2">
        <v>49</v>
      </c>
      <c r="BO2">
        <v>66</v>
      </c>
      <c r="BP2">
        <v>60</v>
      </c>
      <c r="BQ2">
        <v>57</v>
      </c>
      <c r="BR2">
        <v>62</v>
      </c>
      <c r="BS2">
        <v>48</v>
      </c>
      <c r="BT2">
        <v>52</v>
      </c>
      <c r="BU2">
        <v>72</v>
      </c>
      <c r="BV2">
        <v>44</v>
      </c>
      <c r="BW2">
        <v>57</v>
      </c>
      <c r="BX2">
        <v>54</v>
      </c>
      <c r="BY2">
        <v>68</v>
      </c>
      <c r="BZ2">
        <v>65</v>
      </c>
      <c r="CA2">
        <v>62</v>
      </c>
      <c r="CB2">
        <v>68</v>
      </c>
      <c r="CC2">
        <v>71</v>
      </c>
      <c r="CD2">
        <v>77</v>
      </c>
      <c r="CE2">
        <v>78</v>
      </c>
      <c r="CF2">
        <v>84</v>
      </c>
      <c r="CG2">
        <v>86</v>
      </c>
      <c r="CH2">
        <v>87</v>
      </c>
      <c r="CI2">
        <v>68</v>
      </c>
      <c r="CJ2">
        <v>43</v>
      </c>
      <c r="CK2">
        <v>70</v>
      </c>
      <c r="CL2">
        <v>63</v>
      </c>
      <c r="CM2">
        <v>65</v>
      </c>
      <c r="CN2">
        <v>68</v>
      </c>
      <c r="CO2">
        <v>67</v>
      </c>
      <c r="CP2">
        <v>47</v>
      </c>
      <c r="CQ2">
        <v>77</v>
      </c>
      <c r="CR2">
        <v>63</v>
      </c>
      <c r="CS2">
        <v>76</v>
      </c>
      <c r="CT2">
        <v>60</v>
      </c>
      <c r="CU2">
        <v>66</v>
      </c>
      <c r="CV2">
        <v>62</v>
      </c>
      <c r="CW2">
        <v>76</v>
      </c>
      <c r="CX2">
        <v>57</v>
      </c>
      <c r="CY2">
        <v>65</v>
      </c>
      <c r="CZ2">
        <v>63</v>
      </c>
      <c r="DA2">
        <v>67</v>
      </c>
      <c r="DB2">
        <v>41</v>
      </c>
      <c r="DC2">
        <v>62</v>
      </c>
      <c r="DD2">
        <v>84</v>
      </c>
      <c r="DE2">
        <v>63</v>
      </c>
      <c r="DF2">
        <v>58</v>
      </c>
      <c r="DG2">
        <v>36</v>
      </c>
      <c r="DH2">
        <v>53</v>
      </c>
      <c r="DI2">
        <v>74</v>
      </c>
      <c r="DJ2">
        <v>72</v>
      </c>
      <c r="DK2">
        <v>59</v>
      </c>
      <c r="DL2">
        <v>50</v>
      </c>
      <c r="DM2">
        <v>42</v>
      </c>
      <c r="DN2">
        <v>41</v>
      </c>
      <c r="DO2">
        <v>47</v>
      </c>
      <c r="DP2">
        <v>42</v>
      </c>
      <c r="DQ2">
        <v>64</v>
      </c>
      <c r="DR2">
        <v>44</v>
      </c>
      <c r="DS2">
        <v>55</v>
      </c>
      <c r="DT2">
        <v>50</v>
      </c>
      <c r="DU2">
        <v>31</v>
      </c>
      <c r="DV2">
        <v>44</v>
      </c>
      <c r="DW2">
        <v>37</v>
      </c>
      <c r="DX2">
        <v>42</v>
      </c>
      <c r="DY2">
        <v>44</v>
      </c>
      <c r="DZ2">
        <v>54</v>
      </c>
      <c r="EA2">
        <v>50</v>
      </c>
      <c r="EB2">
        <v>33</v>
      </c>
      <c r="EC2">
        <v>37</v>
      </c>
      <c r="ED2">
        <v>27</v>
      </c>
      <c r="EE2">
        <v>32</v>
      </c>
      <c r="EF2">
        <v>41</v>
      </c>
      <c r="EG2">
        <v>23</v>
      </c>
      <c r="EH2">
        <v>40</v>
      </c>
      <c r="EI2">
        <v>29</v>
      </c>
      <c r="EJ2">
        <v>29</v>
      </c>
      <c r="EK2">
        <v>36</v>
      </c>
      <c r="EL2">
        <v>34</v>
      </c>
      <c r="EM2">
        <v>32</v>
      </c>
      <c r="EN2">
        <v>35</v>
      </c>
      <c r="EO2">
        <v>51</v>
      </c>
      <c r="EP2">
        <v>32</v>
      </c>
      <c r="EQ2">
        <v>28</v>
      </c>
      <c r="ER2">
        <v>40</v>
      </c>
      <c r="ES2">
        <v>52</v>
      </c>
      <c r="ET2">
        <v>51</v>
      </c>
      <c r="EU2">
        <v>49</v>
      </c>
      <c r="EV2">
        <v>53</v>
      </c>
      <c r="EW2">
        <v>39</v>
      </c>
      <c r="EX2">
        <v>38</v>
      </c>
      <c r="EY2">
        <v>72</v>
      </c>
      <c r="EZ2">
        <v>55</v>
      </c>
      <c r="FA2">
        <v>49</v>
      </c>
      <c r="FB2">
        <v>47</v>
      </c>
      <c r="FC2">
        <v>39</v>
      </c>
      <c r="FD2">
        <v>37</v>
      </c>
      <c r="FE2">
        <v>43</v>
      </c>
      <c r="FF2">
        <v>44</v>
      </c>
      <c r="FG2">
        <v>38</v>
      </c>
      <c r="FH2">
        <v>37</v>
      </c>
      <c r="FI2">
        <v>53</v>
      </c>
      <c r="FJ2">
        <v>34</v>
      </c>
      <c r="FK2">
        <v>36</v>
      </c>
      <c r="FL2">
        <v>38</v>
      </c>
      <c r="FM2">
        <v>48</v>
      </c>
      <c r="FN2">
        <v>68</v>
      </c>
      <c r="FO2">
        <v>35</v>
      </c>
      <c r="FP2">
        <v>47</v>
      </c>
      <c r="FQ2">
        <v>36</v>
      </c>
      <c r="FR2">
        <v>36</v>
      </c>
      <c r="FS2">
        <v>52</v>
      </c>
      <c r="FT2">
        <v>43</v>
      </c>
      <c r="FU2">
        <v>31</v>
      </c>
      <c r="FV2">
        <v>32</v>
      </c>
      <c r="FW2">
        <v>24</v>
      </c>
      <c r="FX2">
        <v>28</v>
      </c>
      <c r="FY2">
        <v>27</v>
      </c>
      <c r="FZ2">
        <v>41</v>
      </c>
      <c r="GA2">
        <v>36</v>
      </c>
      <c r="GB2">
        <v>36</v>
      </c>
      <c r="GC2">
        <v>34</v>
      </c>
      <c r="GD2">
        <v>55</v>
      </c>
      <c r="GE2">
        <v>45</v>
      </c>
      <c r="GF2">
        <v>37</v>
      </c>
      <c r="GG2">
        <v>34</v>
      </c>
      <c r="GH2">
        <v>30</v>
      </c>
      <c r="GI2">
        <v>31</v>
      </c>
      <c r="GJ2">
        <v>31</v>
      </c>
      <c r="GK2">
        <v>52</v>
      </c>
      <c r="GL2">
        <v>30</v>
      </c>
    </row>
    <row r="4" spans="1:194" x14ac:dyDescent="0.2">
      <c r="A4" t="s">
        <v>2</v>
      </c>
      <c r="B4" t="s">
        <v>3</v>
      </c>
    </row>
    <row r="5" spans="1:194" x14ac:dyDescent="0.2">
      <c r="A5" t="s">
        <v>1</v>
      </c>
      <c r="B5" t="s">
        <v>4</v>
      </c>
      <c r="C5" t="s">
        <v>5</v>
      </c>
      <c r="D5" t="s">
        <v>6</v>
      </c>
      <c r="E5" t="s">
        <v>7</v>
      </c>
      <c r="F5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schertz_violent_and_non XmR </vt:lpstr>
      <vt:lpstr>schertz_violent_and_nonviolent_</vt:lpstr>
      <vt:lpstr>'schertz_violent_and_non XmR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 schertz_violent_and_nonviole</dc:title>
  <dc:creator>QI Macros</dc:creator>
  <dc:description>
_x000d_QI Macros 2025.01
_x000d_qimacros.com</dc:description>
  <cp:lastModifiedBy>D S</cp:lastModifiedBy>
  <dcterms:created xsi:type="dcterms:W3CDTF">2026-02-18T09:39:39Z</dcterms:created>
  <dcterms:modified xsi:type="dcterms:W3CDTF">2026-03-07T16:41:19Z</dcterms:modified>
</cp:coreProperties>
</file>
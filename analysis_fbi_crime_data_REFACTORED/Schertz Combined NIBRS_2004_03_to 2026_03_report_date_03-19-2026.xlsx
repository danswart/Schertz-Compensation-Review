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_REFACTORED/"/>
    </mc:Choice>
  </mc:AlternateContent>
  <xr:revisionPtr revIDLastSave="0" documentId="13_ncr:9_{2DB642FA-0DCA-BE4D-98E5-18B3A22504BC}" xr6:coauthVersionLast="47" xr6:coauthVersionMax="47" xr10:uidLastSave="{00000000-0000-0000-0000-000000000000}"/>
  <bookViews>
    <workbookView xWindow="0" yWindow="0" windowWidth="40960" windowHeight="23040" activeTab="1" xr2:uid="{DC69561B-C9E8-9542-9ECE-BC7C9C6CB41F}"/>
  </bookViews>
  <sheets>
    <sheet name="Combined_FBI_count XmR 9" sheetId="16" r:id="rId1"/>
    <sheet name="Annual Data" sheetId="12" r:id="rId2"/>
    <sheet name="Schertz Combined NIBRS_2004_03_" sheetId="1" r:id="rId3"/>
  </sheets>
  <definedNames>
    <definedName name="_xlnm.Print_Area" localSheetId="0">'Combined_FBI_count XmR 9'!$C$1:$R$38</definedName>
  </definedNames>
  <calcPr calcId="0"/>
</workbook>
</file>

<file path=xl/calcChain.xml><?xml version="1.0" encoding="utf-8"?>
<calcChain xmlns="http://schemas.openxmlformats.org/spreadsheetml/2006/main">
  <c r="F18" i="16" l="1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K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J3" i="16"/>
  <c r="K4" i="16" s="1"/>
  <c r="J4" i="16"/>
  <c r="K5" i="16" s="1"/>
  <c r="J5" i="16"/>
  <c r="K6" i="16" s="1"/>
  <c r="J6" i="16"/>
  <c r="K7" i="16" s="1"/>
  <c r="J7" i="16"/>
  <c r="K8" i="16" s="1"/>
  <c r="J8" i="16"/>
  <c r="K9" i="16" s="1"/>
  <c r="J9" i="16"/>
  <c r="K10" i="16" s="1"/>
  <c r="J10" i="16"/>
  <c r="K11" i="16" s="1"/>
  <c r="J11" i="16"/>
  <c r="K12" i="16" s="1"/>
  <c r="J12" i="16"/>
  <c r="K13" i="16" s="1"/>
  <c r="J13" i="16"/>
  <c r="K14" i="16" s="1"/>
  <c r="J14" i="16"/>
  <c r="K15" i="16" s="1"/>
  <c r="J15" i="16"/>
  <c r="K16" i="16" s="1"/>
  <c r="J16" i="16"/>
  <c r="K17" i="16" s="1"/>
  <c r="J17" i="16"/>
  <c r="K18" i="16" s="1"/>
  <c r="J18" i="16"/>
  <c r="K19" i="16" s="1"/>
  <c r="J19" i="16"/>
  <c r="K20" i="16" s="1"/>
  <c r="J20" i="16"/>
  <c r="K21" i="16" s="1"/>
  <c r="J21" i="16"/>
  <c r="K22" i="16" s="1"/>
  <c r="J22" i="16"/>
  <c r="K23" i="16" s="1"/>
  <c r="J23" i="16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2" i="16"/>
  <c r="O18" i="16" l="1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2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H2" i="16" l="1"/>
  <c r="I2" i="16"/>
  <c r="H3" i="16"/>
  <c r="I3" i="16"/>
  <c r="H4" i="16"/>
  <c r="I4" i="16"/>
  <c r="H5" i="16"/>
  <c r="I5" i="16"/>
  <c r="H6" i="16"/>
  <c r="I6" i="16"/>
  <c r="H7" i="16"/>
  <c r="I7" i="16"/>
  <c r="H8" i="16"/>
  <c r="I8" i="16"/>
  <c r="H9" i="16"/>
  <c r="I9" i="16"/>
  <c r="H10" i="16"/>
  <c r="I10" i="16"/>
  <c r="H11" i="16"/>
  <c r="I11" i="16"/>
  <c r="H12" i="16"/>
  <c r="I12" i="16"/>
  <c r="H13" i="16"/>
  <c r="I13" i="16"/>
  <c r="H14" i="16"/>
  <c r="I14" i="16"/>
  <c r="H15" i="16"/>
  <c r="I15" i="16"/>
  <c r="H16" i="16"/>
  <c r="I16" i="16"/>
  <c r="H17" i="16"/>
  <c r="I17" i="16"/>
  <c r="H18" i="16"/>
  <c r="I18" i="16"/>
  <c r="H19" i="16"/>
  <c r="I19" i="16"/>
  <c r="H20" i="16"/>
  <c r="I20" i="16"/>
  <c r="H21" i="16"/>
  <c r="I21" i="16"/>
  <c r="H22" i="16"/>
  <c r="I22" i="16"/>
  <c r="H23" i="16"/>
  <c r="I23" i="16"/>
  <c r="H24" i="16"/>
  <c r="I24" i="16"/>
  <c r="H25" i="16"/>
  <c r="I25" i="16"/>
  <c r="H26" i="16"/>
  <c r="I26" i="16"/>
  <c r="H27" i="16"/>
  <c r="I27" i="16"/>
  <c r="H28" i="16"/>
  <c r="I28" i="16"/>
  <c r="H29" i="16"/>
  <c r="I29" i="16"/>
  <c r="H30" i="16"/>
  <c r="I30" i="16"/>
  <c r="H31" i="16"/>
  <c r="I31" i="16"/>
  <c r="H32" i="16"/>
  <c r="I32" i="16"/>
  <c r="H33" i="16"/>
  <c r="I33" i="16"/>
  <c r="H34" i="16"/>
  <c r="I34" i="16"/>
  <c r="H35" i="16"/>
  <c r="I35" i="16"/>
  <c r="H36" i="16"/>
  <c r="I36" i="16"/>
  <c r="H37" i="16"/>
  <c r="I37" i="16"/>
  <c r="H38" i="16"/>
  <c r="I38" i="16"/>
  <c r="H39" i="16"/>
  <c r="I39" i="16"/>
  <c r="H40" i="16"/>
  <c r="I40" i="16"/>
  <c r="H41" i="16"/>
  <c r="I41" i="16"/>
  <c r="H42" i="16"/>
  <c r="I42" i="16"/>
  <c r="H43" i="16"/>
  <c r="I43" i="16"/>
  <c r="E2" i="16"/>
  <c r="G2" i="16"/>
  <c r="E3" i="16"/>
  <c r="G3" i="16"/>
  <c r="E4" i="16"/>
  <c r="G4" i="16"/>
  <c r="E5" i="16"/>
  <c r="G5" i="16"/>
  <c r="E6" i="16"/>
  <c r="G6" i="16"/>
  <c r="E7" i="16"/>
  <c r="G7" i="16"/>
  <c r="E8" i="16"/>
  <c r="G8" i="16"/>
  <c r="E9" i="16"/>
  <c r="G9" i="16"/>
  <c r="E10" i="16"/>
  <c r="G10" i="16"/>
  <c r="E11" i="16"/>
  <c r="G11" i="16"/>
  <c r="E12" i="16"/>
  <c r="G12" i="16"/>
  <c r="E13" i="16"/>
  <c r="G13" i="16"/>
  <c r="E14" i="16"/>
  <c r="G14" i="16"/>
  <c r="E15" i="16"/>
  <c r="G15" i="16"/>
  <c r="E16" i="16"/>
  <c r="G16" i="16"/>
  <c r="E17" i="16"/>
  <c r="G17" i="16"/>
  <c r="E18" i="16"/>
  <c r="G18" i="16"/>
  <c r="E19" i="16"/>
  <c r="G19" i="16"/>
  <c r="E20" i="16"/>
  <c r="G20" i="16"/>
  <c r="E21" i="16"/>
  <c r="G21" i="16"/>
  <c r="E22" i="16"/>
  <c r="G22" i="16"/>
  <c r="E23" i="16"/>
  <c r="G23" i="16"/>
  <c r="E24" i="16"/>
  <c r="G24" i="16"/>
  <c r="E25" i="16"/>
  <c r="G25" i="16"/>
  <c r="E26" i="16"/>
  <c r="G26" i="16"/>
  <c r="E27" i="16"/>
  <c r="G27" i="16"/>
  <c r="E28" i="16"/>
  <c r="G28" i="16"/>
  <c r="E29" i="16"/>
  <c r="G29" i="16"/>
  <c r="E30" i="16"/>
  <c r="G30" i="16"/>
  <c r="E31" i="16"/>
  <c r="G31" i="16"/>
  <c r="E32" i="16"/>
  <c r="G32" i="16"/>
  <c r="E33" i="16"/>
  <c r="G33" i="16"/>
  <c r="E34" i="16"/>
  <c r="G34" i="16"/>
  <c r="E35" i="16"/>
  <c r="G35" i="16"/>
  <c r="E36" i="16"/>
  <c r="G36" i="16"/>
  <c r="E37" i="16"/>
  <c r="G37" i="16"/>
  <c r="E38" i="16"/>
  <c r="G38" i="16"/>
  <c r="E39" i="16"/>
  <c r="G39" i="16"/>
  <c r="E40" i="16"/>
  <c r="G40" i="16"/>
  <c r="E41" i="16"/>
  <c r="G41" i="16"/>
  <c r="E42" i="16"/>
  <c r="G42" i="16"/>
  <c r="E43" i="16"/>
  <c r="G43" i="16"/>
  <c r="C2" i="16"/>
  <c r="D2" i="16"/>
  <c r="C3" i="16"/>
  <c r="D3" i="16"/>
  <c r="C4" i="16"/>
  <c r="D4" i="16"/>
  <c r="C5" i="16"/>
  <c r="D5" i="16"/>
  <c r="C6" i="16"/>
  <c r="D6" i="16"/>
  <c r="C7" i="16"/>
  <c r="D7" i="16"/>
  <c r="C8" i="16"/>
  <c r="D8" i="16"/>
  <c r="C9" i="16"/>
  <c r="D9" i="16"/>
  <c r="C10" i="16"/>
  <c r="D10" i="16"/>
  <c r="C11" i="16"/>
  <c r="D11" i="16"/>
  <c r="C12" i="16"/>
  <c r="D12" i="16"/>
  <c r="C13" i="16"/>
  <c r="D13" i="16"/>
  <c r="C14" i="16"/>
  <c r="D14" i="16"/>
  <c r="C15" i="16"/>
  <c r="D15" i="16"/>
  <c r="C16" i="16"/>
  <c r="D16" i="16"/>
  <c r="C17" i="16"/>
  <c r="D17" i="16"/>
  <c r="C18" i="16"/>
  <c r="D18" i="16"/>
  <c r="C19" i="16"/>
  <c r="D19" i="16"/>
  <c r="C20" i="16"/>
  <c r="D20" i="16"/>
  <c r="C21" i="16"/>
  <c r="D21" i="16"/>
  <c r="C22" i="16"/>
  <c r="D22" i="16"/>
  <c r="C23" i="16"/>
  <c r="D23" i="16"/>
  <c r="C24" i="16"/>
  <c r="D24" i="16"/>
  <c r="C25" i="16"/>
  <c r="D25" i="16"/>
  <c r="C26" i="16"/>
  <c r="D26" i="16"/>
  <c r="C27" i="16"/>
  <c r="D27" i="16"/>
  <c r="C28" i="16"/>
  <c r="D28" i="16"/>
  <c r="C29" i="16"/>
  <c r="D29" i="16"/>
  <c r="C30" i="16"/>
  <c r="D30" i="16"/>
  <c r="C31" i="16"/>
  <c r="D31" i="16"/>
  <c r="C32" i="16"/>
  <c r="D32" i="16"/>
  <c r="C33" i="16"/>
  <c r="D33" i="16"/>
  <c r="C34" i="16"/>
  <c r="D34" i="16"/>
  <c r="C35" i="16"/>
  <c r="D35" i="16"/>
  <c r="C36" i="16"/>
  <c r="D36" i="16"/>
  <c r="C37" i="16"/>
  <c r="D37" i="16"/>
  <c r="C38" i="16"/>
  <c r="D38" i="16"/>
  <c r="C39" i="16"/>
  <c r="D39" i="16"/>
  <c r="C40" i="16"/>
  <c r="D40" i="16"/>
  <c r="C41" i="16"/>
  <c r="D41" i="16"/>
  <c r="C42" i="16"/>
  <c r="D42" i="16"/>
  <c r="C43" i="16"/>
  <c r="D43" i="16"/>
  <c r="L3" i="16"/>
  <c r="L4" i="16"/>
  <c r="P4" i="16" s="1"/>
  <c r="L5" i="16"/>
  <c r="L6" i="16"/>
  <c r="P6" i="16" s="1"/>
  <c r="L7" i="16"/>
  <c r="P7" i="16"/>
  <c r="L8" i="16"/>
  <c r="P8" i="16" s="1"/>
  <c r="L9" i="16"/>
  <c r="L10" i="16"/>
  <c r="L11" i="16"/>
  <c r="P11" i="16" s="1"/>
  <c r="L12" i="16"/>
  <c r="P12" i="16" s="1"/>
  <c r="L13" i="16"/>
  <c r="P13" i="16" s="1"/>
  <c r="L14" i="16"/>
  <c r="P14" i="16" s="1"/>
  <c r="L15" i="16"/>
  <c r="P15" i="16" s="1"/>
  <c r="L16" i="16"/>
  <c r="P16" i="16" s="1"/>
  <c r="L17" i="16"/>
  <c r="P17" i="16"/>
  <c r="L18" i="16"/>
  <c r="P18" i="16" s="1"/>
  <c r="L19" i="16"/>
  <c r="P19" i="16"/>
  <c r="L20" i="16"/>
  <c r="P20" i="16" s="1"/>
  <c r="L21" i="16"/>
  <c r="P21" i="16"/>
  <c r="L22" i="16"/>
  <c r="P22" i="16" s="1"/>
  <c r="L23" i="16"/>
  <c r="P23" i="16" s="1"/>
  <c r="L24" i="16"/>
  <c r="P24" i="16" s="1"/>
  <c r="L25" i="16"/>
  <c r="P25" i="16" s="1"/>
  <c r="L26" i="16"/>
  <c r="P26" i="16"/>
  <c r="L27" i="16"/>
  <c r="P27" i="16" s="1"/>
  <c r="L28" i="16"/>
  <c r="P28" i="16"/>
  <c r="L29" i="16"/>
  <c r="P29" i="16" s="1"/>
  <c r="L30" i="16"/>
  <c r="L31" i="16"/>
  <c r="P31" i="16" s="1"/>
  <c r="L32" i="16"/>
  <c r="P32" i="16" s="1"/>
  <c r="L33" i="16"/>
  <c r="P33" i="16" s="1"/>
  <c r="L34" i="16"/>
  <c r="L35" i="16"/>
  <c r="P35" i="16" s="1"/>
  <c r="L36" i="16"/>
  <c r="P36" i="16" s="1"/>
  <c r="L37" i="16"/>
  <c r="L38" i="16"/>
  <c r="P38" i="16" s="1"/>
  <c r="L39" i="16"/>
  <c r="L40" i="16"/>
  <c r="P40" i="16" s="1"/>
  <c r="L41" i="16"/>
  <c r="P41" i="16" s="1"/>
  <c r="L42" i="16"/>
  <c r="L43" i="16"/>
  <c r="P43" i="16" s="1"/>
  <c r="M3" i="16" l="1"/>
  <c r="N3" i="16"/>
  <c r="P3" i="16"/>
  <c r="Q3" i="16"/>
  <c r="N4" i="16"/>
  <c r="M4" i="16"/>
  <c r="Q4" i="16"/>
  <c r="M5" i="16"/>
  <c r="N5" i="16"/>
  <c r="P5" i="16"/>
  <c r="Q5" i="16"/>
  <c r="M6" i="16"/>
  <c r="N6" i="16"/>
  <c r="Q6" i="16"/>
  <c r="M7" i="16"/>
  <c r="N7" i="16"/>
  <c r="Q7" i="16"/>
  <c r="Q8" i="16"/>
  <c r="M8" i="16"/>
  <c r="N8" i="16"/>
  <c r="Q9" i="16"/>
  <c r="N9" i="16"/>
  <c r="P9" i="16"/>
  <c r="M9" i="16"/>
  <c r="Q10" i="16"/>
  <c r="M10" i="16"/>
  <c r="P10" i="16"/>
  <c r="N10" i="16"/>
  <c r="Q11" i="16"/>
  <c r="M11" i="16"/>
  <c r="N11" i="16"/>
  <c r="Q12" i="16"/>
  <c r="M12" i="16"/>
  <c r="N12" i="16"/>
  <c r="Q13" i="16"/>
  <c r="M13" i="16"/>
  <c r="N13" i="16"/>
  <c r="M14" i="16"/>
  <c r="N14" i="16"/>
  <c r="Q14" i="16"/>
  <c r="N15" i="16"/>
  <c r="M15" i="16"/>
  <c r="Q15" i="16"/>
  <c r="N16" i="16"/>
  <c r="M16" i="16"/>
  <c r="Q16" i="16"/>
  <c r="M17" i="16"/>
  <c r="N17" i="16"/>
  <c r="Q17" i="16"/>
  <c r="Q18" i="16"/>
  <c r="M18" i="16"/>
  <c r="N18" i="16"/>
  <c r="M19" i="16"/>
  <c r="Q19" i="16"/>
  <c r="N19" i="16"/>
  <c r="N20" i="16"/>
  <c r="M20" i="16"/>
  <c r="Q20" i="16"/>
  <c r="Q21" i="16"/>
  <c r="N21" i="16"/>
  <c r="M21" i="16"/>
  <c r="Q22" i="16"/>
  <c r="N22" i="16"/>
  <c r="M22" i="16"/>
  <c r="Q23" i="16"/>
  <c r="N23" i="16"/>
  <c r="M23" i="16"/>
  <c r="Q24" i="16"/>
  <c r="N24" i="16"/>
  <c r="M24" i="16"/>
  <c r="Q25" i="16"/>
  <c r="N25" i="16"/>
  <c r="M25" i="16"/>
  <c r="Q26" i="16"/>
  <c r="M26" i="16"/>
  <c r="N26" i="16"/>
  <c r="Q27" i="16"/>
  <c r="M27" i="16"/>
  <c r="N27" i="16"/>
  <c r="M28" i="16"/>
  <c r="N28" i="16"/>
  <c r="Q28" i="16"/>
  <c r="M29" i="16"/>
  <c r="N29" i="16"/>
  <c r="Q29" i="16"/>
  <c r="P30" i="16"/>
  <c r="Q30" i="16"/>
  <c r="N30" i="16"/>
  <c r="M30" i="16"/>
  <c r="N31" i="16"/>
  <c r="M31" i="16"/>
  <c r="Q31" i="16"/>
  <c r="M32" i="16"/>
  <c r="N32" i="16"/>
  <c r="Q32" i="16"/>
  <c r="M33" i="16"/>
  <c r="N33" i="16"/>
  <c r="Q33" i="16"/>
  <c r="P34" i="16"/>
  <c r="M34" i="16"/>
  <c r="Q34" i="16"/>
  <c r="N34" i="16"/>
  <c r="Q35" i="16"/>
  <c r="M35" i="16"/>
  <c r="N35" i="16"/>
  <c r="N36" i="16"/>
  <c r="M36" i="16"/>
  <c r="Q36" i="16"/>
  <c r="P37" i="16"/>
  <c r="M37" i="16"/>
  <c r="N37" i="16"/>
  <c r="Q37" i="16"/>
  <c r="M38" i="16"/>
  <c r="N38" i="16"/>
  <c r="Q38" i="16"/>
  <c r="M39" i="16"/>
  <c r="Q39" i="16"/>
  <c r="P39" i="16"/>
  <c r="N39" i="16"/>
  <c r="N40" i="16"/>
  <c r="Q40" i="16"/>
  <c r="M40" i="16"/>
  <c r="Q41" i="16"/>
  <c r="M41" i="16"/>
  <c r="N41" i="16"/>
  <c r="Q42" i="16"/>
  <c r="M42" i="16"/>
  <c r="N42" i="16"/>
  <c r="P42" i="16"/>
  <c r="Q43" i="16"/>
  <c r="M43" i="16"/>
  <c r="N43" i="16"/>
</calcChain>
</file>

<file path=xl/sharedStrings.xml><?xml version="1.0" encoding="utf-8"?>
<sst xmlns="http://schemas.openxmlformats.org/spreadsheetml/2006/main" count="67" uniqueCount="36">
  <si>
    <t>Date</t>
  </si>
  <si>
    <t>combined_crime_count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</si>
  <si>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</si>
  <si>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</si>
  <si>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</si>
  <si>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</si>
  <si>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</si>
  <si>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</si>
  <si>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</si>
  <si>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</si>
  <si>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</si>
  <si>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</si>
  <si>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</si>
  <si>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</si>
  <si>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</si>
  <si>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</si>
  <si>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</si>
  <si>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</si>
  <si>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</si>
  <si>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</si>
  <si>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</si>
  <si>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</si>
  <si>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</si>
  <si>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</si>
  <si>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</si>
  <si>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</si>
  <si>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</si>
  <si>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</si>
  <si>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</si>
  <si>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</si>
  <si>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</si>
  <si>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</si>
  <si>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</si>
  <si>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</si>
  <si>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Year</t>
  </si>
  <si>
    <t>Combined_FBI_count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</si>
</sst>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0" fillId="0" borderId="0" xfId="0" applyAlignment="1"/>
    <xf numFmtId="164" fontId="0" fillId="0" borderId="0" xfId="0" applyNumberFormat="1" applyAlignment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  <xf numFmtId="164" fontId="0" fillId="33" borderId="0" xfId="0" applyNumberFormat="1" applyFill="1"/>
    <xf numFmtId="0" fontId="0" fillId="0" borderId="0" xfId="0" applyFill="1" applyAlignment="1"/>
    <xf numFmtId="0" fontId="0" fillId="33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Combined_FBI_count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'Combined_FBI_count XmR 9'!$K$1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9'!$K$2:$K$23</c:f>
              <c:numCache>
                <c:formatCode>0.0</c:formatCode>
                <c:ptCount val="22"/>
                <c:pt idx="1">
                  <c:v>118</c:v>
                </c:pt>
                <c:pt idx="2">
                  <c:v>145</c:v>
                </c:pt>
                <c:pt idx="3">
                  <c:v>11</c:v>
                </c:pt>
                <c:pt idx="4">
                  <c:v>56</c:v>
                </c:pt>
                <c:pt idx="5">
                  <c:v>24</c:v>
                </c:pt>
                <c:pt idx="6">
                  <c:v>33</c:v>
                </c:pt>
                <c:pt idx="7">
                  <c:v>25</c:v>
                </c:pt>
                <c:pt idx="8">
                  <c:v>0</c:v>
                </c:pt>
                <c:pt idx="9">
                  <c:v>55</c:v>
                </c:pt>
                <c:pt idx="10">
                  <c:v>66</c:v>
                </c:pt>
                <c:pt idx="11">
                  <c:v>39</c:v>
                </c:pt>
                <c:pt idx="12">
                  <c:v>132</c:v>
                </c:pt>
                <c:pt idx="13">
                  <c:v>20</c:v>
                </c:pt>
                <c:pt idx="14">
                  <c:v>28</c:v>
                </c:pt>
                <c:pt idx="15">
                  <c:v>128</c:v>
                </c:pt>
                <c:pt idx="16">
                  <c:v>117</c:v>
                </c:pt>
                <c:pt idx="17">
                  <c:v>112</c:v>
                </c:pt>
                <c:pt idx="18">
                  <c:v>149</c:v>
                </c:pt>
                <c:pt idx="19">
                  <c:v>64</c:v>
                </c:pt>
                <c:pt idx="20">
                  <c:v>35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5-C946-9F16-418FB96B2273}"/>
            </c:ext>
          </c:extLst>
        </c:ser>
        <c:ser>
          <c:idx val="1"/>
          <c:order val="1"/>
          <c:tx>
            <c:strRef>
              <c:f>'Combined_FBI_count XmR 9'!$L$1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065-C946-9F16-418FB96B2273}"/>
                </c:ext>
              </c:extLst>
            </c:dLbl>
            <c:dLbl>
              <c:idx val="20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65-C946-9F16-418FB96B22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9'!$L$2:$L$23</c:f>
              <c:numCache>
                <c:formatCode>0.0</c:formatCode>
                <c:ptCount val="22"/>
                <c:pt idx="1">
                  <c:v>191.66399999999999</c:v>
                </c:pt>
                <c:pt idx="2">
                  <c:v>191.66399999999999</c:v>
                </c:pt>
                <c:pt idx="3">
                  <c:v>191.66399999999999</c:v>
                </c:pt>
                <c:pt idx="4">
                  <c:v>191.66399999999999</c:v>
                </c:pt>
                <c:pt idx="5">
                  <c:v>191.66399999999999</c:v>
                </c:pt>
                <c:pt idx="6">
                  <c:v>191.66399999999999</c:v>
                </c:pt>
                <c:pt idx="7">
                  <c:v>191.66399999999999</c:v>
                </c:pt>
                <c:pt idx="8">
                  <c:v>191.66399999999999</c:v>
                </c:pt>
                <c:pt idx="9">
                  <c:v>191.66399999999999</c:v>
                </c:pt>
                <c:pt idx="10">
                  <c:v>191.66399999999999</c:v>
                </c:pt>
                <c:pt idx="11">
                  <c:v>191.66399999999999</c:v>
                </c:pt>
                <c:pt idx="12">
                  <c:v>191.66399999999999</c:v>
                </c:pt>
                <c:pt idx="13">
                  <c:v>191.66399999999999</c:v>
                </c:pt>
                <c:pt idx="14">
                  <c:v>191.66399999999999</c:v>
                </c:pt>
                <c:pt idx="15">
                  <c:v>191.66399999999999</c:v>
                </c:pt>
                <c:pt idx="16">
                  <c:v>262.44899999999996</c:v>
                </c:pt>
                <c:pt idx="17">
                  <c:v>262.44899999999996</c:v>
                </c:pt>
                <c:pt idx="18">
                  <c:v>262.44899999999996</c:v>
                </c:pt>
                <c:pt idx="19">
                  <c:v>262.44899999999996</c:v>
                </c:pt>
                <c:pt idx="20">
                  <c:v>262.44899999999996</c:v>
                </c:pt>
                <c:pt idx="21">
                  <c:v>262.44899999999996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65-C946-9F16-418FB96B2273}"/>
            </c:ext>
          </c:extLst>
        </c:ser>
        <c:ser>
          <c:idx val="2"/>
          <c:order val="2"/>
          <c:tx>
            <c:strRef>
              <c:f>'Combined_FBI_count XmR 9'!$M$1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9'!$M$2:$M$23</c:f>
              <c:numCache>
                <c:formatCode>0.0</c:formatCode>
                <c:ptCount val="22"/>
                <c:pt idx="1">
                  <c:v>147.33155555555555</c:v>
                </c:pt>
                <c:pt idx="2">
                  <c:v>147.33155555555555</c:v>
                </c:pt>
                <c:pt idx="3">
                  <c:v>147.33155555555555</c:v>
                </c:pt>
                <c:pt idx="4">
                  <c:v>147.33155555555555</c:v>
                </c:pt>
                <c:pt idx="5">
                  <c:v>147.33155555555555</c:v>
                </c:pt>
                <c:pt idx="6">
                  <c:v>147.33155555555555</c:v>
                </c:pt>
                <c:pt idx="7">
                  <c:v>147.33155555555555</c:v>
                </c:pt>
                <c:pt idx="8">
                  <c:v>147.33155555555555</c:v>
                </c:pt>
                <c:pt idx="9">
                  <c:v>147.33155555555555</c:v>
                </c:pt>
                <c:pt idx="10">
                  <c:v>147.33155555555555</c:v>
                </c:pt>
                <c:pt idx="11">
                  <c:v>147.33155555555555</c:v>
                </c:pt>
                <c:pt idx="12">
                  <c:v>147.33155555555555</c:v>
                </c:pt>
                <c:pt idx="13">
                  <c:v>147.33155555555555</c:v>
                </c:pt>
                <c:pt idx="14">
                  <c:v>147.33155555555555</c:v>
                </c:pt>
                <c:pt idx="15">
                  <c:v>147.33155555555555</c:v>
                </c:pt>
                <c:pt idx="16">
                  <c:v>201.74377777777775</c:v>
                </c:pt>
                <c:pt idx="17">
                  <c:v>201.74377777777775</c:v>
                </c:pt>
                <c:pt idx="18">
                  <c:v>201.74377777777775</c:v>
                </c:pt>
                <c:pt idx="19">
                  <c:v>201.74377777777775</c:v>
                </c:pt>
                <c:pt idx="20">
                  <c:v>201.74377777777775</c:v>
                </c:pt>
                <c:pt idx="21">
                  <c:v>201.74377777777775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65-C946-9F16-418FB96B2273}"/>
            </c:ext>
          </c:extLst>
        </c:ser>
        <c:ser>
          <c:idx val="3"/>
          <c:order val="3"/>
          <c:tx>
            <c:strRef>
              <c:f>'Combined_FBI_count XmR 9'!$N$1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9'!$N$2:$N$23</c:f>
              <c:numCache>
                <c:formatCode>0.0</c:formatCode>
                <c:ptCount val="22"/>
                <c:pt idx="1">
                  <c:v>102.99911111111111</c:v>
                </c:pt>
                <c:pt idx="2">
                  <c:v>102.99911111111111</c:v>
                </c:pt>
                <c:pt idx="3">
                  <c:v>102.99911111111111</c:v>
                </c:pt>
                <c:pt idx="4">
                  <c:v>102.99911111111111</c:v>
                </c:pt>
                <c:pt idx="5">
                  <c:v>102.99911111111111</c:v>
                </c:pt>
                <c:pt idx="6">
                  <c:v>102.99911111111111</c:v>
                </c:pt>
                <c:pt idx="7">
                  <c:v>102.99911111111111</c:v>
                </c:pt>
                <c:pt idx="8">
                  <c:v>102.99911111111111</c:v>
                </c:pt>
                <c:pt idx="9">
                  <c:v>102.99911111111111</c:v>
                </c:pt>
                <c:pt idx="10">
                  <c:v>102.99911111111111</c:v>
                </c:pt>
                <c:pt idx="11">
                  <c:v>102.99911111111111</c:v>
                </c:pt>
                <c:pt idx="12">
                  <c:v>102.99911111111111</c:v>
                </c:pt>
                <c:pt idx="13">
                  <c:v>102.99911111111111</c:v>
                </c:pt>
                <c:pt idx="14">
                  <c:v>102.99911111111111</c:v>
                </c:pt>
                <c:pt idx="15">
                  <c:v>102.99911111111111</c:v>
                </c:pt>
                <c:pt idx="16">
                  <c:v>141.03855555555555</c:v>
                </c:pt>
                <c:pt idx="17">
                  <c:v>141.03855555555555</c:v>
                </c:pt>
                <c:pt idx="18">
                  <c:v>141.03855555555555</c:v>
                </c:pt>
                <c:pt idx="19">
                  <c:v>141.03855555555555</c:v>
                </c:pt>
                <c:pt idx="20">
                  <c:v>141.03855555555555</c:v>
                </c:pt>
                <c:pt idx="21">
                  <c:v>141.03855555555555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65-C946-9F16-418FB96B2273}"/>
            </c:ext>
          </c:extLst>
        </c:ser>
        <c:ser>
          <c:idx val="4"/>
          <c:order val="4"/>
          <c:tx>
            <c:strRef>
              <c:f>'Combined_FBI_count XmR 9'!$O$1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065-C946-9F16-418FB96B2273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065-C946-9F16-418FB96B2273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065-C946-9F16-418FB96B2273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C065-C946-9F16-418FB96B2273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065-C946-9F16-418FB96B2273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C065-C946-9F16-418FB96B2273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C065-C946-9F16-418FB96B2273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C065-C946-9F16-418FB96B2273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C065-C946-9F16-418FB96B2273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C065-C946-9F16-418FB96B2273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C065-C946-9F16-418FB96B2273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C065-C946-9F16-418FB96B2273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C065-C946-9F16-418FB96B2273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C065-C946-9F16-418FB96B2273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C065-C946-9F16-418FB96B2273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C065-C946-9F16-418FB96B2273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C065-C946-9F16-418FB96B2273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C065-C946-9F16-418FB96B2273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C065-C946-9F16-418FB96B2273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C065-C946-9F16-418FB96B2273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C065-C946-9F16-418FB96B2273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C065-C946-9F16-418FB96B2273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7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065-C946-9F16-418FB96B2273}"/>
                </c:ext>
              </c:extLst>
            </c:dLbl>
            <c:dLbl>
              <c:idx val="20"/>
              <c:layout>
                <c:manualLayout>
                  <c:x val="-1.4638026388327584E-2"/>
                  <c:y val="-2.017543734231975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065-C946-9F16-418FB96B22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9'!$O$2:$O$23</c:f>
              <c:numCache>
                <c:formatCode>0.0</c:formatCode>
                <c:ptCount val="22"/>
                <c:pt idx="0">
                  <c:v>58.666666666666664</c:v>
                </c:pt>
                <c:pt idx="1">
                  <c:v>58.666666666666664</c:v>
                </c:pt>
                <c:pt idx="2">
                  <c:v>58.666666666666664</c:v>
                </c:pt>
                <c:pt idx="3">
                  <c:v>58.666666666666664</c:v>
                </c:pt>
                <c:pt idx="4">
                  <c:v>58.666666666666664</c:v>
                </c:pt>
                <c:pt idx="5">
                  <c:v>58.666666666666664</c:v>
                </c:pt>
                <c:pt idx="6">
                  <c:v>58.666666666666664</c:v>
                </c:pt>
                <c:pt idx="7">
                  <c:v>58.666666666666664</c:v>
                </c:pt>
                <c:pt idx="8">
                  <c:v>58.666666666666664</c:v>
                </c:pt>
                <c:pt idx="9">
                  <c:v>58.666666666666664</c:v>
                </c:pt>
                <c:pt idx="10">
                  <c:v>58.666666666666664</c:v>
                </c:pt>
                <c:pt idx="11">
                  <c:v>58.666666666666664</c:v>
                </c:pt>
                <c:pt idx="12">
                  <c:v>58.666666666666664</c:v>
                </c:pt>
                <c:pt idx="13">
                  <c:v>58.666666666666664</c:v>
                </c:pt>
                <c:pt idx="14">
                  <c:v>58.666666666666664</c:v>
                </c:pt>
                <c:pt idx="15">
                  <c:v>58.666666666666664</c:v>
                </c:pt>
                <c:pt idx="16">
                  <c:v>80.333333333333329</c:v>
                </c:pt>
                <c:pt idx="17">
                  <c:v>80.333333333333329</c:v>
                </c:pt>
                <c:pt idx="18">
                  <c:v>80.333333333333329</c:v>
                </c:pt>
                <c:pt idx="19">
                  <c:v>80.333333333333329</c:v>
                </c:pt>
                <c:pt idx="20">
                  <c:v>80.333333333333329</c:v>
                </c:pt>
                <c:pt idx="21">
                  <c:v>80.333333333333329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065-C946-9F16-418FB96B2273}"/>
            </c:ext>
          </c:extLst>
        </c:ser>
        <c:ser>
          <c:idx val="5"/>
          <c:order val="5"/>
          <c:tx>
            <c:strRef>
              <c:f>'Combined_FBI_count XmR 9'!$P$1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9'!$P$2:$P$23</c:f>
              <c:numCache>
                <c:formatCode>0.0</c:formatCode>
                <c:ptCount val="22"/>
                <c:pt idx="1">
                  <c:v>14.334222222222223</c:v>
                </c:pt>
                <c:pt idx="2">
                  <c:v>14.334222222222223</c:v>
                </c:pt>
                <c:pt idx="3">
                  <c:v>14.334222222222223</c:v>
                </c:pt>
                <c:pt idx="4">
                  <c:v>14.334222222222223</c:v>
                </c:pt>
                <c:pt idx="5">
                  <c:v>14.334222222222223</c:v>
                </c:pt>
                <c:pt idx="6">
                  <c:v>14.334222222222223</c:v>
                </c:pt>
                <c:pt idx="7">
                  <c:v>14.334222222222223</c:v>
                </c:pt>
                <c:pt idx="8">
                  <c:v>14.334222222222223</c:v>
                </c:pt>
                <c:pt idx="9">
                  <c:v>14.334222222222223</c:v>
                </c:pt>
                <c:pt idx="10">
                  <c:v>14.334222222222223</c:v>
                </c:pt>
                <c:pt idx="11">
                  <c:v>14.334222222222223</c:v>
                </c:pt>
                <c:pt idx="12">
                  <c:v>14.334222222222223</c:v>
                </c:pt>
                <c:pt idx="13">
                  <c:v>14.334222222222223</c:v>
                </c:pt>
                <c:pt idx="14">
                  <c:v>14.334222222222223</c:v>
                </c:pt>
                <c:pt idx="15">
                  <c:v>14.334222222222223</c:v>
                </c:pt>
                <c:pt idx="16">
                  <c:v>19.628111111111117</c:v>
                </c:pt>
                <c:pt idx="17">
                  <c:v>19.628111111111117</c:v>
                </c:pt>
                <c:pt idx="18">
                  <c:v>19.628111111111117</c:v>
                </c:pt>
                <c:pt idx="19">
                  <c:v>19.628111111111117</c:v>
                </c:pt>
                <c:pt idx="20">
                  <c:v>19.628111111111117</c:v>
                </c:pt>
                <c:pt idx="21">
                  <c:v>19.628111111111117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065-C946-9F16-418FB96B2273}"/>
            </c:ext>
          </c:extLst>
        </c:ser>
        <c:ser>
          <c:idx val="6"/>
          <c:order val="6"/>
          <c:tx>
            <c:strRef>
              <c:f>'Combined_FBI_count XmR 9'!$Q$1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9'!$Q$2:$Q$23</c:f>
              <c:numCache>
                <c:formatCode>0.0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065-C946-9F16-418FB96B2273}"/>
            </c:ext>
          </c:extLst>
        </c:ser>
        <c:ser>
          <c:idx val="7"/>
          <c:order val="7"/>
          <c:tx>
            <c:strRef>
              <c:f>'Combined_FBI_count XmR 9'!$R$1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9'!$R$2:$R$23</c:f>
              <c:numCache>
                <c:formatCode>0.0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065-C946-9F16-418FB96B2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281232"/>
        <c:axId val="1058753376"/>
      </c:lineChart>
      <c:catAx>
        <c:axId val="105828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8753376"/>
        <c:crosses val="autoZero"/>
        <c:auto val="0"/>
        <c:lblAlgn val="ctr"/>
        <c:lblOffset val="100"/>
        <c:noMultiLvlLbl val="0"/>
      </c:catAx>
      <c:valAx>
        <c:axId val="1058753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5828123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Schertz PD FBI Combined Property &amp; Violent Crime Counts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2004 - 2025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'Combined_FBI_count XmR 9'!$B$1</c:f>
              <c:strCache>
                <c:ptCount val="1"/>
                <c:pt idx="0">
                  <c:v>Combined_FBI_count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776C-7040-8F5C-AA02FC767036}"/>
              </c:ext>
            </c:extLst>
          </c:dPt>
          <c:dPt>
            <c:idx val="1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776C-7040-8F5C-AA02FC767036}"/>
              </c:ext>
            </c:extLst>
          </c:dPt>
          <c:dPt>
            <c:idx val="1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4-776C-7040-8F5C-AA02FC767036}"/>
              </c:ext>
            </c:extLst>
          </c:dPt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9'!$B$2:$B$23</c:f>
              <c:numCache>
                <c:formatCode>0.0</c:formatCode>
                <c:ptCount val="22"/>
                <c:pt idx="0">
                  <c:v>434</c:v>
                </c:pt>
                <c:pt idx="1">
                  <c:v>552</c:v>
                </c:pt>
                <c:pt idx="2">
                  <c:v>697</c:v>
                </c:pt>
                <c:pt idx="3">
                  <c:v>686</c:v>
                </c:pt>
                <c:pt idx="4">
                  <c:v>742</c:v>
                </c:pt>
                <c:pt idx="5">
                  <c:v>718</c:v>
                </c:pt>
                <c:pt idx="6">
                  <c:v>685</c:v>
                </c:pt>
                <c:pt idx="7">
                  <c:v>710</c:v>
                </c:pt>
                <c:pt idx="8">
                  <c:v>710</c:v>
                </c:pt>
                <c:pt idx="9">
                  <c:v>655</c:v>
                </c:pt>
                <c:pt idx="10">
                  <c:v>721</c:v>
                </c:pt>
                <c:pt idx="11">
                  <c:v>682</c:v>
                </c:pt>
                <c:pt idx="12">
                  <c:v>814</c:v>
                </c:pt>
                <c:pt idx="13">
                  <c:v>794</c:v>
                </c:pt>
                <c:pt idx="14">
                  <c:v>766</c:v>
                </c:pt>
                <c:pt idx="15">
                  <c:v>638</c:v>
                </c:pt>
                <c:pt idx="16">
                  <c:v>521</c:v>
                </c:pt>
                <c:pt idx="17">
                  <c:v>409</c:v>
                </c:pt>
                <c:pt idx="18">
                  <c:v>558</c:v>
                </c:pt>
                <c:pt idx="19">
                  <c:v>494</c:v>
                </c:pt>
                <c:pt idx="20">
                  <c:v>459</c:v>
                </c:pt>
                <c:pt idx="21">
                  <c:v>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C-7040-8F5C-AA02FC767036}"/>
            </c:ext>
          </c:extLst>
        </c:ser>
        <c:ser>
          <c:idx val="1"/>
          <c:order val="1"/>
          <c:tx>
            <c:strRef>
              <c:f>'Combined_FBI_count XmR 9'!$C$1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76C-7040-8F5C-AA02FC767036}"/>
                </c:ext>
              </c:extLst>
            </c:dLbl>
            <c:dLbl>
              <c:idx val="20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6C-7040-8F5C-AA02FC7670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9'!$C$2:$C$23</c:f>
              <c:numCache>
                <c:formatCode>0.0</c:formatCode>
                <c:ptCount val="22"/>
                <c:pt idx="0">
                  <c:v>843.80333333333328</c:v>
                </c:pt>
                <c:pt idx="1">
                  <c:v>843.80333333333328</c:v>
                </c:pt>
                <c:pt idx="2">
                  <c:v>843.80333333333328</c:v>
                </c:pt>
                <c:pt idx="3">
                  <c:v>843.80333333333328</c:v>
                </c:pt>
                <c:pt idx="4">
                  <c:v>843.80333333333328</c:v>
                </c:pt>
                <c:pt idx="5">
                  <c:v>843.80333333333328</c:v>
                </c:pt>
                <c:pt idx="6">
                  <c:v>843.80333333333328</c:v>
                </c:pt>
                <c:pt idx="7">
                  <c:v>843.80333333333328</c:v>
                </c:pt>
                <c:pt idx="8">
                  <c:v>843.80333333333328</c:v>
                </c:pt>
                <c:pt idx="9">
                  <c:v>843.80333333333328</c:v>
                </c:pt>
                <c:pt idx="10">
                  <c:v>843.80333333333328</c:v>
                </c:pt>
                <c:pt idx="11">
                  <c:v>843.80333333333328</c:v>
                </c:pt>
                <c:pt idx="12">
                  <c:v>843.80333333333328</c:v>
                </c:pt>
                <c:pt idx="13">
                  <c:v>843.80333333333328</c:v>
                </c:pt>
                <c:pt idx="14">
                  <c:v>843.80333333333328</c:v>
                </c:pt>
                <c:pt idx="15">
                  <c:v>843.80333333333328</c:v>
                </c:pt>
                <c:pt idx="16">
                  <c:v>697.85333333333335</c:v>
                </c:pt>
                <c:pt idx="17">
                  <c:v>697.85333333333335</c:v>
                </c:pt>
                <c:pt idx="18">
                  <c:v>697.85333333333335</c:v>
                </c:pt>
                <c:pt idx="19">
                  <c:v>697.85333333333335</c:v>
                </c:pt>
                <c:pt idx="20">
                  <c:v>697.85333333333335</c:v>
                </c:pt>
                <c:pt idx="21">
                  <c:v>697.85333333333335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6C-7040-8F5C-AA02FC767036}"/>
            </c:ext>
          </c:extLst>
        </c:ser>
        <c:ser>
          <c:idx val="2"/>
          <c:order val="2"/>
          <c:tx>
            <c:strRef>
              <c:f>'Combined_FBI_count XmR 9'!$D$1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9'!$D$2:$D$23</c:f>
              <c:numCache>
                <c:formatCode>0.0</c:formatCode>
                <c:ptCount val="22"/>
                <c:pt idx="0">
                  <c:v>791.78555555555556</c:v>
                </c:pt>
                <c:pt idx="1">
                  <c:v>791.78555555555556</c:v>
                </c:pt>
                <c:pt idx="2">
                  <c:v>791.78555555555556</c:v>
                </c:pt>
                <c:pt idx="3">
                  <c:v>791.78555555555556</c:v>
                </c:pt>
                <c:pt idx="4">
                  <c:v>791.78555555555556</c:v>
                </c:pt>
                <c:pt idx="5">
                  <c:v>791.78555555555556</c:v>
                </c:pt>
                <c:pt idx="6">
                  <c:v>791.78555555555556</c:v>
                </c:pt>
                <c:pt idx="7">
                  <c:v>791.78555555555556</c:v>
                </c:pt>
                <c:pt idx="8">
                  <c:v>791.78555555555556</c:v>
                </c:pt>
                <c:pt idx="9">
                  <c:v>791.78555555555556</c:v>
                </c:pt>
                <c:pt idx="10">
                  <c:v>791.78555555555556</c:v>
                </c:pt>
                <c:pt idx="11">
                  <c:v>791.78555555555556</c:v>
                </c:pt>
                <c:pt idx="12">
                  <c:v>791.78555555555556</c:v>
                </c:pt>
                <c:pt idx="13">
                  <c:v>791.78555555555556</c:v>
                </c:pt>
                <c:pt idx="14">
                  <c:v>791.78555555555556</c:v>
                </c:pt>
                <c:pt idx="15">
                  <c:v>791.78555555555556</c:v>
                </c:pt>
                <c:pt idx="16">
                  <c:v>626.62444444444441</c:v>
                </c:pt>
                <c:pt idx="17">
                  <c:v>626.62444444444441</c:v>
                </c:pt>
                <c:pt idx="18">
                  <c:v>626.62444444444441</c:v>
                </c:pt>
                <c:pt idx="19">
                  <c:v>626.62444444444441</c:v>
                </c:pt>
                <c:pt idx="20">
                  <c:v>626.62444444444441</c:v>
                </c:pt>
                <c:pt idx="21">
                  <c:v>626.62444444444441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6C-7040-8F5C-AA02FC767036}"/>
            </c:ext>
          </c:extLst>
        </c:ser>
        <c:ser>
          <c:idx val="3"/>
          <c:order val="3"/>
          <c:tx>
            <c:strRef>
              <c:f>'Combined_FBI_count XmR 9'!$E$1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9'!$E$2:$E$23</c:f>
              <c:numCache>
                <c:formatCode>0.0</c:formatCode>
                <c:ptCount val="22"/>
                <c:pt idx="0">
                  <c:v>739.76777777777784</c:v>
                </c:pt>
                <c:pt idx="1">
                  <c:v>739.76777777777784</c:v>
                </c:pt>
                <c:pt idx="2">
                  <c:v>739.76777777777784</c:v>
                </c:pt>
                <c:pt idx="3">
                  <c:v>739.76777777777784</c:v>
                </c:pt>
                <c:pt idx="4">
                  <c:v>739.76777777777784</c:v>
                </c:pt>
                <c:pt idx="5">
                  <c:v>739.76777777777784</c:v>
                </c:pt>
                <c:pt idx="6">
                  <c:v>739.76777777777784</c:v>
                </c:pt>
                <c:pt idx="7">
                  <c:v>739.76777777777784</c:v>
                </c:pt>
                <c:pt idx="8">
                  <c:v>739.76777777777784</c:v>
                </c:pt>
                <c:pt idx="9">
                  <c:v>739.76777777777784</c:v>
                </c:pt>
                <c:pt idx="10">
                  <c:v>739.76777777777784</c:v>
                </c:pt>
                <c:pt idx="11">
                  <c:v>739.76777777777784</c:v>
                </c:pt>
                <c:pt idx="12">
                  <c:v>739.76777777777784</c:v>
                </c:pt>
                <c:pt idx="13">
                  <c:v>739.76777777777784</c:v>
                </c:pt>
                <c:pt idx="14">
                  <c:v>739.76777777777784</c:v>
                </c:pt>
                <c:pt idx="15">
                  <c:v>739.76777777777784</c:v>
                </c:pt>
                <c:pt idx="16">
                  <c:v>555.39555555555557</c:v>
                </c:pt>
                <c:pt idx="17">
                  <c:v>555.39555555555557</c:v>
                </c:pt>
                <c:pt idx="18">
                  <c:v>555.39555555555557</c:v>
                </c:pt>
                <c:pt idx="19">
                  <c:v>555.39555555555557</c:v>
                </c:pt>
                <c:pt idx="20">
                  <c:v>555.39555555555557</c:v>
                </c:pt>
                <c:pt idx="21">
                  <c:v>555.39555555555557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6C-7040-8F5C-AA02FC767036}"/>
            </c:ext>
          </c:extLst>
        </c:ser>
        <c:ser>
          <c:idx val="4"/>
          <c:order val="4"/>
          <c:tx>
            <c:strRef>
              <c:f>'Combined_FBI_count XmR 9'!$F$1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6C-7040-8F5C-AA02FC767036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6C-7040-8F5C-AA02FC767036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776C-7040-8F5C-AA02FC767036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776C-7040-8F5C-AA02FC767036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776C-7040-8F5C-AA02FC767036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776C-7040-8F5C-AA02FC767036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776C-7040-8F5C-AA02FC767036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776C-7040-8F5C-AA02FC767036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776C-7040-8F5C-AA02FC767036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776C-7040-8F5C-AA02FC767036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776C-7040-8F5C-AA02FC767036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776C-7040-8F5C-AA02FC767036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776C-7040-8F5C-AA02FC767036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776C-7040-8F5C-AA02FC767036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776C-7040-8F5C-AA02FC767036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776C-7040-8F5C-AA02FC767036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776C-7040-8F5C-AA02FC767036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776C-7040-8F5C-AA02FC767036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776C-7040-8F5C-AA02FC767036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776C-7040-8F5C-AA02FC767036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776C-7040-8F5C-AA02FC767036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776C-7040-8F5C-AA02FC767036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76C-7040-8F5C-AA02FC767036}"/>
                </c:ext>
              </c:extLst>
            </c:dLbl>
            <c:dLbl>
              <c:idx val="20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76C-7040-8F5C-AA02FC7670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9'!$F$2:$F$23</c:f>
              <c:numCache>
                <c:formatCode>0.0</c:formatCode>
                <c:ptCount val="22"/>
                <c:pt idx="0">
                  <c:v>687.75</c:v>
                </c:pt>
                <c:pt idx="1">
                  <c:v>687.75</c:v>
                </c:pt>
                <c:pt idx="2">
                  <c:v>687.75</c:v>
                </c:pt>
                <c:pt idx="3">
                  <c:v>687.75</c:v>
                </c:pt>
                <c:pt idx="4">
                  <c:v>687.75</c:v>
                </c:pt>
                <c:pt idx="5">
                  <c:v>687.75</c:v>
                </c:pt>
                <c:pt idx="6">
                  <c:v>687.75</c:v>
                </c:pt>
                <c:pt idx="7">
                  <c:v>687.75</c:v>
                </c:pt>
                <c:pt idx="8">
                  <c:v>687.75</c:v>
                </c:pt>
                <c:pt idx="9">
                  <c:v>687.75</c:v>
                </c:pt>
                <c:pt idx="10">
                  <c:v>687.75</c:v>
                </c:pt>
                <c:pt idx="11">
                  <c:v>687.75</c:v>
                </c:pt>
                <c:pt idx="12">
                  <c:v>687.75</c:v>
                </c:pt>
                <c:pt idx="13">
                  <c:v>687.75</c:v>
                </c:pt>
                <c:pt idx="14">
                  <c:v>687.75</c:v>
                </c:pt>
                <c:pt idx="15">
                  <c:v>687.75</c:v>
                </c:pt>
                <c:pt idx="16">
                  <c:v>484.16666666666669</c:v>
                </c:pt>
                <c:pt idx="17">
                  <c:v>484.16666666666669</c:v>
                </c:pt>
                <c:pt idx="18">
                  <c:v>484.16666666666669</c:v>
                </c:pt>
                <c:pt idx="19">
                  <c:v>484.16666666666669</c:v>
                </c:pt>
                <c:pt idx="20">
                  <c:v>484.16666666666669</c:v>
                </c:pt>
                <c:pt idx="21">
                  <c:v>484.16666666666669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76C-7040-8F5C-AA02FC767036}"/>
            </c:ext>
          </c:extLst>
        </c:ser>
        <c:ser>
          <c:idx val="5"/>
          <c:order val="5"/>
          <c:tx>
            <c:strRef>
              <c:f>'Combined_FBI_count XmR 9'!$G$1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9'!$G$2:$G$23</c:f>
              <c:numCache>
                <c:formatCode>0.0</c:formatCode>
                <c:ptCount val="22"/>
                <c:pt idx="0">
                  <c:v>635.73222222222216</c:v>
                </c:pt>
                <c:pt idx="1">
                  <c:v>635.73222222222216</c:v>
                </c:pt>
                <c:pt idx="2">
                  <c:v>635.73222222222216</c:v>
                </c:pt>
                <c:pt idx="3">
                  <c:v>635.73222222222216</c:v>
                </c:pt>
                <c:pt idx="4">
                  <c:v>635.73222222222216</c:v>
                </c:pt>
                <c:pt idx="5">
                  <c:v>635.73222222222216</c:v>
                </c:pt>
                <c:pt idx="6">
                  <c:v>635.73222222222216</c:v>
                </c:pt>
                <c:pt idx="7">
                  <c:v>635.73222222222216</c:v>
                </c:pt>
                <c:pt idx="8">
                  <c:v>635.73222222222216</c:v>
                </c:pt>
                <c:pt idx="9">
                  <c:v>635.73222222222216</c:v>
                </c:pt>
                <c:pt idx="10">
                  <c:v>635.73222222222216</c:v>
                </c:pt>
                <c:pt idx="11">
                  <c:v>635.73222222222216</c:v>
                </c:pt>
                <c:pt idx="12">
                  <c:v>635.73222222222216</c:v>
                </c:pt>
                <c:pt idx="13">
                  <c:v>635.73222222222216</c:v>
                </c:pt>
                <c:pt idx="14">
                  <c:v>635.73222222222216</c:v>
                </c:pt>
                <c:pt idx="15">
                  <c:v>635.73222222222216</c:v>
                </c:pt>
                <c:pt idx="16">
                  <c:v>412.9377777777778</c:v>
                </c:pt>
                <c:pt idx="17">
                  <c:v>412.9377777777778</c:v>
                </c:pt>
                <c:pt idx="18">
                  <c:v>412.9377777777778</c:v>
                </c:pt>
                <c:pt idx="19">
                  <c:v>412.9377777777778</c:v>
                </c:pt>
                <c:pt idx="20">
                  <c:v>412.9377777777778</c:v>
                </c:pt>
                <c:pt idx="21">
                  <c:v>412.9377777777778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76C-7040-8F5C-AA02FC767036}"/>
            </c:ext>
          </c:extLst>
        </c:ser>
        <c:ser>
          <c:idx val="6"/>
          <c:order val="6"/>
          <c:tx>
            <c:strRef>
              <c:f>'Combined_FBI_count XmR 9'!$H$1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9'!$H$2:$H$23</c:f>
              <c:numCache>
                <c:formatCode>0.0</c:formatCode>
                <c:ptCount val="22"/>
                <c:pt idx="0">
                  <c:v>583.71444444444444</c:v>
                </c:pt>
                <c:pt idx="1">
                  <c:v>583.71444444444444</c:v>
                </c:pt>
                <c:pt idx="2">
                  <c:v>583.71444444444444</c:v>
                </c:pt>
                <c:pt idx="3">
                  <c:v>583.71444444444444</c:v>
                </c:pt>
                <c:pt idx="4">
                  <c:v>583.71444444444444</c:v>
                </c:pt>
                <c:pt idx="5">
                  <c:v>583.71444444444444</c:v>
                </c:pt>
                <c:pt idx="6">
                  <c:v>583.71444444444444</c:v>
                </c:pt>
                <c:pt idx="7">
                  <c:v>583.71444444444444</c:v>
                </c:pt>
                <c:pt idx="8">
                  <c:v>583.71444444444444</c:v>
                </c:pt>
                <c:pt idx="9">
                  <c:v>583.71444444444444</c:v>
                </c:pt>
                <c:pt idx="10">
                  <c:v>583.71444444444444</c:v>
                </c:pt>
                <c:pt idx="11">
                  <c:v>583.71444444444444</c:v>
                </c:pt>
                <c:pt idx="12">
                  <c:v>583.71444444444444</c:v>
                </c:pt>
                <c:pt idx="13">
                  <c:v>583.71444444444444</c:v>
                </c:pt>
                <c:pt idx="14">
                  <c:v>583.71444444444444</c:v>
                </c:pt>
                <c:pt idx="15">
                  <c:v>583.71444444444444</c:v>
                </c:pt>
                <c:pt idx="16">
                  <c:v>341.70888888888891</c:v>
                </c:pt>
                <c:pt idx="17">
                  <c:v>341.70888888888891</c:v>
                </c:pt>
                <c:pt idx="18">
                  <c:v>341.70888888888891</c:v>
                </c:pt>
                <c:pt idx="19">
                  <c:v>341.70888888888891</c:v>
                </c:pt>
                <c:pt idx="20">
                  <c:v>341.70888888888891</c:v>
                </c:pt>
                <c:pt idx="21">
                  <c:v>341.70888888888891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76C-7040-8F5C-AA02FC767036}"/>
            </c:ext>
          </c:extLst>
        </c:ser>
        <c:ser>
          <c:idx val="7"/>
          <c:order val="7"/>
          <c:tx>
            <c:strRef>
              <c:f>'Combined_FBI_count XmR 9'!$I$1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776C-7040-8F5C-AA02FC767036}"/>
                </c:ext>
              </c:extLst>
            </c:dLbl>
            <c:dLbl>
              <c:idx val="20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76C-7040-8F5C-AA02FC7670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'Combined_FBI_count XmR 9'!$A$2:$A$23</c:f>
              <c:strCach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strCache>
            </c:strRef>
          </c:cat>
          <c:val>
            <c:numRef>
              <c:f>'Combined_FBI_count XmR 9'!$I$2:$I$23</c:f>
              <c:numCache>
                <c:formatCode>0.0</c:formatCode>
                <c:ptCount val="22"/>
                <c:pt idx="0">
                  <c:v>531.69666666666672</c:v>
                </c:pt>
                <c:pt idx="1">
                  <c:v>531.69666666666672</c:v>
                </c:pt>
                <c:pt idx="2">
                  <c:v>531.69666666666672</c:v>
                </c:pt>
                <c:pt idx="3">
                  <c:v>531.69666666666672</c:v>
                </c:pt>
                <c:pt idx="4">
                  <c:v>531.69666666666672</c:v>
                </c:pt>
                <c:pt idx="5">
                  <c:v>531.69666666666672</c:v>
                </c:pt>
                <c:pt idx="6">
                  <c:v>531.69666666666672</c:v>
                </c:pt>
                <c:pt idx="7">
                  <c:v>531.69666666666672</c:v>
                </c:pt>
                <c:pt idx="8">
                  <c:v>531.69666666666672</c:v>
                </c:pt>
                <c:pt idx="9">
                  <c:v>531.69666666666672</c:v>
                </c:pt>
                <c:pt idx="10">
                  <c:v>531.69666666666672</c:v>
                </c:pt>
                <c:pt idx="11">
                  <c:v>531.69666666666672</c:v>
                </c:pt>
                <c:pt idx="12">
                  <c:v>531.69666666666672</c:v>
                </c:pt>
                <c:pt idx="13">
                  <c:v>531.69666666666672</c:v>
                </c:pt>
                <c:pt idx="14">
                  <c:v>531.69666666666672</c:v>
                </c:pt>
                <c:pt idx="15">
                  <c:v>531.69666666666672</c:v>
                </c:pt>
                <c:pt idx="16">
                  <c:v>270.48</c:v>
                </c:pt>
                <c:pt idx="17">
                  <c:v>270.48</c:v>
                </c:pt>
                <c:pt idx="18">
                  <c:v>270.48</c:v>
                </c:pt>
                <c:pt idx="19">
                  <c:v>270.48</c:v>
                </c:pt>
                <c:pt idx="20">
                  <c:v>270.48</c:v>
                </c:pt>
                <c:pt idx="21">
                  <c:v>270.48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76C-7040-8F5C-AA02FC76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714736"/>
        <c:axId val="1063716448"/>
      </c:lineChart>
      <c:catAx>
        <c:axId val="106371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3716448"/>
        <c:crosses val="autoZero"/>
        <c:auto val="0"/>
        <c:lblAlgn val="ctr"/>
        <c:lblOffset val="100"/>
        <c:noMultiLvlLbl val="0"/>
      </c:catAx>
      <c:valAx>
        <c:axId val="1063716448"/>
        <c:scaling>
          <c:orientation val="minMax"/>
          <c:min val="351.4500000000000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Combined_FBI_count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6371473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F1EEE0B-D166-4742-FE14-8670B2A88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58DA7A-3EC2-028A-E76B-46A394A65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1A47-1B59-0140-8CC3-569B50A03654}">
  <sheetPr>
    <tabColor rgb="FF66FF66"/>
    <pageSetUpPr fitToPage="1"/>
  </sheetPr>
  <dimension ref="A1:R52"/>
  <sheetViews>
    <sheetView zoomScale="167" zoomScaleNormal="167" workbookViewId="0">
      <selection activeCell="K18" sqref="K2:K23"/>
    </sheetView>
  </sheetViews>
  <sheetFormatPr baseColWidth="10" defaultRowHeight="16" x14ac:dyDescent="0.2"/>
  <cols>
    <col min="1" max="1" width="5.1640625" bestFit="1" customWidth="1"/>
    <col min="2" max="20" width="7.33203125" customWidth="1"/>
  </cols>
  <sheetData>
    <row r="1" spans="1:18" ht="14" customHeight="1" x14ac:dyDescent="0.2">
      <c r="A1" s="2" t="s">
        <v>34</v>
      </c>
      <c r="B1" s="3" t="s">
        <v>35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</row>
    <row r="2" spans="1:18" ht="14" customHeight="1" x14ac:dyDescent="0.2">
      <c r="A2" s="9" t="s">
        <v>11</v>
      </c>
      <c r="B2" s="7">
        <v>434</v>
      </c>
      <c r="C2" s="5">
        <f t="shared" ref="C2:C43" ca="1" si="0">F2+2.66*O2</f>
        <v>843.80333333333328</v>
      </c>
      <c r="D2" s="5">
        <f t="shared" ref="D2:D43" ca="1" si="1">F2+(2/3)*2.66*O2</f>
        <v>791.78555555555556</v>
      </c>
      <c r="E2" s="5">
        <f t="shared" ref="E2:E43" ca="1" si="2">F2+(1/3)*2.66*O2</f>
        <v>739.76777777777784</v>
      </c>
      <c r="F2" s="5">
        <f t="shared" ref="F2:F17" si="3">AVERAGE($B$2:$B$17)</f>
        <v>687.75</v>
      </c>
      <c r="G2" s="5">
        <f t="shared" ref="G2:G43" ca="1" si="4">F2-(1/3)*2.66*O2</f>
        <v>635.73222222222216</v>
      </c>
      <c r="H2" s="5">
        <f t="shared" ref="H2:H43" ca="1" si="5">F2-(2/3)*2.66*O2</f>
        <v>583.71444444444444</v>
      </c>
      <c r="I2" s="5">
        <f t="shared" ref="I2:I43" ca="1" si="6">F2-2.66*O2</f>
        <v>531.69666666666672</v>
      </c>
      <c r="J2" s="6">
        <f>B2</f>
        <v>434</v>
      </c>
      <c r="K2" s="5"/>
      <c r="L2" s="4"/>
      <c r="M2" s="4"/>
      <c r="N2" s="4"/>
      <c r="O2" s="4">
        <f t="shared" ref="O2:O17" ca="1" si="7">AVERAGE($K$2:$K$17)</f>
        <v>58.666666666666664</v>
      </c>
      <c r="P2" s="4"/>
      <c r="Q2" s="4"/>
      <c r="R2" s="4"/>
    </row>
    <row r="3" spans="1:18" ht="14" customHeight="1" x14ac:dyDescent="0.2">
      <c r="A3" s="8" t="s">
        <v>12</v>
      </c>
      <c r="B3" s="5">
        <v>552</v>
      </c>
      <c r="C3" s="5">
        <f t="shared" ca="1" si="0"/>
        <v>843.80333333333328</v>
      </c>
      <c r="D3" s="5">
        <f t="shared" ca="1" si="1"/>
        <v>791.78555555555556</v>
      </c>
      <c r="E3" s="5">
        <f t="shared" ca="1" si="2"/>
        <v>739.76777777777784</v>
      </c>
      <c r="F3" s="5">
        <f t="shared" si="3"/>
        <v>687.75</v>
      </c>
      <c r="G3" s="5">
        <f t="shared" ca="1" si="4"/>
        <v>635.73222222222216</v>
      </c>
      <c r="H3" s="5">
        <f t="shared" ca="1" si="5"/>
        <v>583.71444444444444</v>
      </c>
      <c r="I3" s="5">
        <f t="shared" ca="1" si="6"/>
        <v>531.69666666666672</v>
      </c>
      <c r="J3" s="6">
        <f t="shared" ref="J3:J43" ca="1" si="8">IF(ISBLANK(B3),OFFSET(J3,-1,0,1,1),B3)</f>
        <v>552</v>
      </c>
      <c r="K3" s="5">
        <f t="shared" ref="K3:K43" ca="1" si="9">IF(OR(OFFSET(K3,-1,-9,1,1)="",OFFSET(K3,0,-9,1,1)=""),"",IF(ISERROR(ABS(B3-OFFSET(K3,-1,-1,1,1))),"",ABS(B3-OFFSET(K3,-1,-1,1,1))))</f>
        <v>118</v>
      </c>
      <c r="L3" s="4">
        <f t="shared" ref="L3:L43" ca="1" si="10">3.267*O3</f>
        <v>191.66399999999999</v>
      </c>
      <c r="M3" s="4">
        <f t="shared" ref="M3:M43" ca="1" si="11">(2/3)*(L3-O3)+O3</f>
        <v>147.33155555555555</v>
      </c>
      <c r="N3" s="4">
        <f t="shared" ref="N3:N43" ca="1" si="12">(1/3)*(L3-O3)+O3</f>
        <v>102.99911111111111</v>
      </c>
      <c r="O3" s="4">
        <f t="shared" ca="1" si="7"/>
        <v>58.666666666666664</v>
      </c>
      <c r="P3" s="4">
        <f t="shared" ref="P3:P43" ca="1" si="13">(MAX(O3-(1/3)*(L3-O3),0))</f>
        <v>14.334222222222223</v>
      </c>
      <c r="Q3" s="4">
        <f t="shared" ref="Q3:Q43" ca="1" si="14">MAX(O3-(2/3)*(L3-O3),0)</f>
        <v>0</v>
      </c>
      <c r="R3" s="4">
        <v>0</v>
      </c>
    </row>
    <row r="4" spans="1:18" ht="14" customHeight="1" x14ac:dyDescent="0.2">
      <c r="A4" s="8" t="s">
        <v>13</v>
      </c>
      <c r="B4" s="5">
        <v>697</v>
      </c>
      <c r="C4" s="5">
        <f t="shared" ca="1" si="0"/>
        <v>843.80333333333328</v>
      </c>
      <c r="D4" s="5">
        <f t="shared" ca="1" si="1"/>
        <v>791.78555555555556</v>
      </c>
      <c r="E4" s="5">
        <f t="shared" ca="1" si="2"/>
        <v>739.76777777777784</v>
      </c>
      <c r="F4" s="5">
        <f t="shared" si="3"/>
        <v>687.75</v>
      </c>
      <c r="G4" s="5">
        <f t="shared" ca="1" si="4"/>
        <v>635.73222222222216</v>
      </c>
      <c r="H4" s="5">
        <f t="shared" ca="1" si="5"/>
        <v>583.71444444444444</v>
      </c>
      <c r="I4" s="5">
        <f t="shared" ca="1" si="6"/>
        <v>531.69666666666672</v>
      </c>
      <c r="J4" s="6">
        <f t="shared" ca="1" si="8"/>
        <v>697</v>
      </c>
      <c r="K4" s="5">
        <f t="shared" ca="1" si="9"/>
        <v>145</v>
      </c>
      <c r="L4" s="4">
        <f t="shared" ca="1" si="10"/>
        <v>191.66399999999999</v>
      </c>
      <c r="M4" s="4">
        <f t="shared" ca="1" si="11"/>
        <v>147.33155555555555</v>
      </c>
      <c r="N4" s="4">
        <f t="shared" ca="1" si="12"/>
        <v>102.99911111111111</v>
      </c>
      <c r="O4" s="4">
        <f t="shared" ca="1" si="7"/>
        <v>58.666666666666664</v>
      </c>
      <c r="P4" s="4">
        <f t="shared" ca="1" si="13"/>
        <v>14.334222222222223</v>
      </c>
      <c r="Q4" s="4">
        <f t="shared" ca="1" si="14"/>
        <v>0</v>
      </c>
      <c r="R4" s="4">
        <v>0</v>
      </c>
    </row>
    <row r="5" spans="1:18" ht="14" customHeight="1" x14ac:dyDescent="0.2">
      <c r="A5" s="8" t="s">
        <v>14</v>
      </c>
      <c r="B5" s="5">
        <v>686</v>
      </c>
      <c r="C5" s="5">
        <f t="shared" ca="1" si="0"/>
        <v>843.80333333333328</v>
      </c>
      <c r="D5" s="5">
        <f t="shared" ca="1" si="1"/>
        <v>791.78555555555556</v>
      </c>
      <c r="E5" s="5">
        <f t="shared" ca="1" si="2"/>
        <v>739.76777777777784</v>
      </c>
      <c r="F5" s="5">
        <f t="shared" si="3"/>
        <v>687.75</v>
      </c>
      <c r="G5" s="5">
        <f t="shared" ca="1" si="4"/>
        <v>635.73222222222216</v>
      </c>
      <c r="H5" s="5">
        <f t="shared" ca="1" si="5"/>
        <v>583.71444444444444</v>
      </c>
      <c r="I5" s="5">
        <f t="shared" ca="1" si="6"/>
        <v>531.69666666666672</v>
      </c>
      <c r="J5" s="6">
        <f t="shared" ca="1" si="8"/>
        <v>686</v>
      </c>
      <c r="K5" s="5">
        <f t="shared" ca="1" si="9"/>
        <v>11</v>
      </c>
      <c r="L5" s="4">
        <f t="shared" ca="1" si="10"/>
        <v>191.66399999999999</v>
      </c>
      <c r="M5" s="4">
        <f t="shared" ca="1" si="11"/>
        <v>147.33155555555555</v>
      </c>
      <c r="N5" s="4">
        <f t="shared" ca="1" si="12"/>
        <v>102.99911111111111</v>
      </c>
      <c r="O5" s="4">
        <f t="shared" ca="1" si="7"/>
        <v>58.666666666666664</v>
      </c>
      <c r="P5" s="4">
        <f t="shared" ca="1" si="13"/>
        <v>14.334222222222223</v>
      </c>
      <c r="Q5" s="4">
        <f t="shared" ca="1" si="14"/>
        <v>0</v>
      </c>
      <c r="R5" s="4">
        <v>0</v>
      </c>
    </row>
    <row r="6" spans="1:18" ht="14" customHeight="1" x14ac:dyDescent="0.2">
      <c r="A6" s="8" t="s">
        <v>15</v>
      </c>
      <c r="B6" s="5">
        <v>742</v>
      </c>
      <c r="C6" s="5">
        <f t="shared" ca="1" si="0"/>
        <v>843.80333333333328</v>
      </c>
      <c r="D6" s="5">
        <f t="shared" ca="1" si="1"/>
        <v>791.78555555555556</v>
      </c>
      <c r="E6" s="5">
        <f t="shared" ca="1" si="2"/>
        <v>739.76777777777784</v>
      </c>
      <c r="F6" s="5">
        <f t="shared" si="3"/>
        <v>687.75</v>
      </c>
      <c r="G6" s="5">
        <f t="shared" ca="1" si="4"/>
        <v>635.73222222222216</v>
      </c>
      <c r="H6" s="5">
        <f t="shared" ca="1" si="5"/>
        <v>583.71444444444444</v>
      </c>
      <c r="I6" s="5">
        <f t="shared" ca="1" si="6"/>
        <v>531.69666666666672</v>
      </c>
      <c r="J6" s="6">
        <f t="shared" ca="1" si="8"/>
        <v>742</v>
      </c>
      <c r="K6" s="5">
        <f t="shared" ca="1" si="9"/>
        <v>56</v>
      </c>
      <c r="L6" s="4">
        <f t="shared" ca="1" si="10"/>
        <v>191.66399999999999</v>
      </c>
      <c r="M6" s="4">
        <f t="shared" ca="1" si="11"/>
        <v>147.33155555555555</v>
      </c>
      <c r="N6" s="4">
        <f t="shared" ca="1" si="12"/>
        <v>102.99911111111111</v>
      </c>
      <c r="O6" s="4">
        <f t="shared" ca="1" si="7"/>
        <v>58.666666666666664</v>
      </c>
      <c r="P6" s="4">
        <f t="shared" ca="1" si="13"/>
        <v>14.334222222222223</v>
      </c>
      <c r="Q6" s="4">
        <f t="shared" ca="1" si="14"/>
        <v>0</v>
      </c>
      <c r="R6" s="4">
        <v>0</v>
      </c>
    </row>
    <row r="7" spans="1:18" ht="14" customHeight="1" x14ac:dyDescent="0.2">
      <c r="A7" s="8" t="s">
        <v>16</v>
      </c>
      <c r="B7" s="5">
        <v>718</v>
      </c>
      <c r="C7" s="5">
        <f t="shared" ca="1" si="0"/>
        <v>843.80333333333328</v>
      </c>
      <c r="D7" s="5">
        <f t="shared" ca="1" si="1"/>
        <v>791.78555555555556</v>
      </c>
      <c r="E7" s="5">
        <f t="shared" ca="1" si="2"/>
        <v>739.76777777777784</v>
      </c>
      <c r="F7" s="5">
        <f t="shared" si="3"/>
        <v>687.75</v>
      </c>
      <c r="G7" s="5">
        <f t="shared" ca="1" si="4"/>
        <v>635.73222222222216</v>
      </c>
      <c r="H7" s="5">
        <f t="shared" ca="1" si="5"/>
        <v>583.71444444444444</v>
      </c>
      <c r="I7" s="5">
        <f t="shared" ca="1" si="6"/>
        <v>531.69666666666672</v>
      </c>
      <c r="J7" s="6">
        <f t="shared" ca="1" si="8"/>
        <v>718</v>
      </c>
      <c r="K7" s="5">
        <f t="shared" ca="1" si="9"/>
        <v>24</v>
      </c>
      <c r="L7" s="4">
        <f t="shared" ca="1" si="10"/>
        <v>191.66399999999999</v>
      </c>
      <c r="M7" s="4">
        <f t="shared" ca="1" si="11"/>
        <v>147.33155555555555</v>
      </c>
      <c r="N7" s="4">
        <f t="shared" ca="1" si="12"/>
        <v>102.99911111111111</v>
      </c>
      <c r="O7" s="4">
        <f t="shared" ca="1" si="7"/>
        <v>58.666666666666664</v>
      </c>
      <c r="P7" s="4">
        <f t="shared" ca="1" si="13"/>
        <v>14.334222222222223</v>
      </c>
      <c r="Q7" s="4">
        <f t="shared" ca="1" si="14"/>
        <v>0</v>
      </c>
      <c r="R7" s="4">
        <v>0</v>
      </c>
    </row>
    <row r="8" spans="1:18" ht="14" customHeight="1" x14ac:dyDescent="0.2">
      <c r="A8" s="8" t="s">
        <v>17</v>
      </c>
      <c r="B8" s="5">
        <v>685</v>
      </c>
      <c r="C8" s="5">
        <f t="shared" ca="1" si="0"/>
        <v>843.80333333333328</v>
      </c>
      <c r="D8" s="5">
        <f t="shared" ca="1" si="1"/>
        <v>791.78555555555556</v>
      </c>
      <c r="E8" s="5">
        <f t="shared" ca="1" si="2"/>
        <v>739.76777777777784</v>
      </c>
      <c r="F8" s="5">
        <f t="shared" si="3"/>
        <v>687.75</v>
      </c>
      <c r="G8" s="5">
        <f t="shared" ca="1" si="4"/>
        <v>635.73222222222216</v>
      </c>
      <c r="H8" s="5">
        <f t="shared" ca="1" si="5"/>
        <v>583.71444444444444</v>
      </c>
      <c r="I8" s="5">
        <f t="shared" ca="1" si="6"/>
        <v>531.69666666666672</v>
      </c>
      <c r="J8" s="6">
        <f t="shared" ca="1" si="8"/>
        <v>685</v>
      </c>
      <c r="K8" s="5">
        <f t="shared" ca="1" si="9"/>
        <v>33</v>
      </c>
      <c r="L8" s="4">
        <f t="shared" ca="1" si="10"/>
        <v>191.66399999999999</v>
      </c>
      <c r="M8" s="4">
        <f t="shared" ca="1" si="11"/>
        <v>147.33155555555555</v>
      </c>
      <c r="N8" s="4">
        <f t="shared" ca="1" si="12"/>
        <v>102.99911111111111</v>
      </c>
      <c r="O8" s="4">
        <f t="shared" ca="1" si="7"/>
        <v>58.666666666666664</v>
      </c>
      <c r="P8" s="4">
        <f t="shared" ca="1" si="13"/>
        <v>14.334222222222223</v>
      </c>
      <c r="Q8" s="4">
        <f t="shared" ca="1" si="14"/>
        <v>0</v>
      </c>
      <c r="R8" s="4">
        <v>0</v>
      </c>
    </row>
    <row r="9" spans="1:18" ht="14" customHeight="1" x14ac:dyDescent="0.2">
      <c r="A9" s="8" t="s">
        <v>18</v>
      </c>
      <c r="B9" s="5">
        <v>710</v>
      </c>
      <c r="C9" s="5">
        <f t="shared" ca="1" si="0"/>
        <v>843.80333333333328</v>
      </c>
      <c r="D9" s="5">
        <f t="shared" ca="1" si="1"/>
        <v>791.78555555555556</v>
      </c>
      <c r="E9" s="5">
        <f t="shared" ca="1" si="2"/>
        <v>739.76777777777784</v>
      </c>
      <c r="F9" s="5">
        <f t="shared" si="3"/>
        <v>687.75</v>
      </c>
      <c r="G9" s="5">
        <f t="shared" ca="1" si="4"/>
        <v>635.73222222222216</v>
      </c>
      <c r="H9" s="5">
        <f t="shared" ca="1" si="5"/>
        <v>583.71444444444444</v>
      </c>
      <c r="I9" s="5">
        <f t="shared" ca="1" si="6"/>
        <v>531.69666666666672</v>
      </c>
      <c r="J9" s="6">
        <f t="shared" ca="1" si="8"/>
        <v>710</v>
      </c>
      <c r="K9" s="5">
        <f t="shared" ca="1" si="9"/>
        <v>25</v>
      </c>
      <c r="L9" s="4">
        <f t="shared" ca="1" si="10"/>
        <v>191.66399999999999</v>
      </c>
      <c r="M9" s="4">
        <f t="shared" ca="1" si="11"/>
        <v>147.33155555555555</v>
      </c>
      <c r="N9" s="4">
        <f t="shared" ca="1" si="12"/>
        <v>102.99911111111111</v>
      </c>
      <c r="O9" s="4">
        <f t="shared" ca="1" si="7"/>
        <v>58.666666666666664</v>
      </c>
      <c r="P9" s="4">
        <f t="shared" ca="1" si="13"/>
        <v>14.334222222222223</v>
      </c>
      <c r="Q9" s="4">
        <f t="shared" ca="1" si="14"/>
        <v>0</v>
      </c>
      <c r="R9" s="4">
        <v>0</v>
      </c>
    </row>
    <row r="10" spans="1:18" ht="14" customHeight="1" x14ac:dyDescent="0.2">
      <c r="A10" s="8" t="s">
        <v>19</v>
      </c>
      <c r="B10" s="5">
        <v>710</v>
      </c>
      <c r="C10" s="5">
        <f t="shared" ca="1" si="0"/>
        <v>843.80333333333328</v>
      </c>
      <c r="D10" s="5">
        <f t="shared" ca="1" si="1"/>
        <v>791.78555555555556</v>
      </c>
      <c r="E10" s="5">
        <f t="shared" ca="1" si="2"/>
        <v>739.76777777777784</v>
      </c>
      <c r="F10" s="5">
        <f t="shared" si="3"/>
        <v>687.75</v>
      </c>
      <c r="G10" s="5">
        <f t="shared" ca="1" si="4"/>
        <v>635.73222222222216</v>
      </c>
      <c r="H10" s="5">
        <f t="shared" ca="1" si="5"/>
        <v>583.71444444444444</v>
      </c>
      <c r="I10" s="5">
        <f t="shared" ca="1" si="6"/>
        <v>531.69666666666672</v>
      </c>
      <c r="J10" s="6">
        <f t="shared" ca="1" si="8"/>
        <v>710</v>
      </c>
      <c r="K10" s="5">
        <f t="shared" ca="1" si="9"/>
        <v>0</v>
      </c>
      <c r="L10" s="4">
        <f t="shared" ca="1" si="10"/>
        <v>191.66399999999999</v>
      </c>
      <c r="M10" s="4">
        <f t="shared" ca="1" si="11"/>
        <v>147.33155555555555</v>
      </c>
      <c r="N10" s="4">
        <f t="shared" ca="1" si="12"/>
        <v>102.99911111111111</v>
      </c>
      <c r="O10" s="4">
        <f t="shared" ca="1" si="7"/>
        <v>58.666666666666664</v>
      </c>
      <c r="P10" s="4">
        <f t="shared" ca="1" si="13"/>
        <v>14.334222222222223</v>
      </c>
      <c r="Q10" s="4">
        <f t="shared" ca="1" si="14"/>
        <v>0</v>
      </c>
      <c r="R10" s="4">
        <v>0</v>
      </c>
    </row>
    <row r="11" spans="1:18" ht="14" customHeight="1" x14ac:dyDescent="0.2">
      <c r="A11" s="8" t="s">
        <v>20</v>
      </c>
      <c r="B11" s="5">
        <v>655</v>
      </c>
      <c r="C11" s="5">
        <f t="shared" ca="1" si="0"/>
        <v>843.80333333333328</v>
      </c>
      <c r="D11" s="5">
        <f t="shared" ca="1" si="1"/>
        <v>791.78555555555556</v>
      </c>
      <c r="E11" s="5">
        <f t="shared" ca="1" si="2"/>
        <v>739.76777777777784</v>
      </c>
      <c r="F11" s="5">
        <f t="shared" si="3"/>
        <v>687.75</v>
      </c>
      <c r="G11" s="5">
        <f t="shared" ca="1" si="4"/>
        <v>635.73222222222216</v>
      </c>
      <c r="H11" s="5">
        <f t="shared" ca="1" si="5"/>
        <v>583.71444444444444</v>
      </c>
      <c r="I11" s="5">
        <f t="shared" ca="1" si="6"/>
        <v>531.69666666666672</v>
      </c>
      <c r="J11" s="6">
        <f t="shared" ca="1" si="8"/>
        <v>655</v>
      </c>
      <c r="K11" s="5">
        <f t="shared" ca="1" si="9"/>
        <v>55</v>
      </c>
      <c r="L11" s="4">
        <f t="shared" ca="1" si="10"/>
        <v>191.66399999999999</v>
      </c>
      <c r="M11" s="4">
        <f t="shared" ca="1" si="11"/>
        <v>147.33155555555555</v>
      </c>
      <c r="N11" s="4">
        <f t="shared" ca="1" si="12"/>
        <v>102.99911111111111</v>
      </c>
      <c r="O11" s="4">
        <f t="shared" ca="1" si="7"/>
        <v>58.666666666666664</v>
      </c>
      <c r="P11" s="4">
        <f t="shared" ca="1" si="13"/>
        <v>14.334222222222223</v>
      </c>
      <c r="Q11" s="4">
        <f t="shared" ca="1" si="14"/>
        <v>0</v>
      </c>
      <c r="R11" s="4">
        <v>0</v>
      </c>
    </row>
    <row r="12" spans="1:18" ht="14" customHeight="1" x14ac:dyDescent="0.2">
      <c r="A12" s="8" t="s">
        <v>21</v>
      </c>
      <c r="B12" s="5">
        <v>721</v>
      </c>
      <c r="C12" s="5">
        <f t="shared" ca="1" si="0"/>
        <v>843.80333333333328</v>
      </c>
      <c r="D12" s="5">
        <f t="shared" ca="1" si="1"/>
        <v>791.78555555555556</v>
      </c>
      <c r="E12" s="5">
        <f t="shared" ca="1" si="2"/>
        <v>739.76777777777784</v>
      </c>
      <c r="F12" s="5">
        <f t="shared" si="3"/>
        <v>687.75</v>
      </c>
      <c r="G12" s="5">
        <f t="shared" ca="1" si="4"/>
        <v>635.73222222222216</v>
      </c>
      <c r="H12" s="5">
        <f t="shared" ca="1" si="5"/>
        <v>583.71444444444444</v>
      </c>
      <c r="I12" s="5">
        <f t="shared" ca="1" si="6"/>
        <v>531.69666666666672</v>
      </c>
      <c r="J12" s="6">
        <f t="shared" ca="1" si="8"/>
        <v>721</v>
      </c>
      <c r="K12" s="5">
        <f t="shared" ca="1" si="9"/>
        <v>66</v>
      </c>
      <c r="L12" s="4">
        <f t="shared" ca="1" si="10"/>
        <v>191.66399999999999</v>
      </c>
      <c r="M12" s="4">
        <f t="shared" ca="1" si="11"/>
        <v>147.33155555555555</v>
      </c>
      <c r="N12" s="4">
        <f t="shared" ca="1" si="12"/>
        <v>102.99911111111111</v>
      </c>
      <c r="O12" s="4">
        <f t="shared" ca="1" si="7"/>
        <v>58.666666666666664</v>
      </c>
      <c r="P12" s="4">
        <f t="shared" ca="1" si="13"/>
        <v>14.334222222222223</v>
      </c>
      <c r="Q12" s="4">
        <f t="shared" ca="1" si="14"/>
        <v>0</v>
      </c>
      <c r="R12" s="4">
        <v>0</v>
      </c>
    </row>
    <row r="13" spans="1:18" ht="14" customHeight="1" x14ac:dyDescent="0.2">
      <c r="A13" s="8" t="s">
        <v>22</v>
      </c>
      <c r="B13" s="5">
        <v>682</v>
      </c>
      <c r="C13" s="5">
        <f t="shared" ca="1" si="0"/>
        <v>843.80333333333328</v>
      </c>
      <c r="D13" s="5">
        <f t="shared" ca="1" si="1"/>
        <v>791.78555555555556</v>
      </c>
      <c r="E13" s="5">
        <f t="shared" ca="1" si="2"/>
        <v>739.76777777777784</v>
      </c>
      <c r="F13" s="5">
        <f t="shared" si="3"/>
        <v>687.75</v>
      </c>
      <c r="G13" s="5">
        <f t="shared" ca="1" si="4"/>
        <v>635.73222222222216</v>
      </c>
      <c r="H13" s="5">
        <f t="shared" ca="1" si="5"/>
        <v>583.71444444444444</v>
      </c>
      <c r="I13" s="5">
        <f t="shared" ca="1" si="6"/>
        <v>531.69666666666672</v>
      </c>
      <c r="J13" s="6">
        <f t="shared" ca="1" si="8"/>
        <v>682</v>
      </c>
      <c r="K13" s="5">
        <f t="shared" ca="1" si="9"/>
        <v>39</v>
      </c>
      <c r="L13" s="4">
        <f t="shared" ca="1" si="10"/>
        <v>191.66399999999999</v>
      </c>
      <c r="M13" s="4">
        <f t="shared" ca="1" si="11"/>
        <v>147.33155555555555</v>
      </c>
      <c r="N13" s="4">
        <f t="shared" ca="1" si="12"/>
        <v>102.99911111111111</v>
      </c>
      <c r="O13" s="4">
        <f t="shared" ca="1" si="7"/>
        <v>58.666666666666664</v>
      </c>
      <c r="P13" s="4">
        <f t="shared" ca="1" si="13"/>
        <v>14.334222222222223</v>
      </c>
      <c r="Q13" s="4">
        <f t="shared" ca="1" si="14"/>
        <v>0</v>
      </c>
      <c r="R13" s="4">
        <v>0</v>
      </c>
    </row>
    <row r="14" spans="1:18" ht="14" customHeight="1" x14ac:dyDescent="0.2">
      <c r="A14" s="9" t="s">
        <v>23</v>
      </c>
      <c r="B14" s="7">
        <v>814</v>
      </c>
      <c r="C14" s="5">
        <f t="shared" ca="1" si="0"/>
        <v>843.80333333333328</v>
      </c>
      <c r="D14" s="5">
        <f t="shared" ca="1" si="1"/>
        <v>791.78555555555556</v>
      </c>
      <c r="E14" s="5">
        <f t="shared" ca="1" si="2"/>
        <v>739.76777777777784</v>
      </c>
      <c r="F14" s="5">
        <f t="shared" si="3"/>
        <v>687.75</v>
      </c>
      <c r="G14" s="5">
        <f t="shared" ca="1" si="4"/>
        <v>635.73222222222216</v>
      </c>
      <c r="H14" s="5">
        <f t="shared" ca="1" si="5"/>
        <v>583.71444444444444</v>
      </c>
      <c r="I14" s="5">
        <f t="shared" ca="1" si="6"/>
        <v>531.69666666666672</v>
      </c>
      <c r="J14" s="6">
        <f t="shared" ca="1" si="8"/>
        <v>814</v>
      </c>
      <c r="K14" s="5">
        <f t="shared" ca="1" si="9"/>
        <v>132</v>
      </c>
      <c r="L14" s="4">
        <f t="shared" ca="1" si="10"/>
        <v>191.66399999999999</v>
      </c>
      <c r="M14" s="4">
        <f t="shared" ca="1" si="11"/>
        <v>147.33155555555555</v>
      </c>
      <c r="N14" s="4">
        <f t="shared" ca="1" si="12"/>
        <v>102.99911111111111</v>
      </c>
      <c r="O14" s="4">
        <f t="shared" ca="1" si="7"/>
        <v>58.666666666666664</v>
      </c>
      <c r="P14" s="4">
        <f t="shared" ca="1" si="13"/>
        <v>14.334222222222223</v>
      </c>
      <c r="Q14" s="4">
        <f t="shared" ca="1" si="14"/>
        <v>0</v>
      </c>
      <c r="R14" s="4">
        <v>0</v>
      </c>
    </row>
    <row r="15" spans="1:18" ht="14" customHeight="1" x14ac:dyDescent="0.2">
      <c r="A15" s="9" t="s">
        <v>24</v>
      </c>
      <c r="B15" s="7">
        <v>794</v>
      </c>
      <c r="C15" s="5">
        <f t="shared" ca="1" si="0"/>
        <v>843.80333333333328</v>
      </c>
      <c r="D15" s="5">
        <f t="shared" ca="1" si="1"/>
        <v>791.78555555555556</v>
      </c>
      <c r="E15" s="5">
        <f t="shared" ca="1" si="2"/>
        <v>739.76777777777784</v>
      </c>
      <c r="F15" s="5">
        <f t="shared" si="3"/>
        <v>687.75</v>
      </c>
      <c r="G15" s="5">
        <f t="shared" ca="1" si="4"/>
        <v>635.73222222222216</v>
      </c>
      <c r="H15" s="5">
        <f t="shared" ca="1" si="5"/>
        <v>583.71444444444444</v>
      </c>
      <c r="I15" s="5">
        <f t="shared" ca="1" si="6"/>
        <v>531.69666666666672</v>
      </c>
      <c r="J15" s="6">
        <f t="shared" ca="1" si="8"/>
        <v>794</v>
      </c>
      <c r="K15" s="5">
        <f t="shared" ca="1" si="9"/>
        <v>20</v>
      </c>
      <c r="L15" s="4">
        <f t="shared" ca="1" si="10"/>
        <v>191.66399999999999</v>
      </c>
      <c r="M15" s="4">
        <f t="shared" ca="1" si="11"/>
        <v>147.33155555555555</v>
      </c>
      <c r="N15" s="4">
        <f t="shared" ca="1" si="12"/>
        <v>102.99911111111111</v>
      </c>
      <c r="O15" s="4">
        <f t="shared" ca="1" si="7"/>
        <v>58.666666666666664</v>
      </c>
      <c r="P15" s="4">
        <f t="shared" ca="1" si="13"/>
        <v>14.334222222222223</v>
      </c>
      <c r="Q15" s="4">
        <f t="shared" ca="1" si="14"/>
        <v>0</v>
      </c>
      <c r="R15" s="4">
        <v>0</v>
      </c>
    </row>
    <row r="16" spans="1:18" ht="14" customHeight="1" x14ac:dyDescent="0.2">
      <c r="A16" s="8" t="s">
        <v>25</v>
      </c>
      <c r="B16" s="5">
        <v>766</v>
      </c>
      <c r="C16" s="5">
        <f t="shared" ca="1" si="0"/>
        <v>843.80333333333328</v>
      </c>
      <c r="D16" s="5">
        <f t="shared" ca="1" si="1"/>
        <v>791.78555555555556</v>
      </c>
      <c r="E16" s="5">
        <f t="shared" ca="1" si="2"/>
        <v>739.76777777777784</v>
      </c>
      <c r="F16" s="5">
        <f t="shared" si="3"/>
        <v>687.75</v>
      </c>
      <c r="G16" s="5">
        <f t="shared" ca="1" si="4"/>
        <v>635.73222222222216</v>
      </c>
      <c r="H16" s="5">
        <f t="shared" ca="1" si="5"/>
        <v>583.71444444444444</v>
      </c>
      <c r="I16" s="5">
        <f t="shared" ca="1" si="6"/>
        <v>531.69666666666672</v>
      </c>
      <c r="J16" s="6">
        <f t="shared" ca="1" si="8"/>
        <v>766</v>
      </c>
      <c r="K16" s="5">
        <f t="shared" ca="1" si="9"/>
        <v>28</v>
      </c>
      <c r="L16" s="4">
        <f t="shared" ca="1" si="10"/>
        <v>191.66399999999999</v>
      </c>
      <c r="M16" s="4">
        <f t="shared" ca="1" si="11"/>
        <v>147.33155555555555</v>
      </c>
      <c r="N16" s="4">
        <f t="shared" ca="1" si="12"/>
        <v>102.99911111111111</v>
      </c>
      <c r="O16" s="4">
        <f t="shared" ca="1" si="7"/>
        <v>58.666666666666664</v>
      </c>
      <c r="P16" s="4">
        <f t="shared" ca="1" si="13"/>
        <v>14.334222222222223</v>
      </c>
      <c r="Q16" s="4">
        <f t="shared" ca="1" si="14"/>
        <v>0</v>
      </c>
      <c r="R16" s="4">
        <v>0</v>
      </c>
    </row>
    <row r="17" spans="1:18" ht="14" customHeight="1" x14ac:dyDescent="0.2">
      <c r="A17" s="8" t="s">
        <v>26</v>
      </c>
      <c r="B17" s="5">
        <v>638</v>
      </c>
      <c r="C17" s="5">
        <f t="shared" ca="1" si="0"/>
        <v>843.80333333333328</v>
      </c>
      <c r="D17" s="5">
        <f t="shared" ca="1" si="1"/>
        <v>791.78555555555556</v>
      </c>
      <c r="E17" s="5">
        <f t="shared" ca="1" si="2"/>
        <v>739.76777777777784</v>
      </c>
      <c r="F17" s="5">
        <f t="shared" si="3"/>
        <v>687.75</v>
      </c>
      <c r="G17" s="5">
        <f t="shared" ca="1" si="4"/>
        <v>635.73222222222216</v>
      </c>
      <c r="H17" s="5">
        <f t="shared" ca="1" si="5"/>
        <v>583.71444444444444</v>
      </c>
      <c r="I17" s="5">
        <f t="shared" ca="1" si="6"/>
        <v>531.69666666666672</v>
      </c>
      <c r="J17" s="6">
        <f t="shared" ca="1" si="8"/>
        <v>638</v>
      </c>
      <c r="K17" s="5">
        <f t="shared" ca="1" si="9"/>
        <v>128</v>
      </c>
      <c r="L17" s="4">
        <f t="shared" ca="1" si="10"/>
        <v>191.66399999999999</v>
      </c>
      <c r="M17" s="4">
        <f t="shared" ca="1" si="11"/>
        <v>147.33155555555555</v>
      </c>
      <c r="N17" s="4">
        <f t="shared" ca="1" si="12"/>
        <v>102.99911111111111</v>
      </c>
      <c r="O17" s="4">
        <f t="shared" ca="1" si="7"/>
        <v>58.666666666666664</v>
      </c>
      <c r="P17" s="4">
        <f t="shared" ca="1" si="13"/>
        <v>14.334222222222223</v>
      </c>
      <c r="Q17" s="4">
        <f t="shared" ca="1" si="14"/>
        <v>0</v>
      </c>
      <c r="R17" s="4">
        <v>0</v>
      </c>
    </row>
    <row r="18" spans="1:18" ht="14" customHeight="1" x14ac:dyDescent="0.2">
      <c r="A18" s="8" t="s">
        <v>27</v>
      </c>
      <c r="B18" s="5">
        <v>521</v>
      </c>
      <c r="C18" s="5">
        <f t="shared" ca="1" si="0"/>
        <v>697.85333333333335</v>
      </c>
      <c r="D18" s="5">
        <f t="shared" ca="1" si="1"/>
        <v>626.62444444444441</v>
      </c>
      <c r="E18" s="5">
        <f t="shared" ca="1" si="2"/>
        <v>555.39555555555557</v>
      </c>
      <c r="F18" s="5">
        <f t="shared" ref="F18:F43" si="15">AVERAGE($B$18:$B$23)</f>
        <v>484.16666666666669</v>
      </c>
      <c r="G18" s="5">
        <f t="shared" ca="1" si="4"/>
        <v>412.9377777777778</v>
      </c>
      <c r="H18" s="5">
        <f t="shared" ca="1" si="5"/>
        <v>341.70888888888891</v>
      </c>
      <c r="I18" s="5">
        <f t="shared" ca="1" si="6"/>
        <v>270.48</v>
      </c>
      <c r="J18" s="6">
        <f t="shared" ca="1" si="8"/>
        <v>521</v>
      </c>
      <c r="K18" s="5">
        <f t="shared" ca="1" si="9"/>
        <v>117</v>
      </c>
      <c r="L18" s="4">
        <f t="shared" ca="1" si="10"/>
        <v>262.44899999999996</v>
      </c>
      <c r="M18" s="4">
        <f t="shared" ca="1" si="11"/>
        <v>201.74377777777775</v>
      </c>
      <c r="N18" s="4">
        <f t="shared" ca="1" si="12"/>
        <v>141.03855555555555</v>
      </c>
      <c r="O18" s="4">
        <f t="shared" ref="O18:O43" ca="1" si="16">AVERAGE($K$18:$K$23)</f>
        <v>80.333333333333329</v>
      </c>
      <c r="P18" s="4">
        <f t="shared" ca="1" si="13"/>
        <v>19.628111111111117</v>
      </c>
      <c r="Q18" s="4">
        <f t="shared" ca="1" si="14"/>
        <v>0</v>
      </c>
      <c r="R18" s="4">
        <v>0</v>
      </c>
    </row>
    <row r="19" spans="1:18" ht="14" customHeight="1" x14ac:dyDescent="0.2">
      <c r="A19" s="8" t="s">
        <v>28</v>
      </c>
      <c r="B19" s="5">
        <v>409</v>
      </c>
      <c r="C19" s="5">
        <f t="shared" ca="1" si="0"/>
        <v>697.85333333333335</v>
      </c>
      <c r="D19" s="5">
        <f t="shared" ca="1" si="1"/>
        <v>626.62444444444441</v>
      </c>
      <c r="E19" s="5">
        <f t="shared" ca="1" si="2"/>
        <v>555.39555555555557</v>
      </c>
      <c r="F19" s="5">
        <f t="shared" si="15"/>
        <v>484.16666666666669</v>
      </c>
      <c r="G19" s="5">
        <f t="shared" ca="1" si="4"/>
        <v>412.9377777777778</v>
      </c>
      <c r="H19" s="5">
        <f t="shared" ca="1" si="5"/>
        <v>341.70888888888891</v>
      </c>
      <c r="I19" s="5">
        <f t="shared" ca="1" si="6"/>
        <v>270.48</v>
      </c>
      <c r="J19" s="6">
        <f t="shared" ca="1" si="8"/>
        <v>409</v>
      </c>
      <c r="K19" s="5">
        <f t="shared" ca="1" si="9"/>
        <v>112</v>
      </c>
      <c r="L19" s="4">
        <f t="shared" ca="1" si="10"/>
        <v>262.44899999999996</v>
      </c>
      <c r="M19" s="4">
        <f t="shared" ca="1" si="11"/>
        <v>201.74377777777775</v>
      </c>
      <c r="N19" s="4">
        <f t="shared" ca="1" si="12"/>
        <v>141.03855555555555</v>
      </c>
      <c r="O19" s="4">
        <f t="shared" ca="1" si="16"/>
        <v>80.333333333333329</v>
      </c>
      <c r="P19" s="4">
        <f t="shared" ca="1" si="13"/>
        <v>19.628111111111117</v>
      </c>
      <c r="Q19" s="4">
        <f t="shared" ca="1" si="14"/>
        <v>0</v>
      </c>
      <c r="R19" s="4">
        <v>0</v>
      </c>
    </row>
    <row r="20" spans="1:18" ht="14" customHeight="1" x14ac:dyDescent="0.2">
      <c r="A20" s="8" t="s">
        <v>29</v>
      </c>
      <c r="B20" s="5">
        <v>558</v>
      </c>
      <c r="C20" s="5">
        <f t="shared" ca="1" si="0"/>
        <v>697.85333333333335</v>
      </c>
      <c r="D20" s="5">
        <f t="shared" ca="1" si="1"/>
        <v>626.62444444444441</v>
      </c>
      <c r="E20" s="5">
        <f t="shared" ca="1" si="2"/>
        <v>555.39555555555557</v>
      </c>
      <c r="F20" s="5">
        <f t="shared" si="15"/>
        <v>484.16666666666669</v>
      </c>
      <c r="G20" s="5">
        <f t="shared" ca="1" si="4"/>
        <v>412.9377777777778</v>
      </c>
      <c r="H20" s="5">
        <f t="shared" ca="1" si="5"/>
        <v>341.70888888888891</v>
      </c>
      <c r="I20" s="5">
        <f t="shared" ca="1" si="6"/>
        <v>270.48</v>
      </c>
      <c r="J20" s="6">
        <f t="shared" ca="1" si="8"/>
        <v>558</v>
      </c>
      <c r="K20" s="5">
        <f t="shared" ca="1" si="9"/>
        <v>149</v>
      </c>
      <c r="L20" s="4">
        <f t="shared" ca="1" si="10"/>
        <v>262.44899999999996</v>
      </c>
      <c r="M20" s="4">
        <f t="shared" ca="1" si="11"/>
        <v>201.74377777777775</v>
      </c>
      <c r="N20" s="4">
        <f t="shared" ca="1" si="12"/>
        <v>141.03855555555555</v>
      </c>
      <c r="O20" s="4">
        <f t="shared" ca="1" si="16"/>
        <v>80.333333333333329</v>
      </c>
      <c r="P20" s="4">
        <f t="shared" ca="1" si="13"/>
        <v>19.628111111111117</v>
      </c>
      <c r="Q20" s="4">
        <f t="shared" ca="1" si="14"/>
        <v>0</v>
      </c>
      <c r="R20" s="4">
        <v>0</v>
      </c>
    </row>
    <row r="21" spans="1:18" ht="14" customHeight="1" x14ac:dyDescent="0.2">
      <c r="A21" s="8" t="s">
        <v>30</v>
      </c>
      <c r="B21" s="5">
        <v>494</v>
      </c>
      <c r="C21" s="5">
        <f t="shared" ca="1" si="0"/>
        <v>697.85333333333335</v>
      </c>
      <c r="D21" s="5">
        <f t="shared" ca="1" si="1"/>
        <v>626.62444444444441</v>
      </c>
      <c r="E21" s="5">
        <f t="shared" ca="1" si="2"/>
        <v>555.39555555555557</v>
      </c>
      <c r="F21" s="5">
        <f t="shared" si="15"/>
        <v>484.16666666666669</v>
      </c>
      <c r="G21" s="5">
        <f t="shared" ca="1" si="4"/>
        <v>412.9377777777778</v>
      </c>
      <c r="H21" s="5">
        <f t="shared" ca="1" si="5"/>
        <v>341.70888888888891</v>
      </c>
      <c r="I21" s="5">
        <f t="shared" ca="1" si="6"/>
        <v>270.48</v>
      </c>
      <c r="J21" s="6">
        <f t="shared" ca="1" si="8"/>
        <v>494</v>
      </c>
      <c r="K21" s="5">
        <f t="shared" ca="1" si="9"/>
        <v>64</v>
      </c>
      <c r="L21" s="4">
        <f t="shared" ca="1" si="10"/>
        <v>262.44899999999996</v>
      </c>
      <c r="M21" s="4">
        <f t="shared" ca="1" si="11"/>
        <v>201.74377777777775</v>
      </c>
      <c r="N21" s="4">
        <f t="shared" ca="1" si="12"/>
        <v>141.03855555555555</v>
      </c>
      <c r="O21" s="4">
        <f t="shared" ca="1" si="16"/>
        <v>80.333333333333329</v>
      </c>
      <c r="P21" s="4">
        <f t="shared" ca="1" si="13"/>
        <v>19.628111111111117</v>
      </c>
      <c r="Q21" s="4">
        <f t="shared" ca="1" si="14"/>
        <v>0</v>
      </c>
      <c r="R21" s="4">
        <v>0</v>
      </c>
    </row>
    <row r="22" spans="1:18" ht="14" customHeight="1" x14ac:dyDescent="0.2">
      <c r="A22" s="8" t="s">
        <v>31</v>
      </c>
      <c r="B22" s="5">
        <v>459</v>
      </c>
      <c r="C22" s="5">
        <f t="shared" ca="1" si="0"/>
        <v>697.85333333333335</v>
      </c>
      <c r="D22" s="5">
        <f t="shared" ca="1" si="1"/>
        <v>626.62444444444441</v>
      </c>
      <c r="E22" s="5">
        <f t="shared" ca="1" si="2"/>
        <v>555.39555555555557</v>
      </c>
      <c r="F22" s="5">
        <f t="shared" si="15"/>
        <v>484.16666666666669</v>
      </c>
      <c r="G22" s="5">
        <f t="shared" ca="1" si="4"/>
        <v>412.9377777777778</v>
      </c>
      <c r="H22" s="5">
        <f t="shared" ca="1" si="5"/>
        <v>341.70888888888891</v>
      </c>
      <c r="I22" s="5">
        <f t="shared" ca="1" si="6"/>
        <v>270.48</v>
      </c>
      <c r="J22" s="6">
        <f t="shared" ca="1" si="8"/>
        <v>459</v>
      </c>
      <c r="K22" s="5">
        <f t="shared" ca="1" si="9"/>
        <v>35</v>
      </c>
      <c r="L22" s="4">
        <f t="shared" ca="1" si="10"/>
        <v>262.44899999999996</v>
      </c>
      <c r="M22" s="4">
        <f t="shared" ca="1" si="11"/>
        <v>201.74377777777775</v>
      </c>
      <c r="N22" s="4">
        <f t="shared" ca="1" si="12"/>
        <v>141.03855555555555</v>
      </c>
      <c r="O22" s="4">
        <f t="shared" ca="1" si="16"/>
        <v>80.333333333333329</v>
      </c>
      <c r="P22" s="4">
        <f t="shared" ca="1" si="13"/>
        <v>19.628111111111117</v>
      </c>
      <c r="Q22" s="4">
        <f t="shared" ca="1" si="14"/>
        <v>0</v>
      </c>
      <c r="R22" s="4">
        <v>0</v>
      </c>
    </row>
    <row r="23" spans="1:18" ht="14" customHeight="1" x14ac:dyDescent="0.2">
      <c r="A23" s="8" t="s">
        <v>32</v>
      </c>
      <c r="B23" s="5">
        <v>464</v>
      </c>
      <c r="C23" s="5">
        <f t="shared" ca="1" si="0"/>
        <v>697.85333333333335</v>
      </c>
      <c r="D23" s="5">
        <f t="shared" ca="1" si="1"/>
        <v>626.62444444444441</v>
      </c>
      <c r="E23" s="5">
        <f t="shared" ca="1" si="2"/>
        <v>555.39555555555557</v>
      </c>
      <c r="F23" s="5">
        <f t="shared" si="15"/>
        <v>484.16666666666669</v>
      </c>
      <c r="G23" s="5">
        <f t="shared" ca="1" si="4"/>
        <v>412.9377777777778</v>
      </c>
      <c r="H23" s="5">
        <f t="shared" ca="1" si="5"/>
        <v>341.70888888888891</v>
      </c>
      <c r="I23" s="5">
        <f t="shared" ca="1" si="6"/>
        <v>270.48</v>
      </c>
      <c r="J23" s="6">
        <f t="shared" ca="1" si="8"/>
        <v>464</v>
      </c>
      <c r="K23" s="5">
        <f t="shared" ca="1" si="9"/>
        <v>5</v>
      </c>
      <c r="L23" s="4">
        <f t="shared" ca="1" si="10"/>
        <v>262.44899999999996</v>
      </c>
      <c r="M23" s="4">
        <f t="shared" ca="1" si="11"/>
        <v>201.74377777777775</v>
      </c>
      <c r="N23" s="4">
        <f t="shared" ca="1" si="12"/>
        <v>141.03855555555555</v>
      </c>
      <c r="O23" s="4">
        <f t="shared" ca="1" si="16"/>
        <v>80.333333333333329</v>
      </c>
      <c r="P23" s="4">
        <f t="shared" ca="1" si="13"/>
        <v>19.628111111111117</v>
      </c>
      <c r="Q23" s="4">
        <f t="shared" ca="1" si="14"/>
        <v>0</v>
      </c>
      <c r="R23" s="4">
        <v>0</v>
      </c>
    </row>
    <row r="24" spans="1:18" ht="14" customHeight="1" x14ac:dyDescent="0.2">
      <c r="B24" s="4"/>
      <c r="C24" s="4">
        <f t="shared" ca="1" si="0"/>
        <v>697.85333333333335</v>
      </c>
      <c r="D24" s="4">
        <f t="shared" ca="1" si="1"/>
        <v>626.62444444444441</v>
      </c>
      <c r="E24" s="4">
        <f t="shared" ca="1" si="2"/>
        <v>555.39555555555557</v>
      </c>
      <c r="F24" s="4">
        <f t="shared" si="15"/>
        <v>484.16666666666669</v>
      </c>
      <c r="G24" s="4">
        <f t="shared" ca="1" si="4"/>
        <v>412.9377777777778</v>
      </c>
      <c r="H24" s="4">
        <f t="shared" ca="1" si="5"/>
        <v>341.70888888888891</v>
      </c>
      <c r="I24" s="4">
        <f t="shared" ca="1" si="6"/>
        <v>270.48</v>
      </c>
      <c r="J24">
        <f t="shared" ca="1" si="8"/>
        <v>464</v>
      </c>
      <c r="K24" t="str">
        <f t="shared" ca="1" si="9"/>
        <v/>
      </c>
      <c r="L24">
        <f t="shared" ca="1" si="10"/>
        <v>262.44899999999996</v>
      </c>
      <c r="M24">
        <f t="shared" ca="1" si="11"/>
        <v>201.74377777777775</v>
      </c>
      <c r="N24">
        <f t="shared" ca="1" si="12"/>
        <v>141.03855555555555</v>
      </c>
      <c r="O24" s="4">
        <f t="shared" ca="1" si="16"/>
        <v>80.333333333333329</v>
      </c>
      <c r="P24">
        <f t="shared" ca="1" si="13"/>
        <v>19.628111111111117</v>
      </c>
      <c r="Q24">
        <f t="shared" ca="1" si="14"/>
        <v>0</v>
      </c>
      <c r="R24">
        <v>0</v>
      </c>
    </row>
    <row r="25" spans="1:18" ht="14" customHeight="1" x14ac:dyDescent="0.2">
      <c r="B25" s="4"/>
      <c r="C25" s="4">
        <f t="shared" ca="1" si="0"/>
        <v>697.85333333333335</v>
      </c>
      <c r="D25" s="4">
        <f t="shared" ca="1" si="1"/>
        <v>626.62444444444441</v>
      </c>
      <c r="E25" s="4">
        <f t="shared" ca="1" si="2"/>
        <v>555.39555555555557</v>
      </c>
      <c r="F25" s="4">
        <f t="shared" si="15"/>
        <v>484.16666666666669</v>
      </c>
      <c r="G25" s="4">
        <f t="shared" ca="1" si="4"/>
        <v>412.9377777777778</v>
      </c>
      <c r="H25" s="4">
        <f t="shared" ca="1" si="5"/>
        <v>341.70888888888891</v>
      </c>
      <c r="I25" s="4">
        <f t="shared" ca="1" si="6"/>
        <v>270.48</v>
      </c>
      <c r="J25">
        <f t="shared" ca="1" si="8"/>
        <v>464</v>
      </c>
      <c r="K25" t="str">
        <f t="shared" ca="1" si="9"/>
        <v/>
      </c>
      <c r="L25">
        <f t="shared" ca="1" si="10"/>
        <v>262.44899999999996</v>
      </c>
      <c r="M25">
        <f t="shared" ca="1" si="11"/>
        <v>201.74377777777775</v>
      </c>
      <c r="N25">
        <f t="shared" ca="1" si="12"/>
        <v>141.03855555555555</v>
      </c>
      <c r="O25" s="4">
        <f t="shared" ca="1" si="16"/>
        <v>80.333333333333329</v>
      </c>
      <c r="P25">
        <f t="shared" ca="1" si="13"/>
        <v>19.628111111111117</v>
      </c>
      <c r="Q25">
        <f t="shared" ca="1" si="14"/>
        <v>0</v>
      </c>
      <c r="R25">
        <v>0</v>
      </c>
    </row>
    <row r="26" spans="1:18" ht="14" customHeight="1" x14ac:dyDescent="0.2">
      <c r="B26" s="4"/>
      <c r="C26" s="4">
        <f t="shared" ca="1" si="0"/>
        <v>697.85333333333335</v>
      </c>
      <c r="D26" s="4">
        <f t="shared" ca="1" si="1"/>
        <v>626.62444444444441</v>
      </c>
      <c r="E26" s="4">
        <f t="shared" ca="1" si="2"/>
        <v>555.39555555555557</v>
      </c>
      <c r="F26" s="4">
        <f t="shared" si="15"/>
        <v>484.16666666666669</v>
      </c>
      <c r="G26" s="4">
        <f t="shared" ca="1" si="4"/>
        <v>412.9377777777778</v>
      </c>
      <c r="H26" s="4">
        <f t="shared" ca="1" si="5"/>
        <v>341.70888888888891</v>
      </c>
      <c r="I26" s="4">
        <f t="shared" ca="1" si="6"/>
        <v>270.48</v>
      </c>
      <c r="J26">
        <f t="shared" ca="1" si="8"/>
        <v>464</v>
      </c>
      <c r="K26" t="str">
        <f t="shared" ca="1" si="9"/>
        <v/>
      </c>
      <c r="L26">
        <f t="shared" ca="1" si="10"/>
        <v>262.44899999999996</v>
      </c>
      <c r="M26">
        <f t="shared" ca="1" si="11"/>
        <v>201.74377777777775</v>
      </c>
      <c r="N26">
        <f t="shared" ca="1" si="12"/>
        <v>141.03855555555555</v>
      </c>
      <c r="O26" s="4">
        <f t="shared" ca="1" si="16"/>
        <v>80.333333333333329</v>
      </c>
      <c r="P26">
        <f t="shared" ca="1" si="13"/>
        <v>19.628111111111117</v>
      </c>
      <c r="Q26">
        <f t="shared" ca="1" si="14"/>
        <v>0</v>
      </c>
      <c r="R26">
        <v>0</v>
      </c>
    </row>
    <row r="27" spans="1:18" ht="14" customHeight="1" x14ac:dyDescent="0.2">
      <c r="B27" s="4"/>
      <c r="C27" s="4">
        <f t="shared" ca="1" si="0"/>
        <v>697.85333333333335</v>
      </c>
      <c r="D27" s="4">
        <f t="shared" ca="1" si="1"/>
        <v>626.62444444444441</v>
      </c>
      <c r="E27" s="4">
        <f t="shared" ca="1" si="2"/>
        <v>555.39555555555557</v>
      </c>
      <c r="F27" s="4">
        <f t="shared" si="15"/>
        <v>484.16666666666669</v>
      </c>
      <c r="G27" s="4">
        <f t="shared" ca="1" si="4"/>
        <v>412.9377777777778</v>
      </c>
      <c r="H27" s="4">
        <f t="shared" ca="1" si="5"/>
        <v>341.70888888888891</v>
      </c>
      <c r="I27" s="4">
        <f t="shared" ca="1" si="6"/>
        <v>270.48</v>
      </c>
      <c r="J27">
        <f t="shared" ca="1" si="8"/>
        <v>464</v>
      </c>
      <c r="K27" t="str">
        <f t="shared" ca="1" si="9"/>
        <v/>
      </c>
      <c r="L27">
        <f t="shared" ca="1" si="10"/>
        <v>262.44899999999996</v>
      </c>
      <c r="M27">
        <f t="shared" ca="1" si="11"/>
        <v>201.74377777777775</v>
      </c>
      <c r="N27">
        <f t="shared" ca="1" si="12"/>
        <v>141.03855555555555</v>
      </c>
      <c r="O27" s="4">
        <f t="shared" ca="1" si="16"/>
        <v>80.333333333333329</v>
      </c>
      <c r="P27">
        <f t="shared" ca="1" si="13"/>
        <v>19.628111111111117</v>
      </c>
      <c r="Q27">
        <f t="shared" ca="1" si="14"/>
        <v>0</v>
      </c>
      <c r="R27">
        <v>0</v>
      </c>
    </row>
    <row r="28" spans="1:18" ht="14" customHeight="1" x14ac:dyDescent="0.2">
      <c r="B28" s="4"/>
      <c r="C28" s="4">
        <f t="shared" ca="1" si="0"/>
        <v>697.85333333333335</v>
      </c>
      <c r="D28" s="4">
        <f t="shared" ca="1" si="1"/>
        <v>626.62444444444441</v>
      </c>
      <c r="E28" s="4">
        <f t="shared" ca="1" si="2"/>
        <v>555.39555555555557</v>
      </c>
      <c r="F28" s="4">
        <f t="shared" si="15"/>
        <v>484.16666666666669</v>
      </c>
      <c r="G28" s="4">
        <f t="shared" ca="1" si="4"/>
        <v>412.9377777777778</v>
      </c>
      <c r="H28" s="4">
        <f t="shared" ca="1" si="5"/>
        <v>341.70888888888891</v>
      </c>
      <c r="I28" s="4">
        <f t="shared" ca="1" si="6"/>
        <v>270.48</v>
      </c>
      <c r="J28">
        <f t="shared" ca="1" si="8"/>
        <v>464</v>
      </c>
      <c r="K28" t="str">
        <f t="shared" ca="1" si="9"/>
        <v/>
      </c>
      <c r="L28">
        <f t="shared" ca="1" si="10"/>
        <v>262.44899999999996</v>
      </c>
      <c r="M28">
        <f t="shared" ca="1" si="11"/>
        <v>201.74377777777775</v>
      </c>
      <c r="N28">
        <f t="shared" ca="1" si="12"/>
        <v>141.03855555555555</v>
      </c>
      <c r="O28" s="4">
        <f t="shared" ca="1" si="16"/>
        <v>80.333333333333329</v>
      </c>
      <c r="P28">
        <f t="shared" ca="1" si="13"/>
        <v>19.628111111111117</v>
      </c>
      <c r="Q28">
        <f t="shared" ca="1" si="14"/>
        <v>0</v>
      </c>
      <c r="R28">
        <v>0</v>
      </c>
    </row>
    <row r="29" spans="1:18" ht="14" customHeight="1" x14ac:dyDescent="0.2">
      <c r="B29" s="4"/>
      <c r="C29" s="4">
        <f t="shared" ca="1" si="0"/>
        <v>697.85333333333335</v>
      </c>
      <c r="D29" s="4">
        <f t="shared" ca="1" si="1"/>
        <v>626.62444444444441</v>
      </c>
      <c r="E29" s="4">
        <f t="shared" ca="1" si="2"/>
        <v>555.39555555555557</v>
      </c>
      <c r="F29" s="4">
        <f t="shared" si="15"/>
        <v>484.16666666666669</v>
      </c>
      <c r="G29" s="4">
        <f t="shared" ca="1" si="4"/>
        <v>412.9377777777778</v>
      </c>
      <c r="H29" s="4">
        <f t="shared" ca="1" si="5"/>
        <v>341.70888888888891</v>
      </c>
      <c r="I29" s="4">
        <f t="shared" ca="1" si="6"/>
        <v>270.48</v>
      </c>
      <c r="J29">
        <f t="shared" ca="1" si="8"/>
        <v>464</v>
      </c>
      <c r="K29" t="str">
        <f t="shared" ca="1" si="9"/>
        <v/>
      </c>
      <c r="L29">
        <f t="shared" ca="1" si="10"/>
        <v>262.44899999999996</v>
      </c>
      <c r="M29">
        <f t="shared" ca="1" si="11"/>
        <v>201.74377777777775</v>
      </c>
      <c r="N29">
        <f t="shared" ca="1" si="12"/>
        <v>141.03855555555555</v>
      </c>
      <c r="O29" s="4">
        <f t="shared" ca="1" si="16"/>
        <v>80.333333333333329</v>
      </c>
      <c r="P29">
        <f t="shared" ca="1" si="13"/>
        <v>19.628111111111117</v>
      </c>
      <c r="Q29">
        <f t="shared" ca="1" si="14"/>
        <v>0</v>
      </c>
      <c r="R29">
        <v>0</v>
      </c>
    </row>
    <row r="30" spans="1:18" ht="14" customHeight="1" x14ac:dyDescent="0.2">
      <c r="B30" s="4"/>
      <c r="C30" s="4">
        <f t="shared" ca="1" si="0"/>
        <v>697.85333333333335</v>
      </c>
      <c r="D30" s="4">
        <f t="shared" ca="1" si="1"/>
        <v>626.62444444444441</v>
      </c>
      <c r="E30" s="4">
        <f t="shared" ca="1" si="2"/>
        <v>555.39555555555557</v>
      </c>
      <c r="F30" s="4">
        <f t="shared" si="15"/>
        <v>484.16666666666669</v>
      </c>
      <c r="G30" s="4">
        <f t="shared" ca="1" si="4"/>
        <v>412.9377777777778</v>
      </c>
      <c r="H30" s="4">
        <f t="shared" ca="1" si="5"/>
        <v>341.70888888888891</v>
      </c>
      <c r="I30" s="4">
        <f t="shared" ca="1" si="6"/>
        <v>270.48</v>
      </c>
      <c r="J30">
        <f t="shared" ca="1" si="8"/>
        <v>464</v>
      </c>
      <c r="K30" t="str">
        <f t="shared" ca="1" si="9"/>
        <v/>
      </c>
      <c r="L30">
        <f t="shared" ca="1" si="10"/>
        <v>262.44899999999996</v>
      </c>
      <c r="M30">
        <f t="shared" ca="1" si="11"/>
        <v>201.74377777777775</v>
      </c>
      <c r="N30">
        <f t="shared" ca="1" si="12"/>
        <v>141.03855555555555</v>
      </c>
      <c r="O30" s="4">
        <f t="shared" ca="1" si="16"/>
        <v>80.333333333333329</v>
      </c>
      <c r="P30">
        <f t="shared" ca="1" si="13"/>
        <v>19.628111111111117</v>
      </c>
      <c r="Q30">
        <f t="shared" ca="1" si="14"/>
        <v>0</v>
      </c>
      <c r="R30">
        <v>0</v>
      </c>
    </row>
    <row r="31" spans="1:18" ht="14" customHeight="1" x14ac:dyDescent="0.2">
      <c r="B31" s="4"/>
      <c r="C31" s="4">
        <f t="shared" ca="1" si="0"/>
        <v>697.85333333333335</v>
      </c>
      <c r="D31" s="4">
        <f t="shared" ca="1" si="1"/>
        <v>626.62444444444441</v>
      </c>
      <c r="E31" s="4">
        <f t="shared" ca="1" si="2"/>
        <v>555.39555555555557</v>
      </c>
      <c r="F31" s="4">
        <f t="shared" si="15"/>
        <v>484.16666666666669</v>
      </c>
      <c r="G31" s="4">
        <f t="shared" ca="1" si="4"/>
        <v>412.9377777777778</v>
      </c>
      <c r="H31" s="4">
        <f t="shared" ca="1" si="5"/>
        <v>341.70888888888891</v>
      </c>
      <c r="I31" s="4">
        <f t="shared" ca="1" si="6"/>
        <v>270.48</v>
      </c>
      <c r="J31">
        <f t="shared" ca="1" si="8"/>
        <v>464</v>
      </c>
      <c r="K31" t="str">
        <f t="shared" ca="1" si="9"/>
        <v/>
      </c>
      <c r="L31">
        <f t="shared" ca="1" si="10"/>
        <v>262.44899999999996</v>
      </c>
      <c r="M31">
        <f t="shared" ca="1" si="11"/>
        <v>201.74377777777775</v>
      </c>
      <c r="N31">
        <f t="shared" ca="1" si="12"/>
        <v>141.03855555555555</v>
      </c>
      <c r="O31" s="4">
        <f t="shared" ca="1" si="16"/>
        <v>80.333333333333329</v>
      </c>
      <c r="P31">
        <f t="shared" ca="1" si="13"/>
        <v>19.628111111111117</v>
      </c>
      <c r="Q31">
        <f t="shared" ca="1" si="14"/>
        <v>0</v>
      </c>
      <c r="R31">
        <v>0</v>
      </c>
    </row>
    <row r="32" spans="1:18" ht="14" customHeight="1" x14ac:dyDescent="0.2">
      <c r="B32" s="4"/>
      <c r="C32" s="4">
        <f t="shared" ca="1" si="0"/>
        <v>697.85333333333335</v>
      </c>
      <c r="D32" s="4">
        <f t="shared" ca="1" si="1"/>
        <v>626.62444444444441</v>
      </c>
      <c r="E32" s="4">
        <f t="shared" ca="1" si="2"/>
        <v>555.39555555555557</v>
      </c>
      <c r="F32" s="4">
        <f t="shared" si="15"/>
        <v>484.16666666666669</v>
      </c>
      <c r="G32" s="4">
        <f t="shared" ca="1" si="4"/>
        <v>412.9377777777778</v>
      </c>
      <c r="H32" s="4">
        <f t="shared" ca="1" si="5"/>
        <v>341.70888888888891</v>
      </c>
      <c r="I32" s="4">
        <f t="shared" ca="1" si="6"/>
        <v>270.48</v>
      </c>
      <c r="J32">
        <f t="shared" ca="1" si="8"/>
        <v>464</v>
      </c>
      <c r="K32" t="str">
        <f t="shared" ca="1" si="9"/>
        <v/>
      </c>
      <c r="L32">
        <f t="shared" ca="1" si="10"/>
        <v>262.44899999999996</v>
      </c>
      <c r="M32">
        <f t="shared" ca="1" si="11"/>
        <v>201.74377777777775</v>
      </c>
      <c r="N32">
        <f t="shared" ca="1" si="12"/>
        <v>141.03855555555555</v>
      </c>
      <c r="O32" s="4">
        <f t="shared" ca="1" si="16"/>
        <v>80.333333333333329</v>
      </c>
      <c r="P32">
        <f t="shared" ca="1" si="13"/>
        <v>19.628111111111117</v>
      </c>
      <c r="Q32">
        <f t="shared" ca="1" si="14"/>
        <v>0</v>
      </c>
      <c r="R32">
        <v>0</v>
      </c>
    </row>
    <row r="33" spans="2:18" ht="14" customHeight="1" x14ac:dyDescent="0.2">
      <c r="B33" s="4"/>
      <c r="C33" s="4">
        <f t="shared" ca="1" si="0"/>
        <v>697.85333333333335</v>
      </c>
      <c r="D33" s="4">
        <f t="shared" ca="1" si="1"/>
        <v>626.62444444444441</v>
      </c>
      <c r="E33" s="4">
        <f t="shared" ca="1" si="2"/>
        <v>555.39555555555557</v>
      </c>
      <c r="F33" s="4">
        <f t="shared" si="15"/>
        <v>484.16666666666669</v>
      </c>
      <c r="G33" s="4">
        <f t="shared" ca="1" si="4"/>
        <v>412.9377777777778</v>
      </c>
      <c r="H33" s="4">
        <f t="shared" ca="1" si="5"/>
        <v>341.70888888888891</v>
      </c>
      <c r="I33" s="4">
        <f t="shared" ca="1" si="6"/>
        <v>270.48</v>
      </c>
      <c r="J33">
        <f t="shared" ca="1" si="8"/>
        <v>464</v>
      </c>
      <c r="K33" t="str">
        <f t="shared" ca="1" si="9"/>
        <v/>
      </c>
      <c r="L33">
        <f t="shared" ca="1" si="10"/>
        <v>262.44899999999996</v>
      </c>
      <c r="M33">
        <f t="shared" ca="1" si="11"/>
        <v>201.74377777777775</v>
      </c>
      <c r="N33">
        <f t="shared" ca="1" si="12"/>
        <v>141.03855555555555</v>
      </c>
      <c r="O33" s="4">
        <f t="shared" ca="1" si="16"/>
        <v>80.333333333333329</v>
      </c>
      <c r="P33">
        <f t="shared" ca="1" si="13"/>
        <v>19.628111111111117</v>
      </c>
      <c r="Q33">
        <f t="shared" ca="1" si="14"/>
        <v>0</v>
      </c>
      <c r="R33">
        <v>0</v>
      </c>
    </row>
    <row r="34" spans="2:18" ht="14" customHeight="1" x14ac:dyDescent="0.2">
      <c r="B34" s="4"/>
      <c r="C34" s="4">
        <f t="shared" ca="1" si="0"/>
        <v>697.85333333333335</v>
      </c>
      <c r="D34" s="4">
        <f t="shared" ca="1" si="1"/>
        <v>626.62444444444441</v>
      </c>
      <c r="E34" s="4">
        <f t="shared" ca="1" si="2"/>
        <v>555.39555555555557</v>
      </c>
      <c r="F34" s="4">
        <f t="shared" si="15"/>
        <v>484.16666666666669</v>
      </c>
      <c r="G34" s="4">
        <f t="shared" ca="1" si="4"/>
        <v>412.9377777777778</v>
      </c>
      <c r="H34" s="4">
        <f t="shared" ca="1" si="5"/>
        <v>341.70888888888891</v>
      </c>
      <c r="I34" s="4">
        <f t="shared" ca="1" si="6"/>
        <v>270.48</v>
      </c>
      <c r="J34">
        <f t="shared" ca="1" si="8"/>
        <v>464</v>
      </c>
      <c r="K34" t="str">
        <f t="shared" ca="1" si="9"/>
        <v/>
      </c>
      <c r="L34">
        <f t="shared" ca="1" si="10"/>
        <v>262.44899999999996</v>
      </c>
      <c r="M34">
        <f t="shared" ca="1" si="11"/>
        <v>201.74377777777775</v>
      </c>
      <c r="N34">
        <f t="shared" ca="1" si="12"/>
        <v>141.03855555555555</v>
      </c>
      <c r="O34" s="4">
        <f t="shared" ca="1" si="16"/>
        <v>80.333333333333329</v>
      </c>
      <c r="P34">
        <f t="shared" ca="1" si="13"/>
        <v>19.628111111111117</v>
      </c>
      <c r="Q34">
        <f t="shared" ca="1" si="14"/>
        <v>0</v>
      </c>
      <c r="R34">
        <v>0</v>
      </c>
    </row>
    <row r="35" spans="2:18" ht="14" customHeight="1" x14ac:dyDescent="0.2">
      <c r="B35" s="4"/>
      <c r="C35" s="4">
        <f t="shared" ca="1" si="0"/>
        <v>697.85333333333335</v>
      </c>
      <c r="D35" s="4">
        <f t="shared" ca="1" si="1"/>
        <v>626.62444444444441</v>
      </c>
      <c r="E35" s="4">
        <f t="shared" ca="1" si="2"/>
        <v>555.39555555555557</v>
      </c>
      <c r="F35" s="4">
        <f t="shared" si="15"/>
        <v>484.16666666666669</v>
      </c>
      <c r="G35" s="4">
        <f t="shared" ca="1" si="4"/>
        <v>412.9377777777778</v>
      </c>
      <c r="H35" s="4">
        <f t="shared" ca="1" si="5"/>
        <v>341.70888888888891</v>
      </c>
      <c r="I35" s="4">
        <f t="shared" ca="1" si="6"/>
        <v>270.48</v>
      </c>
      <c r="J35">
        <f t="shared" ca="1" si="8"/>
        <v>464</v>
      </c>
      <c r="K35" t="str">
        <f t="shared" ca="1" si="9"/>
        <v/>
      </c>
      <c r="L35">
        <f t="shared" ca="1" si="10"/>
        <v>262.44899999999996</v>
      </c>
      <c r="M35">
        <f t="shared" ca="1" si="11"/>
        <v>201.74377777777775</v>
      </c>
      <c r="N35">
        <f t="shared" ca="1" si="12"/>
        <v>141.03855555555555</v>
      </c>
      <c r="O35" s="4">
        <f t="shared" ca="1" si="16"/>
        <v>80.333333333333329</v>
      </c>
      <c r="P35">
        <f t="shared" ca="1" si="13"/>
        <v>19.628111111111117</v>
      </c>
      <c r="Q35">
        <f t="shared" ca="1" si="14"/>
        <v>0</v>
      </c>
      <c r="R35">
        <v>0</v>
      </c>
    </row>
    <row r="36" spans="2:18" ht="14" customHeight="1" x14ac:dyDescent="0.2">
      <c r="B36" s="4"/>
      <c r="C36" s="4">
        <f t="shared" ca="1" si="0"/>
        <v>697.85333333333335</v>
      </c>
      <c r="D36" s="4">
        <f t="shared" ca="1" si="1"/>
        <v>626.62444444444441</v>
      </c>
      <c r="E36" s="4">
        <f t="shared" ca="1" si="2"/>
        <v>555.39555555555557</v>
      </c>
      <c r="F36" s="4">
        <f t="shared" si="15"/>
        <v>484.16666666666669</v>
      </c>
      <c r="G36" s="4">
        <f t="shared" ca="1" si="4"/>
        <v>412.9377777777778</v>
      </c>
      <c r="H36" s="4">
        <f t="shared" ca="1" si="5"/>
        <v>341.70888888888891</v>
      </c>
      <c r="I36" s="4">
        <f t="shared" ca="1" si="6"/>
        <v>270.48</v>
      </c>
      <c r="J36">
        <f t="shared" ca="1" si="8"/>
        <v>464</v>
      </c>
      <c r="K36" t="str">
        <f t="shared" ca="1" si="9"/>
        <v/>
      </c>
      <c r="L36">
        <f t="shared" ca="1" si="10"/>
        <v>262.44899999999996</v>
      </c>
      <c r="M36">
        <f t="shared" ca="1" si="11"/>
        <v>201.74377777777775</v>
      </c>
      <c r="N36">
        <f t="shared" ca="1" si="12"/>
        <v>141.03855555555555</v>
      </c>
      <c r="O36" s="4">
        <f t="shared" ca="1" si="16"/>
        <v>80.333333333333329</v>
      </c>
      <c r="P36">
        <f t="shared" ca="1" si="13"/>
        <v>19.628111111111117</v>
      </c>
      <c r="Q36">
        <f t="shared" ca="1" si="14"/>
        <v>0</v>
      </c>
      <c r="R36">
        <v>0</v>
      </c>
    </row>
    <row r="37" spans="2:18" ht="14" customHeight="1" x14ac:dyDescent="0.2">
      <c r="B37" s="4"/>
      <c r="C37" s="4">
        <f t="shared" ca="1" si="0"/>
        <v>697.85333333333335</v>
      </c>
      <c r="D37" s="4">
        <f t="shared" ca="1" si="1"/>
        <v>626.62444444444441</v>
      </c>
      <c r="E37" s="4">
        <f t="shared" ca="1" si="2"/>
        <v>555.39555555555557</v>
      </c>
      <c r="F37" s="4">
        <f t="shared" si="15"/>
        <v>484.16666666666669</v>
      </c>
      <c r="G37" s="4">
        <f t="shared" ca="1" si="4"/>
        <v>412.9377777777778</v>
      </c>
      <c r="H37" s="4">
        <f t="shared" ca="1" si="5"/>
        <v>341.70888888888891</v>
      </c>
      <c r="I37" s="4">
        <f t="shared" ca="1" si="6"/>
        <v>270.48</v>
      </c>
      <c r="J37">
        <f t="shared" ca="1" si="8"/>
        <v>464</v>
      </c>
      <c r="K37" t="str">
        <f t="shared" ca="1" si="9"/>
        <v/>
      </c>
      <c r="L37">
        <f t="shared" ca="1" si="10"/>
        <v>262.44899999999996</v>
      </c>
      <c r="M37">
        <f t="shared" ca="1" si="11"/>
        <v>201.74377777777775</v>
      </c>
      <c r="N37">
        <f t="shared" ca="1" si="12"/>
        <v>141.03855555555555</v>
      </c>
      <c r="O37" s="4">
        <f t="shared" ca="1" si="16"/>
        <v>80.333333333333329</v>
      </c>
      <c r="P37">
        <f t="shared" ca="1" si="13"/>
        <v>19.628111111111117</v>
      </c>
      <c r="Q37">
        <f t="shared" ca="1" si="14"/>
        <v>0</v>
      </c>
      <c r="R37">
        <v>0</v>
      </c>
    </row>
    <row r="38" spans="2:18" ht="14" customHeight="1" x14ac:dyDescent="0.2">
      <c r="B38" s="4"/>
      <c r="C38" s="4">
        <f t="shared" ca="1" si="0"/>
        <v>697.85333333333335</v>
      </c>
      <c r="D38" s="4">
        <f t="shared" ca="1" si="1"/>
        <v>626.62444444444441</v>
      </c>
      <c r="E38" s="4">
        <f t="shared" ca="1" si="2"/>
        <v>555.39555555555557</v>
      </c>
      <c r="F38" s="4">
        <f t="shared" si="15"/>
        <v>484.16666666666669</v>
      </c>
      <c r="G38" s="4">
        <f t="shared" ca="1" si="4"/>
        <v>412.9377777777778</v>
      </c>
      <c r="H38" s="4">
        <f t="shared" ca="1" si="5"/>
        <v>341.70888888888891</v>
      </c>
      <c r="I38" s="4">
        <f t="shared" ca="1" si="6"/>
        <v>270.48</v>
      </c>
      <c r="J38">
        <f t="shared" ca="1" si="8"/>
        <v>464</v>
      </c>
      <c r="K38" t="str">
        <f t="shared" ca="1" si="9"/>
        <v/>
      </c>
      <c r="L38">
        <f t="shared" ca="1" si="10"/>
        <v>262.44899999999996</v>
      </c>
      <c r="M38">
        <f t="shared" ca="1" si="11"/>
        <v>201.74377777777775</v>
      </c>
      <c r="N38">
        <f t="shared" ca="1" si="12"/>
        <v>141.03855555555555</v>
      </c>
      <c r="O38" s="4">
        <f t="shared" ca="1" si="16"/>
        <v>80.333333333333329</v>
      </c>
      <c r="P38">
        <f t="shared" ca="1" si="13"/>
        <v>19.628111111111117</v>
      </c>
      <c r="Q38">
        <f t="shared" ca="1" si="14"/>
        <v>0</v>
      </c>
      <c r="R38">
        <v>0</v>
      </c>
    </row>
    <row r="39" spans="2:18" ht="14" customHeight="1" x14ac:dyDescent="0.2">
      <c r="B39" s="4"/>
      <c r="C39" s="4">
        <f t="shared" ca="1" si="0"/>
        <v>697.85333333333335</v>
      </c>
      <c r="D39" s="4">
        <f t="shared" ca="1" si="1"/>
        <v>626.62444444444441</v>
      </c>
      <c r="E39" s="4">
        <f t="shared" ca="1" si="2"/>
        <v>555.39555555555557</v>
      </c>
      <c r="F39" s="4">
        <f t="shared" si="15"/>
        <v>484.16666666666669</v>
      </c>
      <c r="G39" s="4">
        <f t="shared" ca="1" si="4"/>
        <v>412.9377777777778</v>
      </c>
      <c r="H39" s="4">
        <f t="shared" ca="1" si="5"/>
        <v>341.70888888888891</v>
      </c>
      <c r="I39" s="4">
        <f t="shared" ca="1" si="6"/>
        <v>270.48</v>
      </c>
      <c r="J39">
        <f t="shared" ca="1" si="8"/>
        <v>464</v>
      </c>
      <c r="K39" t="str">
        <f t="shared" ca="1" si="9"/>
        <v/>
      </c>
      <c r="L39">
        <f t="shared" ca="1" si="10"/>
        <v>262.44899999999996</v>
      </c>
      <c r="M39">
        <f t="shared" ca="1" si="11"/>
        <v>201.74377777777775</v>
      </c>
      <c r="N39">
        <f t="shared" ca="1" si="12"/>
        <v>141.03855555555555</v>
      </c>
      <c r="O39" s="4">
        <f t="shared" ca="1" si="16"/>
        <v>80.333333333333329</v>
      </c>
      <c r="P39">
        <f t="shared" ca="1" si="13"/>
        <v>19.628111111111117</v>
      </c>
      <c r="Q39">
        <f t="shared" ca="1" si="14"/>
        <v>0</v>
      </c>
      <c r="R39">
        <v>0</v>
      </c>
    </row>
    <row r="40" spans="2:18" ht="14" customHeight="1" x14ac:dyDescent="0.2">
      <c r="B40" s="4"/>
      <c r="C40" s="4">
        <f t="shared" ca="1" si="0"/>
        <v>697.85333333333335</v>
      </c>
      <c r="D40" s="4">
        <f t="shared" ca="1" si="1"/>
        <v>626.62444444444441</v>
      </c>
      <c r="E40" s="4">
        <f t="shared" ca="1" si="2"/>
        <v>555.39555555555557</v>
      </c>
      <c r="F40" s="4">
        <f t="shared" si="15"/>
        <v>484.16666666666669</v>
      </c>
      <c r="G40" s="4">
        <f t="shared" ca="1" si="4"/>
        <v>412.9377777777778</v>
      </c>
      <c r="H40" s="4">
        <f t="shared" ca="1" si="5"/>
        <v>341.70888888888891</v>
      </c>
      <c r="I40" s="4">
        <f t="shared" ca="1" si="6"/>
        <v>270.48</v>
      </c>
      <c r="J40">
        <f t="shared" ca="1" si="8"/>
        <v>464</v>
      </c>
      <c r="K40" t="str">
        <f t="shared" ca="1" si="9"/>
        <v/>
      </c>
      <c r="L40">
        <f t="shared" ca="1" si="10"/>
        <v>262.44899999999996</v>
      </c>
      <c r="M40">
        <f t="shared" ca="1" si="11"/>
        <v>201.74377777777775</v>
      </c>
      <c r="N40">
        <f t="shared" ca="1" si="12"/>
        <v>141.03855555555555</v>
      </c>
      <c r="O40" s="4">
        <f t="shared" ca="1" si="16"/>
        <v>80.333333333333329</v>
      </c>
      <c r="P40">
        <f t="shared" ca="1" si="13"/>
        <v>19.628111111111117</v>
      </c>
      <c r="Q40">
        <f t="shared" ca="1" si="14"/>
        <v>0</v>
      </c>
      <c r="R40">
        <v>0</v>
      </c>
    </row>
    <row r="41" spans="2:18" ht="14" customHeight="1" x14ac:dyDescent="0.2">
      <c r="B41" s="4"/>
      <c r="C41" s="4">
        <f t="shared" ca="1" si="0"/>
        <v>697.85333333333335</v>
      </c>
      <c r="D41" s="4">
        <f t="shared" ca="1" si="1"/>
        <v>626.62444444444441</v>
      </c>
      <c r="E41" s="4">
        <f t="shared" ca="1" si="2"/>
        <v>555.39555555555557</v>
      </c>
      <c r="F41" s="4">
        <f t="shared" si="15"/>
        <v>484.16666666666669</v>
      </c>
      <c r="G41" s="4">
        <f t="shared" ca="1" si="4"/>
        <v>412.9377777777778</v>
      </c>
      <c r="H41" s="4">
        <f t="shared" ca="1" si="5"/>
        <v>341.70888888888891</v>
      </c>
      <c r="I41" s="4">
        <f t="shared" ca="1" si="6"/>
        <v>270.48</v>
      </c>
      <c r="J41">
        <f t="shared" ca="1" si="8"/>
        <v>464</v>
      </c>
      <c r="K41" t="str">
        <f t="shared" ca="1" si="9"/>
        <v/>
      </c>
      <c r="L41">
        <f t="shared" ca="1" si="10"/>
        <v>262.44899999999996</v>
      </c>
      <c r="M41">
        <f t="shared" ca="1" si="11"/>
        <v>201.74377777777775</v>
      </c>
      <c r="N41">
        <f t="shared" ca="1" si="12"/>
        <v>141.03855555555555</v>
      </c>
      <c r="O41" s="4">
        <f t="shared" ca="1" si="16"/>
        <v>80.333333333333329</v>
      </c>
      <c r="P41">
        <f t="shared" ca="1" si="13"/>
        <v>19.628111111111117</v>
      </c>
      <c r="Q41">
        <f t="shared" ca="1" si="14"/>
        <v>0</v>
      </c>
      <c r="R41">
        <v>0</v>
      </c>
    </row>
    <row r="42" spans="2:18" ht="14" customHeight="1" x14ac:dyDescent="0.2">
      <c r="B42" s="4"/>
      <c r="C42" s="4">
        <f t="shared" ca="1" si="0"/>
        <v>697.85333333333335</v>
      </c>
      <c r="D42" s="4">
        <f t="shared" ca="1" si="1"/>
        <v>626.62444444444441</v>
      </c>
      <c r="E42" s="4">
        <f t="shared" ca="1" si="2"/>
        <v>555.39555555555557</v>
      </c>
      <c r="F42" s="4">
        <f t="shared" si="15"/>
        <v>484.16666666666669</v>
      </c>
      <c r="G42" s="4">
        <f t="shared" ca="1" si="4"/>
        <v>412.9377777777778</v>
      </c>
      <c r="H42" s="4">
        <f t="shared" ca="1" si="5"/>
        <v>341.70888888888891</v>
      </c>
      <c r="I42" s="4">
        <f t="shared" ca="1" si="6"/>
        <v>270.48</v>
      </c>
      <c r="J42">
        <f t="shared" ca="1" si="8"/>
        <v>464</v>
      </c>
      <c r="K42" t="str">
        <f t="shared" ca="1" si="9"/>
        <v/>
      </c>
      <c r="L42">
        <f t="shared" ca="1" si="10"/>
        <v>262.44899999999996</v>
      </c>
      <c r="M42">
        <f t="shared" ca="1" si="11"/>
        <v>201.74377777777775</v>
      </c>
      <c r="N42">
        <f t="shared" ca="1" si="12"/>
        <v>141.03855555555555</v>
      </c>
      <c r="O42" s="4">
        <f t="shared" ca="1" si="16"/>
        <v>80.333333333333329</v>
      </c>
      <c r="P42">
        <f t="shared" ca="1" si="13"/>
        <v>19.628111111111117</v>
      </c>
      <c r="Q42">
        <f t="shared" ca="1" si="14"/>
        <v>0</v>
      </c>
      <c r="R42">
        <v>0</v>
      </c>
    </row>
    <row r="43" spans="2:18" ht="14" customHeight="1" x14ac:dyDescent="0.2">
      <c r="B43" s="4"/>
      <c r="C43" s="4">
        <f t="shared" ca="1" si="0"/>
        <v>697.85333333333335</v>
      </c>
      <c r="D43" s="4">
        <f t="shared" ca="1" si="1"/>
        <v>626.62444444444441</v>
      </c>
      <c r="E43" s="4">
        <f t="shared" ca="1" si="2"/>
        <v>555.39555555555557</v>
      </c>
      <c r="F43" s="4">
        <f t="shared" si="15"/>
        <v>484.16666666666669</v>
      </c>
      <c r="G43" s="4">
        <f t="shared" ca="1" si="4"/>
        <v>412.9377777777778</v>
      </c>
      <c r="H43" s="4">
        <f t="shared" ca="1" si="5"/>
        <v>341.70888888888891</v>
      </c>
      <c r="I43" s="4">
        <f t="shared" ca="1" si="6"/>
        <v>270.48</v>
      </c>
      <c r="J43">
        <f t="shared" ca="1" si="8"/>
        <v>464</v>
      </c>
      <c r="K43" t="str">
        <f t="shared" ca="1" si="9"/>
        <v/>
      </c>
      <c r="L43">
        <f t="shared" ca="1" si="10"/>
        <v>262.44899999999996</v>
      </c>
      <c r="M43">
        <f t="shared" ca="1" si="11"/>
        <v>201.74377777777775</v>
      </c>
      <c r="N43">
        <f t="shared" ca="1" si="12"/>
        <v>141.03855555555555</v>
      </c>
      <c r="O43" s="4">
        <f t="shared" ca="1" si="16"/>
        <v>80.333333333333329</v>
      </c>
      <c r="P43">
        <f t="shared" ca="1" si="13"/>
        <v>19.628111111111117</v>
      </c>
      <c r="Q43">
        <f t="shared" ca="1" si="14"/>
        <v>0</v>
      </c>
      <c r="R43">
        <v>0</v>
      </c>
    </row>
    <row r="44" spans="2:18" ht="14" customHeight="1" x14ac:dyDescent="0.2"/>
    <row r="45" spans="2:18" ht="14" customHeight="1" x14ac:dyDescent="0.2"/>
    <row r="46" spans="2:18" ht="14" customHeight="1" x14ac:dyDescent="0.2"/>
    <row r="47" spans="2:18" ht="14" customHeight="1" x14ac:dyDescent="0.2"/>
    <row r="48" spans="2:1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439-D3DA-0E49-A6B4-8F29D468FB5F}">
  <dimension ref="A1:B24"/>
  <sheetViews>
    <sheetView tabSelected="1" workbookViewId="0">
      <selection activeCell="F16" sqref="F16"/>
    </sheetView>
  </sheetViews>
  <sheetFormatPr baseColWidth="10" defaultRowHeight="16" x14ac:dyDescent="0.2"/>
  <cols>
    <col min="2" max="2" width="18.6640625" bestFit="1" customWidth="1"/>
  </cols>
  <sheetData>
    <row r="1" spans="1:2" x14ac:dyDescent="0.2">
      <c r="A1" t="s">
        <v>34</v>
      </c>
      <c r="B1" t="s">
        <v>35</v>
      </c>
    </row>
    <row r="2" spans="1:2" x14ac:dyDescent="0.2">
      <c r="A2" t="s">
        <v>11</v>
      </c>
      <c r="B2">
        <v>434</v>
      </c>
    </row>
    <row r="3" spans="1:2" x14ac:dyDescent="0.2">
      <c r="A3" t="s">
        <v>12</v>
      </c>
      <c r="B3">
        <v>552</v>
      </c>
    </row>
    <row r="4" spans="1:2" x14ac:dyDescent="0.2">
      <c r="A4" t="s">
        <v>13</v>
      </c>
      <c r="B4">
        <v>697</v>
      </c>
    </row>
    <row r="5" spans="1:2" x14ac:dyDescent="0.2">
      <c r="A5" t="s">
        <v>14</v>
      </c>
      <c r="B5">
        <v>686</v>
      </c>
    </row>
    <row r="6" spans="1:2" x14ac:dyDescent="0.2">
      <c r="A6" t="s">
        <v>15</v>
      </c>
      <c r="B6">
        <v>742</v>
      </c>
    </row>
    <row r="7" spans="1:2" x14ac:dyDescent="0.2">
      <c r="A7" t="s">
        <v>16</v>
      </c>
      <c r="B7">
        <v>718</v>
      </c>
    </row>
    <row r="8" spans="1:2" x14ac:dyDescent="0.2">
      <c r="A8" t="s">
        <v>17</v>
      </c>
      <c r="B8">
        <v>685</v>
      </c>
    </row>
    <row r="9" spans="1:2" x14ac:dyDescent="0.2">
      <c r="A9" t="s">
        <v>18</v>
      </c>
      <c r="B9">
        <v>710</v>
      </c>
    </row>
    <row r="10" spans="1:2" x14ac:dyDescent="0.2">
      <c r="A10" t="s">
        <v>19</v>
      </c>
      <c r="B10">
        <v>710</v>
      </c>
    </row>
    <row r="11" spans="1:2" x14ac:dyDescent="0.2">
      <c r="A11" t="s">
        <v>20</v>
      </c>
      <c r="B11">
        <v>655</v>
      </c>
    </row>
    <row r="12" spans="1:2" x14ac:dyDescent="0.2">
      <c r="A12" t="s">
        <v>21</v>
      </c>
      <c r="B12">
        <v>721</v>
      </c>
    </row>
    <row r="13" spans="1:2" x14ac:dyDescent="0.2">
      <c r="A13" t="s">
        <v>22</v>
      </c>
      <c r="B13">
        <v>682</v>
      </c>
    </row>
    <row r="14" spans="1:2" x14ac:dyDescent="0.2">
      <c r="A14" t="s">
        <v>23</v>
      </c>
      <c r="B14">
        <v>814</v>
      </c>
    </row>
    <row r="15" spans="1:2" x14ac:dyDescent="0.2">
      <c r="A15" t="s">
        <v>24</v>
      </c>
      <c r="B15">
        <v>794</v>
      </c>
    </row>
    <row r="16" spans="1:2" x14ac:dyDescent="0.2">
      <c r="A16" t="s">
        <v>25</v>
      </c>
      <c r="B16">
        <v>766</v>
      </c>
    </row>
    <row r="17" spans="1:2" x14ac:dyDescent="0.2">
      <c r="A17" t="s">
        <v>26</v>
      </c>
      <c r="B17">
        <v>638</v>
      </c>
    </row>
    <row r="18" spans="1:2" x14ac:dyDescent="0.2">
      <c r="A18" t="s">
        <v>27</v>
      </c>
      <c r="B18">
        <v>521</v>
      </c>
    </row>
    <row r="19" spans="1:2" x14ac:dyDescent="0.2">
      <c r="A19" t="s">
        <v>28</v>
      </c>
      <c r="B19">
        <v>409</v>
      </c>
    </row>
    <row r="20" spans="1:2" x14ac:dyDescent="0.2">
      <c r="A20" t="s">
        <v>29</v>
      </c>
      <c r="B20">
        <v>558</v>
      </c>
    </row>
    <row r="21" spans="1:2" x14ac:dyDescent="0.2">
      <c r="A21" t="s">
        <v>30</v>
      </c>
      <c r="B21">
        <v>494</v>
      </c>
    </row>
    <row r="22" spans="1:2" x14ac:dyDescent="0.2">
      <c r="A22" t="s">
        <v>31</v>
      </c>
      <c r="B22">
        <v>459</v>
      </c>
    </row>
    <row r="23" spans="1:2" x14ac:dyDescent="0.2">
      <c r="A23" t="s">
        <v>32</v>
      </c>
      <c r="B23">
        <v>464</v>
      </c>
    </row>
    <row r="24" spans="1:2" x14ac:dyDescent="0.2">
      <c r="A24" t="s">
        <v>33</v>
      </c>
      <c r="B24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3A67-4CAB-1D42-B620-E0A64FD1D6D7}">
  <dimension ref="A1:B265"/>
  <sheetViews>
    <sheetView workbookViewId="0">
      <selection activeCell="B232" sqref="B232"/>
    </sheetView>
  </sheetViews>
  <sheetFormatPr baseColWidth="10" defaultRowHeight="16" x14ac:dyDescent="0.2"/>
  <cols>
    <col min="2" max="2" width="20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38047</v>
      </c>
      <c r="B2">
        <v>31</v>
      </c>
    </row>
    <row r="3" spans="1:2" x14ac:dyDescent="0.2">
      <c r="A3" s="1">
        <v>38078</v>
      </c>
      <c r="B3">
        <v>46</v>
      </c>
    </row>
    <row r="4" spans="1:2" x14ac:dyDescent="0.2">
      <c r="A4" s="1">
        <v>38108</v>
      </c>
      <c r="B4">
        <v>43</v>
      </c>
    </row>
    <row r="5" spans="1:2" x14ac:dyDescent="0.2">
      <c r="A5" s="1">
        <v>38139</v>
      </c>
      <c r="B5">
        <v>59</v>
      </c>
    </row>
    <row r="6" spans="1:2" x14ac:dyDescent="0.2">
      <c r="A6" s="1">
        <v>38169</v>
      </c>
      <c r="B6">
        <v>44</v>
      </c>
    </row>
    <row r="7" spans="1:2" x14ac:dyDescent="0.2">
      <c r="A7" s="1">
        <v>38200</v>
      </c>
      <c r="B7">
        <v>50</v>
      </c>
    </row>
    <row r="8" spans="1:2" x14ac:dyDescent="0.2">
      <c r="A8" s="1">
        <v>38231</v>
      </c>
      <c r="B8">
        <v>44</v>
      </c>
    </row>
    <row r="9" spans="1:2" x14ac:dyDescent="0.2">
      <c r="A9" s="1">
        <v>38261</v>
      </c>
      <c r="B9">
        <v>42</v>
      </c>
    </row>
    <row r="10" spans="1:2" x14ac:dyDescent="0.2">
      <c r="A10" s="1">
        <v>38292</v>
      </c>
      <c r="B10">
        <v>41</v>
      </c>
    </row>
    <row r="11" spans="1:2" x14ac:dyDescent="0.2">
      <c r="A11" s="1">
        <v>38322</v>
      </c>
      <c r="B11">
        <v>34</v>
      </c>
    </row>
    <row r="12" spans="1:2" x14ac:dyDescent="0.2">
      <c r="A12" s="1">
        <v>38353</v>
      </c>
      <c r="B12">
        <v>40</v>
      </c>
    </row>
    <row r="13" spans="1:2" x14ac:dyDescent="0.2">
      <c r="A13" s="1">
        <v>38384</v>
      </c>
      <c r="B13">
        <v>43</v>
      </c>
    </row>
    <row r="14" spans="1:2" x14ac:dyDescent="0.2">
      <c r="A14" s="1">
        <v>38412</v>
      </c>
      <c r="B14">
        <v>51</v>
      </c>
    </row>
    <row r="15" spans="1:2" x14ac:dyDescent="0.2">
      <c r="A15" s="1">
        <v>38443</v>
      </c>
      <c r="B15">
        <v>50</v>
      </c>
    </row>
    <row r="16" spans="1:2" x14ac:dyDescent="0.2">
      <c r="A16" s="1">
        <v>38473</v>
      </c>
      <c r="B16">
        <v>39</v>
      </c>
    </row>
    <row r="17" spans="1:2" x14ac:dyDescent="0.2">
      <c r="A17" s="1">
        <v>38504</v>
      </c>
      <c r="B17">
        <v>59</v>
      </c>
    </row>
    <row r="18" spans="1:2" x14ac:dyDescent="0.2">
      <c r="A18" s="1">
        <v>38534</v>
      </c>
      <c r="B18">
        <v>46</v>
      </c>
    </row>
    <row r="19" spans="1:2" x14ac:dyDescent="0.2">
      <c r="A19" s="1">
        <v>38565</v>
      </c>
      <c r="B19">
        <v>55</v>
      </c>
    </row>
    <row r="20" spans="1:2" x14ac:dyDescent="0.2">
      <c r="A20" s="1">
        <v>38596</v>
      </c>
      <c r="B20">
        <v>36</v>
      </c>
    </row>
    <row r="21" spans="1:2" x14ac:dyDescent="0.2">
      <c r="A21" s="1">
        <v>38626</v>
      </c>
      <c r="B21">
        <v>26</v>
      </c>
    </row>
    <row r="22" spans="1:2" x14ac:dyDescent="0.2">
      <c r="A22" s="1">
        <v>38657</v>
      </c>
      <c r="B22">
        <v>49</v>
      </c>
    </row>
    <row r="23" spans="1:2" x14ac:dyDescent="0.2">
      <c r="A23" s="1">
        <v>38687</v>
      </c>
      <c r="B23">
        <v>58</v>
      </c>
    </row>
    <row r="24" spans="1:2" x14ac:dyDescent="0.2">
      <c r="A24" s="1">
        <v>38718</v>
      </c>
      <c r="B24">
        <v>39</v>
      </c>
    </row>
    <row r="25" spans="1:2" x14ac:dyDescent="0.2">
      <c r="A25" s="1">
        <v>38749</v>
      </c>
      <c r="B25">
        <v>33</v>
      </c>
    </row>
    <row r="26" spans="1:2" x14ac:dyDescent="0.2">
      <c r="A26" s="1">
        <v>38777</v>
      </c>
      <c r="B26">
        <v>55</v>
      </c>
    </row>
    <row r="27" spans="1:2" x14ac:dyDescent="0.2">
      <c r="A27" s="1">
        <v>38808</v>
      </c>
      <c r="B27">
        <v>57</v>
      </c>
    </row>
    <row r="28" spans="1:2" x14ac:dyDescent="0.2">
      <c r="A28" s="1">
        <v>38838</v>
      </c>
      <c r="B28">
        <v>54</v>
      </c>
    </row>
    <row r="29" spans="1:2" x14ac:dyDescent="0.2">
      <c r="A29" s="1">
        <v>38869</v>
      </c>
      <c r="B29">
        <v>70</v>
      </c>
    </row>
    <row r="30" spans="1:2" x14ac:dyDescent="0.2">
      <c r="A30" s="1">
        <v>38899</v>
      </c>
      <c r="B30">
        <v>49</v>
      </c>
    </row>
    <row r="31" spans="1:2" x14ac:dyDescent="0.2">
      <c r="A31" s="1">
        <v>38930</v>
      </c>
      <c r="B31">
        <v>96</v>
      </c>
    </row>
    <row r="32" spans="1:2" x14ac:dyDescent="0.2">
      <c r="A32" s="1">
        <v>38961</v>
      </c>
      <c r="B32">
        <v>67</v>
      </c>
    </row>
    <row r="33" spans="1:2" x14ac:dyDescent="0.2">
      <c r="A33" s="1">
        <v>38991</v>
      </c>
      <c r="B33">
        <v>66</v>
      </c>
    </row>
    <row r="34" spans="1:2" x14ac:dyDescent="0.2">
      <c r="A34" s="1">
        <v>39022</v>
      </c>
      <c r="B34">
        <v>52</v>
      </c>
    </row>
    <row r="35" spans="1:2" x14ac:dyDescent="0.2">
      <c r="A35" s="1">
        <v>39052</v>
      </c>
      <c r="B35">
        <v>59</v>
      </c>
    </row>
    <row r="36" spans="1:2" x14ac:dyDescent="0.2">
      <c r="A36" s="1">
        <v>39083</v>
      </c>
      <c r="B36">
        <v>64</v>
      </c>
    </row>
    <row r="37" spans="1:2" x14ac:dyDescent="0.2">
      <c r="A37" s="1">
        <v>39114</v>
      </c>
      <c r="B37">
        <v>34</v>
      </c>
    </row>
    <row r="38" spans="1:2" x14ac:dyDescent="0.2">
      <c r="A38" s="1">
        <v>39142</v>
      </c>
      <c r="B38">
        <v>51</v>
      </c>
    </row>
    <row r="39" spans="1:2" x14ac:dyDescent="0.2">
      <c r="A39" s="1">
        <v>39173</v>
      </c>
      <c r="B39">
        <v>57</v>
      </c>
    </row>
    <row r="40" spans="1:2" x14ac:dyDescent="0.2">
      <c r="A40" s="1">
        <v>39203</v>
      </c>
      <c r="B40">
        <v>68</v>
      </c>
    </row>
    <row r="41" spans="1:2" x14ac:dyDescent="0.2">
      <c r="A41" s="1">
        <v>39234</v>
      </c>
      <c r="B41">
        <v>49</v>
      </c>
    </row>
    <row r="42" spans="1:2" x14ac:dyDescent="0.2">
      <c r="A42" s="1">
        <v>39264</v>
      </c>
      <c r="B42">
        <v>59</v>
      </c>
    </row>
    <row r="43" spans="1:2" x14ac:dyDescent="0.2">
      <c r="A43" s="1">
        <v>39295</v>
      </c>
      <c r="B43">
        <v>70</v>
      </c>
    </row>
    <row r="44" spans="1:2" x14ac:dyDescent="0.2">
      <c r="A44" s="1">
        <v>39326</v>
      </c>
      <c r="B44">
        <v>85</v>
      </c>
    </row>
    <row r="45" spans="1:2" x14ac:dyDescent="0.2">
      <c r="A45" s="1">
        <v>39356</v>
      </c>
      <c r="B45">
        <v>56</v>
      </c>
    </row>
    <row r="46" spans="1:2" x14ac:dyDescent="0.2">
      <c r="A46" s="1">
        <v>39387</v>
      </c>
      <c r="B46">
        <v>42</v>
      </c>
    </row>
    <row r="47" spans="1:2" x14ac:dyDescent="0.2">
      <c r="A47" s="1">
        <v>39417</v>
      </c>
      <c r="B47">
        <v>51</v>
      </c>
    </row>
    <row r="48" spans="1:2" x14ac:dyDescent="0.2">
      <c r="A48" s="1">
        <v>39448</v>
      </c>
      <c r="B48">
        <v>66</v>
      </c>
    </row>
    <row r="49" spans="1:2" x14ac:dyDescent="0.2">
      <c r="A49" s="1">
        <v>39479</v>
      </c>
      <c r="B49">
        <v>51</v>
      </c>
    </row>
    <row r="50" spans="1:2" x14ac:dyDescent="0.2">
      <c r="A50" s="1">
        <v>39508</v>
      </c>
      <c r="B50">
        <v>60</v>
      </c>
    </row>
    <row r="51" spans="1:2" x14ac:dyDescent="0.2">
      <c r="A51" s="1">
        <v>39539</v>
      </c>
      <c r="B51">
        <v>64</v>
      </c>
    </row>
    <row r="52" spans="1:2" x14ac:dyDescent="0.2">
      <c r="A52" s="1">
        <v>39569</v>
      </c>
      <c r="B52">
        <v>88</v>
      </c>
    </row>
    <row r="53" spans="1:2" x14ac:dyDescent="0.2">
      <c r="A53" s="1">
        <v>39600</v>
      </c>
      <c r="B53">
        <v>57</v>
      </c>
    </row>
    <row r="54" spans="1:2" x14ac:dyDescent="0.2">
      <c r="A54" s="1">
        <v>39630</v>
      </c>
      <c r="B54">
        <v>58</v>
      </c>
    </row>
    <row r="55" spans="1:2" x14ac:dyDescent="0.2">
      <c r="A55" s="1">
        <v>39661</v>
      </c>
      <c r="B55">
        <v>56</v>
      </c>
    </row>
    <row r="56" spans="1:2" x14ac:dyDescent="0.2">
      <c r="A56" s="1">
        <v>39692</v>
      </c>
      <c r="B56">
        <v>56</v>
      </c>
    </row>
    <row r="57" spans="1:2" x14ac:dyDescent="0.2">
      <c r="A57" s="1">
        <v>39722</v>
      </c>
      <c r="B57">
        <v>63</v>
      </c>
    </row>
    <row r="58" spans="1:2" x14ac:dyDescent="0.2">
      <c r="A58" s="1">
        <v>39753</v>
      </c>
      <c r="B58">
        <v>55</v>
      </c>
    </row>
    <row r="59" spans="1:2" x14ac:dyDescent="0.2">
      <c r="A59" s="1">
        <v>39783</v>
      </c>
      <c r="B59">
        <v>68</v>
      </c>
    </row>
    <row r="60" spans="1:2" x14ac:dyDescent="0.2">
      <c r="A60" s="1">
        <v>39814</v>
      </c>
      <c r="B60">
        <v>62</v>
      </c>
    </row>
    <row r="61" spans="1:2" x14ac:dyDescent="0.2">
      <c r="A61" s="1">
        <v>39845</v>
      </c>
      <c r="B61">
        <v>45</v>
      </c>
    </row>
    <row r="62" spans="1:2" x14ac:dyDescent="0.2">
      <c r="A62" s="1">
        <v>39873</v>
      </c>
      <c r="B62">
        <v>65</v>
      </c>
    </row>
    <row r="63" spans="1:2" x14ac:dyDescent="0.2">
      <c r="A63" s="1">
        <v>39904</v>
      </c>
      <c r="B63">
        <v>53</v>
      </c>
    </row>
    <row r="64" spans="1:2" x14ac:dyDescent="0.2">
      <c r="A64" s="1">
        <v>39934</v>
      </c>
      <c r="B64">
        <v>55</v>
      </c>
    </row>
    <row r="65" spans="1:2" x14ac:dyDescent="0.2">
      <c r="A65" s="1">
        <v>39965</v>
      </c>
      <c r="B65">
        <v>68</v>
      </c>
    </row>
    <row r="66" spans="1:2" x14ac:dyDescent="0.2">
      <c r="A66" s="1">
        <v>39995</v>
      </c>
      <c r="B66">
        <v>77</v>
      </c>
    </row>
    <row r="67" spans="1:2" x14ac:dyDescent="0.2">
      <c r="A67" s="1">
        <v>40026</v>
      </c>
      <c r="B67">
        <v>79</v>
      </c>
    </row>
    <row r="68" spans="1:2" x14ac:dyDescent="0.2">
      <c r="A68" s="1">
        <v>40057</v>
      </c>
      <c r="B68">
        <v>49</v>
      </c>
    </row>
    <row r="69" spans="1:2" x14ac:dyDescent="0.2">
      <c r="A69" s="1">
        <v>40087</v>
      </c>
      <c r="B69">
        <v>54</v>
      </c>
    </row>
    <row r="70" spans="1:2" x14ac:dyDescent="0.2">
      <c r="A70" s="1">
        <v>40118</v>
      </c>
      <c r="B70">
        <v>42</v>
      </c>
    </row>
    <row r="71" spans="1:2" x14ac:dyDescent="0.2">
      <c r="A71" s="1">
        <v>40148</v>
      </c>
      <c r="B71">
        <v>69</v>
      </c>
    </row>
    <row r="72" spans="1:2" x14ac:dyDescent="0.2">
      <c r="A72" s="1">
        <v>40179</v>
      </c>
      <c r="B72">
        <v>58</v>
      </c>
    </row>
    <row r="73" spans="1:2" x14ac:dyDescent="0.2">
      <c r="A73" s="1">
        <v>40210</v>
      </c>
      <c r="B73">
        <v>53</v>
      </c>
    </row>
    <row r="74" spans="1:2" x14ac:dyDescent="0.2">
      <c r="A74" s="1">
        <v>40238</v>
      </c>
      <c r="B74">
        <v>40</v>
      </c>
    </row>
    <row r="75" spans="1:2" x14ac:dyDescent="0.2">
      <c r="A75" s="1">
        <v>40269</v>
      </c>
      <c r="B75">
        <v>48</v>
      </c>
    </row>
    <row r="76" spans="1:2" x14ac:dyDescent="0.2">
      <c r="A76" s="1">
        <v>40299</v>
      </c>
      <c r="B76">
        <v>81</v>
      </c>
    </row>
    <row r="77" spans="1:2" x14ac:dyDescent="0.2">
      <c r="A77" s="1">
        <v>40330</v>
      </c>
      <c r="B77">
        <v>85</v>
      </c>
    </row>
    <row r="78" spans="1:2" x14ac:dyDescent="0.2">
      <c r="A78" s="1">
        <v>40360</v>
      </c>
      <c r="B78">
        <v>62</v>
      </c>
    </row>
    <row r="79" spans="1:2" x14ac:dyDescent="0.2">
      <c r="A79" s="1">
        <v>40391</v>
      </c>
      <c r="B79">
        <v>52</v>
      </c>
    </row>
    <row r="80" spans="1:2" x14ac:dyDescent="0.2">
      <c r="A80" s="1">
        <v>40422</v>
      </c>
      <c r="B80">
        <v>53</v>
      </c>
    </row>
    <row r="81" spans="1:2" x14ac:dyDescent="0.2">
      <c r="A81" s="1">
        <v>40452</v>
      </c>
      <c r="B81">
        <v>52</v>
      </c>
    </row>
    <row r="82" spans="1:2" x14ac:dyDescent="0.2">
      <c r="A82" s="1">
        <v>40483</v>
      </c>
      <c r="B82">
        <v>45</v>
      </c>
    </row>
    <row r="83" spans="1:2" x14ac:dyDescent="0.2">
      <c r="A83" s="1">
        <v>40513</v>
      </c>
      <c r="B83">
        <v>56</v>
      </c>
    </row>
    <row r="84" spans="1:2" x14ac:dyDescent="0.2">
      <c r="A84" s="1">
        <v>40544</v>
      </c>
      <c r="B84">
        <v>53</v>
      </c>
    </row>
    <row r="85" spans="1:2" x14ac:dyDescent="0.2">
      <c r="A85" s="1">
        <v>40575</v>
      </c>
      <c r="B85">
        <v>40</v>
      </c>
    </row>
    <row r="86" spans="1:2" x14ac:dyDescent="0.2">
      <c r="A86" s="1">
        <v>40603</v>
      </c>
      <c r="B86">
        <v>61</v>
      </c>
    </row>
    <row r="87" spans="1:2" x14ac:dyDescent="0.2">
      <c r="A87" s="1">
        <v>40634</v>
      </c>
      <c r="B87">
        <v>48</v>
      </c>
    </row>
    <row r="88" spans="1:2" x14ac:dyDescent="0.2">
      <c r="A88" s="1">
        <v>40664</v>
      </c>
      <c r="B88">
        <v>63</v>
      </c>
    </row>
    <row r="89" spans="1:2" x14ac:dyDescent="0.2">
      <c r="A89" s="1">
        <v>40695</v>
      </c>
      <c r="B89">
        <v>52</v>
      </c>
    </row>
    <row r="90" spans="1:2" x14ac:dyDescent="0.2">
      <c r="A90" s="1">
        <v>40725</v>
      </c>
      <c r="B90">
        <v>66</v>
      </c>
    </row>
    <row r="91" spans="1:2" x14ac:dyDescent="0.2">
      <c r="A91" s="1">
        <v>40756</v>
      </c>
      <c r="B91">
        <v>74</v>
      </c>
    </row>
    <row r="92" spans="1:2" x14ac:dyDescent="0.2">
      <c r="A92" s="1">
        <v>40787</v>
      </c>
      <c r="B92">
        <v>65</v>
      </c>
    </row>
    <row r="93" spans="1:2" x14ac:dyDescent="0.2">
      <c r="A93" s="1">
        <v>40817</v>
      </c>
      <c r="B93">
        <v>65</v>
      </c>
    </row>
    <row r="94" spans="1:2" x14ac:dyDescent="0.2">
      <c r="A94" s="1">
        <v>40848</v>
      </c>
      <c r="B94">
        <v>66</v>
      </c>
    </row>
    <row r="95" spans="1:2" x14ac:dyDescent="0.2">
      <c r="A95" s="1">
        <v>40878</v>
      </c>
      <c r="B95">
        <v>57</v>
      </c>
    </row>
    <row r="96" spans="1:2" x14ac:dyDescent="0.2">
      <c r="A96" s="1">
        <v>40909</v>
      </c>
      <c r="B96">
        <v>55</v>
      </c>
    </row>
    <row r="97" spans="1:2" x14ac:dyDescent="0.2">
      <c r="A97" s="1">
        <v>40940</v>
      </c>
      <c r="B97">
        <v>56</v>
      </c>
    </row>
    <row r="98" spans="1:2" x14ac:dyDescent="0.2">
      <c r="A98" s="1">
        <v>40969</v>
      </c>
      <c r="B98">
        <v>72</v>
      </c>
    </row>
    <row r="99" spans="1:2" x14ac:dyDescent="0.2">
      <c r="A99" s="1">
        <v>41000</v>
      </c>
      <c r="B99">
        <v>53</v>
      </c>
    </row>
    <row r="100" spans="1:2" x14ac:dyDescent="0.2">
      <c r="A100" s="1">
        <v>41030</v>
      </c>
      <c r="B100">
        <v>68</v>
      </c>
    </row>
    <row r="101" spans="1:2" x14ac:dyDescent="0.2">
      <c r="A101" s="1">
        <v>41061</v>
      </c>
      <c r="B101">
        <v>61</v>
      </c>
    </row>
    <row r="102" spans="1:2" x14ac:dyDescent="0.2">
      <c r="A102" s="1">
        <v>41091</v>
      </c>
      <c r="B102">
        <v>61</v>
      </c>
    </row>
    <row r="103" spans="1:2" x14ac:dyDescent="0.2">
      <c r="A103" s="1">
        <v>41122</v>
      </c>
      <c r="B103">
        <v>68</v>
      </c>
    </row>
    <row r="104" spans="1:2" x14ac:dyDescent="0.2">
      <c r="A104" s="1">
        <v>41153</v>
      </c>
      <c r="B104">
        <v>46</v>
      </c>
    </row>
    <row r="105" spans="1:2" x14ac:dyDescent="0.2">
      <c r="A105" s="1">
        <v>41183</v>
      </c>
      <c r="B105">
        <v>60</v>
      </c>
    </row>
    <row r="106" spans="1:2" x14ac:dyDescent="0.2">
      <c r="A106" s="1">
        <v>41214</v>
      </c>
      <c r="B106">
        <v>52</v>
      </c>
    </row>
    <row r="107" spans="1:2" x14ac:dyDescent="0.2">
      <c r="A107" s="1">
        <v>41244</v>
      </c>
      <c r="B107">
        <v>58</v>
      </c>
    </row>
    <row r="108" spans="1:2" x14ac:dyDescent="0.2">
      <c r="A108" s="1">
        <v>41275</v>
      </c>
      <c r="B108">
        <v>59</v>
      </c>
    </row>
    <row r="109" spans="1:2" x14ac:dyDescent="0.2">
      <c r="A109" s="1">
        <v>41306</v>
      </c>
      <c r="B109">
        <v>64</v>
      </c>
    </row>
    <row r="110" spans="1:2" x14ac:dyDescent="0.2">
      <c r="A110" s="1">
        <v>41334</v>
      </c>
      <c r="B110">
        <v>56</v>
      </c>
    </row>
    <row r="111" spans="1:2" x14ac:dyDescent="0.2">
      <c r="A111" s="1">
        <v>41365</v>
      </c>
      <c r="B111">
        <v>58</v>
      </c>
    </row>
    <row r="112" spans="1:2" x14ac:dyDescent="0.2">
      <c r="A112" s="1">
        <v>41395</v>
      </c>
      <c r="B112">
        <v>66</v>
      </c>
    </row>
    <row r="113" spans="1:2" x14ac:dyDescent="0.2">
      <c r="A113" s="1">
        <v>41426</v>
      </c>
      <c r="B113">
        <v>52</v>
      </c>
    </row>
    <row r="114" spans="1:2" x14ac:dyDescent="0.2">
      <c r="A114" s="1">
        <v>41456</v>
      </c>
      <c r="B114">
        <v>57</v>
      </c>
    </row>
    <row r="115" spans="1:2" x14ac:dyDescent="0.2">
      <c r="A115" s="1">
        <v>41487</v>
      </c>
      <c r="B115">
        <v>55</v>
      </c>
    </row>
    <row r="116" spans="1:2" x14ac:dyDescent="0.2">
      <c r="A116" s="1">
        <v>41518</v>
      </c>
      <c r="B116">
        <v>52</v>
      </c>
    </row>
    <row r="117" spans="1:2" x14ac:dyDescent="0.2">
      <c r="A117" s="1">
        <v>41548</v>
      </c>
      <c r="B117">
        <v>46</v>
      </c>
    </row>
    <row r="118" spans="1:2" x14ac:dyDescent="0.2">
      <c r="A118" s="1">
        <v>41579</v>
      </c>
      <c r="B118">
        <v>45</v>
      </c>
    </row>
    <row r="119" spans="1:2" x14ac:dyDescent="0.2">
      <c r="A119" s="1">
        <v>41609</v>
      </c>
      <c r="B119">
        <v>45</v>
      </c>
    </row>
    <row r="120" spans="1:2" x14ac:dyDescent="0.2">
      <c r="A120" s="1">
        <v>41640</v>
      </c>
      <c r="B120">
        <v>66</v>
      </c>
    </row>
    <row r="121" spans="1:2" x14ac:dyDescent="0.2">
      <c r="A121" s="1">
        <v>41671</v>
      </c>
      <c r="B121">
        <v>53</v>
      </c>
    </row>
    <row r="122" spans="1:2" x14ac:dyDescent="0.2">
      <c r="A122" s="1">
        <v>41699</v>
      </c>
      <c r="B122">
        <v>49</v>
      </c>
    </row>
    <row r="123" spans="1:2" x14ac:dyDescent="0.2">
      <c r="A123" s="1">
        <v>41730</v>
      </c>
      <c r="B123">
        <v>73</v>
      </c>
    </row>
    <row r="124" spans="1:2" x14ac:dyDescent="0.2">
      <c r="A124" s="1">
        <v>41760</v>
      </c>
      <c r="B124">
        <v>70</v>
      </c>
    </row>
    <row r="125" spans="1:2" x14ac:dyDescent="0.2">
      <c r="A125" s="1">
        <v>41791</v>
      </c>
      <c r="B125">
        <v>52</v>
      </c>
    </row>
    <row r="126" spans="1:2" x14ac:dyDescent="0.2">
      <c r="A126" s="1">
        <v>41821</v>
      </c>
      <c r="B126">
        <v>68</v>
      </c>
    </row>
    <row r="127" spans="1:2" x14ac:dyDescent="0.2">
      <c r="A127" s="1">
        <v>41852</v>
      </c>
      <c r="B127">
        <v>49</v>
      </c>
    </row>
    <row r="128" spans="1:2" x14ac:dyDescent="0.2">
      <c r="A128" s="1">
        <v>41883</v>
      </c>
      <c r="B128">
        <v>59</v>
      </c>
    </row>
    <row r="129" spans="1:2" x14ac:dyDescent="0.2">
      <c r="A129" s="1">
        <v>41913</v>
      </c>
      <c r="B129">
        <v>57</v>
      </c>
    </row>
    <row r="130" spans="1:2" x14ac:dyDescent="0.2">
      <c r="A130" s="1">
        <v>41944</v>
      </c>
      <c r="B130">
        <v>60</v>
      </c>
    </row>
    <row r="131" spans="1:2" x14ac:dyDescent="0.2">
      <c r="A131" s="1">
        <v>41974</v>
      </c>
      <c r="B131">
        <v>65</v>
      </c>
    </row>
    <row r="132" spans="1:2" x14ac:dyDescent="0.2">
      <c r="A132" s="1">
        <v>42005</v>
      </c>
      <c r="B132">
        <v>61</v>
      </c>
    </row>
    <row r="133" spans="1:2" x14ac:dyDescent="0.2">
      <c r="A133" s="1">
        <v>42036</v>
      </c>
      <c r="B133">
        <v>48</v>
      </c>
    </row>
    <row r="134" spans="1:2" x14ac:dyDescent="0.2">
      <c r="A134" s="1">
        <v>42064</v>
      </c>
      <c r="B134">
        <v>55</v>
      </c>
    </row>
    <row r="135" spans="1:2" x14ac:dyDescent="0.2">
      <c r="A135" s="1">
        <v>42095</v>
      </c>
      <c r="B135">
        <v>52</v>
      </c>
    </row>
    <row r="136" spans="1:2" x14ac:dyDescent="0.2">
      <c r="A136" s="1">
        <v>42125</v>
      </c>
      <c r="B136">
        <v>49</v>
      </c>
    </row>
    <row r="137" spans="1:2" x14ac:dyDescent="0.2">
      <c r="A137" s="1">
        <v>42156</v>
      </c>
      <c r="B137">
        <v>66</v>
      </c>
    </row>
    <row r="138" spans="1:2" x14ac:dyDescent="0.2">
      <c r="A138" s="1">
        <v>42186</v>
      </c>
      <c r="B138">
        <v>60</v>
      </c>
    </row>
    <row r="139" spans="1:2" x14ac:dyDescent="0.2">
      <c r="A139" s="1">
        <v>42217</v>
      </c>
      <c r="B139">
        <v>57</v>
      </c>
    </row>
    <row r="140" spans="1:2" x14ac:dyDescent="0.2">
      <c r="A140" s="1">
        <v>42248</v>
      </c>
      <c r="B140">
        <v>62</v>
      </c>
    </row>
    <row r="141" spans="1:2" x14ac:dyDescent="0.2">
      <c r="A141" s="1">
        <v>42278</v>
      </c>
      <c r="B141">
        <v>48</v>
      </c>
    </row>
    <row r="142" spans="1:2" x14ac:dyDescent="0.2">
      <c r="A142" s="1">
        <v>42309</v>
      </c>
      <c r="B142">
        <v>52</v>
      </c>
    </row>
    <row r="143" spans="1:2" x14ac:dyDescent="0.2">
      <c r="A143" s="1">
        <v>42339</v>
      </c>
      <c r="B143">
        <v>72</v>
      </c>
    </row>
    <row r="144" spans="1:2" x14ac:dyDescent="0.2">
      <c r="A144" s="1">
        <v>42370</v>
      </c>
      <c r="B144">
        <v>44</v>
      </c>
    </row>
    <row r="145" spans="1:2" x14ac:dyDescent="0.2">
      <c r="A145" s="1">
        <v>42401</v>
      </c>
      <c r="B145">
        <v>57</v>
      </c>
    </row>
    <row r="146" spans="1:2" x14ac:dyDescent="0.2">
      <c r="A146" s="1">
        <v>42430</v>
      </c>
      <c r="B146">
        <v>54</v>
      </c>
    </row>
    <row r="147" spans="1:2" x14ac:dyDescent="0.2">
      <c r="A147" s="1">
        <v>42461</v>
      </c>
      <c r="B147">
        <v>68</v>
      </c>
    </row>
    <row r="148" spans="1:2" x14ac:dyDescent="0.2">
      <c r="A148" s="1">
        <v>42491</v>
      </c>
      <c r="B148">
        <v>65</v>
      </c>
    </row>
    <row r="149" spans="1:2" x14ac:dyDescent="0.2">
      <c r="A149" s="1">
        <v>42522</v>
      </c>
      <c r="B149">
        <v>62</v>
      </c>
    </row>
    <row r="150" spans="1:2" x14ac:dyDescent="0.2">
      <c r="A150" s="1">
        <v>42552</v>
      </c>
      <c r="B150">
        <v>68</v>
      </c>
    </row>
    <row r="151" spans="1:2" x14ac:dyDescent="0.2">
      <c r="A151" s="1">
        <v>42583</v>
      </c>
      <c r="B151">
        <v>71</v>
      </c>
    </row>
    <row r="152" spans="1:2" x14ac:dyDescent="0.2">
      <c r="A152" s="1">
        <v>42614</v>
      </c>
      <c r="B152">
        <v>77</v>
      </c>
    </row>
    <row r="153" spans="1:2" x14ac:dyDescent="0.2">
      <c r="A153" s="1">
        <v>42644</v>
      </c>
      <c r="B153">
        <v>78</v>
      </c>
    </row>
    <row r="154" spans="1:2" x14ac:dyDescent="0.2">
      <c r="A154" s="1">
        <v>42675</v>
      </c>
      <c r="B154">
        <v>84</v>
      </c>
    </row>
    <row r="155" spans="1:2" x14ac:dyDescent="0.2">
      <c r="A155" s="1">
        <v>42705</v>
      </c>
      <c r="B155">
        <v>86</v>
      </c>
    </row>
    <row r="156" spans="1:2" x14ac:dyDescent="0.2">
      <c r="A156" s="1">
        <v>42736</v>
      </c>
      <c r="B156">
        <v>87</v>
      </c>
    </row>
    <row r="157" spans="1:2" x14ac:dyDescent="0.2">
      <c r="A157" s="1">
        <v>42767</v>
      </c>
      <c r="B157">
        <v>68</v>
      </c>
    </row>
    <row r="158" spans="1:2" x14ac:dyDescent="0.2">
      <c r="A158" s="1">
        <v>42795</v>
      </c>
      <c r="B158">
        <v>43</v>
      </c>
    </row>
    <row r="159" spans="1:2" x14ac:dyDescent="0.2">
      <c r="A159" s="1">
        <v>42826</v>
      </c>
      <c r="B159">
        <v>70</v>
      </c>
    </row>
    <row r="160" spans="1:2" x14ac:dyDescent="0.2">
      <c r="A160" s="1">
        <v>42856</v>
      </c>
      <c r="B160">
        <v>63</v>
      </c>
    </row>
    <row r="161" spans="1:2" x14ac:dyDescent="0.2">
      <c r="A161" s="1">
        <v>42887</v>
      </c>
      <c r="B161">
        <v>65</v>
      </c>
    </row>
    <row r="162" spans="1:2" x14ac:dyDescent="0.2">
      <c r="A162" s="1">
        <v>42917</v>
      </c>
      <c r="B162">
        <v>68</v>
      </c>
    </row>
    <row r="163" spans="1:2" x14ac:dyDescent="0.2">
      <c r="A163" s="1">
        <v>42948</v>
      </c>
      <c r="B163">
        <v>67</v>
      </c>
    </row>
    <row r="164" spans="1:2" x14ac:dyDescent="0.2">
      <c r="A164" s="1">
        <v>42979</v>
      </c>
      <c r="B164">
        <v>47</v>
      </c>
    </row>
    <row r="165" spans="1:2" x14ac:dyDescent="0.2">
      <c r="A165" s="1">
        <v>43009</v>
      </c>
      <c r="B165">
        <v>77</v>
      </c>
    </row>
    <row r="166" spans="1:2" x14ac:dyDescent="0.2">
      <c r="A166" s="1">
        <v>43040</v>
      </c>
      <c r="B166">
        <v>63</v>
      </c>
    </row>
    <row r="167" spans="1:2" x14ac:dyDescent="0.2">
      <c r="A167" s="1">
        <v>43070</v>
      </c>
      <c r="B167">
        <v>76</v>
      </c>
    </row>
    <row r="168" spans="1:2" x14ac:dyDescent="0.2">
      <c r="A168" s="1">
        <v>43101</v>
      </c>
      <c r="B168">
        <v>60</v>
      </c>
    </row>
    <row r="169" spans="1:2" x14ac:dyDescent="0.2">
      <c r="A169" s="1">
        <v>43132</v>
      </c>
      <c r="B169">
        <v>66</v>
      </c>
    </row>
    <row r="170" spans="1:2" x14ac:dyDescent="0.2">
      <c r="A170" s="1">
        <v>43160</v>
      </c>
      <c r="B170">
        <v>62</v>
      </c>
    </row>
    <row r="171" spans="1:2" x14ac:dyDescent="0.2">
      <c r="A171" s="1">
        <v>43191</v>
      </c>
      <c r="B171">
        <v>76</v>
      </c>
    </row>
    <row r="172" spans="1:2" x14ac:dyDescent="0.2">
      <c r="A172" s="1">
        <v>43221</v>
      </c>
      <c r="B172">
        <v>57</v>
      </c>
    </row>
    <row r="173" spans="1:2" x14ac:dyDescent="0.2">
      <c r="A173" s="1">
        <v>43252</v>
      </c>
      <c r="B173">
        <v>65</v>
      </c>
    </row>
    <row r="174" spans="1:2" x14ac:dyDescent="0.2">
      <c r="A174" s="1">
        <v>43282</v>
      </c>
      <c r="B174">
        <v>63</v>
      </c>
    </row>
    <row r="175" spans="1:2" x14ac:dyDescent="0.2">
      <c r="A175" s="1">
        <v>43313</v>
      </c>
      <c r="B175">
        <v>67</v>
      </c>
    </row>
    <row r="176" spans="1:2" x14ac:dyDescent="0.2">
      <c r="A176" s="1">
        <v>43344</v>
      </c>
      <c r="B176">
        <v>41</v>
      </c>
    </row>
    <row r="177" spans="1:2" x14ac:dyDescent="0.2">
      <c r="A177" s="1">
        <v>43374</v>
      </c>
      <c r="B177">
        <v>62</v>
      </c>
    </row>
    <row r="178" spans="1:2" x14ac:dyDescent="0.2">
      <c r="A178" s="1">
        <v>43405</v>
      </c>
      <c r="B178">
        <v>84</v>
      </c>
    </row>
    <row r="179" spans="1:2" x14ac:dyDescent="0.2">
      <c r="A179" s="1">
        <v>43435</v>
      </c>
      <c r="B179">
        <v>63</v>
      </c>
    </row>
    <row r="180" spans="1:2" x14ac:dyDescent="0.2">
      <c r="A180" s="1">
        <v>43466</v>
      </c>
      <c r="B180">
        <v>58</v>
      </c>
    </row>
    <row r="181" spans="1:2" x14ac:dyDescent="0.2">
      <c r="A181" s="1">
        <v>43497</v>
      </c>
      <c r="B181">
        <v>36</v>
      </c>
    </row>
    <row r="182" spans="1:2" x14ac:dyDescent="0.2">
      <c r="A182" s="1">
        <v>43525</v>
      </c>
      <c r="B182">
        <v>53</v>
      </c>
    </row>
    <row r="183" spans="1:2" x14ac:dyDescent="0.2">
      <c r="A183" s="1">
        <v>43556</v>
      </c>
      <c r="B183">
        <v>74</v>
      </c>
    </row>
    <row r="184" spans="1:2" x14ac:dyDescent="0.2">
      <c r="A184" s="1">
        <v>43586</v>
      </c>
      <c r="B184">
        <v>72</v>
      </c>
    </row>
    <row r="185" spans="1:2" x14ac:dyDescent="0.2">
      <c r="A185" s="1">
        <v>43617</v>
      </c>
      <c r="B185">
        <v>59</v>
      </c>
    </row>
    <row r="186" spans="1:2" x14ac:dyDescent="0.2">
      <c r="A186" s="1">
        <v>43647</v>
      </c>
      <c r="B186">
        <v>50</v>
      </c>
    </row>
    <row r="187" spans="1:2" x14ac:dyDescent="0.2">
      <c r="A187" s="1">
        <v>43678</v>
      </c>
      <c r="B187">
        <v>42</v>
      </c>
    </row>
    <row r="188" spans="1:2" x14ac:dyDescent="0.2">
      <c r="A188" s="1">
        <v>43709</v>
      </c>
      <c r="B188">
        <v>41</v>
      </c>
    </row>
    <row r="189" spans="1:2" x14ac:dyDescent="0.2">
      <c r="A189" s="1">
        <v>43739</v>
      </c>
      <c r="B189">
        <v>47</v>
      </c>
    </row>
    <row r="190" spans="1:2" x14ac:dyDescent="0.2">
      <c r="A190" s="1">
        <v>43770</v>
      </c>
      <c r="B190">
        <v>42</v>
      </c>
    </row>
    <row r="191" spans="1:2" x14ac:dyDescent="0.2">
      <c r="A191" s="1">
        <v>43800</v>
      </c>
      <c r="B191">
        <v>64</v>
      </c>
    </row>
    <row r="192" spans="1:2" x14ac:dyDescent="0.2">
      <c r="A192" s="1">
        <v>43831</v>
      </c>
      <c r="B192">
        <v>44</v>
      </c>
    </row>
    <row r="193" spans="1:2" x14ac:dyDescent="0.2">
      <c r="A193" s="1">
        <v>43862</v>
      </c>
      <c r="B193">
        <v>55</v>
      </c>
    </row>
    <row r="194" spans="1:2" x14ac:dyDescent="0.2">
      <c r="A194" s="1">
        <v>43891</v>
      </c>
      <c r="B194">
        <v>50</v>
      </c>
    </row>
    <row r="195" spans="1:2" x14ac:dyDescent="0.2">
      <c r="A195" s="1">
        <v>43922</v>
      </c>
      <c r="B195">
        <v>31</v>
      </c>
    </row>
    <row r="196" spans="1:2" x14ac:dyDescent="0.2">
      <c r="A196" s="1">
        <v>43952</v>
      </c>
      <c r="B196">
        <v>44</v>
      </c>
    </row>
    <row r="197" spans="1:2" x14ac:dyDescent="0.2">
      <c r="A197" s="1">
        <v>43983</v>
      </c>
      <c r="B197">
        <v>37</v>
      </c>
    </row>
    <row r="198" spans="1:2" x14ac:dyDescent="0.2">
      <c r="A198" s="1">
        <v>44013</v>
      </c>
      <c r="B198">
        <v>42</v>
      </c>
    </row>
    <row r="199" spans="1:2" x14ac:dyDescent="0.2">
      <c r="A199" s="1">
        <v>44044</v>
      </c>
      <c r="B199">
        <v>44</v>
      </c>
    </row>
    <row r="200" spans="1:2" x14ac:dyDescent="0.2">
      <c r="A200" s="1">
        <v>44075</v>
      </c>
      <c r="B200">
        <v>54</v>
      </c>
    </row>
    <row r="201" spans="1:2" x14ac:dyDescent="0.2">
      <c r="A201" s="1">
        <v>44105</v>
      </c>
      <c r="B201">
        <v>50</v>
      </c>
    </row>
    <row r="202" spans="1:2" x14ac:dyDescent="0.2">
      <c r="A202" s="1">
        <v>44136</v>
      </c>
      <c r="B202">
        <v>33</v>
      </c>
    </row>
    <row r="203" spans="1:2" x14ac:dyDescent="0.2">
      <c r="A203" s="1">
        <v>44166</v>
      </c>
      <c r="B203">
        <v>37</v>
      </c>
    </row>
    <row r="204" spans="1:2" x14ac:dyDescent="0.2">
      <c r="A204" s="1">
        <v>44197</v>
      </c>
      <c r="B204">
        <v>27</v>
      </c>
    </row>
    <row r="205" spans="1:2" x14ac:dyDescent="0.2">
      <c r="A205" s="1">
        <v>44228</v>
      </c>
      <c r="B205">
        <v>32</v>
      </c>
    </row>
    <row r="206" spans="1:2" x14ac:dyDescent="0.2">
      <c r="A206" s="1">
        <v>44256</v>
      </c>
      <c r="B206">
        <v>41</v>
      </c>
    </row>
    <row r="207" spans="1:2" x14ac:dyDescent="0.2">
      <c r="A207" s="1">
        <v>44287</v>
      </c>
      <c r="B207">
        <v>23</v>
      </c>
    </row>
    <row r="208" spans="1:2" x14ac:dyDescent="0.2">
      <c r="A208" s="1">
        <v>44317</v>
      </c>
      <c r="B208">
        <v>40</v>
      </c>
    </row>
    <row r="209" spans="1:2" x14ac:dyDescent="0.2">
      <c r="A209" s="1">
        <v>44348</v>
      </c>
      <c r="B209">
        <v>29</v>
      </c>
    </row>
    <row r="210" spans="1:2" x14ac:dyDescent="0.2">
      <c r="A210" s="1">
        <v>44378</v>
      </c>
      <c r="B210">
        <v>29</v>
      </c>
    </row>
    <row r="211" spans="1:2" x14ac:dyDescent="0.2">
      <c r="A211" s="1">
        <v>44409</v>
      </c>
      <c r="B211">
        <v>36</v>
      </c>
    </row>
    <row r="212" spans="1:2" x14ac:dyDescent="0.2">
      <c r="A212" s="1">
        <v>44440</v>
      </c>
      <c r="B212">
        <v>34</v>
      </c>
    </row>
    <row r="213" spans="1:2" x14ac:dyDescent="0.2">
      <c r="A213" s="1">
        <v>44470</v>
      </c>
      <c r="B213">
        <v>32</v>
      </c>
    </row>
    <row r="214" spans="1:2" x14ac:dyDescent="0.2">
      <c r="A214" s="1">
        <v>44501</v>
      </c>
      <c r="B214">
        <v>35</v>
      </c>
    </row>
    <row r="215" spans="1:2" x14ac:dyDescent="0.2">
      <c r="A215" s="1">
        <v>44531</v>
      </c>
      <c r="B215">
        <v>51</v>
      </c>
    </row>
    <row r="216" spans="1:2" x14ac:dyDescent="0.2">
      <c r="A216" s="1">
        <v>44562</v>
      </c>
      <c r="B216">
        <v>32</v>
      </c>
    </row>
    <row r="217" spans="1:2" x14ac:dyDescent="0.2">
      <c r="A217" s="1">
        <v>44593</v>
      </c>
      <c r="B217">
        <v>28</v>
      </c>
    </row>
    <row r="218" spans="1:2" x14ac:dyDescent="0.2">
      <c r="A218" s="1">
        <v>44621</v>
      </c>
      <c r="B218">
        <v>40</v>
      </c>
    </row>
    <row r="219" spans="1:2" x14ac:dyDescent="0.2">
      <c r="A219" s="1">
        <v>44652</v>
      </c>
      <c r="B219">
        <v>52</v>
      </c>
    </row>
    <row r="220" spans="1:2" x14ac:dyDescent="0.2">
      <c r="A220" s="1">
        <v>44682</v>
      </c>
      <c r="B220">
        <v>51</v>
      </c>
    </row>
    <row r="221" spans="1:2" x14ac:dyDescent="0.2">
      <c r="A221" s="1">
        <v>44713</v>
      </c>
      <c r="B221">
        <v>49</v>
      </c>
    </row>
    <row r="222" spans="1:2" x14ac:dyDescent="0.2">
      <c r="A222" s="1">
        <v>44743</v>
      </c>
      <c r="B222">
        <v>53</v>
      </c>
    </row>
    <row r="223" spans="1:2" x14ac:dyDescent="0.2">
      <c r="A223" s="1">
        <v>44774</v>
      </c>
      <c r="B223">
        <v>39</v>
      </c>
    </row>
    <row r="224" spans="1:2" x14ac:dyDescent="0.2">
      <c r="A224" s="1">
        <v>44805</v>
      </c>
      <c r="B224">
        <v>38</v>
      </c>
    </row>
    <row r="225" spans="1:2" x14ac:dyDescent="0.2">
      <c r="A225" s="1">
        <v>44835</v>
      </c>
      <c r="B225">
        <v>72</v>
      </c>
    </row>
    <row r="226" spans="1:2" x14ac:dyDescent="0.2">
      <c r="A226" s="1">
        <v>44866</v>
      </c>
      <c r="B226">
        <v>55</v>
      </c>
    </row>
    <row r="227" spans="1:2" x14ac:dyDescent="0.2">
      <c r="A227" s="1">
        <v>44896</v>
      </c>
      <c r="B227">
        <v>49</v>
      </c>
    </row>
    <row r="228" spans="1:2" x14ac:dyDescent="0.2">
      <c r="A228" s="1">
        <v>44927</v>
      </c>
      <c r="B228">
        <v>47</v>
      </c>
    </row>
    <row r="229" spans="1:2" x14ac:dyDescent="0.2">
      <c r="A229" s="1">
        <v>44958</v>
      </c>
      <c r="B229">
        <v>39</v>
      </c>
    </row>
    <row r="230" spans="1:2" x14ac:dyDescent="0.2">
      <c r="A230" s="1">
        <v>44986</v>
      </c>
      <c r="B230">
        <v>37</v>
      </c>
    </row>
    <row r="231" spans="1:2" x14ac:dyDescent="0.2">
      <c r="A231" s="1">
        <v>45017</v>
      </c>
      <c r="B231">
        <v>43</v>
      </c>
    </row>
    <row r="232" spans="1:2" x14ac:dyDescent="0.2">
      <c r="A232" s="1">
        <v>45047</v>
      </c>
      <c r="B232">
        <v>44</v>
      </c>
    </row>
    <row r="233" spans="1:2" x14ac:dyDescent="0.2">
      <c r="A233" s="1">
        <v>45078</v>
      </c>
      <c r="B233">
        <v>38</v>
      </c>
    </row>
    <row r="234" spans="1:2" x14ac:dyDescent="0.2">
      <c r="A234" s="1">
        <v>45108</v>
      </c>
      <c r="B234">
        <v>37</v>
      </c>
    </row>
    <row r="235" spans="1:2" x14ac:dyDescent="0.2">
      <c r="A235" s="1">
        <v>45139</v>
      </c>
      <c r="B235">
        <v>53</v>
      </c>
    </row>
    <row r="236" spans="1:2" x14ac:dyDescent="0.2">
      <c r="A236" s="1">
        <v>45170</v>
      </c>
      <c r="B236">
        <v>34</v>
      </c>
    </row>
    <row r="237" spans="1:2" x14ac:dyDescent="0.2">
      <c r="A237" s="1">
        <v>45200</v>
      </c>
      <c r="B237">
        <v>36</v>
      </c>
    </row>
    <row r="238" spans="1:2" x14ac:dyDescent="0.2">
      <c r="A238" s="1">
        <v>45231</v>
      </c>
      <c r="B238">
        <v>38</v>
      </c>
    </row>
    <row r="239" spans="1:2" x14ac:dyDescent="0.2">
      <c r="A239" s="1">
        <v>45261</v>
      </c>
      <c r="B239">
        <v>48</v>
      </c>
    </row>
    <row r="240" spans="1:2" x14ac:dyDescent="0.2">
      <c r="A240" s="1">
        <v>45292</v>
      </c>
      <c r="B240">
        <v>68</v>
      </c>
    </row>
    <row r="241" spans="1:2" x14ac:dyDescent="0.2">
      <c r="A241" s="1">
        <v>45323</v>
      </c>
      <c r="B241">
        <v>35</v>
      </c>
    </row>
    <row r="242" spans="1:2" x14ac:dyDescent="0.2">
      <c r="A242" s="1">
        <v>45352</v>
      </c>
      <c r="B242">
        <v>47</v>
      </c>
    </row>
    <row r="243" spans="1:2" x14ac:dyDescent="0.2">
      <c r="A243" s="1">
        <v>45383</v>
      </c>
      <c r="B243">
        <v>36</v>
      </c>
    </row>
    <row r="244" spans="1:2" x14ac:dyDescent="0.2">
      <c r="A244" s="1">
        <v>45413</v>
      </c>
      <c r="B244">
        <v>36</v>
      </c>
    </row>
    <row r="245" spans="1:2" x14ac:dyDescent="0.2">
      <c r="A245" s="1">
        <v>45444</v>
      </c>
      <c r="B245">
        <v>52</v>
      </c>
    </row>
    <row r="246" spans="1:2" x14ac:dyDescent="0.2">
      <c r="A246" s="1">
        <v>45474</v>
      </c>
      <c r="B246">
        <v>43</v>
      </c>
    </row>
    <row r="247" spans="1:2" x14ac:dyDescent="0.2">
      <c r="A247" s="1">
        <v>45505</v>
      </c>
      <c r="B247">
        <v>31</v>
      </c>
    </row>
    <row r="248" spans="1:2" x14ac:dyDescent="0.2">
      <c r="A248" s="1">
        <v>45536</v>
      </c>
      <c r="B248">
        <v>32</v>
      </c>
    </row>
    <row r="249" spans="1:2" x14ac:dyDescent="0.2">
      <c r="A249" s="1">
        <v>45566</v>
      </c>
      <c r="B249">
        <v>24</v>
      </c>
    </row>
    <row r="250" spans="1:2" x14ac:dyDescent="0.2">
      <c r="A250" s="1">
        <v>45597</v>
      </c>
      <c r="B250">
        <v>28</v>
      </c>
    </row>
    <row r="251" spans="1:2" x14ac:dyDescent="0.2">
      <c r="A251" s="1">
        <v>45627</v>
      </c>
      <c r="B251">
        <v>27</v>
      </c>
    </row>
    <row r="252" spans="1:2" x14ac:dyDescent="0.2">
      <c r="A252" s="1">
        <v>45658</v>
      </c>
      <c r="B252">
        <v>41</v>
      </c>
    </row>
    <row r="253" spans="1:2" x14ac:dyDescent="0.2">
      <c r="A253" s="1">
        <v>45689</v>
      </c>
      <c r="B253">
        <v>36</v>
      </c>
    </row>
    <row r="254" spans="1:2" x14ac:dyDescent="0.2">
      <c r="A254" s="1">
        <v>45717</v>
      </c>
      <c r="B254">
        <v>36</v>
      </c>
    </row>
    <row r="255" spans="1:2" x14ac:dyDescent="0.2">
      <c r="A255" s="1">
        <v>45748</v>
      </c>
      <c r="B255">
        <v>34</v>
      </c>
    </row>
    <row r="256" spans="1:2" x14ac:dyDescent="0.2">
      <c r="A256" s="1">
        <v>45778</v>
      </c>
      <c r="B256">
        <v>55</v>
      </c>
    </row>
    <row r="257" spans="1:2" x14ac:dyDescent="0.2">
      <c r="A257" s="1">
        <v>45809</v>
      </c>
      <c r="B257">
        <v>45</v>
      </c>
    </row>
    <row r="258" spans="1:2" x14ac:dyDescent="0.2">
      <c r="A258" s="1">
        <v>45839</v>
      </c>
      <c r="B258">
        <v>37</v>
      </c>
    </row>
    <row r="259" spans="1:2" x14ac:dyDescent="0.2">
      <c r="A259" s="1">
        <v>45870</v>
      </c>
      <c r="B259">
        <v>34</v>
      </c>
    </row>
    <row r="260" spans="1:2" x14ac:dyDescent="0.2">
      <c r="A260" s="1">
        <v>45901</v>
      </c>
      <c r="B260">
        <v>32</v>
      </c>
    </row>
    <row r="261" spans="1:2" x14ac:dyDescent="0.2">
      <c r="A261" s="1">
        <v>45931</v>
      </c>
      <c r="B261">
        <v>31</v>
      </c>
    </row>
    <row r="262" spans="1:2" x14ac:dyDescent="0.2">
      <c r="A262" s="1">
        <v>45962</v>
      </c>
      <c r="B262">
        <v>31</v>
      </c>
    </row>
    <row r="263" spans="1:2" x14ac:dyDescent="0.2">
      <c r="A263" s="1">
        <v>45992</v>
      </c>
      <c r="B263">
        <v>52</v>
      </c>
    </row>
    <row r="264" spans="1:2" x14ac:dyDescent="0.2">
      <c r="A264" s="1">
        <v>46023</v>
      </c>
      <c r="B264">
        <v>31</v>
      </c>
    </row>
    <row r="265" spans="1:2" x14ac:dyDescent="0.2">
      <c r="A265" s="1">
        <v>46054</v>
      </c>
      <c r="B26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Combined_FBI_count XmR 9</vt:lpstr>
      <vt:lpstr>Annual Data</vt:lpstr>
      <vt:lpstr>Schertz Combined NIBRS_2004_03_</vt:lpstr>
      <vt:lpstr>'Combined_FBI_count XmR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Schertz Combined NIBRS_2004_</dc:title>
  <dc:creator>D S and QI Macros</dc:creator>
  <dc:description>
_x000d_QI Macros 2025.01
_x000d_qimacros.com</dc:description>
  <cp:lastModifiedBy>D S</cp:lastModifiedBy>
  <dcterms:created xsi:type="dcterms:W3CDTF">2026-03-19T19:09:54Z</dcterms:created>
  <dcterms:modified xsi:type="dcterms:W3CDTF">2026-03-23T01:29:16Z</dcterms:modified>
</cp:coreProperties>
</file>
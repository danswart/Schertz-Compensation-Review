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D/R Working Directory/Schertz Compensation Review/ACFR FY23/"/>
    </mc:Choice>
  </mc:AlternateContent>
  <xr:revisionPtr revIDLastSave="0" documentId="8_{CA9DD656-4509-2049-BA7F-7BB86B1FC650}" xr6:coauthVersionLast="47" xr6:coauthVersionMax="47" xr10:uidLastSave="{00000000-0000-0000-0000-000000000000}"/>
  <bookViews>
    <workbookView xWindow="7260" yWindow="3520" windowWidth="27240" windowHeight="16440" xr2:uid="{5401EA83-0F38-0B49-A226-7029E4C6AF73}"/>
  </bookViews>
  <sheets>
    <sheet name="Debt Ratios by Type" sheetId="1" r:id="rId1"/>
  </sheets>
  <externalReferences>
    <externalReference r:id="rId2"/>
  </externalReferences>
  <definedNames>
    <definedName name="_xlnm.Print_Area" localSheetId="0">'Debt Ratios by Type'!$A$1:$Z$27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6" i="1" l="1"/>
  <c r="V25" i="1"/>
  <c r="V24" i="1"/>
  <c r="V23" i="1"/>
  <c r="V22" i="1"/>
  <c r="V21" i="1"/>
  <c r="X21" i="1" s="1"/>
  <c r="V20" i="1"/>
  <c r="V19" i="1"/>
  <c r="Z19" i="1" s="1"/>
  <c r="V18" i="1"/>
  <c r="Z18" i="1" s="1"/>
  <c r="P17" i="1"/>
  <c r="M17" i="1"/>
  <c r="E17" i="1"/>
  <c r="C17" i="1"/>
  <c r="V17" i="1" s="1"/>
  <c r="Z17" i="1" s="1"/>
  <c r="Z16" i="1"/>
  <c r="P16" i="1"/>
  <c r="M16" i="1"/>
  <c r="E16" i="1"/>
  <c r="C16" i="1"/>
  <c r="Z15" i="1"/>
</calcChain>
</file>

<file path=xl/sharedStrings.xml><?xml version="1.0" encoding="utf-8"?>
<sst xmlns="http://schemas.openxmlformats.org/spreadsheetml/2006/main" count="39" uniqueCount="27">
  <si>
    <t>CITY OF SCHERTZ, TEXAS</t>
  </si>
  <si>
    <t>RATIOS OF OUTSTANDING DEBT BY TYPE</t>
  </si>
  <si>
    <t>LAST TEN FISCAL YEARS</t>
  </si>
  <si>
    <t>Governmental Activities</t>
  </si>
  <si>
    <t>Business-Type Activities</t>
  </si>
  <si>
    <t>General</t>
  </si>
  <si>
    <t xml:space="preserve">Certificates </t>
  </si>
  <si>
    <t>Certificates</t>
  </si>
  <si>
    <t>Total</t>
  </si>
  <si>
    <t>Percent</t>
  </si>
  <si>
    <t xml:space="preserve">Fiscal </t>
  </si>
  <si>
    <t>Obligation</t>
  </si>
  <si>
    <t>of</t>
  </si>
  <si>
    <t>Tax</t>
  </si>
  <si>
    <t>Financing</t>
  </si>
  <si>
    <t>Revenue</t>
  </si>
  <si>
    <t>Primary</t>
  </si>
  <si>
    <t>of Gross</t>
  </si>
  <si>
    <t xml:space="preserve">Per </t>
  </si>
  <si>
    <t>Year</t>
  </si>
  <si>
    <t>Bonds</t>
  </si>
  <si>
    <t>Notes</t>
  </si>
  <si>
    <t>Arrangement</t>
  </si>
  <si>
    <t>Government</t>
  </si>
  <si>
    <t>Income</t>
  </si>
  <si>
    <t>Capita</t>
  </si>
  <si>
    <t xml:space="preserve">Population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</si>
</sst>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name val="Times New Roman"/>
      <family val="1"/>
    </font>
    <font>
      <b/>
      <sz val="9"/>
      <name val="Verdana"/>
      <family val="2"/>
    </font>
    <font>
      <sz val="9"/>
      <name val="Verdana"/>
      <family val="2"/>
    </font>
    <font>
      <u/>
      <sz val="9"/>
      <name val="Verdana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41" fontId="2" fillId="0" borderId="0" xfId="2" applyFont="1" applyFill="1" applyAlignment="1"/>
    <xf numFmtId="42" fontId="2" fillId="0" borderId="0" xfId="0" applyNumberFormat="1" applyFont="1"/>
    <xf numFmtId="41" fontId="2" fillId="0" borderId="0" xfId="2" applyFont="1" applyFill="1"/>
    <xf numFmtId="10" fontId="2" fillId="0" borderId="0" xfId="0" applyNumberFormat="1" applyFont="1"/>
    <xf numFmtId="164" fontId="2" fillId="0" borderId="0" xfId="0" applyNumberFormat="1" applyFont="1"/>
    <xf numFmtId="1" fontId="2" fillId="0" borderId="0" xfId="0" applyNumberFormat="1" applyFont="1"/>
    <xf numFmtId="41" fontId="2" fillId="0" borderId="0" xfId="0" applyNumberFormat="1" applyFont="1"/>
    <xf numFmtId="164" fontId="2" fillId="0" borderId="0" xfId="1" applyNumberFormat="1" applyFont="1" applyFill="1"/>
    <xf numFmtId="41" fontId="2" fillId="0" borderId="0" xfId="2" applyFont="1" applyAlignment="1"/>
    <xf numFmtId="41" fontId="2" fillId="0" borderId="0" xfId="2" applyFont="1"/>
    <xf numFmtId="41" fontId="2" fillId="0" borderId="0" xfId="2" applyFont="1" applyBorder="1"/>
    <xf numFmtId="41" fontId="2" fillId="0" borderId="0" xfId="2" applyFont="1" applyBorder="1" applyAlignment="1"/>
  </cellXfs>
  <cellStyles count="3">
    <cellStyle name="Comma" xfId="1" builtinId="3"/>
    <cellStyle name="Comma [0] 2" xfId="2" xr:uid="{3DD7297E-F310-444C-8584-31DB2141BAD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/R%20Working%20Directory/Schertz%20Compensation%20Review/ACFR%20FY23/FY24%20City%20of%20Schertz%20Stat%20Tables%20(2)-MODIFIED.xlsx" TargetMode="External"/><Relationship Id="rId1" Type="http://schemas.openxmlformats.org/officeDocument/2006/relationships/externalLinkPath" Target="FY24%20City%20of%20Schertz%20Stat%20Tables%20(2)-MODIFI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&amp;S Consumption"/>
      <sheetName val="W&amp;S Concumers"/>
      <sheetName val="Prop Tax Rates"/>
      <sheetName val="Prop Tax Payers"/>
      <sheetName val="Tax Levies &amp; Collections"/>
      <sheetName val="Table 11#-MOD XmR "/>
      <sheetName val="Table 11#-MOD XmR  Trended"/>
      <sheetName val="Taxable Assessed Values"/>
      <sheetName val="Debt Ratios by Type"/>
      <sheetName val="OS Bond Debt Ratios"/>
      <sheetName val="Gov Activity Debt "/>
      <sheetName val="Debt Margin Info"/>
      <sheetName val="Pledged Rev Coverage"/>
      <sheetName val="Demographics Last 10"/>
      <sheetName val="Top 10 Employers"/>
      <sheetName val="FTE by Function"/>
      <sheetName val="Op Metrics by Function XmR 19"/>
      <sheetName val="Sheet38"/>
      <sheetName val="Op Metrics by Function XmR "/>
      <sheetName val="Op Metrics by Function"/>
      <sheetName val="Assets by Func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4">
          <cell r="E14">
            <v>1396481620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854DA-1C12-4446-8FE1-23C57B8004A6}">
  <sheetPr>
    <tabColor rgb="FF00FF00"/>
  </sheetPr>
  <dimension ref="A1:AB36"/>
  <sheetViews>
    <sheetView tabSelected="1" zoomScaleNormal="100" zoomScaleSheetLayoutView="85" workbookViewId="0">
      <selection activeCell="Z47" sqref="Z47:Z48"/>
    </sheetView>
  </sheetViews>
  <sheetFormatPr baseColWidth="10" defaultColWidth="9.1640625" defaultRowHeight="12" x14ac:dyDescent="0.15"/>
  <cols>
    <col min="1" max="1" width="7.1640625" style="2" customWidth="1"/>
    <col min="2" max="2" width="0.83203125" style="2" customWidth="1"/>
    <col min="3" max="3" width="14" style="2" bestFit="1" customWidth="1"/>
    <col min="4" max="4" width="0.83203125" style="2" customWidth="1"/>
    <col min="5" max="5" width="14" style="2" bestFit="1" customWidth="1"/>
    <col min="6" max="6" width="0.83203125" style="2" customWidth="1"/>
    <col min="7" max="7" width="11.6640625" style="2" customWidth="1"/>
    <col min="8" max="8" width="1.6640625" style="2" customWidth="1"/>
    <col min="9" max="9" width="11.6640625" style="2" customWidth="1"/>
    <col min="10" max="10" width="0.83203125" style="2" customWidth="1"/>
    <col min="11" max="11" width="11.6640625" style="2" customWidth="1"/>
    <col min="12" max="12" width="0.83203125" style="2" customWidth="1"/>
    <col min="13" max="13" width="14" style="2" bestFit="1" customWidth="1"/>
    <col min="14" max="14" width="0.83203125" style="2" customWidth="1"/>
    <col min="15" max="15" width="0.5" style="2" customWidth="1"/>
    <col min="16" max="16" width="12.83203125" style="2" bestFit="1" customWidth="1"/>
    <col min="17" max="17" width="0.5" style="2" customWidth="1"/>
    <col min="18" max="18" width="12.5" style="2" customWidth="1"/>
    <col min="19" max="19" width="0.5" style="2" customWidth="1"/>
    <col min="20" max="20" width="12.5" style="2" customWidth="1"/>
    <col min="21" max="21" width="0.5" style="2" customWidth="1"/>
    <col min="22" max="22" width="15.1640625" style="2" bestFit="1" customWidth="1"/>
    <col min="23" max="23" width="0.5" style="2" customWidth="1"/>
    <col min="24" max="24" width="12.5" style="2" customWidth="1"/>
    <col min="25" max="25" width="0.5" style="2" customWidth="1"/>
    <col min="26" max="26" width="11.5" style="2" customWidth="1"/>
    <col min="27" max="27" width="9.1640625" style="2"/>
    <col min="28" max="28" width="11.5" style="2" bestFit="1" customWidth="1"/>
    <col min="29" max="16384" width="9.1640625" style="2"/>
  </cols>
  <sheetData>
    <row r="1" spans="1:28" x14ac:dyDescent="0.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28" x14ac:dyDescent="0.1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5" spans="1:28" x14ac:dyDescent="0.15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28" x14ac:dyDescent="0.1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28" x14ac:dyDescent="0.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10" spans="1:28" ht="14" customHeight="1" x14ac:dyDescent="0.15">
      <c r="C10" s="5" t="s">
        <v>3</v>
      </c>
      <c r="D10" s="5"/>
      <c r="E10" s="5"/>
      <c r="F10" s="5"/>
      <c r="G10" s="5"/>
      <c r="H10" s="5"/>
      <c r="I10" s="5"/>
      <c r="J10" s="4"/>
      <c r="K10" s="5" t="s">
        <v>4</v>
      </c>
      <c r="L10" s="5"/>
      <c r="M10" s="5"/>
      <c r="O10" s="5" t="s">
        <v>4</v>
      </c>
      <c r="P10" s="5"/>
      <c r="Q10" s="5"/>
      <c r="R10" s="5"/>
      <c r="S10" s="5"/>
      <c r="T10" s="5"/>
    </row>
    <row r="11" spans="1:28" ht="14" customHeight="1" x14ac:dyDescent="0.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8" ht="14" customHeight="1" x14ac:dyDescent="0.15">
      <c r="A12" s="4"/>
      <c r="B12" s="4"/>
      <c r="C12" s="4" t="s">
        <v>5</v>
      </c>
      <c r="D12" s="4"/>
      <c r="E12" s="4" t="s">
        <v>6</v>
      </c>
      <c r="F12" s="4"/>
      <c r="G12" s="4"/>
      <c r="H12" s="4"/>
      <c r="I12" s="4"/>
      <c r="J12" s="4"/>
      <c r="K12" s="4"/>
      <c r="L12" s="4"/>
      <c r="M12" s="4" t="s">
        <v>7</v>
      </c>
      <c r="N12" s="4"/>
      <c r="O12" s="4"/>
      <c r="P12" s="4" t="s">
        <v>5</v>
      </c>
      <c r="Q12" s="4"/>
      <c r="R12" s="4"/>
      <c r="S12" s="4"/>
      <c r="T12" s="4"/>
      <c r="U12" s="4"/>
      <c r="V12" s="4" t="s">
        <v>8</v>
      </c>
      <c r="W12" s="4"/>
      <c r="X12" s="4" t="s">
        <v>9</v>
      </c>
      <c r="Y12" s="4"/>
      <c r="Z12" s="4"/>
    </row>
    <row r="13" spans="1:28" ht="14" customHeight="1" x14ac:dyDescent="0.15">
      <c r="A13" s="4" t="s">
        <v>10</v>
      </c>
      <c r="B13" s="4"/>
      <c r="C13" s="4" t="s">
        <v>11</v>
      </c>
      <c r="D13" s="4"/>
      <c r="E13" s="4" t="s">
        <v>12</v>
      </c>
      <c r="F13" s="4"/>
      <c r="G13" s="4" t="s">
        <v>13</v>
      </c>
      <c r="H13" s="4"/>
      <c r="I13" s="4" t="s">
        <v>14</v>
      </c>
      <c r="J13" s="4"/>
      <c r="K13" s="4" t="s">
        <v>15</v>
      </c>
      <c r="L13" s="4"/>
      <c r="M13" s="4" t="s">
        <v>12</v>
      </c>
      <c r="N13" s="4"/>
      <c r="O13" s="4"/>
      <c r="P13" s="4" t="s">
        <v>11</v>
      </c>
      <c r="Q13" s="4"/>
      <c r="R13" s="4" t="s">
        <v>14</v>
      </c>
      <c r="S13" s="4"/>
      <c r="T13" s="4" t="s">
        <v>13</v>
      </c>
      <c r="U13" s="4"/>
      <c r="V13" s="4" t="s">
        <v>16</v>
      </c>
      <c r="W13" s="4"/>
      <c r="X13" s="4" t="s">
        <v>17</v>
      </c>
      <c r="Y13" s="4"/>
      <c r="Z13" s="4" t="s">
        <v>18</v>
      </c>
    </row>
    <row r="14" spans="1:28" ht="14" customHeight="1" x14ac:dyDescent="0.15">
      <c r="A14" s="6" t="s">
        <v>19</v>
      </c>
      <c r="B14" s="7"/>
      <c r="C14" s="6" t="s">
        <v>20</v>
      </c>
      <c r="D14" s="7"/>
      <c r="E14" s="6" t="s">
        <v>11</v>
      </c>
      <c r="F14" s="7"/>
      <c r="G14" s="6" t="s">
        <v>21</v>
      </c>
      <c r="H14" s="4"/>
      <c r="I14" s="6" t="s">
        <v>22</v>
      </c>
      <c r="J14" s="4"/>
      <c r="K14" s="6" t="s">
        <v>20</v>
      </c>
      <c r="L14" s="7"/>
      <c r="M14" s="6" t="s">
        <v>11</v>
      </c>
      <c r="N14" s="7"/>
      <c r="O14" s="7"/>
      <c r="P14" s="6" t="s">
        <v>20</v>
      </c>
      <c r="Q14" s="7"/>
      <c r="R14" s="6" t="s">
        <v>22</v>
      </c>
      <c r="S14" s="7"/>
      <c r="T14" s="6" t="s">
        <v>21</v>
      </c>
      <c r="U14" s="4"/>
      <c r="V14" s="6" t="s">
        <v>23</v>
      </c>
      <c r="W14" s="4"/>
      <c r="X14" s="6" t="s">
        <v>24</v>
      </c>
      <c r="Y14" s="4"/>
      <c r="Z14" s="6" t="s">
        <v>25</v>
      </c>
      <c r="AB14" s="2" t="s">
        <v>26</v>
      </c>
    </row>
    <row r="15" spans="1:28" ht="14" customHeight="1" x14ac:dyDescent="0.15">
      <c r="A15" s="4">
        <v>2024</v>
      </c>
      <c r="B15" s="7"/>
      <c r="C15" s="8">
        <v>49860745</v>
      </c>
      <c r="D15" s="9"/>
      <c r="E15" s="10">
        <v>44612349</v>
      </c>
      <c r="F15" s="9"/>
      <c r="G15" s="10">
        <v>0</v>
      </c>
      <c r="H15" s="9"/>
      <c r="I15" s="9">
        <v>54614</v>
      </c>
      <c r="J15" s="9"/>
      <c r="K15" s="8">
        <v>0</v>
      </c>
      <c r="M15" s="10">
        <v>22590898</v>
      </c>
      <c r="P15" s="10">
        <v>3263722</v>
      </c>
      <c r="R15" s="10">
        <v>163843</v>
      </c>
      <c r="T15" s="10">
        <v>0</v>
      </c>
      <c r="V15" s="10">
        <v>120546171</v>
      </c>
      <c r="X15" s="11">
        <v>6.7299999999999999E-2</v>
      </c>
      <c r="Y15" s="4"/>
      <c r="Z15" s="12">
        <f>V15/43969</f>
        <v>2741.6172985512521</v>
      </c>
      <c r="AB15" s="2">
        <v>43969</v>
      </c>
    </row>
    <row r="16" spans="1:28" ht="14" customHeight="1" x14ac:dyDescent="0.15">
      <c r="A16" s="4">
        <v>2023</v>
      </c>
      <c r="B16" s="7"/>
      <c r="C16" s="8">
        <f>50790000+3714618</f>
        <v>54504618</v>
      </c>
      <c r="D16" s="9"/>
      <c r="E16" s="10">
        <f>24565000+1418440</f>
        <v>25983440</v>
      </c>
      <c r="F16" s="9"/>
      <c r="G16" s="10">
        <v>0</v>
      </c>
      <c r="H16" s="9"/>
      <c r="I16" s="10">
        <v>81921</v>
      </c>
      <c r="J16" s="9"/>
      <c r="K16" s="8">
        <v>0</v>
      </c>
      <c r="M16" s="10">
        <f>22005000+1524237</f>
        <v>23529237</v>
      </c>
      <c r="P16" s="10">
        <f>3525000+562062</f>
        <v>4087062</v>
      </c>
      <c r="R16" s="10">
        <v>245764</v>
      </c>
      <c r="T16" s="10">
        <v>0</v>
      </c>
      <c r="V16" s="10">
        <v>108432042</v>
      </c>
      <c r="X16" s="11">
        <v>5.8200000000000002E-2</v>
      </c>
      <c r="Y16" s="4"/>
      <c r="Z16" s="12">
        <f>V16/43010</f>
        <v>2521.0890955591722</v>
      </c>
      <c r="AB16" s="2">
        <v>43010</v>
      </c>
    </row>
    <row r="17" spans="1:28" ht="14" customHeight="1" x14ac:dyDescent="0.15">
      <c r="A17" s="4">
        <v>2022</v>
      </c>
      <c r="C17" s="8">
        <f>49375000+5695000+3767302</f>
        <v>58837302</v>
      </c>
      <c r="D17" s="9"/>
      <c r="E17" s="10">
        <f>26135000+1734333</f>
        <v>27869333</v>
      </c>
      <c r="F17" s="9"/>
      <c r="G17" s="10">
        <v>0</v>
      </c>
      <c r="H17" s="9"/>
      <c r="I17" s="10">
        <v>109228</v>
      </c>
      <c r="J17" s="9"/>
      <c r="K17" s="8">
        <v>0</v>
      </c>
      <c r="L17" s="9"/>
      <c r="M17" s="10">
        <f>22845000+1371388</f>
        <v>24216388</v>
      </c>
      <c r="N17" s="9"/>
      <c r="O17" s="9"/>
      <c r="P17" s="10">
        <f>4265000+846592</f>
        <v>5111592</v>
      </c>
      <c r="Q17" s="9"/>
      <c r="R17" s="10">
        <v>327685</v>
      </c>
      <c r="S17" s="9"/>
      <c r="T17" s="10">
        <v>0</v>
      </c>
      <c r="U17" s="9"/>
      <c r="V17" s="10">
        <f>SUM(C17:T17)</f>
        <v>116471528</v>
      </c>
      <c r="W17" s="9"/>
      <c r="X17" s="11">
        <v>5.2400000000000002E-2</v>
      </c>
      <c r="Z17" s="12">
        <f>V17/AB17</f>
        <v>2729.374972660522</v>
      </c>
      <c r="AB17" s="13">
        <v>42673.333333333328</v>
      </c>
    </row>
    <row r="18" spans="1:28" ht="14" customHeight="1" x14ac:dyDescent="0.15">
      <c r="A18" s="4">
        <v>2021</v>
      </c>
      <c r="B18" s="4"/>
      <c r="C18" s="8">
        <v>40390000</v>
      </c>
      <c r="D18" s="9"/>
      <c r="E18" s="10">
        <v>14200000</v>
      </c>
      <c r="F18" s="9"/>
      <c r="G18" s="10">
        <v>155000</v>
      </c>
      <c r="H18" s="9"/>
      <c r="I18" s="10">
        <v>136535</v>
      </c>
      <c r="J18" s="9"/>
      <c r="K18" s="8">
        <v>0</v>
      </c>
      <c r="L18" s="9"/>
      <c r="M18" s="10">
        <v>10655000</v>
      </c>
      <c r="N18" s="9"/>
      <c r="O18" s="9"/>
      <c r="P18" s="10">
        <v>2895000</v>
      </c>
      <c r="Q18" s="9"/>
      <c r="R18" s="10">
        <v>475121</v>
      </c>
      <c r="S18" s="9"/>
      <c r="T18" s="10">
        <v>0</v>
      </c>
      <c r="U18" s="9"/>
      <c r="V18" s="10">
        <f>SUM(C18:T18)</f>
        <v>68906656</v>
      </c>
      <c r="W18" s="9"/>
      <c r="X18" s="11">
        <v>4.2500000000000003E-2</v>
      </c>
      <c r="Y18" s="14"/>
      <c r="Z18" s="12">
        <f t="shared" ref="Z18:Z19" si="0">V18/AB18</f>
        <v>1627.5881269191402</v>
      </c>
      <c r="AB18" s="13">
        <v>42336.666666666664</v>
      </c>
    </row>
    <row r="19" spans="1:28" ht="14" customHeight="1" x14ac:dyDescent="0.15">
      <c r="A19" s="4">
        <v>2020</v>
      </c>
      <c r="B19" s="4"/>
      <c r="C19" s="8">
        <v>44620000</v>
      </c>
      <c r="D19" s="9"/>
      <c r="E19" s="10">
        <v>15415000</v>
      </c>
      <c r="F19" s="9"/>
      <c r="G19" s="10">
        <v>345000</v>
      </c>
      <c r="H19" s="9"/>
      <c r="I19" s="10">
        <v>25695</v>
      </c>
      <c r="J19" s="9"/>
      <c r="K19" s="8">
        <v>0</v>
      </c>
      <c r="L19" s="9"/>
      <c r="M19" s="10">
        <v>11200000</v>
      </c>
      <c r="N19" s="9"/>
      <c r="O19" s="9"/>
      <c r="P19" s="10">
        <v>3685000</v>
      </c>
      <c r="Q19" s="9"/>
      <c r="R19" s="10">
        <v>134662</v>
      </c>
      <c r="S19" s="9"/>
      <c r="T19" s="10">
        <v>150000</v>
      </c>
      <c r="U19" s="9"/>
      <c r="V19" s="10">
        <f>SUM(C19:T19)</f>
        <v>75575357</v>
      </c>
      <c r="W19" s="9"/>
      <c r="X19" s="11">
        <v>4.4999999999999998E-2</v>
      </c>
      <c r="Y19" s="14"/>
      <c r="Z19" s="12">
        <f t="shared" si="0"/>
        <v>1799.4132619047618</v>
      </c>
      <c r="AB19" s="13">
        <v>42000</v>
      </c>
    </row>
    <row r="20" spans="1:28" ht="14" customHeight="1" x14ac:dyDescent="0.15">
      <c r="A20" s="4">
        <v>2019</v>
      </c>
      <c r="B20" s="4"/>
      <c r="C20" s="8">
        <v>48320000</v>
      </c>
      <c r="D20" s="9"/>
      <c r="E20" s="8">
        <v>16235000</v>
      </c>
      <c r="F20" s="9"/>
      <c r="G20" s="8">
        <v>530000</v>
      </c>
      <c r="H20" s="9"/>
      <c r="I20" s="8">
        <v>25699</v>
      </c>
      <c r="J20" s="9"/>
      <c r="K20" s="8">
        <v>0</v>
      </c>
      <c r="L20" s="9"/>
      <c r="M20" s="8">
        <v>12330000</v>
      </c>
      <c r="N20" s="9"/>
      <c r="O20" s="9"/>
      <c r="P20" s="8">
        <v>4445000</v>
      </c>
      <c r="Q20" s="9"/>
      <c r="R20" s="8">
        <v>199421</v>
      </c>
      <c r="S20" s="9"/>
      <c r="T20" s="8">
        <v>460000</v>
      </c>
      <c r="U20" s="9"/>
      <c r="V20" s="8">
        <f>SUM(C20:T20)</f>
        <v>82545120</v>
      </c>
      <c r="W20" s="9"/>
      <c r="X20" s="11">
        <v>5.6029051543304793E-2</v>
      </c>
      <c r="Y20" s="14"/>
      <c r="Z20" s="12">
        <v>1931.6029391117142</v>
      </c>
    </row>
    <row r="21" spans="1:28" ht="14" customHeight="1" x14ac:dyDescent="0.15">
      <c r="A21" s="4">
        <v>2018</v>
      </c>
      <c r="B21" s="4"/>
      <c r="C21" s="8">
        <v>52752896</v>
      </c>
      <c r="D21" s="9"/>
      <c r="E21" s="10">
        <v>13636966</v>
      </c>
      <c r="F21" s="9"/>
      <c r="G21" s="10">
        <v>715000</v>
      </c>
      <c r="H21" s="9"/>
      <c r="I21" s="10">
        <v>34264</v>
      </c>
      <c r="J21" s="9"/>
      <c r="K21" s="8">
        <v>0</v>
      </c>
      <c r="L21" s="9"/>
      <c r="M21" s="10">
        <v>13211178</v>
      </c>
      <c r="N21" s="9"/>
      <c r="O21" s="9"/>
      <c r="P21" s="10">
        <v>2127657</v>
      </c>
      <c r="Q21" s="9"/>
      <c r="R21" s="10">
        <v>289553</v>
      </c>
      <c r="S21" s="9"/>
      <c r="T21" s="10">
        <v>765000</v>
      </c>
      <c r="U21" s="9"/>
      <c r="V21" s="10">
        <f>SUM(C21:T21)</f>
        <v>83532514</v>
      </c>
      <c r="W21" s="9"/>
      <c r="X21" s="11">
        <f>V21/'[1]Demographics Last 10'!E14</f>
        <v>5.9816407751933032E-2</v>
      </c>
      <c r="Y21" s="14"/>
      <c r="Z21" s="12">
        <v>2028</v>
      </c>
      <c r="AB21" s="15"/>
    </row>
    <row r="22" spans="1:28" ht="14" customHeight="1" x14ac:dyDescent="0.15">
      <c r="A22" s="4">
        <v>2017</v>
      </c>
      <c r="B22" s="4"/>
      <c r="C22" s="8">
        <v>56613614</v>
      </c>
      <c r="D22" s="8"/>
      <c r="E22" s="10">
        <v>9011415</v>
      </c>
      <c r="F22" s="16"/>
      <c r="G22" s="17">
        <v>1230000</v>
      </c>
      <c r="H22" s="17"/>
      <c r="I22" s="17">
        <v>25147</v>
      </c>
      <c r="J22" s="18"/>
      <c r="K22" s="8">
        <v>0</v>
      </c>
      <c r="L22" s="16"/>
      <c r="M22" s="10">
        <v>8174779</v>
      </c>
      <c r="N22" s="19"/>
      <c r="O22" s="19"/>
      <c r="P22" s="17">
        <v>2533626</v>
      </c>
      <c r="Q22" s="19"/>
      <c r="R22" s="17">
        <v>92721</v>
      </c>
      <c r="S22" s="19"/>
      <c r="T22" s="17">
        <v>1065000</v>
      </c>
      <c r="U22" s="18"/>
      <c r="V22" s="10">
        <f t="shared" ref="V22:V26" si="1">SUM(C22:T22)</f>
        <v>78746302</v>
      </c>
      <c r="W22" s="9"/>
      <c r="X22" s="11">
        <v>6.2199999999999998E-2</v>
      </c>
      <c r="Y22" s="14"/>
      <c r="Z22" s="12">
        <v>1996</v>
      </c>
    </row>
    <row r="23" spans="1:28" ht="14" customHeight="1" x14ac:dyDescent="0.15">
      <c r="A23" s="4">
        <v>2016</v>
      </c>
      <c r="B23" s="4"/>
      <c r="C23" s="8">
        <v>56352272</v>
      </c>
      <c r="D23" s="8"/>
      <c r="E23" s="10">
        <v>4057189</v>
      </c>
      <c r="F23" s="16"/>
      <c r="G23" s="17">
        <v>1740000</v>
      </c>
      <c r="H23" s="17"/>
      <c r="I23" s="17">
        <v>58321</v>
      </c>
      <c r="J23" s="18"/>
      <c r="K23" s="8">
        <v>0</v>
      </c>
      <c r="L23" s="16"/>
      <c r="M23" s="10">
        <v>8331966</v>
      </c>
      <c r="N23" s="19"/>
      <c r="O23" s="19"/>
      <c r="P23" s="17">
        <v>3014595</v>
      </c>
      <c r="Q23" s="19"/>
      <c r="R23" s="17">
        <v>162262</v>
      </c>
      <c r="S23" s="19"/>
      <c r="T23" s="17">
        <v>1360000</v>
      </c>
      <c r="U23" s="18"/>
      <c r="V23" s="10">
        <f t="shared" si="1"/>
        <v>75076605</v>
      </c>
      <c r="W23" s="9"/>
      <c r="X23" s="11">
        <v>6.3877627834970183E-2</v>
      </c>
      <c r="Y23" s="14"/>
      <c r="Z23" s="12">
        <v>1979</v>
      </c>
    </row>
    <row r="24" spans="1:28" ht="14" customHeight="1" x14ac:dyDescent="0.15">
      <c r="A24" s="4">
        <v>2015</v>
      </c>
      <c r="B24" s="4"/>
      <c r="C24" s="14">
        <v>53410128</v>
      </c>
      <c r="D24" s="9"/>
      <c r="E24" s="14">
        <v>277801</v>
      </c>
      <c r="F24" s="9"/>
      <c r="G24" s="14">
        <v>1210000</v>
      </c>
      <c r="H24" s="9"/>
      <c r="I24" s="14">
        <v>91495</v>
      </c>
      <c r="J24" s="9"/>
      <c r="K24" s="14">
        <v>0</v>
      </c>
      <c r="L24" s="9"/>
      <c r="M24" s="14">
        <v>8946153</v>
      </c>
      <c r="N24" s="9"/>
      <c r="O24" s="9"/>
      <c r="P24" s="14">
        <v>3490564</v>
      </c>
      <c r="Q24" s="9"/>
      <c r="R24" s="14">
        <v>231803</v>
      </c>
      <c r="S24" s="9"/>
      <c r="T24" s="14">
        <v>1640000</v>
      </c>
      <c r="U24" s="9"/>
      <c r="V24" s="10">
        <f t="shared" si="1"/>
        <v>69297944</v>
      </c>
      <c r="W24" s="9"/>
      <c r="X24" s="11">
        <v>5.985126200561898E-2</v>
      </c>
      <c r="Y24" s="14"/>
      <c r="Z24" s="12">
        <v>1830</v>
      </c>
    </row>
    <row r="25" spans="1:28" ht="14" customHeight="1" x14ac:dyDescent="0.15">
      <c r="A25" s="4">
        <v>2014</v>
      </c>
      <c r="B25" s="4"/>
      <c r="C25" s="14">
        <v>56487433</v>
      </c>
      <c r="D25" s="14"/>
      <c r="E25" s="14">
        <v>543934</v>
      </c>
      <c r="F25" s="14"/>
      <c r="G25" s="14">
        <v>1585000</v>
      </c>
      <c r="H25" s="14"/>
      <c r="I25" s="14">
        <v>123370</v>
      </c>
      <c r="J25" s="14"/>
      <c r="K25" s="14">
        <v>0</v>
      </c>
      <c r="L25" s="14"/>
      <c r="M25" s="14">
        <v>9561204</v>
      </c>
      <c r="N25" s="14"/>
      <c r="O25" s="14"/>
      <c r="P25" s="14">
        <v>3966533</v>
      </c>
      <c r="Q25" s="14"/>
      <c r="R25" s="14">
        <v>347705</v>
      </c>
      <c r="S25" s="14"/>
      <c r="T25" s="14">
        <v>65000</v>
      </c>
      <c r="U25" s="14"/>
      <c r="V25" s="10">
        <f t="shared" si="1"/>
        <v>72680179</v>
      </c>
      <c r="W25" s="14"/>
      <c r="X25" s="11">
        <v>6.3505763332611376E-2</v>
      </c>
      <c r="Y25" s="14"/>
      <c r="Z25" s="12">
        <v>1992</v>
      </c>
    </row>
    <row r="26" spans="1:28" ht="14" customHeight="1" x14ac:dyDescent="0.15">
      <c r="A26" s="4">
        <v>2013</v>
      </c>
      <c r="B26" s="4"/>
      <c r="C26" s="14">
        <v>58693750</v>
      </c>
      <c r="D26" s="14"/>
      <c r="E26" s="14">
        <v>801767</v>
      </c>
      <c r="F26" s="14"/>
      <c r="G26" s="14">
        <v>2155000</v>
      </c>
      <c r="H26" s="14"/>
      <c r="I26" s="14">
        <v>22398</v>
      </c>
      <c r="J26" s="14"/>
      <c r="K26" s="14">
        <v>2215000</v>
      </c>
      <c r="L26" s="14"/>
      <c r="M26" s="14">
        <v>5048233</v>
      </c>
      <c r="N26" s="14"/>
      <c r="O26" s="14"/>
      <c r="P26" s="14">
        <v>2127502</v>
      </c>
      <c r="Q26" s="14"/>
      <c r="R26" s="14">
        <v>0</v>
      </c>
      <c r="S26" s="14"/>
      <c r="T26" s="14">
        <v>130000</v>
      </c>
      <c r="U26" s="14"/>
      <c r="V26" s="10">
        <f t="shared" si="1"/>
        <v>71193650</v>
      </c>
      <c r="W26" s="14"/>
      <c r="X26" s="11">
        <v>6.4997355038163451E-2</v>
      </c>
      <c r="Y26" s="14"/>
      <c r="Z26" s="12">
        <v>1982</v>
      </c>
    </row>
    <row r="27" spans="1:28" ht="14" hidden="1" customHeight="1" x14ac:dyDescent="0.15">
      <c r="A27" s="4">
        <v>2012</v>
      </c>
      <c r="B27" s="4"/>
      <c r="C27" s="14">
        <v>60878759</v>
      </c>
      <c r="D27" s="14"/>
      <c r="E27" s="14">
        <v>1581300</v>
      </c>
      <c r="F27" s="14"/>
      <c r="G27" s="14">
        <v>190000</v>
      </c>
      <c r="H27" s="14"/>
      <c r="I27" s="14">
        <v>60190</v>
      </c>
      <c r="J27" s="14"/>
      <c r="K27" s="14">
        <v>2342656</v>
      </c>
      <c r="L27" s="14"/>
      <c r="M27" s="14">
        <v>5383700</v>
      </c>
      <c r="N27" s="14"/>
      <c r="O27" s="14"/>
      <c r="P27" s="14">
        <v>2413471</v>
      </c>
      <c r="Q27" s="14"/>
      <c r="R27" s="14">
        <v>0</v>
      </c>
      <c r="S27" s="14"/>
      <c r="T27" s="14">
        <v>190000</v>
      </c>
      <c r="U27" s="14"/>
      <c r="V27" s="14">
        <v>73040076</v>
      </c>
      <c r="W27" s="14"/>
      <c r="X27" s="11">
        <v>8.1541675870331398E-2</v>
      </c>
      <c r="Y27" s="14"/>
      <c r="Z27" s="12">
        <v>2117</v>
      </c>
    </row>
    <row r="28" spans="1:28" ht="14" customHeight="1" x14ac:dyDescent="0.15">
      <c r="V28" s="11"/>
    </row>
    <row r="29" spans="1:28" ht="14" customHeight="1" x14ac:dyDescent="0.15"/>
    <row r="30" spans="1:28" ht="14" customHeight="1" x14ac:dyDescent="0.15"/>
    <row r="31" spans="1:28" ht="14" customHeight="1" x14ac:dyDescent="0.15"/>
    <row r="32" spans="1:28" ht="14" customHeight="1" x14ac:dyDescent="0.15"/>
    <row r="33" ht="14" customHeight="1" x14ac:dyDescent="0.15"/>
    <row r="34" ht="14" customHeight="1" x14ac:dyDescent="0.15"/>
    <row r="35" ht="14" customHeight="1" x14ac:dyDescent="0.15"/>
    <row r="36" ht="14" customHeight="1" x14ac:dyDescent="0.15"/>
  </sheetData>
  <mergeCells count="6">
    <mergeCell ref="A1:M1"/>
    <mergeCell ref="A3:M3"/>
    <mergeCell ref="A5:M5"/>
    <mergeCell ref="C10:I10"/>
    <mergeCell ref="K10:M10"/>
    <mergeCell ref="O10:T10"/>
  </mergeCells>
  <pageMargins left="0.75" right="0.75" top="0.5" bottom="1" header="0.5" footer="0.5"/>
  <pageSetup firstPageNumber="105" orientation="portrait" useFirstPageNumber="1" r:id="rId1"/>
  <headerFooter differentOddEven="1" alignWithMargins="0">
    <oddFooter>&amp;C&amp;"Verdana,Bold"&amp;9&amp;P</oddFooter>
    <evenHeader>&amp;R&amp;"Verdana,Bold"&amp;9TABLE 12</evenHeader>
    <evenFooter>&amp;C&amp;"Verdana,Bold"&amp;9&amp;P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Debt Ratios by Type</vt:lpstr>
      <vt:lpstr>'Debt Ratios by Type'!Print_Area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S</dc:creator>
  <cp:lastModifiedBy>D S</cp:lastModifiedBy>
  <dcterms:created xsi:type="dcterms:W3CDTF">2026-02-15T20:30:51Z</dcterms:created>
  <dcterms:modified xsi:type="dcterms:W3CDTF">2026-02-15T20:31:49Z</dcterms:modified>
</cp:coreProperties>
</file>
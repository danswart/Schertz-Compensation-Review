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1"/>
  <workbookPr/>
  <mc:AlternateContent xmlns:mc="http://schemas.openxmlformats.org/markup-compatibility/2006">
    <mc:Choice Requires="x15">
      <x15ac:absPath xmlns:x15ac="http://schemas.microsoft.com/office/spreadsheetml/2010/11/ac" url="/Users/D/R Working Directory/Schertz Compensation Review/ACFR FY23/"/>
    </mc:Choice>
  </mc:AlternateContent>
  <xr:revisionPtr revIDLastSave="0" documentId="8_{996D6719-00EE-454D-A11A-DB5FCC60AC32}" xr6:coauthVersionLast="47" xr6:coauthVersionMax="47" xr10:uidLastSave="{00000000-0000-0000-0000-000000000000}"/>
  <bookViews>
    <workbookView xWindow="7260" yWindow="3520" windowWidth="27240" windowHeight="16440" xr2:uid="{73147620-8C87-8146-9562-12E37B8057A1}"/>
  </bookViews>
  <sheets>
    <sheet name="Gov Activity Debt " sheetId="1" r:id="rId1"/>
  </sheets>
  <definedNames>
    <definedName name="_xlnm.Print_Area" localSheetId="0">'Gov Activity Debt '!$A$1:$G$33</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2" i="1" l="1"/>
  <c r="G21" i="1"/>
  <c r="G20" i="1"/>
  <c r="G19" i="1"/>
  <c r="G18" i="1"/>
  <c r="G17" i="1"/>
  <c r="G16" i="1"/>
  <c r="G15" i="1"/>
  <c r="G14" i="1"/>
  <c r="G24" i="1" s="1"/>
  <c r="G28" i="1" s="1"/>
</calcChain>
</file>

<file path=xl/sharedStrings.xml><?xml version="1.0" encoding="utf-8"?>
<sst xmlns="http://schemas.openxmlformats.org/spreadsheetml/2006/main" count="28" uniqueCount="26">
  <si>
    <t>CITY OF SCHERTZ, TEXAS</t>
  </si>
  <si>
    <t>DIRECT AND OVERLAPPING GOVERNMENTAL ACTIVITIES DEBT</t>
  </si>
  <si>
    <t>CURRENT YEAR</t>
  </si>
  <si>
    <t>Estimated</t>
  </si>
  <si>
    <t>Share of</t>
  </si>
  <si>
    <t>Debt</t>
  </si>
  <si>
    <t>Percentage</t>
  </si>
  <si>
    <t>Overlapping</t>
  </si>
  <si>
    <t>Governmental Unit</t>
  </si>
  <si>
    <t>Outstanding</t>
  </si>
  <si>
    <t>Applicable*</t>
  </si>
  <si>
    <t>Debt  repaid with property taxes:</t>
  </si>
  <si>
    <t>Alamo CCD</t>
  </si>
  <si>
    <t>Bexar County</t>
  </si>
  <si>
    <t>Bexar County Hospital District</t>
  </si>
  <si>
    <t>Comal County</t>
  </si>
  <si>
    <t>Comal ISD</t>
  </si>
  <si>
    <t>East Central ISD</t>
  </si>
  <si>
    <t>Guadalupe County</t>
  </si>
  <si>
    <t>Judson ISD</t>
  </si>
  <si>
    <t>Schertz-Cibolo-Universal ISD</t>
  </si>
  <si>
    <t>Subtotal, Overlapping Debt</t>
  </si>
  <si>
    <t>City Governmental Activities Direct Debt</t>
  </si>
  <si>
    <t xml:space="preserve">    TOTAL NET OVERLAPPING DEBT</t>
  </si>
  <si>
    <t xml:space="preserve">NOTES: The overlapping debt was received from the Municipal Advisory Council of Texas. Details regarding the City's outstanding debt can be found in the notes to the basic financial statements. </t>
  </si>
  <si>
    <t xml:space="preserve">Overlapping debt is the proportionate share of the debts of local jurisdictions located wholly or in part within the limits of the City of Shertz. This schedule is intended to demonstrate the total debt that the City of Shertz property tax payers will be expected to repay. The amount of debt applicable to the City of Schertz is computed by (a) determining what portion of total assessed value of the overlapping jurisdiction lies within the limits of the City and (b) applying this percentage to the total governmental activities debt of the overlapping jurisdiction.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</si>
</sst>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_(* \(#,##0\);_(* &quot;-&quot;_);_(@_)"/>
    <numFmt numFmtId="44" formatCode="_(&quot;$&quot;* #,##0.00_);_(&quot;$&quot;* \(#,##0.00\);_(&quot;$&quot;* &quot;-&quot;??_);_(@_)"/>
    <numFmt numFmtId="164" formatCode="_(&quot;$&quot;* #,##0_);_(&quot;$&quot;* \(#,##0\);_(&quot;$&quot;* &quot;-&quot;??_);_(@_)"/>
    <numFmt numFmtId="165" formatCode="&quot;$&quot;_(* #,##0_);&quot;$&quot;\(* #,##0\);&quot;$&quot;_(* &quot;-&quot;???_);_(@_)"/>
    <numFmt numFmtId="166" formatCode="_$_(* #,##0_);_$\(* #,##0\);_$_(* &quot;-&quot;???_);_$_(@_)"/>
  </numFmts>
  <fonts count="8" x14ac:knownFonts="1">
    <font>
      <sz val="11"/>
      <name val="Times New Roman"/>
      <family val="1"/>
    </font>
    <font>
      <b/>
      <sz val="9"/>
      <name val="Verdana"/>
      <family val="2"/>
    </font>
    <font>
      <sz val="9"/>
      <name val="Verdana"/>
      <family val="2"/>
    </font>
    <font>
      <u/>
      <sz val="9"/>
      <name val="Verdana"/>
      <family val="2"/>
    </font>
    <font>
      <i/>
      <sz val="9"/>
      <name val="Verdana"/>
      <family val="2"/>
    </font>
    <font>
      <sz val="10"/>
      <name val="Arial"/>
      <family val="2"/>
    </font>
    <font>
      <u val="singleAccounting"/>
      <sz val="9"/>
      <name val="Verdana"/>
      <family val="2"/>
    </font>
    <font>
      <u val="doubleAccounting"/>
      <sz val="9"/>
      <name val="Verdana"/>
      <family val="2"/>
    </font>
  </fonts>
  <fills count="2">
    <fill>
      <patternFill patternType="none"/>
    </fill>
    <fill>
      <patternFill patternType="gray125"/>
    </fill>
  </fills>
  <borders count="2">
    <border>
      <left/>
      <right/>
      <top/>
      <bottom/>
      <diagonal/>
    </border>
    <border>
      <left/>
      <right/>
      <top/>
      <bottom style="thin">
        <color indexed="64"/>
      </bottom>
      <diagonal/>
    </border>
  </borders>
  <cellStyleXfs count="2">
    <xf numFmtId="0" fontId="0" fillId="0" borderId="0"/>
    <xf numFmtId="44" fontId="5" fillId="0" borderId="0" applyFont="0" applyFill="0" applyBorder="0" applyAlignment="0" applyProtection="0"/>
  </cellStyleXfs>
  <cellXfs count="21">
    <xf numFmtId="0" fontId="0" fillId="0" borderId="0" xfId="0"/>
    <xf numFmtId="0" fontId="1" fillId="0" borderId="0" xfId="0" applyFont="1" applyAlignment="1">
      <alignment horizontal="center"/>
    </xf>
    <xf numFmtId="0" fontId="2" fillId="0" borderId="0" xfId="0" applyFont="1"/>
    <xf numFmtId="0" fontId="2" fillId="0" borderId="0" xfId="0" applyFont="1" applyAlignment="1">
      <alignment horizontal="center"/>
    </xf>
    <xf numFmtId="0" fontId="2" fillId="0" borderId="0" xfId="0" applyFont="1" applyAlignment="1">
      <alignment horizontal="center"/>
    </xf>
    <xf numFmtId="0" fontId="2" fillId="0" borderId="1" xfId="0" applyFont="1" applyBorder="1" applyAlignment="1">
      <alignment horizontal="center"/>
    </xf>
    <xf numFmtId="0" fontId="3" fillId="0" borderId="0" xfId="0" applyFont="1" applyAlignment="1">
      <alignment horizontal="center"/>
    </xf>
    <xf numFmtId="0" fontId="4" fillId="0" borderId="0" xfId="0" applyFont="1"/>
    <xf numFmtId="164" fontId="2" fillId="0" borderId="0" xfId="1" applyNumberFormat="1" applyFont="1" applyFill="1"/>
    <xf numFmtId="10" fontId="2" fillId="0" borderId="0" xfId="0" applyNumberFormat="1" applyFont="1"/>
    <xf numFmtId="165" fontId="2" fillId="0" borderId="0" xfId="1" applyNumberFormat="1" applyFont="1" applyFill="1"/>
    <xf numFmtId="41" fontId="2" fillId="0" borderId="0" xfId="0" applyNumberFormat="1" applyFont="1"/>
    <xf numFmtId="166" fontId="2" fillId="0" borderId="0" xfId="0" applyNumberFormat="1" applyFont="1"/>
    <xf numFmtId="0" fontId="2" fillId="0" borderId="0" xfId="0" applyFont="1" applyAlignment="1">
      <alignment vertical="center"/>
    </xf>
    <xf numFmtId="41" fontId="2" fillId="0" borderId="0" xfId="0" applyNumberFormat="1" applyFont="1" applyAlignment="1">
      <alignment vertical="center"/>
    </xf>
    <xf numFmtId="10" fontId="2" fillId="0" borderId="0" xfId="0" applyNumberFormat="1" applyFont="1" applyAlignment="1">
      <alignment vertical="center"/>
    </xf>
    <xf numFmtId="166" fontId="6" fillId="0" borderId="0" xfId="0" applyNumberFormat="1" applyFont="1" applyAlignment="1">
      <alignment vertical="center"/>
    </xf>
    <xf numFmtId="166" fontId="6" fillId="0" borderId="0" xfId="0" applyNumberFormat="1" applyFont="1"/>
    <xf numFmtId="0" fontId="1" fillId="0" borderId="0" xfId="0" applyFont="1"/>
    <xf numFmtId="165" fontId="7" fillId="0" borderId="0" xfId="0" applyNumberFormat="1" applyFont="1"/>
    <xf numFmtId="0" fontId="4" fillId="0" borderId="0" xfId="0" applyFont="1" applyAlignment="1">
      <alignment horizontal="justify" wrapText="1"/>
    </xf>
  </cellXfs>
  <cellStyles count="2">
    <cellStyle name="Currency 4" xfId="1" xr:uid="{EA53B9E8-F54F-E74D-99C2-F9656B824A4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D4CAF-DE89-8A4D-8159-E02CF04AD57C}">
  <sheetPr>
    <tabColor rgb="FF92D050"/>
  </sheetPr>
  <dimension ref="A1:G54"/>
  <sheetViews>
    <sheetView tabSelected="1" zoomScaleNormal="100" workbookViewId="0">
      <selection activeCell="G27" sqref="G27"/>
    </sheetView>
  </sheetViews>
  <sheetFormatPr baseColWidth="10" defaultColWidth="9.1640625" defaultRowHeight="12" x14ac:dyDescent="0.15"/>
  <cols>
    <col min="1" max="1" width="25.1640625" style="2" customWidth="1"/>
    <col min="2" max="2" width="3.6640625" style="2" customWidth="1"/>
    <col min="3" max="3" width="19" style="2" customWidth="1"/>
    <col min="4" max="4" width="3.6640625" style="2" customWidth="1"/>
    <col min="5" max="5" width="15.83203125" style="2" customWidth="1"/>
    <col min="6" max="6" width="3.6640625" style="2" customWidth="1"/>
    <col min="7" max="7" width="19.6640625" style="2" customWidth="1"/>
    <col min="8" max="16384" width="9.1640625" style="2"/>
  </cols>
  <sheetData>
    <row r="1" spans="1:7" x14ac:dyDescent="0.15">
      <c r="A1" s="1" t="s">
        <v>0</v>
      </c>
      <c r="B1" s="1"/>
      <c r="C1" s="1"/>
      <c r="D1" s="1"/>
      <c r="E1" s="1"/>
      <c r="F1" s="1"/>
      <c r="G1" s="1"/>
    </row>
    <row r="3" spans="1:7" x14ac:dyDescent="0.15">
      <c r="A3" s="3" t="s">
        <v>1</v>
      </c>
      <c r="B3" s="3"/>
      <c r="C3" s="3"/>
      <c r="D3" s="3"/>
      <c r="E3" s="3"/>
      <c r="F3" s="3"/>
      <c r="G3" s="3"/>
    </row>
    <row r="5" spans="1:7" x14ac:dyDescent="0.15">
      <c r="A5" s="3" t="s">
        <v>2</v>
      </c>
      <c r="B5" s="3"/>
      <c r="C5" s="3"/>
      <c r="D5" s="3"/>
      <c r="E5" s="3"/>
      <c r="F5" s="3"/>
      <c r="G5" s="3"/>
    </row>
    <row r="7" spans="1:7" x14ac:dyDescent="0.15">
      <c r="A7" s="4"/>
      <c r="B7" s="4"/>
      <c r="C7" s="4"/>
      <c r="D7" s="4"/>
      <c r="E7" s="4"/>
      <c r="F7" s="4"/>
      <c r="G7" s="4" t="s">
        <v>3</v>
      </c>
    </row>
    <row r="8" spans="1:7" ht="14" customHeight="1" x14ac:dyDescent="0.15">
      <c r="A8" s="4"/>
      <c r="B8" s="4"/>
      <c r="C8" s="4"/>
      <c r="D8" s="4"/>
      <c r="E8" s="4" t="s">
        <v>3</v>
      </c>
      <c r="F8" s="4"/>
      <c r="G8" s="4" t="s">
        <v>4</v>
      </c>
    </row>
    <row r="9" spans="1:7" ht="14" customHeight="1" x14ac:dyDescent="0.15">
      <c r="A9" s="4"/>
      <c r="B9" s="4"/>
      <c r="C9" s="4" t="s">
        <v>5</v>
      </c>
      <c r="D9" s="4"/>
      <c r="E9" s="4" t="s">
        <v>6</v>
      </c>
      <c r="F9" s="4"/>
      <c r="G9" s="4" t="s">
        <v>7</v>
      </c>
    </row>
    <row r="10" spans="1:7" ht="14" customHeight="1" x14ac:dyDescent="0.15">
      <c r="A10" s="5" t="s">
        <v>8</v>
      </c>
      <c r="B10" s="6"/>
      <c r="C10" s="5" t="s">
        <v>9</v>
      </c>
      <c r="D10" s="6"/>
      <c r="E10" s="5" t="s">
        <v>10</v>
      </c>
      <c r="F10" s="6"/>
      <c r="G10" s="5" t="s">
        <v>5</v>
      </c>
    </row>
    <row r="11" spans="1:7" ht="14" customHeight="1" x14ac:dyDescent="0.15"/>
    <row r="12" spans="1:7" ht="14" customHeight="1" x14ac:dyDescent="0.15">
      <c r="A12" s="7" t="s">
        <v>11</v>
      </c>
      <c r="B12" s="7"/>
    </row>
    <row r="13" spans="1:7" ht="14" customHeight="1" x14ac:dyDescent="0.15"/>
    <row r="14" spans="1:7" ht="14" customHeight="1" x14ac:dyDescent="0.15">
      <c r="A14" s="2" t="s">
        <v>12</v>
      </c>
      <c r="C14" s="8">
        <v>809962090</v>
      </c>
      <c r="D14" s="8"/>
      <c r="E14" s="9">
        <v>3.8E-3</v>
      </c>
      <c r="F14" s="9"/>
      <c r="G14" s="10">
        <f>C14*E14</f>
        <v>3077855.9419999998</v>
      </c>
    </row>
    <row r="15" spans="1:7" ht="14" customHeight="1" x14ac:dyDescent="0.15">
      <c r="A15" s="2" t="s">
        <v>13</v>
      </c>
      <c r="C15" s="11">
        <v>2207225000</v>
      </c>
      <c r="D15" s="11"/>
      <c r="E15" s="9">
        <v>3.8E-3</v>
      </c>
      <c r="F15" s="9"/>
      <c r="G15" s="12">
        <f t="shared" ref="G15:G21" si="0">C15*E15</f>
        <v>8387455</v>
      </c>
    </row>
    <row r="16" spans="1:7" ht="14" customHeight="1" x14ac:dyDescent="0.15">
      <c r="A16" s="2" t="s">
        <v>14</v>
      </c>
      <c r="C16" s="11">
        <v>1168200000</v>
      </c>
      <c r="D16" s="11"/>
      <c r="E16" s="9">
        <v>3.8E-3</v>
      </c>
      <c r="F16" s="9"/>
      <c r="G16" s="12">
        <f t="shared" si="0"/>
        <v>4439160</v>
      </c>
    </row>
    <row r="17" spans="1:7" ht="14" customHeight="1" x14ac:dyDescent="0.15">
      <c r="A17" s="2" t="s">
        <v>15</v>
      </c>
      <c r="C17" s="11">
        <v>121175000</v>
      </c>
      <c r="D17" s="11"/>
      <c r="E17" s="9">
        <v>3.5900000000000001E-2</v>
      </c>
      <c r="F17" s="9"/>
      <c r="G17" s="12">
        <f t="shared" si="0"/>
        <v>4350182.5</v>
      </c>
    </row>
    <row r="18" spans="1:7" ht="14" customHeight="1" x14ac:dyDescent="0.15">
      <c r="A18" s="2" t="s">
        <v>16</v>
      </c>
      <c r="C18" s="11">
        <v>1049362848</v>
      </c>
      <c r="D18" s="11"/>
      <c r="E18" s="9">
        <v>3.9800000000000002E-2</v>
      </c>
      <c r="F18" s="9"/>
      <c r="G18" s="12">
        <f t="shared" si="0"/>
        <v>41764641.350400001</v>
      </c>
    </row>
    <row r="19" spans="1:7" ht="14" customHeight="1" x14ac:dyDescent="0.15">
      <c r="A19" s="2" t="s">
        <v>17</v>
      </c>
      <c r="C19" s="11">
        <v>101935155</v>
      </c>
      <c r="D19" s="11"/>
      <c r="E19" s="9">
        <v>3.3399999999999999E-2</v>
      </c>
      <c r="F19" s="9"/>
      <c r="G19" s="12">
        <f t="shared" si="0"/>
        <v>3404634.1770000001</v>
      </c>
    </row>
    <row r="20" spans="1:7" ht="14" customHeight="1" x14ac:dyDescent="0.15">
      <c r="A20" s="2" t="s">
        <v>18</v>
      </c>
      <c r="C20" s="11">
        <v>13145000</v>
      </c>
      <c r="D20" s="11"/>
      <c r="E20" s="9">
        <v>0.18290000000000001</v>
      </c>
      <c r="F20" s="9"/>
      <c r="G20" s="12">
        <f t="shared" si="0"/>
        <v>2404220.5</v>
      </c>
    </row>
    <row r="21" spans="1:7" ht="14" customHeight="1" x14ac:dyDescent="0.15">
      <c r="A21" s="2" t="s">
        <v>19</v>
      </c>
      <c r="C21" s="11">
        <v>552986085</v>
      </c>
      <c r="D21" s="11"/>
      <c r="E21" s="9">
        <v>2.9999999999999997E-4</v>
      </c>
      <c r="F21" s="9"/>
      <c r="G21" s="12">
        <f t="shared" si="0"/>
        <v>165895.82549999998</v>
      </c>
    </row>
    <row r="22" spans="1:7" s="13" customFormat="1" ht="14" customHeight="1" x14ac:dyDescent="0.15">
      <c r="A22" s="13" t="s">
        <v>20</v>
      </c>
      <c r="C22" s="14">
        <v>374839507</v>
      </c>
      <c r="D22" s="14"/>
      <c r="E22" s="15">
        <v>0.46550000000000002</v>
      </c>
      <c r="F22" s="15"/>
      <c r="G22" s="16">
        <f>C22*E22-0.5</f>
        <v>174487790.00850001</v>
      </c>
    </row>
    <row r="23" spans="1:7" ht="14" customHeight="1" x14ac:dyDescent="0.15">
      <c r="C23" s="11"/>
      <c r="D23" s="11"/>
      <c r="E23" s="9"/>
      <c r="F23" s="9"/>
      <c r="G23" s="11"/>
    </row>
    <row r="24" spans="1:7" ht="14" customHeight="1" x14ac:dyDescent="0.15">
      <c r="A24" s="2" t="s">
        <v>21</v>
      </c>
      <c r="G24" s="12">
        <f>SUM(G14:G23)</f>
        <v>242481835.30340001</v>
      </c>
    </row>
    <row r="25" spans="1:7" ht="14" customHeight="1" x14ac:dyDescent="0.15">
      <c r="G25" s="11"/>
    </row>
    <row r="26" spans="1:7" ht="14" customHeight="1" x14ac:dyDescent="0.3">
      <c r="A26" s="2" t="s">
        <v>22</v>
      </c>
      <c r="G26" s="17">
        <v>94527708</v>
      </c>
    </row>
    <row r="27" spans="1:7" ht="14" customHeight="1" x14ac:dyDescent="0.15"/>
    <row r="28" spans="1:7" ht="15" x14ac:dyDescent="0.3">
      <c r="A28" s="18" t="s">
        <v>23</v>
      </c>
      <c r="G28" s="19">
        <f>SUM(G24:G27)</f>
        <v>337009543.30340004</v>
      </c>
    </row>
    <row r="29" spans="1:7" ht="14" customHeight="1" x14ac:dyDescent="0.15"/>
    <row r="30" spans="1:7" ht="14" customHeight="1" x14ac:dyDescent="0.15"/>
    <row r="31" spans="1:7" ht="27" customHeight="1" x14ac:dyDescent="0.15">
      <c r="A31" s="20" t="s">
        <v>24</v>
      </c>
      <c r="B31" s="20"/>
      <c r="C31" s="20"/>
      <c r="D31" s="20"/>
      <c r="E31" s="20"/>
      <c r="F31" s="20"/>
      <c r="G31" s="20"/>
    </row>
    <row r="32" spans="1:7" ht="14" customHeight="1" x14ac:dyDescent="0.15"/>
    <row r="33" spans="1:7" ht="78.75" customHeight="1" x14ac:dyDescent="0.15">
      <c r="A33" s="20" t="s">
        <v>25</v>
      </c>
      <c r="B33" s="20"/>
      <c r="C33" s="20"/>
      <c r="D33" s="20"/>
      <c r="E33" s="20"/>
      <c r="F33" s="20"/>
      <c r="G33" s="20"/>
    </row>
    <row r="34" spans="1:7" ht="14" customHeight="1" x14ac:dyDescent="0.15">
      <c r="A34" s="7"/>
    </row>
    <row r="35" spans="1:7" ht="14" customHeight="1" x14ac:dyDescent="0.15">
      <c r="A35" s="7"/>
    </row>
    <row r="36" spans="1:7" ht="14" customHeight="1" x14ac:dyDescent="0.15">
      <c r="A36" s="7"/>
    </row>
    <row r="37" spans="1:7" ht="14" customHeight="1" x14ac:dyDescent="0.15">
      <c r="A37" s="7"/>
    </row>
    <row r="38" spans="1:7" ht="14" customHeight="1" x14ac:dyDescent="0.15"/>
    <row r="39" spans="1:7" ht="14" customHeight="1" x14ac:dyDescent="0.15"/>
    <row r="40" spans="1:7" ht="14" customHeight="1" x14ac:dyDescent="0.15"/>
    <row r="41" spans="1:7" ht="14" customHeight="1" x14ac:dyDescent="0.15"/>
    <row r="42" spans="1:7" ht="14" customHeight="1" x14ac:dyDescent="0.15"/>
    <row r="43" spans="1:7" ht="14" customHeight="1" x14ac:dyDescent="0.15"/>
    <row r="45" spans="1:7" ht="14" customHeight="1" x14ac:dyDescent="0.15"/>
    <row r="46" spans="1:7" ht="14" customHeight="1" x14ac:dyDescent="0.15"/>
    <row r="47" spans="1:7" ht="14" customHeight="1" x14ac:dyDescent="0.15"/>
    <row r="48" spans="1:7" ht="14" customHeight="1" x14ac:dyDescent="0.15"/>
    <row r="49" ht="14" customHeight="1" x14ac:dyDescent="0.15"/>
    <row r="50" ht="14" customHeight="1" x14ac:dyDescent="0.15"/>
    <row r="51" ht="14" customHeight="1" x14ac:dyDescent="0.15"/>
    <row r="52" ht="14" customHeight="1" x14ac:dyDescent="0.15"/>
    <row r="53" ht="14" customHeight="1" x14ac:dyDescent="0.15"/>
    <row r="54" ht="14" customHeight="1" x14ac:dyDescent="0.15"/>
  </sheetData>
  <mergeCells count="5">
    <mergeCell ref="A1:G1"/>
    <mergeCell ref="A3:G3"/>
    <mergeCell ref="A5:G5"/>
    <mergeCell ref="A31:G31"/>
    <mergeCell ref="A33:G33"/>
  </mergeCells>
  <pageMargins left="0.75" right="0.75" top="0.5" bottom="1" header="0.5" footer="0.5"/>
  <pageSetup firstPageNumber="108" orientation="portrait" useFirstPageNumber="1" r:id="rId1"/>
  <headerFooter alignWithMargins="0">
    <oddHeader>&amp;R&amp;"Verdana,Bold"&amp;9TABLE 14</oddHeader>
    <oddFooter>&amp;C&amp;"Verdana,Bold"&amp;9&amp;P</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Gov Activity Debt </vt:lpstr>
      <vt:lpstr>'Gov Activity Debt '!Print_Area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 S</dc:creator>
  <cp:lastModifiedBy>D S</cp:lastModifiedBy>
  <dcterms:created xsi:type="dcterms:W3CDTF">2026-02-15T20:33:10Z</dcterms:created>
  <dcterms:modified xsi:type="dcterms:W3CDTF">2026-02-15T20:33:43Z</dcterms:modified>
</cp:coreProperties>
</file>
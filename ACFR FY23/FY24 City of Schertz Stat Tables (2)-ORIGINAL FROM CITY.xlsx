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R Working Directory/Schertz Compensation Review/ACFR FY23/"/>
    </mc:Choice>
  </mc:AlternateContent>
  <xr:revisionPtr revIDLastSave="0" documentId="8_{045B3479-2A10-AA41-B3FC-B3D33DBF2C31}" xr6:coauthVersionLast="47" xr6:coauthVersionMax="47" xr10:uidLastSave="{00000000-0000-0000-0000-000000000000}"/>
  <bookViews>
    <workbookView xWindow="0" yWindow="0" windowWidth="40960" windowHeight="23040" tabRatio="758" activeTab="5" xr2:uid="{00000000-000D-0000-FFFF-FFFF00000000}"/>
  </bookViews>
  <sheets>
    <sheet name="Table 6#" sheetId="6" r:id="rId1"/>
    <sheet name="Table 7" sheetId="7" r:id="rId2"/>
    <sheet name="Table 8" sheetId="9" r:id="rId3"/>
    <sheet name="Table 9" sheetId="10" r:id="rId4"/>
    <sheet name="Table 10" sheetId="11" r:id="rId5"/>
    <sheet name="Table 11#" sheetId="12" r:id="rId6"/>
    <sheet name="Table 12" sheetId="13" r:id="rId7"/>
    <sheet name="Table 13" sheetId="14" r:id="rId8"/>
    <sheet name="Table 14" sheetId="15" r:id="rId9"/>
    <sheet name="Table 15" sheetId="16" r:id="rId10"/>
    <sheet name="Table 16" sheetId="17" r:id="rId11"/>
    <sheet name="Table 17" sheetId="18" r:id="rId12"/>
    <sheet name="Table 18" sheetId="19" r:id="rId13"/>
    <sheet name="Table 19#" sheetId="20" r:id="rId14"/>
    <sheet name="Table 20" sheetId="22" r:id="rId15"/>
    <sheet name="Table 21" sheetId="23" r:id="rId16"/>
  </sheets>
  <definedNames>
    <definedName name="_xlnm._FilterDatabase" localSheetId="1" hidden="1">'Table 7'!$A$11:$M$29</definedName>
    <definedName name="_xlnm.Print_Area" localSheetId="4">'Table 10'!$A$1:$M$27</definedName>
    <definedName name="_xlnm.Print_Area" localSheetId="5">'Table 11#'!$A$1:$O$30</definedName>
    <definedName name="_xlnm.Print_Area" localSheetId="6">'Table 12'!$A$1:$Z$27</definedName>
    <definedName name="_xlnm.Print_Area" localSheetId="7">'Table 13'!$A$1:$M$27</definedName>
    <definedName name="_xlnm.Print_Area" localSheetId="8">'Table 14'!$A$1:$G$33</definedName>
    <definedName name="_xlnm.Print_Area" localSheetId="9">'Table 15'!$A$1:$G$47</definedName>
    <definedName name="_xlnm.Print_Area" localSheetId="10">'Table 16'!$A$1:$M$29</definedName>
    <definedName name="_xlnm.Print_Area" localSheetId="11">'Table 17'!$A$1:$O$34</definedName>
    <definedName name="_xlnm.Print_Area" localSheetId="12">'Table 18'!$A$1:$J$29</definedName>
    <definedName name="_xlnm.Print_Area" localSheetId="13">'Table 19#'!$A$1:$V$54</definedName>
    <definedName name="_xlnm.Print_Area" localSheetId="14">'Table 20'!$A$1:$X$80</definedName>
    <definedName name="_xlnm.Print_Area" localSheetId="15">'Table 21'!$A$1:$X$68</definedName>
    <definedName name="_xlnm.Print_Area" localSheetId="0">'Table 6#'!$A$1:$G$28</definedName>
    <definedName name="_xlnm.Print_Area" localSheetId="1">'Table 7'!$A$1:$M$33</definedName>
    <definedName name="_xlnm.Print_Area" localSheetId="2">'Table 8'!$A$1:$M$45</definedName>
    <definedName name="_xlnm.Print_Area" localSheetId="3">'Table 9'!$A$1:$M$38</definedName>
    <definedName name="_xlnm.Print_Titles" localSheetId="14">'Table 20'!$1:$10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5" i="13" l="1"/>
  <c r="P15" i="14"/>
  <c r="E15" i="14"/>
  <c r="C15" i="14"/>
  <c r="I15" i="14" s="1"/>
  <c r="F13" i="19"/>
  <c r="F14" i="19"/>
  <c r="F15" i="19"/>
  <c r="F16" i="19"/>
  <c r="F17" i="19"/>
  <c r="F18" i="19"/>
  <c r="F19" i="19"/>
  <c r="F20" i="19"/>
  <c r="F21" i="19"/>
  <c r="F12" i="19"/>
  <c r="M13" i="12"/>
  <c r="K13" i="12"/>
  <c r="I13" i="12"/>
  <c r="H13" i="12"/>
  <c r="F13" i="12"/>
  <c r="AJ95" i="12"/>
  <c r="AF95" i="12"/>
  <c r="AD95" i="12"/>
  <c r="AD94" i="12"/>
  <c r="AF94" i="12"/>
  <c r="AN94" i="12"/>
  <c r="AJ94" i="12"/>
  <c r="AN93" i="12"/>
  <c r="AH93" i="12"/>
  <c r="AF93" i="12"/>
  <c r="AD93" i="12"/>
  <c r="AJ93" i="12"/>
  <c r="M16" i="12"/>
  <c r="M23" i="7"/>
  <c r="M24" i="7"/>
  <c r="M25" i="7"/>
  <c r="M26" i="7"/>
  <c r="M27" i="7"/>
  <c r="M18" i="7"/>
  <c r="M19" i="7"/>
  <c r="C19" i="7"/>
  <c r="C18" i="7"/>
  <c r="C17" i="7"/>
  <c r="C16" i="7"/>
  <c r="C15" i="7"/>
  <c r="C14" i="7"/>
  <c r="C13" i="7"/>
  <c r="C12" i="7"/>
  <c r="M15" i="14" l="1"/>
  <c r="K15" i="14"/>
  <c r="C31" i="7"/>
  <c r="I35" i="10"/>
  <c r="G35" i="10"/>
  <c r="C26" i="10"/>
  <c r="C25" i="10"/>
  <c r="C24" i="10"/>
  <c r="C23" i="10"/>
  <c r="C22" i="10"/>
  <c r="C21" i="10"/>
  <c r="C20" i="10"/>
  <c r="C19" i="10"/>
  <c r="C18" i="10"/>
  <c r="AL96" i="12" l="1"/>
  <c r="AH96" i="12"/>
  <c r="AJ96" i="12"/>
  <c r="AF96" i="12"/>
  <c r="I15" i="11"/>
  <c r="I16" i="11"/>
  <c r="I17" i="11"/>
  <c r="I18" i="11"/>
  <c r="I19" i="11"/>
  <c r="I20" i="11"/>
  <c r="I21" i="11"/>
  <c r="I22" i="11"/>
  <c r="I23" i="11"/>
  <c r="I24" i="11"/>
  <c r="I14" i="11"/>
  <c r="I13" i="11"/>
  <c r="K13" i="11"/>
  <c r="M13" i="11" s="1"/>
  <c r="G13" i="11"/>
  <c r="E13" i="11"/>
  <c r="C57" i="10"/>
  <c r="C17" i="10" s="1"/>
  <c r="AN95" i="12" l="1"/>
  <c r="AD96" i="12"/>
  <c r="AN96" i="12" s="1"/>
  <c r="M14" i="12"/>
  <c r="F26" i="19"/>
  <c r="C33" i="7"/>
  <c r="AF29" i="7"/>
  <c r="T31" i="7"/>
  <c r="T11" i="7"/>
  <c r="T29" i="7" s="1"/>
  <c r="P16" i="13"/>
  <c r="M16" i="13"/>
  <c r="E16" i="13"/>
  <c r="C16" i="13"/>
  <c r="G12" i="7" l="1"/>
  <c r="G13" i="7"/>
  <c r="G14" i="7"/>
  <c r="G15" i="7"/>
  <c r="G16" i="7"/>
  <c r="G17" i="7"/>
  <c r="G18" i="7"/>
  <c r="G19" i="7"/>
  <c r="K15" i="11"/>
  <c r="K16" i="11"/>
  <c r="K17" i="11"/>
  <c r="K18" i="11"/>
  <c r="K19" i="11"/>
  <c r="K14" i="11"/>
  <c r="M14" i="11" s="1"/>
  <c r="G14" i="11"/>
  <c r="G15" i="17"/>
  <c r="M15" i="17" s="1"/>
  <c r="M22" i="7"/>
  <c r="M17" i="10"/>
  <c r="M32" i="10"/>
  <c r="M28" i="10"/>
  <c r="M19" i="10"/>
  <c r="J26" i="19"/>
  <c r="C11" i="18"/>
  <c r="C10" i="18" s="1"/>
  <c r="I33" i="16"/>
  <c r="G33" i="16"/>
  <c r="E20" i="16"/>
  <c r="G19" i="15"/>
  <c r="G21" i="15"/>
  <c r="O17" i="14"/>
  <c r="O18" i="14"/>
  <c r="O19" i="14"/>
  <c r="O16" i="14"/>
  <c r="E16" i="14"/>
  <c r="C16" i="14"/>
  <c r="G31" i="7" l="1"/>
  <c r="I16" i="14"/>
  <c r="Z16" i="13"/>
  <c r="AL88" i="12"/>
  <c r="AJ87" i="12"/>
  <c r="AH87" i="12"/>
  <c r="AF87" i="12"/>
  <c r="AD87" i="12"/>
  <c r="AN87" i="12" s="1"/>
  <c r="AJ86" i="12"/>
  <c r="AN86" i="12" s="1"/>
  <c r="AH86" i="12"/>
  <c r="AF86" i="12"/>
  <c r="AD86" i="12"/>
  <c r="AJ85" i="12"/>
  <c r="AH85" i="12"/>
  <c r="AF85" i="12"/>
  <c r="AD85" i="12"/>
  <c r="AN85" i="12" s="1"/>
  <c r="G10" i="16" l="1"/>
  <c r="C38" i="10" s="1"/>
  <c r="G26" i="10" s="1"/>
  <c r="P16" i="14"/>
  <c r="AH88" i="12"/>
  <c r="I14" i="12" s="1"/>
  <c r="AF88" i="12"/>
  <c r="H14" i="12" s="1"/>
  <c r="AJ88" i="12"/>
  <c r="K14" i="12" s="1"/>
  <c r="K16" i="14"/>
  <c r="M16" i="14"/>
  <c r="AD88" i="12"/>
  <c r="AN88" i="12" l="1"/>
  <c r="F14" i="12"/>
  <c r="V22" i="13"/>
  <c r="V23" i="13"/>
  <c r="V24" i="13"/>
  <c r="V25" i="13"/>
  <c r="V26" i="13"/>
  <c r="M17" i="12"/>
  <c r="M18" i="12"/>
  <c r="M19" i="12"/>
  <c r="M20" i="12"/>
  <c r="M21" i="12"/>
  <c r="M22" i="12"/>
  <c r="M23" i="12"/>
  <c r="M24" i="12"/>
  <c r="M15" i="12"/>
  <c r="C38" i="16"/>
  <c r="C40" i="16" s="1"/>
  <c r="E38" i="16"/>
  <c r="E40" i="16" s="1"/>
  <c r="G38" i="16"/>
  <c r="G40" i="16" s="1"/>
  <c r="C45" i="16"/>
  <c r="C47" i="16" s="1"/>
  <c r="E45" i="16"/>
  <c r="E47" i="16" s="1"/>
  <c r="G45" i="16"/>
  <c r="G47" i="16" s="1"/>
  <c r="E17" i="13"/>
  <c r="P17" i="13"/>
  <c r="M17" i="13"/>
  <c r="C17" i="13"/>
  <c r="E16" i="17"/>
  <c r="R52" i="20"/>
  <c r="M15" i="11"/>
  <c r="G15" i="11"/>
  <c r="M31" i="10"/>
  <c r="G16" i="9"/>
  <c r="N52" i="20"/>
  <c r="L52" i="20"/>
  <c r="J52" i="20"/>
  <c r="I52" i="20"/>
  <c r="G52" i="20"/>
  <c r="E52" i="20"/>
  <c r="C41" i="20"/>
  <c r="C52" i="20" s="1"/>
  <c r="AC12" i="7"/>
  <c r="AJ12" i="7"/>
  <c r="M21" i="10"/>
  <c r="I17" i="17"/>
  <c r="E17" i="17"/>
  <c r="G17" i="17" s="1"/>
  <c r="G16" i="17" l="1"/>
  <c r="M16" i="17" s="1"/>
  <c r="V17" i="13"/>
  <c r="Z17" i="13" s="1"/>
  <c r="C17" i="14"/>
  <c r="E17" i="14"/>
  <c r="M17" i="17"/>
  <c r="G16" i="11"/>
  <c r="I18" i="14"/>
  <c r="K18" i="14" s="1"/>
  <c r="S25" i="12"/>
  <c r="U25" i="12"/>
  <c r="AD25" i="12"/>
  <c r="AF25" i="12"/>
  <c r="I17" i="14" l="1"/>
  <c r="K17" i="14" s="1"/>
  <c r="M18" i="14"/>
  <c r="AH25" i="12"/>
  <c r="AN25" i="12" s="1"/>
  <c r="W25" i="12"/>
  <c r="M17" i="14" l="1"/>
  <c r="Q52" i="20"/>
  <c r="P52" i="20"/>
  <c r="V18" i="13"/>
  <c r="Z18" i="13" s="1"/>
  <c r="AL70" i="12"/>
  <c r="AJ69" i="12"/>
  <c r="AF69" i="12"/>
  <c r="AD69" i="12"/>
  <c r="AJ68" i="12"/>
  <c r="AF68" i="12"/>
  <c r="AD68" i="12"/>
  <c r="AJ67" i="12"/>
  <c r="AF67" i="12"/>
  <c r="AD67" i="12"/>
  <c r="M16" i="11"/>
  <c r="M33" i="10"/>
  <c r="M27" i="10"/>
  <c r="M29" i="10"/>
  <c r="M30" i="10"/>
  <c r="G17" i="9"/>
  <c r="AJ10" i="7"/>
  <c r="AC10" i="7"/>
  <c r="M20" i="7" l="1"/>
  <c r="AF70" i="12"/>
  <c r="AH69" i="12"/>
  <c r="AN69" i="12" s="1"/>
  <c r="AJ70" i="12"/>
  <c r="AH68" i="12"/>
  <c r="AN68" i="12" s="1"/>
  <c r="AH67" i="12"/>
  <c r="AD70" i="12"/>
  <c r="AH70" i="12" l="1"/>
  <c r="AN67" i="12"/>
  <c r="AN70" i="12" l="1"/>
  <c r="AJ24" i="7" l="1"/>
  <c r="AC24" i="7"/>
  <c r="AJ23" i="7"/>
  <c r="AC23" i="7"/>
  <c r="AJ22" i="7"/>
  <c r="AC22" i="7"/>
  <c r="AJ21" i="7"/>
  <c r="AJ38" i="7" s="1"/>
  <c r="AC21" i="7"/>
  <c r="AC38" i="7" s="1"/>
  <c r="AJ20" i="7"/>
  <c r="AJ37" i="7" s="1"/>
  <c r="AC20" i="7"/>
  <c r="AC37" i="7" s="1"/>
  <c r="AJ19" i="7"/>
  <c r="AJ36" i="7" s="1"/>
  <c r="AC19" i="7"/>
  <c r="AC36" i="7" s="1"/>
  <c r="AJ18" i="7"/>
  <c r="AC18" i="7"/>
  <c r="AC35" i="7" s="1"/>
  <c r="AJ17" i="7"/>
  <c r="AJ35" i="7" s="1"/>
  <c r="AC17" i="7"/>
  <c r="AC34" i="7" s="1"/>
  <c r="AJ16" i="7"/>
  <c r="AJ34" i="7" s="1"/>
  <c r="AC16" i="7"/>
  <c r="AC33" i="7" s="1"/>
  <c r="AJ15" i="7"/>
  <c r="AJ33" i="7" s="1"/>
  <c r="AC15" i="7"/>
  <c r="AC32" i="7" s="1"/>
  <c r="AJ14" i="7"/>
  <c r="AJ32" i="7" s="1"/>
  <c r="M21" i="7" s="1"/>
  <c r="AC14" i="7"/>
  <c r="AC31" i="7" s="1"/>
  <c r="AJ13" i="7"/>
  <c r="AJ31" i="7" s="1"/>
  <c r="AC13" i="7"/>
  <c r="AC30" i="7" s="1"/>
  <c r="AJ30" i="7"/>
  <c r="AC29" i="7"/>
  <c r="AJ11" i="7"/>
  <c r="AC11" i="7"/>
  <c r="AJ28" i="7"/>
  <c r="AJ29" i="7" l="1"/>
  <c r="AC28" i="7"/>
  <c r="G18" i="17" l="1"/>
  <c r="M18" i="17" s="1"/>
  <c r="G14" i="15"/>
  <c r="V19" i="13" l="1"/>
  <c r="Z19" i="13" s="1"/>
  <c r="AL61" i="12" l="1"/>
  <c r="AJ61" i="12"/>
  <c r="AF61" i="12"/>
  <c r="AD61" i="12"/>
  <c r="AH60" i="12"/>
  <c r="AN60" i="12" s="1"/>
  <c r="AH59" i="12"/>
  <c r="AN59" i="12" s="1"/>
  <c r="AH58" i="12"/>
  <c r="AN58" i="12" s="1"/>
  <c r="AL52" i="12"/>
  <c r="AJ52" i="12"/>
  <c r="AF51" i="12"/>
  <c r="AD51" i="12"/>
  <c r="AF50" i="12"/>
  <c r="AD50" i="12"/>
  <c r="AF49" i="12"/>
  <c r="AD49" i="12"/>
  <c r="AL43" i="12"/>
  <c r="AJ43" i="12"/>
  <c r="AF42" i="12"/>
  <c r="AD42" i="12"/>
  <c r="AF41" i="12"/>
  <c r="AD41" i="12"/>
  <c r="AF40" i="12"/>
  <c r="AD40" i="12"/>
  <c r="AL35" i="12"/>
  <c r="AJ35" i="12"/>
  <c r="AF34" i="12"/>
  <c r="AD34" i="12"/>
  <c r="AF33" i="12"/>
  <c r="AD33" i="12"/>
  <c r="AF32" i="12"/>
  <c r="AD32" i="12"/>
  <c r="AL27" i="12"/>
  <c r="AJ27" i="12"/>
  <c r="AF26" i="12"/>
  <c r="AD26" i="12"/>
  <c r="AF24" i="12"/>
  <c r="AD24" i="12"/>
  <c r="AL19" i="12"/>
  <c r="AJ19" i="12"/>
  <c r="AF18" i="12"/>
  <c r="AD18" i="12"/>
  <c r="AF17" i="12"/>
  <c r="AD17" i="12"/>
  <c r="AF16" i="12"/>
  <c r="AD16" i="12"/>
  <c r="M17" i="11"/>
  <c r="G17" i="11"/>
  <c r="AH40" i="12" l="1"/>
  <c r="AN40" i="12" s="1"/>
  <c r="AH26" i="12"/>
  <c r="AN26" i="12" s="1"/>
  <c r="AH41" i="12"/>
  <c r="AN41" i="12" s="1"/>
  <c r="AD27" i="12"/>
  <c r="AD35" i="12"/>
  <c r="AF19" i="12"/>
  <c r="AF27" i="12"/>
  <c r="AF52" i="12"/>
  <c r="AH50" i="12"/>
  <c r="AN50" i="12" s="1"/>
  <c r="AH17" i="12"/>
  <c r="AN17" i="12" s="1"/>
  <c r="AF35" i="12"/>
  <c r="AH42" i="12"/>
  <c r="AN42" i="12" s="1"/>
  <c r="AF43" i="12"/>
  <c r="AH18" i="12"/>
  <c r="AN18" i="12" s="1"/>
  <c r="AH34" i="12"/>
  <c r="AN34" i="12" s="1"/>
  <c r="AH32" i="12"/>
  <c r="AN32" i="12" s="1"/>
  <c r="AH49" i="12"/>
  <c r="AH51" i="12"/>
  <c r="AN51" i="12" s="1"/>
  <c r="AH61" i="12"/>
  <c r="AH16" i="12"/>
  <c r="AH33" i="12"/>
  <c r="AN33" i="12" s="1"/>
  <c r="AD43" i="12"/>
  <c r="AD19" i="12"/>
  <c r="AH24" i="12"/>
  <c r="AD52" i="12"/>
  <c r="AN61" i="12" l="1"/>
  <c r="AH43" i="12"/>
  <c r="AN43" i="12" s="1"/>
  <c r="AH19" i="12"/>
  <c r="AN19" i="12" s="1"/>
  <c r="AH35" i="12"/>
  <c r="AN35" i="12" s="1"/>
  <c r="AN16" i="12"/>
  <c r="AH27" i="12"/>
  <c r="AN27" i="12" s="1"/>
  <c r="AN24" i="12"/>
  <c r="AH52" i="12"/>
  <c r="AN52" i="12" s="1"/>
  <c r="AN49" i="12"/>
  <c r="G18" i="9" l="1"/>
  <c r="M31" i="7" l="1"/>
  <c r="E31" i="16"/>
  <c r="E33" i="16" s="1"/>
  <c r="C31" i="16"/>
  <c r="C33" i="16" s="1"/>
  <c r="E19" i="17"/>
  <c r="M20" i="17"/>
  <c r="V20" i="13"/>
  <c r="M18" i="11"/>
  <c r="G18" i="11"/>
  <c r="D26" i="19"/>
  <c r="G19" i="9" l="1"/>
  <c r="G20" i="9"/>
  <c r="H26" i="19" l="1"/>
  <c r="G26" i="17"/>
  <c r="M26" i="17" s="1"/>
  <c r="G25" i="17"/>
  <c r="M25" i="17" s="1"/>
  <c r="G24" i="17"/>
  <c r="M24" i="17" s="1"/>
  <c r="G23" i="17"/>
  <c r="M23" i="17" s="1"/>
  <c r="M22" i="17"/>
  <c r="G31" i="16"/>
  <c r="G22" i="15"/>
  <c r="G20" i="15"/>
  <c r="G18" i="15"/>
  <c r="G17" i="15"/>
  <c r="G16" i="15"/>
  <c r="G15" i="15"/>
  <c r="AA84" i="12"/>
  <c r="Y83" i="12"/>
  <c r="Y84" i="12" s="1"/>
  <c r="U83" i="12"/>
  <c r="S83" i="12"/>
  <c r="U82" i="12"/>
  <c r="S82" i="12"/>
  <c r="U81" i="12"/>
  <c r="S81" i="12"/>
  <c r="AA74" i="12"/>
  <c r="AA75" i="12" s="1"/>
  <c r="Y74" i="12"/>
  <c r="Y75" i="12" s="1"/>
  <c r="U74" i="12"/>
  <c r="S74" i="12"/>
  <c r="U73" i="12"/>
  <c r="S73" i="12"/>
  <c r="U72" i="12"/>
  <c r="S72" i="12"/>
  <c r="AA67" i="12"/>
  <c r="Y67" i="12"/>
  <c r="U66" i="12"/>
  <c r="S66" i="12"/>
  <c r="U65" i="12"/>
  <c r="S65" i="12"/>
  <c r="U64" i="12"/>
  <c r="S64" i="12"/>
  <c r="AA58" i="12"/>
  <c r="Y58" i="12"/>
  <c r="U57" i="12"/>
  <c r="S57" i="12"/>
  <c r="U56" i="12"/>
  <c r="S56" i="12"/>
  <c r="U55" i="12"/>
  <c r="S55" i="12"/>
  <c r="AA49" i="12"/>
  <c r="Y49" i="12"/>
  <c r="U48" i="12"/>
  <c r="S48" i="12"/>
  <c r="U47" i="12"/>
  <c r="S47" i="12"/>
  <c r="U46" i="12"/>
  <c r="S46" i="12"/>
  <c r="AA41" i="12"/>
  <c r="Y41" i="12"/>
  <c r="U40" i="12"/>
  <c r="S40" i="12"/>
  <c r="U39" i="12"/>
  <c r="S39" i="12"/>
  <c r="U38" i="12"/>
  <c r="S38" i="12"/>
  <c r="AA33" i="12"/>
  <c r="Y33" i="12"/>
  <c r="U32" i="12"/>
  <c r="S32" i="12"/>
  <c r="U31" i="12"/>
  <c r="S31" i="12"/>
  <c r="U30" i="12"/>
  <c r="S30" i="12"/>
  <c r="AA27" i="12"/>
  <c r="Y27" i="12"/>
  <c r="U26" i="12"/>
  <c r="S26" i="12"/>
  <c r="U24" i="12"/>
  <c r="S24" i="12"/>
  <c r="AA19" i="12"/>
  <c r="Y19" i="12"/>
  <c r="U18" i="12"/>
  <c r="S18" i="12"/>
  <c r="U17" i="12"/>
  <c r="S17" i="12"/>
  <c r="U16" i="12"/>
  <c r="S16" i="12"/>
  <c r="M25" i="11"/>
  <c r="G25" i="11"/>
  <c r="E24" i="11"/>
  <c r="C24" i="11"/>
  <c r="M23" i="11"/>
  <c r="G23" i="11"/>
  <c r="M22" i="11"/>
  <c r="G22" i="11"/>
  <c r="M21" i="11"/>
  <c r="G21" i="11"/>
  <c r="M20" i="11"/>
  <c r="G20" i="11"/>
  <c r="M19" i="11"/>
  <c r="G19" i="11"/>
  <c r="C35" i="10"/>
  <c r="G26" i="9"/>
  <c r="G25" i="9"/>
  <c r="G24" i="9"/>
  <c r="G23" i="9"/>
  <c r="G22" i="9"/>
  <c r="G21" i="9"/>
  <c r="U19" i="12" l="1"/>
  <c r="W38" i="12"/>
  <c r="W55" i="12"/>
  <c r="W64" i="12"/>
  <c r="W72" i="12"/>
  <c r="W17" i="12"/>
  <c r="W32" i="12"/>
  <c r="W40" i="12"/>
  <c r="W48" i="12"/>
  <c r="W57" i="12"/>
  <c r="S19" i="12"/>
  <c r="G24" i="11"/>
  <c r="W81" i="12"/>
  <c r="W31" i="12"/>
  <c r="W39" i="12"/>
  <c r="W65" i="12"/>
  <c r="G19" i="17"/>
  <c r="M19" i="17" s="1"/>
  <c r="S27" i="12"/>
  <c r="W30" i="12"/>
  <c r="W46" i="12"/>
  <c r="U58" i="12"/>
  <c r="W66" i="12"/>
  <c r="W83" i="12"/>
  <c r="W16" i="12"/>
  <c r="U33" i="12"/>
  <c r="U49" i="12"/>
  <c r="U75" i="12"/>
  <c r="S75" i="12"/>
  <c r="U84" i="12"/>
  <c r="W82" i="12"/>
  <c r="G24" i="15"/>
  <c r="W24" i="12"/>
  <c r="U27" i="12"/>
  <c r="S33" i="12"/>
  <c r="U41" i="12"/>
  <c r="U67" i="12"/>
  <c r="W73" i="12"/>
  <c r="A10" i="16"/>
  <c r="S67" i="12"/>
  <c r="S58" i="12"/>
  <c r="W56" i="12"/>
  <c r="I31" i="7"/>
  <c r="S41" i="12"/>
  <c r="S49" i="12"/>
  <c r="W47" i="12"/>
  <c r="V21" i="13"/>
  <c r="X21" i="13" s="1"/>
  <c r="E19" i="16"/>
  <c r="G20" i="16" s="1"/>
  <c r="M24" i="11"/>
  <c r="W18" i="12"/>
  <c r="W26" i="12"/>
  <c r="W74" i="12"/>
  <c r="S84" i="12"/>
  <c r="W67" i="12" l="1"/>
  <c r="W27" i="12"/>
  <c r="W84" i="12"/>
  <c r="W41" i="12"/>
  <c r="W58" i="12"/>
  <c r="W33" i="12"/>
  <c r="G28" i="15"/>
  <c r="W49" i="12"/>
  <c r="W19" i="12"/>
  <c r="W75" i="12"/>
  <c r="M35" i="10"/>
  <c r="G12" i="16" l="1"/>
  <c r="G22" i="16" l="1"/>
  <c r="G25" i="16" s="1"/>
  <c r="G20" i="10"/>
  <c r="G17" i="10"/>
  <c r="G19" i="10"/>
  <c r="G23" i="10"/>
  <c r="G21" i="10"/>
  <c r="G22" i="10"/>
  <c r="G24" i="10"/>
  <c r="G25" i="10"/>
  <c r="G18" i="10"/>
</calcChain>
</file>

<file path=xl/sharedStrings.xml><?xml version="1.0" encoding="utf-8"?>
<sst xmlns="http://schemas.openxmlformats.org/spreadsheetml/2006/main" count="910" uniqueCount="453">
  <si>
    <t>CITY OF SCHERTZ, TEXAS</t>
  </si>
  <si>
    <t>TOTAL WATER AND SEWER CONSUMPTION AND RATES</t>
  </si>
  <si>
    <t>LAST TEN FISCAL YEARS</t>
  </si>
  <si>
    <t>Fiscal</t>
  </si>
  <si>
    <t>Year</t>
  </si>
  <si>
    <t>Total Water &amp;</t>
  </si>
  <si>
    <t xml:space="preserve">Water &amp; </t>
  </si>
  <si>
    <t>Water &amp; Sewer</t>
  </si>
  <si>
    <t>Ended</t>
  </si>
  <si>
    <t>Sewer Consumption</t>
  </si>
  <si>
    <t>Sewer</t>
  </si>
  <si>
    <t>Initial Rate Per</t>
  </si>
  <si>
    <t xml:space="preserve">September 30, </t>
  </si>
  <si>
    <t>(In Gallons)</t>
  </si>
  <si>
    <t>Base Rate</t>
  </si>
  <si>
    <t>1,000 Gallons</t>
  </si>
  <si>
    <t>Residential Est SWR</t>
  </si>
  <si>
    <t>*Source: Schertz Utility System</t>
  </si>
  <si>
    <t>PRINCIPAL WATER AND SEWER CONSUMERS</t>
  </si>
  <si>
    <t>TAXPAYERS</t>
  </si>
  <si>
    <t>Total
Water
Consumption
(In Gallons)</t>
  </si>
  <si>
    <t>Rank</t>
  </si>
  <si>
    <t>Percentage of
Total City
Water
Consumption</t>
  </si>
  <si>
    <t>City of Selma</t>
  </si>
  <si>
    <t>SYSCO</t>
  </si>
  <si>
    <t>Lions Fut Ball Club</t>
  </si>
  <si>
    <t>Scenic Hills Lawn Care</t>
  </si>
  <si>
    <t>Caterpillar</t>
  </si>
  <si>
    <t>Sysco</t>
  </si>
  <si>
    <t>City of Cibolo</t>
  </si>
  <si>
    <t>WHC Schertz Apts, LLC</t>
  </si>
  <si>
    <t>Sycamore Creek Apartments</t>
  </si>
  <si>
    <t>Beck Readymix Concrete</t>
  </si>
  <si>
    <t>Waterford Ridge Apartments</t>
  </si>
  <si>
    <t>Pecan Grove TXLLC</t>
  </si>
  <si>
    <t>Ranger Excavating</t>
  </si>
  <si>
    <t>Crossvine Master Community</t>
  </si>
  <si>
    <t>Beck Readymix</t>
  </si>
  <si>
    <t>IPT San Antonio Logistics</t>
  </si>
  <si>
    <t>Pecan Grove</t>
  </si>
  <si>
    <t>Ray D. Corbett Jr High School</t>
  </si>
  <si>
    <t>Big Time Management</t>
  </si>
  <si>
    <t>Manco Structures</t>
  </si>
  <si>
    <t>Comal ISD School</t>
  </si>
  <si>
    <t>Comal ISD</t>
  </si>
  <si>
    <t>Sebastian Apartments</t>
  </si>
  <si>
    <t>Pecan Grove TxLLC</t>
  </si>
  <si>
    <t>APG Texas 1LP</t>
  </si>
  <si>
    <t>Legacy Oaks Apartments</t>
  </si>
  <si>
    <t>Val Verde</t>
  </si>
  <si>
    <t>Homestead Residential Master</t>
  </si>
  <si>
    <t>City of Schertz (Soccor Field)</t>
  </si>
  <si>
    <t>Republic Beverage Company</t>
  </si>
  <si>
    <t>YMCA/Splash Pad</t>
  </si>
  <si>
    <t>Caterpillar Inc</t>
  </si>
  <si>
    <t>DDC Ashton, LTD</t>
  </si>
  <si>
    <t>City of Schertz(Soccor Field)</t>
  </si>
  <si>
    <t>Schertz 1518</t>
  </si>
  <si>
    <t xml:space="preserve">Colgate Inc. </t>
  </si>
  <si>
    <t>Silver Tree Nursing Rehab.</t>
  </si>
  <si>
    <t>Wal-Mart Supercenter</t>
  </si>
  <si>
    <t>Big Time Management Properties</t>
  </si>
  <si>
    <t>City of Schertz (Ball Park)</t>
  </si>
  <si>
    <t>TOTAL</t>
  </si>
  <si>
    <t>Total City Water Consumption</t>
  </si>
  <si>
    <t>DIRECT AND OVERLAPPING PROPERTY TAX RATES</t>
  </si>
  <si>
    <t xml:space="preserve">LAST TEN FISCAL YEARS </t>
  </si>
  <si>
    <t>(UNAUDITED)</t>
  </si>
  <si>
    <t>City Direct Rates</t>
  </si>
  <si>
    <t>Overlapping School Districts</t>
  </si>
  <si>
    <t>Schertz-</t>
  </si>
  <si>
    <t>Cibolo-</t>
  </si>
  <si>
    <t>Basic</t>
  </si>
  <si>
    <t>Debt</t>
  </si>
  <si>
    <t>Universal</t>
  </si>
  <si>
    <t>Comal</t>
  </si>
  <si>
    <t>Rate</t>
  </si>
  <si>
    <t>Service</t>
  </si>
  <si>
    <t>Total</t>
  </si>
  <si>
    <t>City ISD</t>
  </si>
  <si>
    <t>ISD</t>
  </si>
  <si>
    <t>Overlapping Counties</t>
  </si>
  <si>
    <t>Bexar</t>
  </si>
  <si>
    <t>Community</t>
  </si>
  <si>
    <t>Hospital</t>
  </si>
  <si>
    <t>River</t>
  </si>
  <si>
    <t>College</t>
  </si>
  <si>
    <t>Guadalupe</t>
  </si>
  <si>
    <t>County</t>
  </si>
  <si>
    <t>District</t>
  </si>
  <si>
    <t>Authority</t>
  </si>
  <si>
    <t>*Source: Guadalupe, Bexar, and Comal Appraisal Districts</t>
  </si>
  <si>
    <t>PRINCIPAL PROPERTY OF TAX PAYERS</t>
  </si>
  <si>
    <t>CURRENT YEAR AND NINE YEARS AGO</t>
  </si>
  <si>
    <t>Percentage</t>
  </si>
  <si>
    <t>of</t>
  </si>
  <si>
    <t>Total City</t>
  </si>
  <si>
    <t>Taxable</t>
  </si>
  <si>
    <t>Assessed</t>
  </si>
  <si>
    <t>Taxpayer</t>
  </si>
  <si>
    <t>Value</t>
  </si>
  <si>
    <t>SYSCO Central Texas</t>
  </si>
  <si>
    <t>Sun Life Assurance Company of Canada</t>
  </si>
  <si>
    <t>Caterpillar Inc.</t>
  </si>
  <si>
    <t>Amazon Com Services Inc</t>
  </si>
  <si>
    <t>Rebublic Beverage Company</t>
  </si>
  <si>
    <t>HGIT Schertz Parkway LP</t>
  </si>
  <si>
    <t>Eastgroup Properties LP</t>
  </si>
  <si>
    <t>WHC Schertz Apts LLC</t>
  </si>
  <si>
    <t>DG Industrial Portfolio II Property Owner LP</t>
  </si>
  <si>
    <t>AR AMZ 1150 Schwab RD LLC</t>
  </si>
  <si>
    <t>San Antonio MTA LP</t>
  </si>
  <si>
    <t>GE Oil &amp; Gas Inc.</t>
  </si>
  <si>
    <t>Visionary Properties</t>
  </si>
  <si>
    <t>Wal-Mart Real Estate Business Trust</t>
  </si>
  <si>
    <t>H.E.Butt Grocery Co.</t>
  </si>
  <si>
    <t>EM Limited Partnership</t>
  </si>
  <si>
    <t>Case Cameron LLC</t>
  </si>
  <si>
    <t>Totals</t>
  </si>
  <si>
    <t>Total Taxable</t>
  </si>
  <si>
    <t>Assessed Value</t>
  </si>
  <si>
    <t>Schertz 1518 LTD</t>
  </si>
  <si>
    <t>Pecan Grove TX LLC</t>
  </si>
  <si>
    <t>JEN TEXAS 32 LLC</t>
  </si>
  <si>
    <t>C4LC AT INTERSTATE 10 LLC</t>
  </si>
  <si>
    <t>NAJDS PROPERTY INVESTMENTS INC</t>
  </si>
  <si>
    <t>SA LIBERTY HOME BUILDINGS LLC</t>
  </si>
  <si>
    <t>SCHINDLER ALAN &amp; CAROL TRUST</t>
  </si>
  <si>
    <t>SCOTT FELDER HOMES LLC</t>
  </si>
  <si>
    <t>MHP MANAGER LLC</t>
  </si>
  <si>
    <t>BRIGHTLAND HOMES LTD</t>
  </si>
  <si>
    <t>SYSCO CENTRAL TEXAS</t>
  </si>
  <si>
    <t>SUN LIFE ASSURANCE COMPANY OF CANADA</t>
  </si>
  <si>
    <t>CATERPILLAR INC</t>
  </si>
  <si>
    <t>REPUBLIC BEVERAGE COMPANY</t>
  </si>
  <si>
    <t>EAST GROUP PROPERTIES LP</t>
  </si>
  <si>
    <t>DG INDUSTRIAL PORTFOLIO II</t>
  </si>
  <si>
    <t>AR AMZ 1150 SCHWAB RD LLC</t>
  </si>
  <si>
    <t>GOOGLE FIBER INC</t>
  </si>
  <si>
    <t>BALTISSE-ACKERMAN SCHERTZ LLLP</t>
  </si>
  <si>
    <t>HGIT SCHERTZ PARKWAY LP</t>
  </si>
  <si>
    <t>WHC SCHERTZ APTS LLC</t>
  </si>
  <si>
    <t>EM LIMITED PARTNERSHIP</t>
  </si>
  <si>
    <t>MI RED VINES LLC</t>
  </si>
  <si>
    <t>H E BUTT GROCERY CO</t>
  </si>
  <si>
    <t>BCDPF TRI COUNTY DC LLC</t>
  </si>
  <si>
    <t>CAPITAL GROUP COMPANIES INC</t>
  </si>
  <si>
    <t>CELLCO PARTNERSHIP</t>
  </si>
  <si>
    <t>PROLOGIS TEXAS I LP</t>
  </si>
  <si>
    <t>PROPERTY TAX LEVIES AND COLLECTIONS</t>
  </si>
  <si>
    <t>Collected Within</t>
  </si>
  <si>
    <t>Total Collections</t>
  </si>
  <si>
    <t>Fiscal Year</t>
  </si>
  <si>
    <t>Taxes Levied</t>
  </si>
  <si>
    <t>Fiscal Year of Levy</t>
  </si>
  <si>
    <t>Collections In</t>
  </si>
  <si>
    <t>To Date</t>
  </si>
  <si>
    <t xml:space="preserve">for the </t>
  </si>
  <si>
    <t>% of</t>
  </si>
  <si>
    <t>Subsequent</t>
  </si>
  <si>
    <t>September 30,</t>
  </si>
  <si>
    <t>Amount</t>
  </si>
  <si>
    <t>Levy</t>
  </si>
  <si>
    <t>Years</t>
  </si>
  <si>
    <t>TAXABLE ASSESSED VALUE</t>
  </si>
  <si>
    <t>Fiscal(Tax)</t>
  </si>
  <si>
    <t xml:space="preserve">Residential </t>
  </si>
  <si>
    <t xml:space="preserve">Commercial </t>
  </si>
  <si>
    <t>Tax-Exempt</t>
  </si>
  <si>
    <t>Other</t>
  </si>
  <si>
    <t>Direct</t>
  </si>
  <si>
    <t>2012 (2011)</t>
  </si>
  <si>
    <t>2014 (2013)</t>
  </si>
  <si>
    <t>January 1,</t>
  </si>
  <si>
    <t>Property</t>
  </si>
  <si>
    <t>Value*</t>
  </si>
  <si>
    <t>Tax Rate</t>
  </si>
  <si>
    <t>Guad</t>
  </si>
  <si>
    <t>2011 (2010)</t>
  </si>
  <si>
    <t>2015 (2014)</t>
  </si>
  <si>
    <t>*Taxable Assessed Value is before any applicable freeze adjustments.</t>
  </si>
  <si>
    <t xml:space="preserve">Source: Bexar, Comal and Guadalupe County Appraisal Districts. </t>
  </si>
  <si>
    <t>2010 (2009)</t>
  </si>
  <si>
    <t>2016 (2015)</t>
  </si>
  <si>
    <t>2009 (2008)</t>
  </si>
  <si>
    <t>2017 (2016)</t>
  </si>
  <si>
    <t>2008 (2007)</t>
  </si>
  <si>
    <t>2018(2017)</t>
  </si>
  <si>
    <t>2007 (2006)</t>
  </si>
  <si>
    <t>2019(2018)</t>
  </si>
  <si>
    <t>2006 (2005)</t>
  </si>
  <si>
    <t>2021(2020)</t>
  </si>
  <si>
    <t>2005 (2004)</t>
  </si>
  <si>
    <t>2022(2021)</t>
  </si>
  <si>
    <t>2004 (2003)</t>
  </si>
  <si>
    <t>2023(2022)</t>
  </si>
  <si>
    <t>2024(2023)</t>
  </si>
  <si>
    <t>RATIOS OF OUTSTANDING DEBT BY TYPE</t>
  </si>
  <si>
    <t>Governmental Activities</t>
  </si>
  <si>
    <t>Business-Type Activities</t>
  </si>
  <si>
    <t>General</t>
  </si>
  <si>
    <t xml:space="preserve">Certificates </t>
  </si>
  <si>
    <t>Certificates</t>
  </si>
  <si>
    <t>Percent</t>
  </si>
  <si>
    <t xml:space="preserve">Fiscal </t>
  </si>
  <si>
    <t>Obligation</t>
  </si>
  <si>
    <t>Tax</t>
  </si>
  <si>
    <t>Financing</t>
  </si>
  <si>
    <t>Revenue</t>
  </si>
  <si>
    <t>Primary</t>
  </si>
  <si>
    <t>of Gross</t>
  </si>
  <si>
    <t xml:space="preserve">Per </t>
  </si>
  <si>
    <t>Bonds</t>
  </si>
  <si>
    <t>Notes</t>
  </si>
  <si>
    <t>Arrangement</t>
  </si>
  <si>
    <t>Government</t>
  </si>
  <si>
    <t>Income</t>
  </si>
  <si>
    <t>Capita</t>
  </si>
  <si>
    <t xml:space="preserve">Population </t>
  </si>
  <si>
    <t>RATIOS OF GENERAL BONDED DEBT OUTSTANDING</t>
  </si>
  <si>
    <t>General Bonded Debt Outstanding</t>
  </si>
  <si>
    <t>Less:</t>
  </si>
  <si>
    <t>Percentage of</t>
  </si>
  <si>
    <t>Amounts</t>
  </si>
  <si>
    <t>Actual Taxable</t>
  </si>
  <si>
    <t>Taxable
Assessed Value</t>
  </si>
  <si>
    <t xml:space="preserve">Obligation </t>
  </si>
  <si>
    <t>Available for</t>
  </si>
  <si>
    <t>Value of</t>
  </si>
  <si>
    <t>Per</t>
  </si>
  <si>
    <t xml:space="preserve">Debt Service </t>
  </si>
  <si>
    <t>Population</t>
  </si>
  <si>
    <t>2020</t>
  </si>
  <si>
    <t>2019</t>
  </si>
  <si>
    <t>2018</t>
  </si>
  <si>
    <t>2017</t>
  </si>
  <si>
    <t>2016</t>
  </si>
  <si>
    <t>2015</t>
  </si>
  <si>
    <t>2014</t>
  </si>
  <si>
    <t>2013</t>
  </si>
  <si>
    <t>2012</t>
  </si>
  <si>
    <t>DIRECT AND OVERLAPPING GOVERNMENTAL ACTIVITIES DEBT</t>
  </si>
  <si>
    <t>CURRENT YEAR</t>
  </si>
  <si>
    <t>Estimated</t>
  </si>
  <si>
    <t>Share of</t>
  </si>
  <si>
    <t>Overlapping</t>
  </si>
  <si>
    <t>Governmental Unit</t>
  </si>
  <si>
    <t>Outstanding</t>
  </si>
  <si>
    <t>Applicable*</t>
  </si>
  <si>
    <t>Debt  repaid with property taxes:</t>
  </si>
  <si>
    <t>Alamo CCD</t>
  </si>
  <si>
    <t>Bexar County</t>
  </si>
  <si>
    <t>Bexar County Hospital District</t>
  </si>
  <si>
    <t>Comal County</t>
  </si>
  <si>
    <t>East Central ISD</t>
  </si>
  <si>
    <t>Guadalupe County</t>
  </si>
  <si>
    <t>Judson ISD</t>
  </si>
  <si>
    <t>Schertz-Cibolo-Universal ISD</t>
  </si>
  <si>
    <t>Subtotal, Overlapping Debt</t>
  </si>
  <si>
    <t>City Governmental Activities Direct Debt</t>
  </si>
  <si>
    <t xml:space="preserve">    TOTAL NET OVERLAPPING DEBT</t>
  </si>
  <si>
    <t xml:space="preserve">NOTES: The overlapping debt was received from the Municipal Advisory Council of Texas. Details regarding the City's outstanding debt can be found in the notes to the basic financial statements. </t>
  </si>
  <si>
    <t xml:space="preserve">Overlapping debt is the proportionate share of the debts of local jurisdictions located wholly or in part within the limits of the City of Shertz. This schedule is intended to demonstrate the total debt that the City of Shertz property tax payers will be expected to repay. The amount of debt applicable to the City of Schertz is computed by (a) determining what portion of total assessed value of the overlapping jurisdiction lies within the limits of the City and (b) applying this percentage to the total governmental activities debt of the overlapping jurisdiction. </t>
  </si>
  <si>
    <t>DEBT MARGIN INFORMATION</t>
  </si>
  <si>
    <t>Assessed Value,</t>
  </si>
  <si>
    <t>Tax Roll</t>
  </si>
  <si>
    <t xml:space="preserve">Debt Limit - Texas statues do not provide a legal debt limit for cities; however, through accepted practice a practical "economic" debt limit is considered to be 10% of the assessed value. </t>
  </si>
  <si>
    <t>Amount of Applicable Debt:</t>
  </si>
  <si>
    <t>General Bonded Debt</t>
  </si>
  <si>
    <t>Less Debt Service Net Position</t>
  </si>
  <si>
    <t>DEBT MARGIN</t>
  </si>
  <si>
    <t>Total Net Debt as a Percentage</t>
  </si>
  <si>
    <t xml:space="preserve">  of Debt Margin</t>
  </si>
  <si>
    <t>Debt Limit</t>
  </si>
  <si>
    <t>Total Net Debt Applicable to Limit</t>
  </si>
  <si>
    <t>Total Debt Margin</t>
  </si>
  <si>
    <t>PLEDGED REVENUE COVERAGE</t>
  </si>
  <si>
    <t>Water Revenue Bonds</t>
  </si>
  <si>
    <t>Utility</t>
  </si>
  <si>
    <t xml:space="preserve">Less:  </t>
  </si>
  <si>
    <t>Net</t>
  </si>
  <si>
    <t>Debt Service</t>
  </si>
  <si>
    <t>Operating</t>
  </si>
  <si>
    <t>Available</t>
  </si>
  <si>
    <t>Charges</t>
  </si>
  <si>
    <t>Expenses</t>
  </si>
  <si>
    <t>Principal</t>
  </si>
  <si>
    <t>Interest</t>
  </si>
  <si>
    <t>Coverage</t>
  </si>
  <si>
    <t xml:space="preserve">NOTE: Details regarding the City's outstanding debt can be found in the notes to the basic financial statements. Operating expenses do not include the depreciation, interest, or amortization expenses. </t>
  </si>
  <si>
    <t>DEMOGRAPHIC AND ECONOMIC STATISTICS</t>
  </si>
  <si>
    <t>Personal
Income</t>
  </si>
  <si>
    <t>Per Capita Personal
Income</t>
  </si>
  <si>
    <t>Median
Age</t>
  </si>
  <si>
    <t>Education
Level in
Years of
Schooling</t>
  </si>
  <si>
    <t>School
Enrollment</t>
  </si>
  <si>
    <t>Unemployment
Rate</t>
  </si>
  <si>
    <t>Sources:</t>
  </si>
  <si>
    <t xml:space="preserve">Population, personal income, median age and education level informaiton provided by City Economic Development Corporation. School enrollment provided by Schertz-Cibolo-Universal City Independent School District. Unemployment data provided by Texas Workforce Commission. </t>
  </si>
  <si>
    <t>TOP TEN PRINCIPAL EMPLOYERS</t>
  </si>
  <si>
    <t>Employer</t>
  </si>
  <si>
    <t>Employees</t>
  </si>
  <si>
    <t>Percentage
of Total City
Employment</t>
  </si>
  <si>
    <t>Schertz-Cibolo-Universal City ISD</t>
  </si>
  <si>
    <t>Amazon</t>
  </si>
  <si>
    <t>Sysco Central Texas, Inc</t>
  </si>
  <si>
    <t>Total employment in city:</t>
  </si>
  <si>
    <t>FedEx Ground - Doerr Lane, Schertz</t>
  </si>
  <si>
    <t xml:space="preserve"> </t>
  </si>
  <si>
    <t>Republic National Distributing Company</t>
  </si>
  <si>
    <t>Brandt Companies</t>
  </si>
  <si>
    <t>City of Schertz</t>
  </si>
  <si>
    <t>Visionworks</t>
  </si>
  <si>
    <t>Hollingsworth Logistics Group</t>
  </si>
  <si>
    <t>H.E.B Grocery Co.</t>
  </si>
  <si>
    <t>GE Oil &amp; Gas</t>
  </si>
  <si>
    <t>Wal-mart Stores</t>
  </si>
  <si>
    <t>HVHC</t>
  </si>
  <si>
    <t>Source:  City Economic Development Corporation</t>
  </si>
  <si>
    <t>FULL-TIME EQUIVALENT CITY GOVERNMENTAL EMPLOYEES BY FUNCTION</t>
  </si>
  <si>
    <t>Full-Time Equivalent Employees as of September 30,</t>
  </si>
  <si>
    <t>Function</t>
  </si>
  <si>
    <t>General Government</t>
  </si>
  <si>
    <t xml:space="preserve">  City Manager</t>
  </si>
  <si>
    <t xml:space="preserve">  Municipal Court</t>
  </si>
  <si>
    <t xml:space="preserve">  Customer Relations</t>
  </si>
  <si>
    <t xml:space="preserve">  Planning and Zoning</t>
  </si>
  <si>
    <t xml:space="preserve">  General Services</t>
  </si>
  <si>
    <t xml:space="preserve">  City Secretary</t>
  </si>
  <si>
    <t xml:space="preserve">  Public Affairs</t>
  </si>
  <si>
    <t xml:space="preserve">  Records Management</t>
  </si>
  <si>
    <t xml:space="preserve">  Schertz Magazine</t>
  </si>
  <si>
    <t xml:space="preserve">  Engineer</t>
  </si>
  <si>
    <t xml:space="preserve">  GIS</t>
  </si>
  <si>
    <t xml:space="preserve">  Information Technology</t>
  </si>
  <si>
    <t xml:space="preserve">  Human Resources</t>
  </si>
  <si>
    <t xml:space="preserve">  Finance</t>
  </si>
  <si>
    <t xml:space="preserve">  Purchasing</t>
  </si>
  <si>
    <t xml:space="preserve">  Fleet Service</t>
  </si>
  <si>
    <t xml:space="preserve">  Building Maintenance</t>
  </si>
  <si>
    <t xml:space="preserve">  Facility Services</t>
  </si>
  <si>
    <t>Public Safety</t>
  </si>
  <si>
    <t xml:space="preserve">  Police</t>
  </si>
  <si>
    <t xml:space="preserve">  Fire</t>
  </si>
  <si>
    <t xml:space="preserve">  Inspections</t>
  </si>
  <si>
    <t xml:space="preserve">  Marshal Services</t>
  </si>
  <si>
    <t>Health</t>
  </si>
  <si>
    <t xml:space="preserve">  Animal Control</t>
  </si>
  <si>
    <t xml:space="preserve">  Environmental Health</t>
  </si>
  <si>
    <t>Parks and Culture</t>
  </si>
  <si>
    <t xml:space="preserve">  Parks</t>
  </si>
  <si>
    <t xml:space="preserve">  Pools</t>
  </si>
  <si>
    <t xml:space="preserve">  Event Facilities</t>
  </si>
  <si>
    <t xml:space="preserve">  Library</t>
  </si>
  <si>
    <t>Public Environment</t>
  </si>
  <si>
    <t xml:space="preserve">  Streets</t>
  </si>
  <si>
    <t>Public Works</t>
  </si>
  <si>
    <t xml:space="preserve">  Public Works</t>
  </si>
  <si>
    <t xml:space="preserve">  Business Office</t>
  </si>
  <si>
    <t>Water and Sewer</t>
  </si>
  <si>
    <t>Drainage</t>
  </si>
  <si>
    <t>EMS</t>
  </si>
  <si>
    <t>Economic Development</t>
  </si>
  <si>
    <t xml:space="preserve">    TOTAL</t>
  </si>
  <si>
    <t>Source:  City Adopted Budgets</t>
  </si>
  <si>
    <t>OPERATING INDICATORS BY FUNCTION/PROGRAM</t>
  </si>
  <si>
    <t xml:space="preserve"> Building Project Permits Issued</t>
  </si>
  <si>
    <t xml:space="preserve">  Food Establishment Permits</t>
  </si>
  <si>
    <t xml:space="preserve">  Food Establishment Inspection</t>
  </si>
  <si>
    <t xml:space="preserve">  Foster/Adoption Inspections</t>
  </si>
  <si>
    <t>Schertz Magazine</t>
  </si>
  <si>
    <t>Number of Magazines printed</t>
  </si>
  <si>
    <t>Police</t>
  </si>
  <si>
    <t xml:space="preserve">  CFS</t>
  </si>
  <si>
    <t xml:space="preserve">  Arrests</t>
  </si>
  <si>
    <t xml:space="preserve">  Traffic Violations</t>
  </si>
  <si>
    <t xml:space="preserve">  Accidents</t>
  </si>
  <si>
    <t>Fire</t>
  </si>
  <si>
    <t xml:space="preserve">  Number of Rescue/Other Responses</t>
  </si>
  <si>
    <t xml:space="preserve">  Number of Fire Responses</t>
  </si>
  <si>
    <t xml:space="preserve">  Number of Inspections</t>
  </si>
  <si>
    <t xml:space="preserve">  Number of Training Classes Conducted</t>
  </si>
  <si>
    <t xml:space="preserve">  Number of Pre-Plan Inspections</t>
  </si>
  <si>
    <t xml:space="preserve">  Requests for Transport</t>
  </si>
  <si>
    <t xml:space="preserve">  Actual Transports</t>
  </si>
  <si>
    <t xml:space="preserve">  EMT Students</t>
  </si>
  <si>
    <t>Marshal's Office</t>
  </si>
  <si>
    <t xml:space="preserve">  Warrants Issues</t>
  </si>
  <si>
    <t xml:space="preserve">  Warrants Cleared</t>
  </si>
  <si>
    <t>Parks</t>
  </si>
  <si>
    <t xml:space="preserve">  Facility Reservations</t>
  </si>
  <si>
    <t>Community and Civic Centers</t>
  </si>
  <si>
    <t xml:space="preserve">  Civic Center Reservations</t>
  </si>
  <si>
    <t xml:space="preserve">  Community Center Reservations</t>
  </si>
  <si>
    <t xml:space="preserve">  North Community Center Reservations</t>
  </si>
  <si>
    <t>Animal Services</t>
  </si>
  <si>
    <t xml:space="preserve">  Number of Animals Handled</t>
  </si>
  <si>
    <t xml:space="preserve">  Number of Adoptions</t>
  </si>
  <si>
    <t xml:space="preserve">  Number of Return to Owners</t>
  </si>
  <si>
    <t xml:space="preserve">  Number of Transfers</t>
  </si>
  <si>
    <t>Library</t>
  </si>
  <si>
    <t xml:space="preserve">  Annual Circulation</t>
  </si>
  <si>
    <t xml:space="preserve">  Library Visits</t>
  </si>
  <si>
    <t xml:space="preserve">  Library Program Attendance</t>
  </si>
  <si>
    <t xml:space="preserve">  Registered Users</t>
  </si>
  <si>
    <t>Water</t>
  </si>
  <si>
    <t xml:space="preserve">  New Connections</t>
  </si>
  <si>
    <t xml:space="preserve">  Water Main Breaks</t>
  </si>
  <si>
    <t>  Total Consumption (hundreds of gallons)</t>
  </si>
  <si>
    <t xml:space="preserve">  Daily Average Consumption</t>
  </si>
  <si>
    <t xml:space="preserve">   (thousands of gallons)</t>
  </si>
  <si>
    <t xml:space="preserve">  Peak Daily Consumption</t>
  </si>
  <si>
    <t xml:space="preserve">  Total Customers</t>
  </si>
  <si>
    <t xml:space="preserve">  Average Use Per Connection</t>
  </si>
  <si>
    <t>Facilities Maintenance</t>
  </si>
  <si>
    <t xml:space="preserve">  Number of Buildings Maintained</t>
  </si>
  <si>
    <t xml:space="preserve">  Square Footage</t>
  </si>
  <si>
    <t>Source:  Various City Department</t>
  </si>
  <si>
    <t>CAPITAL ASSET STATISTICS BY FUNCTION/PROGRAM</t>
  </si>
  <si>
    <t xml:space="preserve">  Stations</t>
  </si>
  <si>
    <t xml:space="preserve">  Police Vehicles</t>
  </si>
  <si>
    <t xml:space="preserve">  Training Facility</t>
  </si>
  <si>
    <t xml:space="preserve">  Fire Vehicles</t>
  </si>
  <si>
    <t xml:space="preserve">  Ambulances</t>
  </si>
  <si>
    <t xml:space="preserve">  Vehicles</t>
  </si>
  <si>
    <t>NA</t>
  </si>
  <si>
    <t>Streets</t>
  </si>
  <si>
    <t xml:space="preserve">  Streets, paved (miles)</t>
  </si>
  <si>
    <t xml:space="preserve">  Streets, unpaved (miles)</t>
  </si>
  <si>
    <t xml:space="preserve">  Sidewalks (miles)</t>
  </si>
  <si>
    <t>Parks and Recreation</t>
  </si>
  <si>
    <t xml:space="preserve">  Parks - Developed</t>
  </si>
  <si>
    <t xml:space="preserve">  Parks - Undeveloped</t>
  </si>
  <si>
    <t xml:space="preserve">  Playground</t>
  </si>
  <si>
    <t xml:space="preserve">  Swimming Pools</t>
  </si>
  <si>
    <t xml:space="preserve">  Baby Pools</t>
  </si>
  <si>
    <t xml:space="preserve">  Baseball/Softball Diamonds</t>
  </si>
  <si>
    <t xml:space="preserve">  Soccer Fields</t>
  </si>
  <si>
    <t xml:space="preserve">  Community Centers</t>
  </si>
  <si>
    <t xml:space="preserve">  Splash Pads</t>
  </si>
  <si>
    <t xml:space="preserve">  Control Vehicle</t>
  </si>
  <si>
    <t xml:space="preserve">  Facility</t>
  </si>
  <si>
    <t xml:space="preserve">  Volumes in Collection</t>
  </si>
  <si>
    <t xml:space="preserve">  Number of Reservoirs</t>
  </si>
  <si>
    <t xml:space="preserve">  Number of Pump Stations</t>
  </si>
  <si>
    <t xml:space="preserve">  Water Mains (miles)</t>
  </si>
  <si>
    <t xml:space="preserve">  Sanitary Sewers (miles)</t>
  </si>
  <si>
    <t xml:space="preserve">  Storm Sewers (miles)</t>
  </si>
  <si>
    <t>Facilites Services</t>
  </si>
  <si>
    <t>Fleet</t>
  </si>
  <si>
    <t xml:space="preserve">  Generators</t>
  </si>
  <si>
    <t>  Vehicles &amp; Equipment</t>
  </si>
  <si>
    <t>Notes:  No Capital Asset indicators are available for the General Government or EMS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</si>
</sst>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00_);_(* \(#,##0.0000\);_(* &quot;-&quot;??_);_(@_)"/>
    <numFmt numFmtId="165" formatCode="0.0%"/>
    <numFmt numFmtId="166" formatCode="_(&quot;$&quot;* #,##0_);_(&quot;$&quot;* \(#,##0\);_(&quot;$&quot;* &quot;-&quot;??_);_(@_)"/>
    <numFmt numFmtId="167" formatCode="0.0000"/>
    <numFmt numFmtId="168" formatCode="0_);\(0\)"/>
    <numFmt numFmtId="169" formatCode="_(* #,##0_);_(* \(#,##0\);_(* &quot;-&quot;??_);_(@_)"/>
    <numFmt numFmtId="170" formatCode="0.00000"/>
    <numFmt numFmtId="171" formatCode="_(* #,##0.0000_);_(* \(#,##0.0000\);_(* &quot;-&quot;????_);_(@_)"/>
    <numFmt numFmtId="172" formatCode="_(* #,##0.0_);_(* \(#,##0.0\);_(* &quot;-&quot;?_);_(@_)"/>
    <numFmt numFmtId="173" formatCode="_$_(* #,##0_);_$\(* #,##0\);_$_(* &quot;-&quot;???_);_$_(@_)"/>
    <numFmt numFmtId="174" formatCode="&quot;$&quot;_(* #,##0_);&quot;$&quot;\(* #,##0\);&quot;$&quot;_(* &quot;-&quot;???_);_(@_)"/>
    <numFmt numFmtId="175" formatCode="_$_(* #,##0.00%_);_$\(* #,##0.00%\);_$_(* &quot;-&quot;???_);_$_(@_)"/>
    <numFmt numFmtId="176" formatCode="#,##0.0"/>
    <numFmt numFmtId="177" formatCode="_(&quot;$&quot;* #,##0.0000_);_(&quot;$&quot;* \(#,##0.0000\);_(&quot;$&quot;* &quot;-&quot;??_);_(@_)"/>
  </numFmts>
  <fonts count="26" x14ac:knownFonts="1">
    <font>
      <sz val="1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9"/>
      <name val="Verdana"/>
      <family val="2"/>
    </font>
    <font>
      <b/>
      <sz val="9"/>
      <name val="Verdana"/>
      <family val="2"/>
    </font>
    <font>
      <u/>
      <sz val="9"/>
      <name val="Verdana"/>
      <family val="2"/>
    </font>
    <font>
      <u val="doubleAccounting"/>
      <sz val="9"/>
      <name val="Verdana"/>
      <family val="2"/>
    </font>
    <font>
      <u val="singleAccounting"/>
      <sz val="9"/>
      <name val="Verdana"/>
      <family val="2"/>
    </font>
    <font>
      <i/>
      <sz val="9"/>
      <name val="Verdana"/>
      <family val="2"/>
    </font>
    <font>
      <b/>
      <u/>
      <sz val="9"/>
      <name val="Verdana"/>
      <family val="2"/>
    </font>
    <font>
      <sz val="10"/>
      <name val="Arial"/>
      <family val="2"/>
    </font>
    <font>
      <sz val="8"/>
      <name val="Verdana"/>
      <family val="2"/>
    </font>
    <font>
      <sz val="11"/>
      <name val="Times New Roman"/>
      <family val="1"/>
    </font>
    <font>
      <sz val="10"/>
      <name val="Arial"/>
      <family val="2"/>
    </font>
    <font>
      <sz val="8.5"/>
      <name val="Verdana"/>
      <family val="2"/>
    </font>
    <font>
      <sz val="10"/>
      <name val="Arial"/>
      <family val="2"/>
    </font>
    <font>
      <u val="singleAccounting"/>
      <sz val="8"/>
      <name val="Verdana"/>
      <family val="2"/>
    </font>
    <font>
      <u/>
      <sz val="8"/>
      <name val="Verdana"/>
      <family val="2"/>
    </font>
    <font>
      <u val="doubleAccounting"/>
      <sz val="8"/>
      <name val="Verdana"/>
      <family val="2"/>
    </font>
    <font>
      <sz val="10"/>
      <name val="Arial"/>
      <family val="2"/>
    </font>
    <font>
      <i/>
      <u/>
      <sz val="9"/>
      <name val="Verdana"/>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84">
    <xf numFmtId="0" fontId="0" fillId="0" borderId="0"/>
    <xf numFmtId="43"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1" fontId="6" fillId="0" borderId="0" applyFont="0" applyFill="0" applyBorder="0" applyAlignment="0" applyProtection="0"/>
    <xf numFmtId="0" fontId="7" fillId="0" borderId="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5"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9" fontId="5" fillId="0" borderId="0" applyFont="0" applyFill="0" applyBorder="0" applyAlignment="0" applyProtection="0"/>
    <xf numFmtId="44" fontId="6" fillId="0" borderId="0" applyFont="0" applyFill="0" applyBorder="0" applyAlignment="0" applyProtection="0"/>
    <xf numFmtId="9"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9" fontId="4" fillId="0" borderId="0" applyFont="0" applyFill="0" applyBorder="0" applyAlignment="0" applyProtection="0"/>
    <xf numFmtId="43" fontId="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43" fontId="6" fillId="0" borderId="0" applyFont="0" applyFill="0" applyBorder="0" applyAlignment="0" applyProtection="0"/>
    <xf numFmtId="9" fontId="17" fillId="0" borderId="0" applyFont="0" applyFill="0" applyBorder="0" applyAlignment="0" applyProtection="0"/>
    <xf numFmtId="0" fontId="18" fillId="0" borderId="0"/>
    <xf numFmtId="44" fontId="6" fillId="0" borderId="0" applyFont="0" applyFill="0" applyBorder="0" applyAlignment="0" applyProtection="0"/>
    <xf numFmtId="43" fontId="6" fillId="0" borderId="0" applyFont="0" applyFill="0" applyBorder="0" applyAlignment="0" applyProtection="0"/>
    <xf numFmtId="9" fontId="3"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9" fontId="3" fillId="0" borderId="0" applyFont="0" applyFill="0" applyBorder="0" applyAlignment="0" applyProtection="0"/>
    <xf numFmtId="43" fontId="6" fillId="0" borderId="0" applyFont="0" applyFill="0" applyBorder="0" applyAlignment="0" applyProtection="0"/>
    <xf numFmtId="9" fontId="3"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0" fillId="0" borderId="0"/>
    <xf numFmtId="43" fontId="6" fillId="0" borderId="0" applyFont="0" applyFill="0" applyBorder="0" applyAlignment="0" applyProtection="0"/>
    <xf numFmtId="9" fontId="2" fillId="0" borderId="0" applyFont="0" applyFill="0" applyBorder="0" applyAlignment="0" applyProtection="0"/>
    <xf numFmtId="44" fontId="6"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4" fillId="0" borderId="0"/>
    <xf numFmtId="43" fontId="6" fillId="0" borderId="0" applyFont="0" applyFill="0" applyBorder="0" applyAlignment="0" applyProtection="0"/>
    <xf numFmtId="9" fontId="1" fillId="0" borderId="0" applyFont="0" applyFill="0" applyBorder="0" applyAlignment="0" applyProtection="0"/>
    <xf numFmtId="44"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cellStyleXfs>
  <cellXfs count="192">
    <xf numFmtId="0" fontId="0" fillId="0" borderId="0" xfId="0"/>
    <xf numFmtId="0" fontId="8" fillId="0" borderId="0" xfId="0" applyFont="1" applyAlignment="1">
      <alignment horizontal="center"/>
    </xf>
    <xf numFmtId="0" fontId="8" fillId="0" borderId="0" xfId="0" applyFont="1"/>
    <xf numFmtId="41" fontId="8" fillId="0" borderId="0" xfId="0" applyNumberFormat="1" applyFont="1"/>
    <xf numFmtId="43" fontId="8" fillId="0" borderId="0" xfId="0" applyNumberFormat="1" applyFont="1"/>
    <xf numFmtId="0" fontId="8" fillId="0" borderId="0" xfId="5" applyFont="1" applyAlignment="1">
      <alignment horizontal="center"/>
    </xf>
    <xf numFmtId="0" fontId="8" fillId="0" borderId="0" xfId="5" applyFont="1"/>
    <xf numFmtId="167" fontId="8" fillId="0" borderId="0" xfId="5" applyNumberFormat="1" applyFont="1"/>
    <xf numFmtId="0" fontId="10" fillId="0" borderId="0" xfId="0" applyFont="1" applyAlignment="1">
      <alignment horizontal="center"/>
    </xf>
    <xf numFmtId="42" fontId="8" fillId="0" borderId="0" xfId="0" applyNumberFormat="1" applyFont="1"/>
    <xf numFmtId="167" fontId="8" fillId="0" borderId="0" xfId="0" applyNumberFormat="1" applyFont="1"/>
    <xf numFmtId="164" fontId="8" fillId="0" borderId="0" xfId="1" applyNumberFormat="1" applyFont="1" applyFill="1"/>
    <xf numFmtId="164" fontId="8" fillId="0" borderId="0" xfId="1" applyNumberFormat="1" applyFont="1" applyFill="1" applyBorder="1"/>
    <xf numFmtId="10" fontId="8" fillId="0" borderId="0" xfId="0" applyNumberFormat="1" applyFont="1" applyAlignment="1">
      <alignment horizontal="center"/>
    </xf>
    <xf numFmtId="10" fontId="8" fillId="0" borderId="0" xfId="0" applyNumberFormat="1" applyFont="1"/>
    <xf numFmtId="166" fontId="8" fillId="0" borderId="0" xfId="0" applyNumberFormat="1" applyFont="1"/>
    <xf numFmtId="171" fontId="8" fillId="0" borderId="0" xfId="0" applyNumberFormat="1" applyFont="1"/>
    <xf numFmtId="41" fontId="8" fillId="0" borderId="0" xfId="1" applyNumberFormat="1" applyFont="1" applyFill="1"/>
    <xf numFmtId="169" fontId="8" fillId="0" borderId="0" xfId="0" applyNumberFormat="1" applyFont="1"/>
    <xf numFmtId="41" fontId="8" fillId="0" borderId="0" xfId="7" applyFont="1" applyFill="1" applyAlignment="1"/>
    <xf numFmtId="41" fontId="8" fillId="0" borderId="0" xfId="7" applyFont="1" applyFill="1"/>
    <xf numFmtId="41" fontId="8" fillId="0" borderId="0" xfId="7" applyFont="1" applyAlignment="1"/>
    <xf numFmtId="41" fontId="8" fillId="0" borderId="0" xfId="7" applyFont="1"/>
    <xf numFmtId="41" fontId="8" fillId="0" borderId="0" xfId="7" applyFont="1" applyBorder="1"/>
    <xf numFmtId="41" fontId="8" fillId="0" borderId="0" xfId="7" applyFont="1" applyBorder="1" applyAlignment="1"/>
    <xf numFmtId="0" fontId="8" fillId="2" borderId="0" xfId="0" applyFont="1" applyFill="1"/>
    <xf numFmtId="173" fontId="8" fillId="0" borderId="0" xfId="0" applyNumberFormat="1" applyFont="1"/>
    <xf numFmtId="0" fontId="8" fillId="0" borderId="0" xfId="0" applyFont="1" applyAlignment="1">
      <alignment vertical="center"/>
    </xf>
    <xf numFmtId="41" fontId="8" fillId="0" borderId="0" xfId="0" applyNumberFormat="1" applyFont="1" applyAlignment="1">
      <alignment vertical="center"/>
    </xf>
    <xf numFmtId="42" fontId="8" fillId="0" borderId="0" xfId="0" applyNumberFormat="1" applyFont="1" applyAlignment="1">
      <alignment vertical="center"/>
    </xf>
    <xf numFmtId="42" fontId="8" fillId="0" borderId="0" xfId="0" applyNumberFormat="1" applyFont="1" applyAlignment="1">
      <alignment horizontal="center" vertical="center"/>
    </xf>
    <xf numFmtId="0" fontId="8" fillId="0" borderId="0" xfId="0" applyFont="1" applyAlignment="1">
      <alignment horizontal="center" vertical="center"/>
    </xf>
    <xf numFmtId="41" fontId="12" fillId="0" borderId="0" xfId="0" applyNumberFormat="1" applyFont="1" applyAlignment="1">
      <alignment vertical="center"/>
    </xf>
    <xf numFmtId="43" fontId="8" fillId="0" borderId="0" xfId="1" applyFont="1"/>
    <xf numFmtId="172" fontId="8" fillId="0" borderId="0" xfId="0" applyNumberFormat="1" applyFont="1"/>
    <xf numFmtId="165" fontId="8" fillId="0" borderId="0" xfId="0" applyNumberFormat="1" applyFont="1" applyAlignment="1">
      <alignment horizontal="center"/>
    </xf>
    <xf numFmtId="0" fontId="8" fillId="0" borderId="0" xfId="8" applyFont="1"/>
    <xf numFmtId="0" fontId="13" fillId="0" borderId="0" xfId="0" applyFont="1"/>
    <xf numFmtId="0" fontId="13" fillId="0" borderId="0" xfId="0" applyFont="1" applyAlignment="1">
      <alignment vertical="top"/>
    </xf>
    <xf numFmtId="3" fontId="8" fillId="0" borderId="0" xfId="0" applyNumberFormat="1" applyFont="1"/>
    <xf numFmtId="0" fontId="8" fillId="0" borderId="0" xfId="0" applyFont="1" applyAlignment="1">
      <alignment vertical="top"/>
    </xf>
    <xf numFmtId="0" fontId="9" fillId="0" borderId="1" xfId="0" applyFont="1" applyBorder="1" applyAlignment="1">
      <alignment vertical="top"/>
    </xf>
    <xf numFmtId="0" fontId="14" fillId="0" borderId="0" xfId="0" applyFont="1" applyAlignment="1">
      <alignment horizontal="center" vertical="top"/>
    </xf>
    <xf numFmtId="0" fontId="10" fillId="0" borderId="0" xfId="0" applyFont="1" applyAlignment="1">
      <alignment vertical="top"/>
    </xf>
    <xf numFmtId="43" fontId="8" fillId="0" borderId="0" xfId="0" applyNumberFormat="1" applyFont="1" applyAlignment="1">
      <alignment vertical="top"/>
    </xf>
    <xf numFmtId="41" fontId="11" fillId="0" borderId="0" xfId="0" applyNumberFormat="1" applyFont="1" applyAlignment="1">
      <alignment vertical="center"/>
    </xf>
    <xf numFmtId="3" fontId="15" fillId="0" borderId="0" xfId="12" applyNumberFormat="1"/>
    <xf numFmtId="0" fontId="15" fillId="0" borderId="0" xfId="12"/>
    <xf numFmtId="41" fontId="8" fillId="0" borderId="0" xfId="2" applyNumberFormat="1" applyFont="1" applyFill="1"/>
    <xf numFmtId="44" fontId="8" fillId="0" borderId="0" xfId="0" applyNumberFormat="1" applyFont="1" applyAlignment="1">
      <alignment horizontal="center"/>
    </xf>
    <xf numFmtId="44" fontId="8" fillId="0" borderId="0" xfId="0" applyNumberFormat="1" applyFont="1"/>
    <xf numFmtId="170" fontId="8" fillId="0" borderId="0" xfId="0" applyNumberFormat="1" applyFont="1"/>
    <xf numFmtId="41" fontId="8" fillId="0" borderId="0" xfId="0" applyNumberFormat="1" applyFont="1" applyAlignment="1">
      <alignment horizontal="center"/>
    </xf>
    <xf numFmtId="16" fontId="8" fillId="0" borderId="1" xfId="0" quotePrefix="1" applyNumberFormat="1" applyFont="1" applyBorder="1" applyAlignment="1">
      <alignment horizontal="center"/>
    </xf>
    <xf numFmtId="164" fontId="8" fillId="0" borderId="0" xfId="18" applyNumberFormat="1" applyFont="1" applyFill="1"/>
    <xf numFmtId="0" fontId="9" fillId="0" borderId="0" xfId="0" applyFont="1"/>
    <xf numFmtId="0" fontId="6" fillId="0" borderId="0" xfId="13"/>
    <xf numFmtId="0" fontId="6" fillId="0" borderId="0" xfId="13" applyAlignment="1">
      <alignment horizontal="center"/>
    </xf>
    <xf numFmtId="169" fontId="6" fillId="0" borderId="0" xfId="6" applyNumberFormat="1" applyFont="1"/>
    <xf numFmtId="164" fontId="8" fillId="0" borderId="0" xfId="18" applyNumberFormat="1" applyFont="1" applyFill="1" applyBorder="1"/>
    <xf numFmtId="164" fontId="8" fillId="0" borderId="0" xfId="18" applyNumberFormat="1" applyFont="1"/>
    <xf numFmtId="164" fontId="8" fillId="0" borderId="0" xfId="18" applyNumberFormat="1" applyFont="1" applyBorder="1"/>
    <xf numFmtId="41" fontId="8" fillId="0" borderId="0" xfId="18" applyNumberFormat="1" applyFont="1" applyFill="1"/>
    <xf numFmtId="41" fontId="0" fillId="0" borderId="0" xfId="0" applyNumberFormat="1" applyAlignment="1">
      <alignment horizontal="center" wrapText="1"/>
    </xf>
    <xf numFmtId="41" fontId="0" fillId="0" borderId="0" xfId="0" applyNumberFormat="1"/>
    <xf numFmtId="41" fontId="0" fillId="0" borderId="0" xfId="0" applyNumberFormat="1" applyAlignment="1">
      <alignment horizontal="center"/>
    </xf>
    <xf numFmtId="9" fontId="8" fillId="0" borderId="0" xfId="34" applyFont="1"/>
    <xf numFmtId="10" fontId="8" fillId="0" borderId="0" xfId="0" applyNumberFormat="1" applyFont="1" applyAlignment="1">
      <alignment vertical="center"/>
    </xf>
    <xf numFmtId="174" fontId="12" fillId="0" borderId="0" xfId="0" applyNumberFormat="1" applyFont="1"/>
    <xf numFmtId="0" fontId="8" fillId="0" borderId="0" xfId="0" applyFont="1" applyAlignment="1">
      <alignment horizontal="justify" vertical="center" wrapText="1"/>
    </xf>
    <xf numFmtId="174" fontId="8" fillId="0" borderId="0" xfId="0" applyNumberFormat="1" applyFont="1"/>
    <xf numFmtId="174" fontId="11" fillId="0" borderId="0" xfId="0" applyNumberFormat="1" applyFont="1"/>
    <xf numFmtId="173" fontId="8" fillId="0" borderId="0" xfId="3" applyNumberFormat="1" applyFont="1" applyFill="1" applyAlignment="1">
      <alignment vertical="center"/>
    </xf>
    <xf numFmtId="173" fontId="12" fillId="0" borderId="0" xfId="3" applyNumberFormat="1" applyFont="1" applyFill="1" applyAlignment="1">
      <alignment vertical="center"/>
    </xf>
    <xf numFmtId="0" fontId="8" fillId="0" borderId="0" xfId="13" applyFont="1"/>
    <xf numFmtId="0" fontId="19" fillId="0" borderId="0" xfId="0" applyFont="1"/>
    <xf numFmtId="0" fontId="16" fillId="0" borderId="0" xfId="5" applyFont="1" applyAlignment="1">
      <alignment horizontal="center"/>
    </xf>
    <xf numFmtId="167" fontId="16" fillId="0" borderId="0" xfId="5" applyNumberFormat="1" applyFont="1" applyAlignment="1">
      <alignment horizontal="center"/>
    </xf>
    <xf numFmtId="0" fontId="8" fillId="0" borderId="0" xfId="5" applyFont="1" applyAlignment="1">
      <alignment horizontal="centerContinuous"/>
    </xf>
    <xf numFmtId="0" fontId="16" fillId="0" borderId="1" xfId="5" applyFont="1" applyBorder="1" applyAlignment="1">
      <alignment horizontal="center" wrapText="1"/>
    </xf>
    <xf numFmtId="167" fontId="16" fillId="0" borderId="1" xfId="5" applyNumberFormat="1" applyFont="1" applyBorder="1" applyAlignment="1">
      <alignment horizontal="center" wrapText="1"/>
    </xf>
    <xf numFmtId="167" fontId="16" fillId="0" borderId="0" xfId="5" applyNumberFormat="1" applyFont="1" applyAlignment="1">
      <alignment horizontal="center" wrapText="1"/>
    </xf>
    <xf numFmtId="168" fontId="8" fillId="0" borderId="0" xfId="5" applyNumberFormat="1" applyFont="1"/>
    <xf numFmtId="37" fontId="8" fillId="0" borderId="0" xfId="5" applyNumberFormat="1" applyFont="1"/>
    <xf numFmtId="168" fontId="8" fillId="0" borderId="0" xfId="13" applyNumberFormat="1" applyFont="1"/>
    <xf numFmtId="169" fontId="8" fillId="0" borderId="0" xfId="6" applyNumberFormat="1" applyFont="1" applyFill="1"/>
    <xf numFmtId="10" fontId="8" fillId="0" borderId="0" xfId="5" applyNumberFormat="1" applyFont="1"/>
    <xf numFmtId="37" fontId="8" fillId="0" borderId="0" xfId="13" applyNumberFormat="1" applyFont="1"/>
    <xf numFmtId="10" fontId="8" fillId="0" borderId="0" xfId="13" applyNumberFormat="1" applyFont="1"/>
    <xf numFmtId="0" fontId="9" fillId="0" borderId="0" xfId="5" applyFont="1"/>
    <xf numFmtId="169" fontId="10" fillId="0" borderId="0" xfId="5" applyNumberFormat="1" applyFont="1"/>
    <xf numFmtId="3" fontId="8" fillId="0" borderId="0" xfId="13" applyNumberFormat="1" applyFont="1" applyAlignment="1">
      <alignment horizontal="right" wrapText="1"/>
    </xf>
    <xf numFmtId="41" fontId="19" fillId="0" borderId="0" xfId="0" applyNumberFormat="1" applyFont="1"/>
    <xf numFmtId="166" fontId="8" fillId="0" borderId="0" xfId="0" applyNumberFormat="1" applyFont="1" applyAlignment="1">
      <alignment horizontal="center"/>
    </xf>
    <xf numFmtId="169" fontId="8" fillId="0" borderId="0" xfId="1" applyNumberFormat="1" applyFont="1" applyFill="1"/>
    <xf numFmtId="0" fontId="20" fillId="0" borderId="0" xfId="47"/>
    <xf numFmtId="0" fontId="8" fillId="0" borderId="0" xfId="47" applyFont="1" applyAlignment="1">
      <alignment horizontal="center"/>
    </xf>
    <xf numFmtId="0" fontId="8" fillId="0" borderId="0" xfId="47" applyFont="1"/>
    <xf numFmtId="0" fontId="8" fillId="0" borderId="1" xfId="47" applyFont="1" applyBorder="1" applyAlignment="1">
      <alignment horizontal="center"/>
    </xf>
    <xf numFmtId="166" fontId="8" fillId="0" borderId="0" xfId="47" applyNumberFormat="1" applyFont="1"/>
    <xf numFmtId="0" fontId="8" fillId="0" borderId="1" xfId="0" applyFont="1" applyBorder="1" applyAlignment="1">
      <alignment horizontal="center" wrapText="1"/>
    </xf>
    <xf numFmtId="167" fontId="8" fillId="0" borderId="1" xfId="0" applyNumberFormat="1" applyFont="1" applyBorder="1" applyAlignment="1">
      <alignment horizontal="center" wrapText="1"/>
    </xf>
    <xf numFmtId="41" fontId="8" fillId="0" borderId="0" xfId="8" applyNumberFormat="1" applyFont="1"/>
    <xf numFmtId="172" fontId="8" fillId="0" borderId="0" xfId="8" applyNumberFormat="1" applyFont="1"/>
    <xf numFmtId="165" fontId="8" fillId="0" borderId="0" xfId="8" applyNumberFormat="1" applyFont="1" applyAlignment="1">
      <alignment horizontal="center"/>
    </xf>
    <xf numFmtId="9" fontId="8" fillId="0" borderId="0" xfId="34" applyFont="1" applyFill="1"/>
    <xf numFmtId="0" fontId="8" fillId="0" borderId="1" xfId="0" applyFont="1" applyBorder="1" applyAlignment="1">
      <alignment horizontal="centerContinuous"/>
    </xf>
    <xf numFmtId="0" fontId="8" fillId="0" borderId="1" xfId="0" applyFont="1" applyBorder="1"/>
    <xf numFmtId="0" fontId="10" fillId="0" borderId="1" xfId="0" applyFont="1" applyBorder="1"/>
    <xf numFmtId="0" fontId="10" fillId="0" borderId="0" xfId="0" applyFont="1"/>
    <xf numFmtId="173" fontId="8" fillId="0" borderId="0" xfId="0" applyNumberFormat="1" applyFont="1" applyAlignment="1">
      <alignment horizontal="right"/>
    </xf>
    <xf numFmtId="175" fontId="8" fillId="0" borderId="0" xfId="0" applyNumberFormat="1" applyFont="1" applyAlignment="1">
      <alignment horizontal="center"/>
    </xf>
    <xf numFmtId="173" fontId="12" fillId="0" borderId="0" xfId="0" applyNumberFormat="1" applyFont="1" applyAlignment="1">
      <alignment horizontal="right"/>
    </xf>
    <xf numFmtId="175" fontId="12" fillId="0" borderId="0" xfId="0" applyNumberFormat="1" applyFont="1" applyAlignment="1">
      <alignment horizontal="center"/>
    </xf>
    <xf numFmtId="173" fontId="11" fillId="0" borderId="0" xfId="0" applyNumberFormat="1" applyFont="1" applyAlignment="1">
      <alignment horizontal="right"/>
    </xf>
    <xf numFmtId="175" fontId="11" fillId="0" borderId="0" xfId="0" applyNumberFormat="1" applyFont="1" applyAlignment="1">
      <alignment horizontal="center"/>
    </xf>
    <xf numFmtId="0" fontId="9" fillId="0" borderId="1" xfId="0" applyFont="1" applyBorder="1" applyAlignment="1">
      <alignment vertical="center"/>
    </xf>
    <xf numFmtId="0" fontId="9" fillId="0" borderId="0" xfId="0" applyFont="1" applyAlignment="1">
      <alignment vertical="center"/>
    </xf>
    <xf numFmtId="0" fontId="10" fillId="0" borderId="0" xfId="0" applyFont="1" applyAlignment="1">
      <alignment horizontal="center" vertical="center"/>
    </xf>
    <xf numFmtId="43" fontId="8" fillId="0" borderId="0" xfId="0" applyNumberFormat="1" applyFont="1" applyAlignment="1">
      <alignment vertical="center"/>
    </xf>
    <xf numFmtId="0" fontId="16" fillId="0" borderId="0" xfId="0" applyFont="1"/>
    <xf numFmtId="0" fontId="16" fillId="0" borderId="0" xfId="0" applyFont="1" applyAlignment="1">
      <alignment horizontal="center"/>
    </xf>
    <xf numFmtId="0" fontId="16" fillId="0" borderId="1" xfId="0" applyFont="1" applyBorder="1"/>
    <xf numFmtId="41" fontId="16" fillId="0" borderId="0" xfId="0" applyNumberFormat="1" applyFont="1"/>
    <xf numFmtId="10" fontId="16" fillId="0" borderId="0" xfId="0" applyNumberFormat="1" applyFont="1" applyAlignment="1">
      <alignment horizontal="center"/>
    </xf>
    <xf numFmtId="0" fontId="16" fillId="0" borderId="0" xfId="27" applyFont="1"/>
    <xf numFmtId="42" fontId="16" fillId="0" borderId="0" xfId="0" applyNumberFormat="1" applyFont="1"/>
    <xf numFmtId="1" fontId="16" fillId="0" borderId="0" xfId="0" applyNumberFormat="1" applyFont="1" applyAlignment="1">
      <alignment horizontal="center"/>
    </xf>
    <xf numFmtId="169" fontId="16" fillId="0" borderId="0" xfId="30" applyNumberFormat="1" applyFont="1" applyFill="1"/>
    <xf numFmtId="0" fontId="16" fillId="0" borderId="0" xfId="0" applyFont="1" applyAlignment="1">
      <alignment vertical="center"/>
    </xf>
    <xf numFmtId="41" fontId="21" fillId="0" borderId="0" xfId="0" applyNumberFormat="1" applyFont="1" applyAlignment="1">
      <alignment vertical="center"/>
    </xf>
    <xf numFmtId="41" fontId="16" fillId="0" borderId="0" xfId="0" applyNumberFormat="1" applyFont="1" applyAlignment="1">
      <alignment vertical="center"/>
    </xf>
    <xf numFmtId="10" fontId="21" fillId="0" borderId="0" xfId="0" applyNumberFormat="1" applyFont="1" applyAlignment="1">
      <alignment horizontal="center"/>
    </xf>
    <xf numFmtId="41" fontId="16" fillId="0" borderId="0" xfId="0" applyNumberFormat="1" applyFont="1" applyAlignment="1">
      <alignment horizontal="center"/>
    </xf>
    <xf numFmtId="41" fontId="21" fillId="0" borderId="0" xfId="0" applyNumberFormat="1" applyFont="1"/>
    <xf numFmtId="10" fontId="22" fillId="0" borderId="0" xfId="0" applyNumberFormat="1" applyFont="1" applyAlignment="1">
      <alignment horizontal="center"/>
    </xf>
    <xf numFmtId="174" fontId="23" fillId="0" borderId="0" xfId="0" applyNumberFormat="1" applyFont="1"/>
    <xf numFmtId="175" fontId="23" fillId="0" borderId="0" xfId="0" applyNumberFormat="1" applyFont="1" applyAlignment="1">
      <alignment horizontal="center"/>
    </xf>
    <xf numFmtId="0" fontId="16" fillId="0" borderId="0" xfId="0" applyFont="1" applyAlignment="1">
      <alignment horizontal="left" vertical="center" indent="1"/>
    </xf>
    <xf numFmtId="166" fontId="8" fillId="0" borderId="0" xfId="26" applyNumberFormat="1" applyFont="1" applyFill="1"/>
    <xf numFmtId="174" fontId="8" fillId="0" borderId="0" xfId="2" applyNumberFormat="1" applyFont="1" applyFill="1"/>
    <xf numFmtId="173" fontId="12" fillId="0" borderId="0" xfId="0" applyNumberFormat="1" applyFont="1" applyAlignment="1">
      <alignment vertical="center"/>
    </xf>
    <xf numFmtId="173" fontId="12" fillId="0" borderId="0" xfId="0" applyNumberFormat="1" applyFont="1"/>
    <xf numFmtId="0" fontId="8" fillId="0" borderId="3" xfId="0" applyFont="1" applyBorder="1"/>
    <xf numFmtId="0" fontId="8" fillId="0" borderId="2" xfId="0" applyFont="1" applyBorder="1" applyAlignment="1">
      <alignment horizontal="center" vertical="center"/>
    </xf>
    <xf numFmtId="0" fontId="8" fillId="0" borderId="2" xfId="0" applyFont="1" applyBorder="1" applyAlignment="1">
      <alignment horizontal="center" vertical="top"/>
    </xf>
    <xf numFmtId="169" fontId="8" fillId="0" borderId="0" xfId="1" applyNumberFormat="1" applyFont="1"/>
    <xf numFmtId="169" fontId="8" fillId="0" borderId="0" xfId="1" applyNumberFormat="1" applyFont="1" applyFill="1" applyAlignment="1">
      <alignment vertical="center"/>
    </xf>
    <xf numFmtId="166" fontId="11" fillId="0" borderId="0" xfId="0" applyNumberFormat="1" applyFont="1"/>
    <xf numFmtId="0" fontId="8" fillId="0" borderId="0" xfId="56" applyFont="1"/>
    <xf numFmtId="0" fontId="10" fillId="0" borderId="0" xfId="56" applyFont="1"/>
    <xf numFmtId="0" fontId="8" fillId="0" borderId="0" xfId="56" applyFont="1" applyAlignment="1">
      <alignment horizontal="left" indent="1"/>
    </xf>
    <xf numFmtId="0" fontId="25" fillId="0" borderId="0" xfId="56" applyFont="1"/>
    <xf numFmtId="176" fontId="8" fillId="0" borderId="0" xfId="56" applyNumberFormat="1" applyFont="1"/>
    <xf numFmtId="3" fontId="8" fillId="0" borderId="0" xfId="56" applyNumberFormat="1" applyFont="1"/>
    <xf numFmtId="0" fontId="8" fillId="3" borderId="0" xfId="56" applyFont="1" applyFill="1"/>
    <xf numFmtId="0" fontId="8" fillId="0" borderId="0" xfId="83" applyFont="1"/>
    <xf numFmtId="41" fontId="8" fillId="0" borderId="0" xfId="0" applyNumberFormat="1" applyFont="1" applyAlignment="1">
      <alignment horizontal="center" vertical="center"/>
    </xf>
    <xf numFmtId="3" fontId="6" fillId="0" borderId="0" xfId="13" applyNumberFormat="1"/>
    <xf numFmtId="0" fontId="8" fillId="0" borderId="0" xfId="83" applyFont="1" applyAlignment="1">
      <alignment horizontal="left"/>
    </xf>
    <xf numFmtId="0" fontId="8" fillId="0" borderId="0" xfId="56" applyFont="1" applyAlignment="1">
      <alignment horizontal="left"/>
    </xf>
    <xf numFmtId="0" fontId="10" fillId="0" borderId="0" xfId="83" applyFont="1"/>
    <xf numFmtId="166" fontId="8" fillId="0" borderId="0" xfId="2" applyNumberFormat="1" applyFont="1"/>
    <xf numFmtId="177" fontId="8" fillId="0" borderId="0" xfId="0" applyNumberFormat="1" applyFont="1" applyAlignment="1">
      <alignment horizontal="center"/>
    </xf>
    <xf numFmtId="42" fontId="8" fillId="0" borderId="0" xfId="0" applyNumberFormat="1" applyFont="1" applyAlignment="1">
      <alignment horizontal="center"/>
    </xf>
    <xf numFmtId="1" fontId="8" fillId="0" borderId="0" xfId="0" applyNumberFormat="1" applyFont="1"/>
    <xf numFmtId="0" fontId="8" fillId="0" borderId="0" xfId="0" applyFont="1" applyAlignment="1">
      <alignment horizontal="center" vertical="top"/>
    </xf>
    <xf numFmtId="0" fontId="8" fillId="0" borderId="0" xfId="0" quotePrefix="1" applyFont="1" applyAlignment="1">
      <alignment horizontal="center"/>
    </xf>
    <xf numFmtId="177" fontId="8" fillId="0" borderId="0" xfId="0" applyNumberFormat="1" applyFont="1" applyAlignment="1">
      <alignment horizontal="right"/>
    </xf>
    <xf numFmtId="166" fontId="8" fillId="2" borderId="0" xfId="2" applyNumberFormat="1" applyFont="1" applyFill="1"/>
    <xf numFmtId="0" fontId="12" fillId="0" borderId="0" xfId="0" applyFont="1"/>
    <xf numFmtId="0" fontId="11" fillId="0" borderId="0" xfId="0" applyFont="1"/>
    <xf numFmtId="0" fontId="8" fillId="0" borderId="1" xfId="0" applyFont="1" applyBorder="1" applyAlignment="1">
      <alignment horizontal="center"/>
    </xf>
    <xf numFmtId="0" fontId="16" fillId="0" borderId="1" xfId="0" applyFont="1" applyBorder="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16" fillId="0" borderId="1" xfId="5" applyFont="1" applyBorder="1" applyAlignment="1">
      <alignment horizontal="center"/>
    </xf>
    <xf numFmtId="164" fontId="8" fillId="0" borderId="1" xfId="18" applyNumberFormat="1" applyFont="1" applyFill="1" applyBorder="1" applyAlignment="1">
      <alignment horizontal="center"/>
    </xf>
    <xf numFmtId="0" fontId="8" fillId="0" borderId="1" xfId="0" applyFont="1" applyBorder="1" applyAlignment="1">
      <alignment horizontal="center"/>
    </xf>
    <xf numFmtId="44" fontId="8" fillId="0" borderId="1" xfId="0" applyNumberFormat="1" applyFont="1" applyBorder="1" applyAlignment="1">
      <alignment horizontal="center"/>
    </xf>
    <xf numFmtId="0" fontId="16" fillId="0" borderId="1" xfId="0" applyFont="1" applyBorder="1" applyAlignment="1">
      <alignment horizontal="center"/>
    </xf>
    <xf numFmtId="0" fontId="16" fillId="0" borderId="1" xfId="0" quotePrefix="1" applyFont="1" applyBorder="1" applyAlignment="1">
      <alignment horizontal="center"/>
    </xf>
    <xf numFmtId="0" fontId="8" fillId="0" borderId="0" xfId="0" applyFont="1"/>
    <xf numFmtId="0" fontId="13" fillId="0" borderId="0" xfId="0" applyFont="1" applyAlignment="1">
      <alignment horizontal="justify" wrapText="1"/>
    </xf>
    <xf numFmtId="0" fontId="8" fillId="0" borderId="1" xfId="0" applyFont="1" applyBorder="1" applyAlignment="1">
      <alignment horizontal="center" vertical="center"/>
    </xf>
    <xf numFmtId="0" fontId="8" fillId="0" borderId="2" xfId="0" applyFont="1" applyBorder="1" applyAlignment="1">
      <alignment horizontal="center"/>
    </xf>
    <xf numFmtId="0" fontId="13" fillId="0" borderId="0" xfId="0" applyFont="1" applyAlignment="1">
      <alignment horizontal="center"/>
    </xf>
    <xf numFmtId="0" fontId="13" fillId="0" borderId="0" xfId="0" applyFont="1" applyAlignment="1">
      <alignment horizontal="justify" vertical="top" wrapText="1"/>
    </xf>
    <xf numFmtId="0" fontId="13" fillId="0" borderId="0" xfId="0" applyFont="1" applyAlignment="1">
      <alignment horizontal="center" vertical="top"/>
    </xf>
    <xf numFmtId="0" fontId="8" fillId="0" borderId="1" xfId="0" applyFont="1" applyBorder="1" applyAlignment="1">
      <alignment horizontal="center" vertical="top"/>
    </xf>
  </cellXfs>
  <cellStyles count="84">
    <cellStyle name="Comma" xfId="1" builtinId="3"/>
    <cellStyle name="Comma [0] 2" xfId="7" xr:uid="{00000000-0005-0000-0000-000002000000}"/>
    <cellStyle name="Comma 10" xfId="6" xr:uid="{00000000-0005-0000-0000-000003000000}"/>
    <cellStyle name="Comma 11" xfId="42" xr:uid="{DD4379F3-25FA-4798-A68D-544095FBBE82}"/>
    <cellStyle name="Comma 12" xfId="44" xr:uid="{A38A9935-A469-43CD-A608-6E0D06481DC0}"/>
    <cellStyle name="Comma 13" xfId="48" xr:uid="{BE83EAD1-4438-46BE-A51F-52413317667D}"/>
    <cellStyle name="Comma 14" xfId="57" xr:uid="{B19C0D86-4CDE-432B-AABB-55575531A2D6}"/>
    <cellStyle name="Comma 15" xfId="67" xr:uid="{2E141202-AD30-4544-981B-03250C2E6194}"/>
    <cellStyle name="Comma 16" xfId="73" xr:uid="{F4DD4F70-CF39-441D-A38E-2F0874EAF2B0}"/>
    <cellStyle name="Comma 17" xfId="66" xr:uid="{8825872A-6DB6-4D47-8315-A2E5DA5DAAE5}"/>
    <cellStyle name="Comma 18" xfId="77" xr:uid="{46CBA54E-BD10-4BDC-A0F0-D10AD8ED4DA7}"/>
    <cellStyle name="Comma 19" xfId="72" xr:uid="{AD8FA74C-A57E-4536-ABB2-16FB23C69C71}"/>
    <cellStyle name="Comma 2" xfId="18" xr:uid="{1C960647-0CFF-4568-BF8C-FCB937D7351F}"/>
    <cellStyle name="Comma 20" xfId="76" xr:uid="{AD1D65B6-F880-44BD-B642-3AA4D556D6C5}"/>
    <cellStyle name="Comma 21" xfId="74" xr:uid="{31398600-BE55-4801-825A-4D9D743FE897}"/>
    <cellStyle name="Comma 22" xfId="65" xr:uid="{07856744-05DC-4B05-B657-55E8847A8C8E}"/>
    <cellStyle name="Comma 23" xfId="71" xr:uid="{CFE0E148-023C-4A46-B4D6-B995C46F00E2}"/>
    <cellStyle name="Comma 26" xfId="11" xr:uid="{00000000-0005-0000-0000-000004000000}"/>
    <cellStyle name="Comma 27" xfId="10" xr:uid="{00000000-0005-0000-0000-000005000000}"/>
    <cellStyle name="Comma 3" xfId="15" xr:uid="{0B432B71-A854-4646-8F0E-96B3AA8B1096}"/>
    <cellStyle name="Comma 4" xfId="22" xr:uid="{72B46B3B-9E95-4641-8B76-A412921C037B}"/>
    <cellStyle name="Comma 5" xfId="23" xr:uid="{CC96F7D5-A3B6-4CFC-9399-785AF80960AF}"/>
    <cellStyle name="Comma 6" xfId="30" xr:uid="{87576064-4208-4BB4-83F0-24570F1C6342}"/>
    <cellStyle name="Comma 7" xfId="33" xr:uid="{981B1EAD-4884-43BA-AF02-73F56EA7DDCD}"/>
    <cellStyle name="Comma 8" xfId="37" xr:uid="{06FA70C6-7C21-487C-AF91-EA60F8BB6457}"/>
    <cellStyle name="Comma 9" xfId="40" xr:uid="{F9AB471C-51D3-4C48-89A9-2BEA8F1A8BE7}"/>
    <cellStyle name="Currency" xfId="2" builtinId="4"/>
    <cellStyle name="Currency [0]" xfId="3" builtinId="7"/>
    <cellStyle name="Currency [0] 2" xfId="24" xr:uid="{38EB57BE-AD5E-4AB2-BF95-A335094C0F5B}"/>
    <cellStyle name="Currency 10" xfId="59" xr:uid="{14E850D9-8490-4125-94AF-13138DE18385}"/>
    <cellStyle name="Currency 11" xfId="69" xr:uid="{4C024E60-7EF7-4527-AB18-8454B76C1053}"/>
    <cellStyle name="Currency 12" xfId="75" xr:uid="{E4C9549B-5394-4B3A-B366-511E6B148C44}"/>
    <cellStyle name="Currency 13" xfId="70" xr:uid="{2B4E495F-D5A2-41E6-A742-9981026D61F8}"/>
    <cellStyle name="Currency 14" xfId="68" xr:uid="{82147D5C-0EC8-4D2F-BA02-1BDD5A1C16B7}"/>
    <cellStyle name="Currency 15" xfId="78" xr:uid="{3D89DF1B-78F2-484C-A999-575040DF6F05}"/>
    <cellStyle name="Currency 16" xfId="79" xr:uid="{C8806723-DD08-45F7-8423-79D0F2806D41}"/>
    <cellStyle name="Currency 17" xfId="80" xr:uid="{2ED66CC4-6D6A-47F3-8B8F-D6633EAF7B8A}"/>
    <cellStyle name="Currency 18" xfId="81" xr:uid="{B3463B4B-B2DB-4D35-9651-9F1156FA2CC7}"/>
    <cellStyle name="Currency 19" xfId="82" xr:uid="{34110125-23D8-413E-95B7-027D01DD9720}"/>
    <cellStyle name="Currency 2" xfId="20" xr:uid="{B1639956-1FE8-4A8C-BEE8-91D181127ABF}"/>
    <cellStyle name="Currency 24" xfId="9" xr:uid="{00000000-0005-0000-0000-000008000000}"/>
    <cellStyle name="Currency 3" xfId="25" xr:uid="{A1F76FB7-FF81-4622-9770-C082505111FD}"/>
    <cellStyle name="Currency 4" xfId="26" xr:uid="{EB5B70B6-B1C2-43AC-B434-8DC741E68CE5}"/>
    <cellStyle name="Currency 5" xfId="39" xr:uid="{6BE78327-9C46-47D9-AD41-2711A5459F8B}"/>
    <cellStyle name="Currency 6" xfId="45" xr:uid="{16D3A63B-B9D4-4A73-A520-4759221E94C8}"/>
    <cellStyle name="Currency 7" xfId="36" xr:uid="{0596CFA4-8CF5-4476-AE98-871D26856C95}"/>
    <cellStyle name="Currency 8" xfId="46" xr:uid="{F805AAD1-7C8C-4EB4-8ED5-A574783D5EF6}"/>
    <cellStyle name="Currency 9" xfId="50" xr:uid="{41CEB57A-BE14-4744-AF0A-9485BA6D19B6}"/>
    <cellStyle name="Normal" xfId="0" builtinId="0"/>
    <cellStyle name="Normal 2" xfId="13" xr:uid="{36E192B5-ABC9-453B-897C-9AF87605AC70}"/>
    <cellStyle name="Normal 2 2" xfId="8" xr:uid="{00000000-0005-0000-0000-00000A000000}"/>
    <cellStyle name="Normal 2 2 2" xfId="28" xr:uid="{FBE81576-911A-4A38-92A7-E1F081B06867}"/>
    <cellStyle name="Normal 2 3" xfId="5" xr:uid="{00000000-0005-0000-0000-00000B000000}"/>
    <cellStyle name="Normal 3" xfId="4" xr:uid="{00000000-0005-0000-0000-00000C000000}"/>
    <cellStyle name="Normal 4" xfId="12" xr:uid="{112992DC-EEC9-4959-B57E-CE27D916C620}"/>
    <cellStyle name="Normal 5" xfId="35" xr:uid="{201054FB-042F-4E77-85ED-B7E70680A11C}"/>
    <cellStyle name="Normal 6" xfId="47" xr:uid="{0C41182B-529F-4554-A94B-979BB2F584B3}"/>
    <cellStyle name="Normal 7" xfId="56" xr:uid="{E95AD955-B3D1-4383-ABF7-ACC6A1EA4333}"/>
    <cellStyle name="Normal 7 2" xfId="83" xr:uid="{53078D18-CAE7-4AA9-93F2-6B33DDFF6DBA}"/>
    <cellStyle name="Normal_Tbl 10 PrinTaxPayers 2" xfId="27" xr:uid="{B21BF3E2-D29F-483C-9939-E8D2199F99B6}"/>
    <cellStyle name="Percent" xfId="34" builtinId="5"/>
    <cellStyle name="Percent 2" xfId="16" xr:uid="{FA5602B3-3237-41F8-87D4-9DA675F4604C}"/>
    <cellStyle name="Percent 2 2" xfId="21" xr:uid="{7A556722-1903-45D5-AD4B-69AE8A5B0815}"/>
    <cellStyle name="Percent 2 2 2" xfId="32" xr:uid="{D9621F1E-F90C-476C-84BE-5D51872F48C9}"/>
    <cellStyle name="Percent 2 2 2 2" xfId="55" xr:uid="{B5C469B9-4899-4F4B-90E1-2CBD42598E6B}"/>
    <cellStyle name="Percent 2 2 2 3" xfId="64" xr:uid="{F4BBB66B-83DC-4298-9337-1A9617C810A4}"/>
    <cellStyle name="Percent 2 2 3" xfId="43" xr:uid="{E1B130A1-7DA9-435E-A8D6-9D1578C4313D}"/>
    <cellStyle name="Percent 2 2 4" xfId="52" xr:uid="{ED618A37-D446-4C0F-BA13-C0F9143B6419}"/>
    <cellStyle name="Percent 2 2 5" xfId="61" xr:uid="{E9630B6C-113A-4E0B-AA59-A5E05331076B}"/>
    <cellStyle name="Percent 2 3" xfId="19" xr:uid="{4C1234FC-A4DA-4656-9197-6A692506AD9B}"/>
    <cellStyle name="Percent 2 3 2" xfId="31" xr:uid="{6D55C0B1-0734-46E3-9F68-73F7C20020D7}"/>
    <cellStyle name="Percent 2 3 2 2" xfId="54" xr:uid="{2C27C217-275E-4FAD-A81A-332335BA53C9}"/>
    <cellStyle name="Percent 2 3 2 3" xfId="63" xr:uid="{5D8D0BDB-E3D0-46A8-9466-C6B5DF8A0765}"/>
    <cellStyle name="Percent 2 3 3" xfId="41" xr:uid="{BEF42B10-E669-4C53-801D-E9ED7803C999}"/>
    <cellStyle name="Percent 2 3 4" xfId="51" xr:uid="{450BE5D7-57B3-48F8-B4CE-167A60B6F2B3}"/>
    <cellStyle name="Percent 2 3 5" xfId="60" xr:uid="{48EEC36F-6008-48C0-9346-7067F5171EF2}"/>
    <cellStyle name="Percent 2 4" xfId="29" xr:uid="{9E76ADBB-6AD6-4B18-9A1E-58724DC07558}"/>
    <cellStyle name="Percent 2 4 2" xfId="53" xr:uid="{6755EBB0-E046-41E7-ABB2-3CF7D893736A}"/>
    <cellStyle name="Percent 2 4 3" xfId="62" xr:uid="{DA555E08-F34C-4666-A1CE-4AEF41B14146}"/>
    <cellStyle name="Percent 2 5" xfId="38" xr:uid="{1D53020F-B5B1-4083-A983-123D6A27C84D}"/>
    <cellStyle name="Percent 2 6" xfId="49" xr:uid="{74BFE093-0EB2-4B3E-A1F5-188DEB9CF635}"/>
    <cellStyle name="Percent 2 7" xfId="58" xr:uid="{9BA1B67C-DD3F-42F1-BCB7-28FC73C32C34}"/>
    <cellStyle name="Percent 3" xfId="17" xr:uid="{5FB97073-9E54-4AC9-AFC7-886524CC9088}"/>
    <cellStyle name="Percent 4" xfId="14" xr:uid="{E3D7701B-3612-4940-BAB9-31AF95CE415E}"/>
  </cellStyles>
  <dxfs count="0"/>
  <tableStyles count="0" defaultTableStyle="TableStyleMedium2" defaultPivotStyle="PivotStyleLight16"/>
  <colors>
    <mruColors>
      <color rgb="FF00FF00"/>
      <color rgb="FFBCE1FF"/>
      <color rgb="FF35B7A1"/>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K33"/>
  <sheetViews>
    <sheetView zoomScaleNormal="100" zoomScaleSheetLayoutView="73" workbookViewId="0">
      <selection activeCell="J26" sqref="J26"/>
    </sheetView>
  </sheetViews>
  <sheetFormatPr baseColWidth="10" defaultColWidth="9.1640625" defaultRowHeight="12" x14ac:dyDescent="0.15"/>
  <cols>
    <col min="1" max="1" width="20.6640625" style="2" customWidth="1"/>
    <col min="2" max="2" width="2.6640625" style="2" customWidth="1"/>
    <col min="3" max="3" width="20.6640625" style="2" customWidth="1"/>
    <col min="4" max="4" width="2.6640625" style="2" customWidth="1"/>
    <col min="5" max="5" width="20.6640625" style="2" customWidth="1"/>
    <col min="6" max="6" width="2.6640625" style="2" customWidth="1"/>
    <col min="7" max="7" width="20.6640625" style="2" customWidth="1"/>
    <col min="8" max="8" width="2.6640625" style="2" customWidth="1"/>
    <col min="9" max="10" width="9.1640625" style="2"/>
    <col min="11" max="11" width="18.6640625" style="2" bestFit="1" customWidth="1"/>
    <col min="12" max="16384" width="9.1640625" style="2"/>
  </cols>
  <sheetData>
    <row r="1" spans="1:11" x14ac:dyDescent="0.15">
      <c r="A1" s="176" t="s">
        <v>0</v>
      </c>
      <c r="B1" s="176"/>
      <c r="C1" s="176"/>
      <c r="D1" s="176"/>
      <c r="E1" s="176"/>
      <c r="F1" s="176"/>
      <c r="G1" s="176"/>
    </row>
    <row r="3" spans="1:11" x14ac:dyDescent="0.15">
      <c r="A3" s="177" t="s">
        <v>1</v>
      </c>
      <c r="B3" s="177"/>
      <c r="C3" s="177"/>
      <c r="D3" s="177"/>
      <c r="E3" s="177"/>
      <c r="F3" s="177"/>
      <c r="G3" s="177"/>
    </row>
    <row r="5" spans="1:11" x14ac:dyDescent="0.15">
      <c r="A5" s="177" t="s">
        <v>2</v>
      </c>
      <c r="B5" s="177"/>
      <c r="C5" s="177"/>
      <c r="D5" s="177"/>
      <c r="E5" s="177"/>
      <c r="F5" s="177"/>
      <c r="G5" s="177"/>
    </row>
    <row r="6" spans="1:11" ht="5.75" customHeight="1" x14ac:dyDescent="0.15">
      <c r="A6" s="1"/>
      <c r="B6" s="1"/>
      <c r="C6" s="1"/>
      <c r="D6" s="1"/>
      <c r="E6" s="1"/>
      <c r="F6" s="1"/>
      <c r="G6" s="1"/>
    </row>
    <row r="7" spans="1:11" x14ac:dyDescent="0.15">
      <c r="A7" s="1"/>
      <c r="B7" s="1"/>
      <c r="C7" s="1"/>
      <c r="D7" s="1"/>
      <c r="E7" s="1"/>
      <c r="F7" s="1"/>
      <c r="G7" s="1"/>
    </row>
    <row r="9" spans="1:11" x14ac:dyDescent="0.15">
      <c r="A9" s="1" t="s">
        <v>3</v>
      </c>
      <c r="B9" s="1"/>
      <c r="C9" s="1"/>
      <c r="D9" s="1"/>
      <c r="E9" s="1"/>
      <c r="F9" s="1"/>
      <c r="G9" s="1"/>
    </row>
    <row r="10" spans="1:11" x14ac:dyDescent="0.15">
      <c r="A10" s="1" t="s">
        <v>4</v>
      </c>
      <c r="B10" s="1"/>
      <c r="C10" s="1" t="s">
        <v>5</v>
      </c>
      <c r="D10" s="1"/>
      <c r="E10" s="1" t="s">
        <v>6</v>
      </c>
      <c r="F10" s="1"/>
      <c r="G10" s="1" t="s">
        <v>7</v>
      </c>
    </row>
    <row r="11" spans="1:11" x14ac:dyDescent="0.15">
      <c r="A11" s="1" t="s">
        <v>8</v>
      </c>
      <c r="B11" s="1"/>
      <c r="C11" s="1" t="s">
        <v>9</v>
      </c>
      <c r="D11" s="1"/>
      <c r="E11" s="1" t="s">
        <v>10</v>
      </c>
      <c r="F11" s="1"/>
      <c r="G11" s="1" t="s">
        <v>11</v>
      </c>
    </row>
    <row r="12" spans="1:11" x14ac:dyDescent="0.15">
      <c r="A12" s="172" t="s">
        <v>12</v>
      </c>
      <c r="B12" s="1"/>
      <c r="C12" s="172" t="s">
        <v>13</v>
      </c>
      <c r="D12" s="1"/>
      <c r="E12" s="172" t="s">
        <v>14</v>
      </c>
      <c r="F12" s="1"/>
      <c r="G12" s="172" t="s">
        <v>15</v>
      </c>
    </row>
    <row r="13" spans="1:11" x14ac:dyDescent="0.15">
      <c r="A13" s="1">
        <v>2024</v>
      </c>
      <c r="B13" s="1"/>
      <c r="C13" s="3">
        <v>2425608700</v>
      </c>
      <c r="D13" s="1"/>
      <c r="E13" s="4">
        <v>42.35</v>
      </c>
      <c r="F13" s="4"/>
      <c r="G13" s="4">
        <v>8.41</v>
      </c>
      <c r="J13" s="2" t="s">
        <v>16</v>
      </c>
      <c r="K13" s="146">
        <v>3085775575</v>
      </c>
    </row>
    <row r="14" spans="1:11" x14ac:dyDescent="0.15">
      <c r="A14" s="1">
        <v>2023</v>
      </c>
      <c r="B14" s="1"/>
      <c r="C14" s="3">
        <v>2363742000</v>
      </c>
      <c r="D14" s="1"/>
      <c r="E14" s="4">
        <v>40.85</v>
      </c>
      <c r="F14" s="4"/>
      <c r="G14" s="4">
        <v>8.1300000000000008</v>
      </c>
    </row>
    <row r="15" spans="1:11" x14ac:dyDescent="0.15">
      <c r="A15" s="1">
        <v>2022</v>
      </c>
      <c r="B15" s="1"/>
      <c r="C15" s="3">
        <v>1700418300</v>
      </c>
      <c r="D15" s="1"/>
      <c r="E15" s="4">
        <v>39.04</v>
      </c>
      <c r="F15" s="4"/>
      <c r="G15" s="4">
        <v>7.79</v>
      </c>
    </row>
    <row r="16" spans="1:11" x14ac:dyDescent="0.15">
      <c r="A16" s="1">
        <v>2021</v>
      </c>
      <c r="B16" s="1"/>
      <c r="C16" s="3">
        <v>1629336300</v>
      </c>
      <c r="D16" s="1"/>
      <c r="E16" s="4">
        <v>38.15</v>
      </c>
      <c r="F16" s="4"/>
      <c r="G16" s="4">
        <v>6.97</v>
      </c>
    </row>
    <row r="17" spans="1:7" ht="14" customHeight="1" x14ac:dyDescent="0.15">
      <c r="A17" s="1">
        <v>2020</v>
      </c>
      <c r="B17" s="1"/>
      <c r="C17" s="3">
        <v>1982664200</v>
      </c>
      <c r="D17" s="1"/>
      <c r="E17" s="4">
        <v>38.15</v>
      </c>
      <c r="F17" s="4"/>
      <c r="G17" s="4">
        <v>6.9700000000000006</v>
      </c>
    </row>
    <row r="18" spans="1:7" ht="14" customHeight="1" x14ac:dyDescent="0.15">
      <c r="A18" s="1">
        <v>2019</v>
      </c>
      <c r="B18" s="1"/>
      <c r="C18" s="3">
        <v>1622930500</v>
      </c>
      <c r="D18" s="1"/>
      <c r="E18" s="4">
        <v>37.15</v>
      </c>
      <c r="F18" s="4"/>
      <c r="G18" s="4">
        <v>6.84</v>
      </c>
    </row>
    <row r="19" spans="1:7" ht="14" customHeight="1" x14ac:dyDescent="0.15">
      <c r="A19" s="1">
        <v>2018</v>
      </c>
      <c r="C19" s="3">
        <v>1583312400</v>
      </c>
      <c r="E19" s="4">
        <v>35.61</v>
      </c>
      <c r="G19" s="4">
        <v>6.53</v>
      </c>
    </row>
    <row r="20" spans="1:7" ht="14" customHeight="1" x14ac:dyDescent="0.15">
      <c r="A20" s="1">
        <v>2017</v>
      </c>
      <c r="C20" s="3">
        <v>1583462300</v>
      </c>
      <c r="E20" s="4">
        <v>34.35</v>
      </c>
      <c r="G20" s="4">
        <v>6.21</v>
      </c>
    </row>
    <row r="21" spans="1:7" ht="14" customHeight="1" x14ac:dyDescent="0.15">
      <c r="A21" s="1">
        <v>2016</v>
      </c>
      <c r="C21" s="3">
        <v>1509250000</v>
      </c>
      <c r="E21" s="4">
        <v>30.11</v>
      </c>
      <c r="G21" s="4">
        <v>5.73</v>
      </c>
    </row>
    <row r="22" spans="1:7" ht="14" customHeight="1" x14ac:dyDescent="0.15">
      <c r="A22" s="1">
        <v>2015</v>
      </c>
      <c r="C22" s="3">
        <v>1472948300</v>
      </c>
      <c r="E22" s="4">
        <v>26.54</v>
      </c>
      <c r="G22" s="4">
        <v>5.43</v>
      </c>
    </row>
    <row r="23" spans="1:7" ht="14" hidden="1" customHeight="1" x14ac:dyDescent="0.15">
      <c r="A23" s="1">
        <v>2014</v>
      </c>
      <c r="C23" s="3">
        <v>1543351600</v>
      </c>
      <c r="E23" s="4">
        <v>24.38</v>
      </c>
      <c r="G23" s="4">
        <v>5.17</v>
      </c>
    </row>
    <row r="24" spans="1:7" ht="14" hidden="1" customHeight="1" x14ac:dyDescent="0.15">
      <c r="A24" s="1">
        <v>2013</v>
      </c>
      <c r="C24" s="3">
        <v>1550039700</v>
      </c>
      <c r="E24" s="4">
        <v>22.69</v>
      </c>
      <c r="G24" s="4">
        <v>4.84</v>
      </c>
    </row>
    <row r="25" spans="1:7" ht="14" hidden="1" customHeight="1" x14ac:dyDescent="0.15">
      <c r="A25" s="1">
        <v>2012</v>
      </c>
      <c r="C25" s="3">
        <v>1604952300</v>
      </c>
      <c r="E25" s="4">
        <v>22.69</v>
      </c>
      <c r="G25" s="4">
        <v>4.84</v>
      </c>
    </row>
    <row r="26" spans="1:7" ht="14" customHeight="1" x14ac:dyDescent="0.15">
      <c r="A26" s="1"/>
      <c r="C26" s="3"/>
      <c r="E26" s="4"/>
      <c r="G26" s="4"/>
    </row>
    <row r="27" spans="1:7" ht="14" customHeight="1" x14ac:dyDescent="0.15">
      <c r="C27" s="3"/>
    </row>
    <row r="28" spans="1:7" ht="14" customHeight="1" x14ac:dyDescent="0.15">
      <c r="A28" s="2" t="s">
        <v>17</v>
      </c>
    </row>
    <row r="29" spans="1:7" ht="14" customHeight="1" x14ac:dyDescent="0.15"/>
    <row r="30" spans="1:7" ht="14" customHeight="1" x14ac:dyDescent="0.15"/>
    <row r="31" spans="1:7" ht="14" customHeight="1" x14ac:dyDescent="0.15"/>
    <row r="32" spans="1:7" ht="14" customHeight="1" x14ac:dyDescent="0.15"/>
    <row r="33" ht="14" customHeight="1" x14ac:dyDescent="0.15"/>
  </sheetData>
  <mergeCells count="3">
    <mergeCell ref="A1:G1"/>
    <mergeCell ref="A3:G3"/>
    <mergeCell ref="A5:G5"/>
  </mergeCells>
  <pageMargins left="0.75" right="0.75" top="0.5" bottom="1" header="0.5" footer="0.5"/>
  <pageSetup firstPageNumber="98" orientation="portrait" useFirstPageNumber="1" r:id="rId1"/>
  <headerFooter alignWithMargins="0">
    <oddHeader>&amp;R&amp;"Verdana,Bold"&amp;9TABLE 6</oddHeader>
    <oddFooter>&amp;C&amp;"Verdana,Bold"&amp;9&amp;P</oddFooter>
  </headerFooter>
  <customProperties>
    <customPr name="OrphanNamesChecke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J64"/>
  <sheetViews>
    <sheetView zoomScaleNormal="100" zoomScaleSheetLayoutView="71" workbookViewId="0">
      <selection activeCell="G23" sqref="G23"/>
    </sheetView>
  </sheetViews>
  <sheetFormatPr baseColWidth="10" defaultColWidth="9.1640625" defaultRowHeight="12" x14ac:dyDescent="0.15"/>
  <cols>
    <col min="1" max="1" width="23.33203125" style="2" customWidth="1"/>
    <col min="2" max="2" width="4.6640625" style="2" customWidth="1"/>
    <col min="3" max="3" width="14.6640625" style="2" customWidth="1"/>
    <col min="4" max="4" width="0.83203125" style="2" customWidth="1"/>
    <col min="5" max="5" width="4.6640625" style="2" customWidth="1"/>
    <col min="6" max="6" width="0.83203125" style="2" customWidth="1"/>
    <col min="7" max="7" width="10.5" style="2" customWidth="1"/>
    <col min="8" max="8" width="0.83203125" style="2" customWidth="1"/>
    <col min="9" max="9" width="14.6640625" style="2" customWidth="1"/>
    <col min="10" max="10" width="0.83203125" style="2" customWidth="1"/>
    <col min="11" max="11" width="4.6640625" style="2" customWidth="1"/>
    <col min="12" max="12" width="0.83203125" style="2" customWidth="1"/>
    <col min="13" max="13" width="10.5" style="2" customWidth="1"/>
    <col min="14" max="19" width="9.1640625" style="2"/>
    <col min="20" max="20" width="14" style="2" bestFit="1" customWidth="1"/>
    <col min="21" max="25" width="9.1640625" style="2"/>
    <col min="26" max="26" width="9.5" style="2" bestFit="1" customWidth="1"/>
    <col min="27" max="27" width="25.83203125" style="2" bestFit="1" customWidth="1"/>
    <col min="28" max="28" width="10" style="2" bestFit="1" customWidth="1"/>
    <col min="29" max="29" width="15" style="2" bestFit="1" customWidth="1"/>
    <col min="30" max="30" width="15" style="2" customWidth="1"/>
    <col min="31" max="31" width="27.6640625" style="2" bestFit="1" customWidth="1"/>
    <col min="32" max="33" width="15" style="2" customWidth="1"/>
    <col min="34" max="34" width="25.6640625" style="2" bestFit="1" customWidth="1"/>
    <col min="35" max="35" width="7.6640625" style="2" bestFit="1" customWidth="1"/>
    <col min="36" max="36" width="12.1640625" style="2" bestFit="1" customWidth="1"/>
    <col min="37" max="16384" width="9.1640625" style="2"/>
  </cols>
  <sheetData>
    <row r="1" spans="1:36" x14ac:dyDescent="0.15">
      <c r="A1" s="176" t="s">
        <v>0</v>
      </c>
      <c r="B1" s="176"/>
      <c r="C1" s="176"/>
      <c r="D1" s="176"/>
      <c r="E1" s="176"/>
      <c r="F1" s="176"/>
      <c r="G1" s="176"/>
      <c r="H1" s="176"/>
      <c r="I1" s="176"/>
      <c r="J1" s="176"/>
      <c r="K1" s="176"/>
      <c r="L1" s="176"/>
      <c r="M1" s="176"/>
    </row>
    <row r="3" spans="1:36" x14ac:dyDescent="0.15">
      <c r="A3" s="177" t="s">
        <v>18</v>
      </c>
      <c r="B3" s="177"/>
      <c r="C3" s="177"/>
      <c r="D3" s="177"/>
      <c r="E3" s="177"/>
      <c r="F3" s="177"/>
      <c r="G3" s="177"/>
      <c r="H3" s="177"/>
      <c r="I3" s="177"/>
      <c r="J3" s="177"/>
      <c r="K3" s="177"/>
      <c r="L3" s="177"/>
      <c r="M3" s="177"/>
    </row>
    <row r="5" spans="1:36" x14ac:dyDescent="0.15">
      <c r="A5" s="177" t="s">
        <v>2</v>
      </c>
      <c r="B5" s="177"/>
      <c r="C5" s="177"/>
      <c r="D5" s="177"/>
      <c r="E5" s="177"/>
      <c r="F5" s="177"/>
      <c r="G5" s="177"/>
      <c r="H5" s="177"/>
      <c r="I5" s="177"/>
      <c r="J5" s="177"/>
      <c r="K5" s="177"/>
      <c r="L5" s="177"/>
      <c r="M5" s="177"/>
    </row>
    <row r="9" spans="1:36" ht="13" x14ac:dyDescent="0.15">
      <c r="A9" s="76"/>
      <c r="B9" s="76"/>
      <c r="C9" s="178">
        <v>2024</v>
      </c>
      <c r="D9" s="178"/>
      <c r="E9" s="178"/>
      <c r="F9" s="178"/>
      <c r="G9" s="178"/>
      <c r="H9" s="77"/>
      <c r="I9" s="178">
        <v>2015</v>
      </c>
      <c r="J9" s="178"/>
      <c r="K9" s="178"/>
      <c r="L9" s="178"/>
      <c r="M9" s="178"/>
      <c r="N9" s="78"/>
      <c r="O9" s="5"/>
      <c r="P9" s="5"/>
      <c r="Q9" s="5"/>
      <c r="R9" s="5"/>
      <c r="S9" s="5"/>
      <c r="T9" s="5">
        <v>2023</v>
      </c>
      <c r="U9" s="5"/>
      <c r="V9" s="5"/>
      <c r="W9" s="5"/>
      <c r="X9" s="5"/>
      <c r="Y9" s="5"/>
      <c r="Z9" s="57"/>
      <c r="AA9" s="57"/>
      <c r="AB9" s="57">
        <v>2021</v>
      </c>
      <c r="AC9" s="57"/>
      <c r="AD9" s="57"/>
      <c r="AE9" s="57"/>
      <c r="AF9" s="57"/>
      <c r="AG9" s="57"/>
      <c r="AH9" s="57">
        <v>2012</v>
      </c>
      <c r="AI9" s="57"/>
      <c r="AJ9" s="57"/>
    </row>
    <row r="10" spans="1:36" ht="63.75" customHeight="1" x14ac:dyDescent="0.15">
      <c r="A10" s="79" t="s">
        <v>19</v>
      </c>
      <c r="B10" s="76"/>
      <c r="C10" s="79" t="s">
        <v>20</v>
      </c>
      <c r="D10" s="76"/>
      <c r="E10" s="80" t="s">
        <v>21</v>
      </c>
      <c r="F10" s="76"/>
      <c r="G10" s="80" t="s">
        <v>22</v>
      </c>
      <c r="H10" s="81"/>
      <c r="I10" s="80" t="s">
        <v>20</v>
      </c>
      <c r="J10" s="81"/>
      <c r="K10" s="80" t="s">
        <v>21</v>
      </c>
      <c r="L10" s="76"/>
      <c r="M10" s="80" t="s">
        <v>22</v>
      </c>
      <c r="N10" s="5"/>
      <c r="O10" s="5"/>
      <c r="P10" s="5"/>
      <c r="Q10" s="5"/>
      <c r="R10" s="74"/>
      <c r="S10" s="6"/>
      <c r="T10" s="85"/>
      <c r="U10" s="6"/>
      <c r="V10" s="82">
        <v>1</v>
      </c>
      <c r="W10" s="6"/>
      <c r="X10" s="5"/>
      <c r="Y10" s="5"/>
      <c r="Z10" s="56"/>
      <c r="AA10" s="56" t="s">
        <v>23</v>
      </c>
      <c r="AB10" s="56">
        <v>34375405</v>
      </c>
      <c r="AC10" s="56">
        <f>AB10*100</f>
        <v>3437540500</v>
      </c>
      <c r="AD10" s="56"/>
      <c r="AE10" s="74" t="s">
        <v>24</v>
      </c>
      <c r="AF10" s="87">
        <v>23384500</v>
      </c>
      <c r="AG10" s="56"/>
      <c r="AH10" s="56" t="s">
        <v>25</v>
      </c>
      <c r="AI10" s="56">
        <v>251410</v>
      </c>
      <c r="AJ10" s="56">
        <f>AI10*100</f>
        <v>25141000</v>
      </c>
    </row>
    <row r="11" spans="1:36" ht="13" x14ac:dyDescent="0.15">
      <c r="A11" s="6"/>
      <c r="B11" s="6"/>
      <c r="C11" s="6"/>
      <c r="D11" s="6"/>
      <c r="E11" s="82"/>
      <c r="F11" s="6"/>
      <c r="G11" s="7"/>
      <c r="H11" s="7"/>
      <c r="I11" s="83"/>
      <c r="J11" s="7"/>
      <c r="K11" s="84"/>
      <c r="L11" s="6"/>
      <c r="M11" s="7"/>
      <c r="N11" s="6"/>
      <c r="O11" s="6"/>
      <c r="P11" s="6"/>
      <c r="Q11" s="6"/>
      <c r="R11" s="74" t="s">
        <v>26</v>
      </c>
      <c r="S11" s="6"/>
      <c r="T11" s="85">
        <f>8201400+7557400</f>
        <v>15758800</v>
      </c>
      <c r="U11" s="6"/>
      <c r="V11" s="82">
        <v>2</v>
      </c>
      <c r="W11" s="6"/>
      <c r="X11" s="6"/>
      <c r="Y11" s="6"/>
      <c r="Z11" s="56"/>
      <c r="AA11" s="56" t="s">
        <v>23</v>
      </c>
      <c r="AB11" s="56">
        <v>1064616</v>
      </c>
      <c r="AC11" s="56">
        <f t="shared" ref="AC11:AC24" si="0">AB11*100</f>
        <v>106461600</v>
      </c>
      <c r="AD11" s="56"/>
      <c r="AE11" s="74" t="s">
        <v>27</v>
      </c>
      <c r="AF11" s="87">
        <v>20741100</v>
      </c>
      <c r="AG11" s="56"/>
      <c r="AH11" s="56" t="s">
        <v>28</v>
      </c>
      <c r="AI11" s="56">
        <v>101023</v>
      </c>
      <c r="AJ11" s="56">
        <f t="shared" ref="AJ11:AJ24" si="1">AI11*100</f>
        <v>10102300</v>
      </c>
    </row>
    <row r="12" spans="1:36" ht="14" customHeight="1" x14ac:dyDescent="0.15">
      <c r="A12" s="74" t="s">
        <v>29</v>
      </c>
      <c r="B12" s="6"/>
      <c r="C12" s="85">
        <f>155968*100</f>
        <v>15596800</v>
      </c>
      <c r="D12" s="6"/>
      <c r="E12" s="82">
        <v>1</v>
      </c>
      <c r="F12" s="6"/>
      <c r="G12" s="86">
        <f>C12/$C$33</f>
        <v>6.4300560927242718E-3</v>
      </c>
      <c r="H12" s="7"/>
      <c r="I12" s="83"/>
      <c r="J12" s="7"/>
      <c r="K12" s="84"/>
      <c r="L12" s="6"/>
      <c r="M12" s="86"/>
      <c r="N12" s="6"/>
      <c r="O12" s="6"/>
      <c r="P12" s="6"/>
      <c r="Q12" s="6"/>
      <c r="R12" s="74" t="s">
        <v>30</v>
      </c>
      <c r="S12" s="6"/>
      <c r="T12" s="85">
        <v>14287200</v>
      </c>
      <c r="U12" s="6"/>
      <c r="V12" s="82">
        <v>3</v>
      </c>
      <c r="W12" s="6"/>
      <c r="X12" s="6"/>
      <c r="Y12" s="6"/>
      <c r="Z12" s="56"/>
      <c r="AA12" s="56" t="s">
        <v>27</v>
      </c>
      <c r="AB12" s="56">
        <v>172401</v>
      </c>
      <c r="AC12" s="56">
        <f t="shared" si="0"/>
        <v>17240100</v>
      </c>
      <c r="AD12" s="56"/>
      <c r="AE12" s="74" t="s">
        <v>31</v>
      </c>
      <c r="AF12" s="85">
        <v>10869700</v>
      </c>
      <c r="AG12" s="56"/>
      <c r="AH12" s="56" t="s">
        <v>32</v>
      </c>
      <c r="AI12" s="56">
        <v>85676</v>
      </c>
      <c r="AJ12" s="56">
        <f t="shared" si="1"/>
        <v>8567600</v>
      </c>
    </row>
    <row r="13" spans="1:36" ht="14" customHeight="1" x14ac:dyDescent="0.15">
      <c r="A13" s="74" t="s">
        <v>30</v>
      </c>
      <c r="B13" s="6"/>
      <c r="C13" s="85">
        <f>140166*100</f>
        <v>14016600</v>
      </c>
      <c r="D13" s="6"/>
      <c r="E13" s="82">
        <v>2</v>
      </c>
      <c r="F13" s="6"/>
      <c r="G13" s="86">
        <f>C14/$C$33</f>
        <v>4.6841850460051532E-3</v>
      </c>
      <c r="H13" s="7"/>
      <c r="I13" s="83"/>
      <c r="J13" s="7"/>
      <c r="K13" s="84"/>
      <c r="L13" s="6"/>
      <c r="N13" s="6"/>
      <c r="O13" s="6"/>
      <c r="P13" s="6"/>
      <c r="Q13" s="6"/>
      <c r="R13" s="74" t="s">
        <v>29</v>
      </c>
      <c r="S13" s="6"/>
      <c r="T13" s="85">
        <v>12822500</v>
      </c>
      <c r="U13" s="6"/>
      <c r="V13" s="82">
        <v>4</v>
      </c>
      <c r="W13" s="6"/>
      <c r="X13" s="6"/>
      <c r="Y13" s="6"/>
      <c r="Z13" s="56"/>
      <c r="AA13" s="56" t="s">
        <v>29</v>
      </c>
      <c r="AB13" s="56">
        <v>148932</v>
      </c>
      <c r="AC13" s="56">
        <f t="shared" si="0"/>
        <v>14893200</v>
      </c>
      <c r="AD13" s="56"/>
      <c r="AE13" s="74" t="s">
        <v>33</v>
      </c>
      <c r="AF13" s="87">
        <v>9537700</v>
      </c>
      <c r="AG13" s="56"/>
      <c r="AH13" s="56" t="s">
        <v>34</v>
      </c>
      <c r="AI13" s="56">
        <v>67662</v>
      </c>
      <c r="AJ13" s="56">
        <f t="shared" si="1"/>
        <v>6766200</v>
      </c>
    </row>
    <row r="14" spans="1:36" ht="14" customHeight="1" x14ac:dyDescent="0.15">
      <c r="A14" s="74" t="s">
        <v>35</v>
      </c>
      <c r="B14" s="6"/>
      <c r="C14" s="85">
        <f>113620*100</f>
        <v>11362000</v>
      </c>
      <c r="D14" s="6"/>
      <c r="E14" s="82">
        <v>3</v>
      </c>
      <c r="F14" s="6"/>
      <c r="G14" s="86">
        <f>C15/$C$33</f>
        <v>4.477597726294435E-3</v>
      </c>
      <c r="H14" s="7"/>
      <c r="I14" s="83"/>
      <c r="J14" s="7"/>
      <c r="K14" s="84"/>
      <c r="L14" s="6"/>
      <c r="N14" s="6"/>
      <c r="O14" s="6"/>
      <c r="P14" s="6"/>
      <c r="Q14" s="6"/>
      <c r="R14" s="74" t="s">
        <v>36</v>
      </c>
      <c r="S14" s="6"/>
      <c r="T14" s="85">
        <v>12051600</v>
      </c>
      <c r="U14" s="6"/>
      <c r="V14" s="82">
        <v>5</v>
      </c>
      <c r="W14" s="6"/>
      <c r="X14" s="6"/>
      <c r="Y14" s="6"/>
      <c r="Z14" s="56"/>
      <c r="AA14" s="56" t="s">
        <v>36</v>
      </c>
      <c r="AB14" s="56">
        <v>125061</v>
      </c>
      <c r="AC14" s="56">
        <f t="shared" si="0"/>
        <v>12506100</v>
      </c>
      <c r="AD14" s="56"/>
      <c r="AE14" s="74" t="s">
        <v>37</v>
      </c>
      <c r="AF14" s="87">
        <v>9366900</v>
      </c>
      <c r="AG14" s="56"/>
      <c r="AH14" s="56" t="s">
        <v>38</v>
      </c>
      <c r="AI14" s="56">
        <v>64474</v>
      </c>
      <c r="AJ14" s="56">
        <f t="shared" si="1"/>
        <v>6447400</v>
      </c>
    </row>
    <row r="15" spans="1:36" ht="13" x14ac:dyDescent="0.15">
      <c r="A15" s="74" t="s">
        <v>36</v>
      </c>
      <c r="B15" s="6"/>
      <c r="C15" s="85">
        <f>108609*100</f>
        <v>10860900</v>
      </c>
      <c r="D15" s="6"/>
      <c r="E15" s="82">
        <v>4</v>
      </c>
      <c r="F15" s="6"/>
      <c r="G15" s="86">
        <f>C16/$C$33</f>
        <v>3.8667819751800857E-3</v>
      </c>
      <c r="H15" s="7"/>
      <c r="I15" s="87"/>
      <c r="K15" s="84"/>
      <c r="M15" s="88"/>
      <c r="N15" s="6"/>
      <c r="O15" s="6"/>
      <c r="P15" s="6"/>
      <c r="Q15" s="6"/>
      <c r="R15" s="74" t="s">
        <v>39</v>
      </c>
      <c r="S15" s="6"/>
      <c r="T15" s="85">
        <v>9768200</v>
      </c>
      <c r="U15" s="6"/>
      <c r="V15" s="82">
        <v>6</v>
      </c>
      <c r="W15" s="6"/>
      <c r="X15" s="6"/>
      <c r="Y15" s="6"/>
      <c r="Z15" s="56"/>
      <c r="AA15" s="56" t="s">
        <v>34</v>
      </c>
      <c r="AB15" s="56">
        <v>110736</v>
      </c>
      <c r="AC15" s="56">
        <f>AB15*100</f>
        <v>11073600</v>
      </c>
      <c r="AD15" s="56"/>
      <c r="AE15" s="74" t="s">
        <v>40</v>
      </c>
      <c r="AF15" s="87">
        <v>8695600</v>
      </c>
      <c r="AG15" s="56"/>
      <c r="AH15" s="56" t="s">
        <v>31</v>
      </c>
      <c r="AI15" s="56">
        <v>63049</v>
      </c>
      <c r="AJ15" s="56">
        <f t="shared" si="1"/>
        <v>6304900</v>
      </c>
    </row>
    <row r="16" spans="1:36" ht="14" customHeight="1" x14ac:dyDescent="0.15">
      <c r="A16" s="74" t="s">
        <v>31</v>
      </c>
      <c r="B16" s="6"/>
      <c r="C16" s="85">
        <f>93793*100</f>
        <v>9379300</v>
      </c>
      <c r="D16" s="6"/>
      <c r="E16" s="82">
        <v>5</v>
      </c>
      <c r="F16" s="6"/>
      <c r="G16" s="86">
        <f>C17/$C$33</f>
        <v>3.3482317242678095E-3</v>
      </c>
      <c r="H16" s="7"/>
      <c r="I16" s="87">
        <v>9908400</v>
      </c>
      <c r="J16" s="7"/>
      <c r="K16" s="84">
        <v>4</v>
      </c>
      <c r="L16" s="6"/>
      <c r="M16" s="88"/>
      <c r="N16" s="6"/>
      <c r="O16" s="6"/>
      <c r="P16" s="6"/>
      <c r="Q16" s="6"/>
      <c r="R16" s="74" t="s">
        <v>31</v>
      </c>
      <c r="S16" s="6"/>
      <c r="T16" s="85">
        <v>8581900</v>
      </c>
      <c r="U16" s="6"/>
      <c r="V16" s="82">
        <v>7</v>
      </c>
      <c r="W16" s="6"/>
      <c r="X16" s="6"/>
      <c r="Y16" s="6"/>
      <c r="Z16" s="56"/>
      <c r="AA16" s="56" t="s">
        <v>31</v>
      </c>
      <c r="AB16" s="56">
        <v>87606</v>
      </c>
      <c r="AC16" s="56">
        <f t="shared" si="0"/>
        <v>8760600</v>
      </c>
      <c r="AD16" s="56"/>
      <c r="AE16" s="74" t="s">
        <v>41</v>
      </c>
      <c r="AF16" s="87">
        <v>8200700</v>
      </c>
      <c r="AG16" s="56"/>
      <c r="AH16" s="56" t="s">
        <v>42</v>
      </c>
      <c r="AI16" s="56">
        <v>62754</v>
      </c>
      <c r="AJ16" s="56">
        <f t="shared" si="1"/>
        <v>6275400</v>
      </c>
    </row>
    <row r="17" spans="1:36" ht="14" customHeight="1" x14ac:dyDescent="0.15">
      <c r="A17" s="74" t="s">
        <v>43</v>
      </c>
      <c r="B17" s="6"/>
      <c r="C17" s="85">
        <f>81215*100</f>
        <v>8121500</v>
      </c>
      <c r="D17" s="6"/>
      <c r="E17" s="82">
        <v>8</v>
      </c>
      <c r="F17" s="6"/>
      <c r="G17" s="86">
        <f>C17/$C$33</f>
        <v>3.3482317242678095E-3</v>
      </c>
      <c r="H17" s="7"/>
      <c r="I17" s="85"/>
      <c r="J17" s="7"/>
      <c r="K17" s="84"/>
      <c r="L17" s="6"/>
      <c r="M17" s="88"/>
      <c r="N17" s="6"/>
      <c r="O17" s="6"/>
      <c r="P17" s="6"/>
      <c r="Q17" s="6"/>
      <c r="R17" s="74" t="s">
        <v>44</v>
      </c>
      <c r="S17" s="6"/>
      <c r="T17" s="85">
        <v>7150300</v>
      </c>
      <c r="U17" s="6"/>
      <c r="V17" s="82">
        <v>8</v>
      </c>
      <c r="W17" s="6"/>
      <c r="X17" s="6"/>
      <c r="Y17" s="6"/>
      <c r="Z17" s="56"/>
      <c r="AA17" s="56" t="s">
        <v>45</v>
      </c>
      <c r="AB17" s="56">
        <v>66390</v>
      </c>
      <c r="AC17" s="56">
        <f t="shared" si="0"/>
        <v>6639000</v>
      </c>
      <c r="AD17" s="56"/>
      <c r="AE17" s="74" t="s">
        <v>39</v>
      </c>
      <c r="AF17" s="85">
        <v>7725100</v>
      </c>
      <c r="AG17" s="56"/>
      <c r="AH17" s="56" t="s">
        <v>41</v>
      </c>
      <c r="AI17" s="56">
        <v>59665</v>
      </c>
      <c r="AJ17" s="56">
        <f t="shared" si="1"/>
        <v>5966500</v>
      </c>
    </row>
    <row r="18" spans="1:36" ht="14" customHeight="1" x14ac:dyDescent="0.15">
      <c r="A18" s="74" t="s">
        <v>46</v>
      </c>
      <c r="B18" s="6"/>
      <c r="C18" s="85">
        <f>80721*100</f>
        <v>8072100</v>
      </c>
      <c r="D18" s="6"/>
      <c r="E18" s="82">
        <v>9</v>
      </c>
      <c r="F18" s="6"/>
      <c r="G18" s="86">
        <f>C18/$C$33</f>
        <v>3.3278657023286568E-3</v>
      </c>
      <c r="H18" s="7"/>
      <c r="I18" s="87">
        <v>7717900</v>
      </c>
      <c r="J18" s="7"/>
      <c r="K18" s="84">
        <v>8</v>
      </c>
      <c r="L18" s="6"/>
      <c r="M18" s="88">
        <f t="shared" ref="M18:M19" si="2">I18/$I$33</f>
        <v>4.9716330454391122E-3</v>
      </c>
      <c r="N18" s="6"/>
      <c r="O18" s="6"/>
      <c r="P18" s="6"/>
      <c r="Q18" s="6"/>
      <c r="R18" s="74" t="s">
        <v>47</v>
      </c>
      <c r="S18" s="6"/>
      <c r="T18" s="85">
        <v>6158400</v>
      </c>
      <c r="U18" s="6"/>
      <c r="V18" s="82">
        <v>9</v>
      </c>
      <c r="W18" s="6"/>
      <c r="X18" s="6"/>
      <c r="Y18" s="6"/>
      <c r="Z18" s="56"/>
      <c r="AA18" s="56" t="s">
        <v>48</v>
      </c>
      <c r="AB18" s="56">
        <v>66172</v>
      </c>
      <c r="AC18" s="56">
        <f t="shared" si="0"/>
        <v>6617200</v>
      </c>
      <c r="AD18" s="56"/>
      <c r="AE18" s="74" t="s">
        <v>49</v>
      </c>
      <c r="AF18" s="83">
        <v>6301600</v>
      </c>
      <c r="AG18" s="56"/>
      <c r="AH18" s="56" t="s">
        <v>28</v>
      </c>
      <c r="AI18" s="56">
        <v>45540</v>
      </c>
      <c r="AJ18" s="56">
        <f t="shared" si="1"/>
        <v>4554000</v>
      </c>
    </row>
    <row r="19" spans="1:36" ht="14" customHeight="1" x14ac:dyDescent="0.15">
      <c r="A19" s="74" t="s">
        <v>50</v>
      </c>
      <c r="B19" s="6"/>
      <c r="C19" s="85">
        <f>77123*100</f>
        <v>7712300</v>
      </c>
      <c r="D19" s="6"/>
      <c r="E19" s="82">
        <v>10</v>
      </c>
      <c r="F19" s="6"/>
      <c r="G19" s="86">
        <f>C19/$C$33</f>
        <v>3.179531801646325E-3</v>
      </c>
      <c r="H19" s="7"/>
      <c r="I19" s="87"/>
      <c r="J19" s="7"/>
      <c r="K19" s="84"/>
      <c r="L19" s="6"/>
      <c r="M19" s="88">
        <f t="shared" si="2"/>
        <v>0</v>
      </c>
      <c r="N19" s="6"/>
      <c r="O19" s="6"/>
      <c r="P19" s="6"/>
      <c r="Q19" s="6"/>
      <c r="R19" s="74" t="s">
        <v>51</v>
      </c>
      <c r="S19" s="6"/>
      <c r="T19" s="85">
        <v>6095200</v>
      </c>
      <c r="U19" s="6"/>
      <c r="V19" s="82">
        <v>10</v>
      </c>
      <c r="W19" s="6"/>
      <c r="X19" s="6"/>
      <c r="Y19" s="6"/>
      <c r="Z19" s="56">
        <v>10</v>
      </c>
      <c r="AA19" s="56" t="s">
        <v>52</v>
      </c>
      <c r="AB19" s="56">
        <v>58243</v>
      </c>
      <c r="AC19" s="56">
        <f t="shared" si="0"/>
        <v>5824300</v>
      </c>
      <c r="AD19" s="56"/>
      <c r="AE19" s="74" t="s">
        <v>53</v>
      </c>
      <c r="AF19" s="83">
        <v>5281200</v>
      </c>
      <c r="AG19" s="56"/>
      <c r="AH19" s="56" t="s">
        <v>48</v>
      </c>
      <c r="AI19" s="56">
        <v>44441</v>
      </c>
      <c r="AJ19" s="56">
        <f t="shared" si="1"/>
        <v>4444100</v>
      </c>
    </row>
    <row r="20" spans="1:36" ht="14" customHeight="1" x14ac:dyDescent="0.15">
      <c r="A20" s="74" t="s">
        <v>54</v>
      </c>
      <c r="B20" s="6"/>
      <c r="C20" s="83"/>
      <c r="D20" s="6"/>
      <c r="E20" s="82"/>
      <c r="F20" s="6"/>
      <c r="G20" s="86"/>
      <c r="H20" s="7"/>
      <c r="I20" s="87">
        <v>15705500</v>
      </c>
      <c r="J20" s="7"/>
      <c r="K20" s="84">
        <v>1</v>
      </c>
      <c r="L20" s="6"/>
      <c r="M20" s="88">
        <f t="shared" ref="M20:M27" si="3">I20/$I$33</f>
        <v>1.0116998509328181E-2</v>
      </c>
      <c r="N20" s="6"/>
      <c r="O20" s="6"/>
      <c r="P20" s="6"/>
      <c r="Q20" s="6"/>
      <c r="R20" s="74" t="s">
        <v>24</v>
      </c>
      <c r="S20" s="6"/>
      <c r="T20" s="83"/>
      <c r="U20" s="6"/>
      <c r="V20" s="82"/>
      <c r="W20" s="6"/>
      <c r="X20" s="6"/>
      <c r="Y20" s="6"/>
      <c r="Z20" s="56"/>
      <c r="AA20" s="56" t="s">
        <v>55</v>
      </c>
      <c r="AB20" s="56">
        <v>48081</v>
      </c>
      <c r="AC20" s="56">
        <f t="shared" si="0"/>
        <v>4808100</v>
      </c>
      <c r="AD20" s="56"/>
      <c r="AE20" s="56"/>
      <c r="AF20" s="83"/>
      <c r="AG20" s="56"/>
      <c r="AH20" s="56" t="s">
        <v>56</v>
      </c>
      <c r="AI20" s="56">
        <v>41964</v>
      </c>
      <c r="AJ20" s="56">
        <f t="shared" si="1"/>
        <v>4196400</v>
      </c>
    </row>
    <row r="21" spans="1:36" ht="14" customHeight="1" x14ac:dyDescent="0.15">
      <c r="A21" s="74" t="s">
        <v>57</v>
      </c>
      <c r="B21" s="6"/>
      <c r="C21" s="83"/>
      <c r="D21" s="6"/>
      <c r="E21" s="82"/>
      <c r="F21" s="6"/>
      <c r="G21" s="86"/>
      <c r="H21" s="7"/>
      <c r="I21" s="87">
        <v>11373500</v>
      </c>
      <c r="J21" s="7"/>
      <c r="K21" s="84">
        <v>2</v>
      </c>
      <c r="L21" s="6"/>
      <c r="M21" s="88">
        <f t="shared" si="3"/>
        <v>7.3264577724901515E-3</v>
      </c>
      <c r="N21" s="6"/>
      <c r="O21" s="6"/>
      <c r="P21" s="6"/>
      <c r="Q21" s="6"/>
      <c r="R21" s="74" t="s">
        <v>27</v>
      </c>
      <c r="S21" s="6"/>
      <c r="T21" s="83"/>
      <c r="U21" s="6"/>
      <c r="V21" s="82"/>
      <c r="W21" s="6"/>
      <c r="X21" s="6"/>
      <c r="Y21" s="6"/>
      <c r="Z21" s="56"/>
      <c r="AA21" s="56" t="s">
        <v>28</v>
      </c>
      <c r="AB21" s="56">
        <v>44381</v>
      </c>
      <c r="AC21" s="56">
        <f t="shared" si="0"/>
        <v>4438100</v>
      </c>
      <c r="AD21" s="56"/>
      <c r="AE21" s="56"/>
      <c r="AF21" s="83"/>
      <c r="AG21" s="56"/>
      <c r="AH21" s="56" t="s">
        <v>53</v>
      </c>
      <c r="AI21" s="56">
        <v>40355</v>
      </c>
      <c r="AJ21" s="56">
        <f t="shared" si="1"/>
        <v>4035500</v>
      </c>
    </row>
    <row r="22" spans="1:36" ht="14" customHeight="1" x14ac:dyDescent="0.15">
      <c r="A22" s="74" t="s">
        <v>37</v>
      </c>
      <c r="B22" s="6"/>
      <c r="C22" s="85"/>
      <c r="D22" s="6"/>
      <c r="E22" s="82"/>
      <c r="F22" s="6"/>
      <c r="G22" s="86"/>
      <c r="H22" s="7"/>
      <c r="I22" s="85">
        <v>9916200</v>
      </c>
      <c r="J22" s="7"/>
      <c r="K22" s="84">
        <v>3</v>
      </c>
      <c r="L22" s="6"/>
      <c r="M22" s="88">
        <f t="shared" si="3"/>
        <v>6.3877100772468318E-3</v>
      </c>
      <c r="N22" s="6"/>
      <c r="O22" s="6"/>
      <c r="P22" s="6"/>
      <c r="Q22" s="6"/>
      <c r="R22" s="74" t="s">
        <v>33</v>
      </c>
      <c r="S22" s="6"/>
      <c r="T22" s="83"/>
      <c r="U22" s="6"/>
      <c r="V22" s="82"/>
      <c r="W22" s="6"/>
      <c r="X22" s="6"/>
      <c r="Y22" s="6"/>
      <c r="Z22" s="56"/>
      <c r="AA22" s="56" t="s">
        <v>58</v>
      </c>
      <c r="AB22" s="56">
        <v>42092</v>
      </c>
      <c r="AC22" s="56">
        <f t="shared" si="0"/>
        <v>4209200</v>
      </c>
      <c r="AD22" s="56"/>
      <c r="AE22" s="56"/>
      <c r="AF22" s="83"/>
      <c r="AG22" s="56"/>
      <c r="AH22" s="56" t="s">
        <v>28</v>
      </c>
      <c r="AI22" s="56">
        <v>35070</v>
      </c>
      <c r="AJ22" s="56">
        <f t="shared" si="1"/>
        <v>3507000</v>
      </c>
    </row>
    <row r="23" spans="1:36" ht="14" customHeight="1" x14ac:dyDescent="0.15">
      <c r="A23" s="74" t="s">
        <v>24</v>
      </c>
      <c r="B23" s="6"/>
      <c r="C23" s="85"/>
      <c r="D23" s="6"/>
      <c r="E23" s="82"/>
      <c r="F23" s="6"/>
      <c r="G23" s="86"/>
      <c r="H23" s="7"/>
      <c r="I23" s="85">
        <v>8754100</v>
      </c>
      <c r="J23" s="7"/>
      <c r="K23" s="84">
        <v>5</v>
      </c>
      <c r="L23" s="6"/>
      <c r="M23" s="88">
        <f t="shared" si="3"/>
        <v>5.6391211136550779E-3</v>
      </c>
      <c r="N23" s="6"/>
      <c r="O23" s="6"/>
      <c r="P23" s="6"/>
      <c r="Q23" s="6"/>
      <c r="R23" s="74" t="s">
        <v>37</v>
      </c>
      <c r="S23" s="6"/>
      <c r="T23" s="83"/>
      <c r="U23" s="6"/>
      <c r="V23" s="82"/>
      <c r="W23" s="6"/>
      <c r="X23" s="6"/>
      <c r="Y23" s="6"/>
      <c r="Z23" s="56"/>
      <c r="AA23" s="56" t="s">
        <v>59</v>
      </c>
      <c r="AB23" s="56">
        <v>42031</v>
      </c>
      <c r="AC23" s="56">
        <f t="shared" si="0"/>
        <v>4203100</v>
      </c>
      <c r="AD23" s="56"/>
      <c r="AE23" s="56"/>
      <c r="AF23" s="87"/>
      <c r="AG23" s="56"/>
      <c r="AH23" s="56" t="s">
        <v>60</v>
      </c>
      <c r="AI23" s="56">
        <v>32557</v>
      </c>
      <c r="AJ23" s="56">
        <f t="shared" si="1"/>
        <v>3255700</v>
      </c>
    </row>
    <row r="24" spans="1:36" ht="14" customHeight="1" x14ac:dyDescent="0.15">
      <c r="A24" s="74" t="s">
        <v>61</v>
      </c>
      <c r="B24" s="6"/>
      <c r="C24" s="83"/>
      <c r="D24" s="6"/>
      <c r="E24" s="82"/>
      <c r="F24" s="6"/>
      <c r="G24" s="86"/>
      <c r="H24" s="7"/>
      <c r="I24" s="87">
        <v>8497800</v>
      </c>
      <c r="J24" s="7"/>
      <c r="K24" s="84">
        <v>6</v>
      </c>
      <c r="L24" s="6"/>
      <c r="M24" s="88">
        <f t="shared" si="3"/>
        <v>5.4740205617502796E-3</v>
      </c>
      <c r="N24" s="6"/>
      <c r="O24" s="6"/>
      <c r="P24" s="6"/>
      <c r="Q24" s="6"/>
      <c r="R24" s="74" t="s">
        <v>40</v>
      </c>
      <c r="S24" s="6"/>
      <c r="T24" s="83"/>
      <c r="U24" s="6"/>
      <c r="V24" s="82"/>
      <c r="W24" s="6"/>
      <c r="X24" s="6"/>
      <c r="Y24" s="6"/>
      <c r="Z24" s="56"/>
      <c r="AA24" s="56" t="s">
        <v>38</v>
      </c>
      <c r="AB24" s="56">
        <v>487088</v>
      </c>
      <c r="AC24" s="56">
        <f t="shared" si="0"/>
        <v>48708800</v>
      </c>
      <c r="AD24" s="56"/>
      <c r="AE24" s="56"/>
      <c r="AF24" s="87"/>
      <c r="AG24" s="56"/>
      <c r="AH24" s="56" t="s">
        <v>45</v>
      </c>
      <c r="AI24" s="56">
        <v>31980</v>
      </c>
      <c r="AJ24" s="56">
        <f t="shared" si="1"/>
        <v>3198000</v>
      </c>
    </row>
    <row r="25" spans="1:36" ht="14" customHeight="1" x14ac:dyDescent="0.15">
      <c r="A25" s="74" t="s">
        <v>45</v>
      </c>
      <c r="B25" s="6"/>
      <c r="C25" s="83"/>
      <c r="D25" s="6"/>
      <c r="E25" s="82"/>
      <c r="F25" s="6"/>
      <c r="G25" s="86"/>
      <c r="H25" s="7"/>
      <c r="I25" s="87">
        <v>8002100</v>
      </c>
      <c r="J25" s="7"/>
      <c r="K25" s="84">
        <v>7</v>
      </c>
      <c r="L25" s="6"/>
      <c r="M25" s="88">
        <f t="shared" si="3"/>
        <v>5.1547059164939058E-3</v>
      </c>
      <c r="N25" s="6"/>
      <c r="O25" s="6"/>
      <c r="P25" s="6"/>
      <c r="Q25" s="6"/>
      <c r="R25" s="74" t="s">
        <v>41</v>
      </c>
      <c r="S25" s="6"/>
      <c r="T25" s="83"/>
      <c r="U25" s="6"/>
      <c r="V25" s="82"/>
      <c r="W25" s="6"/>
      <c r="X25" s="6"/>
      <c r="Y25" s="6"/>
      <c r="Z25" s="56"/>
      <c r="AA25" s="56"/>
      <c r="AB25" s="56"/>
      <c r="AC25" s="56"/>
      <c r="AD25" s="56"/>
      <c r="AE25" s="56"/>
      <c r="AF25" s="85"/>
      <c r="AG25" s="56"/>
      <c r="AH25" s="56"/>
      <c r="AI25" s="56"/>
      <c r="AJ25" s="56"/>
    </row>
    <row r="26" spans="1:36" ht="14" customHeight="1" x14ac:dyDescent="0.15">
      <c r="A26" s="74" t="s">
        <v>62</v>
      </c>
      <c r="B26" s="6"/>
      <c r="C26" s="83"/>
      <c r="D26" s="6"/>
      <c r="E26" s="82"/>
      <c r="F26" s="6"/>
      <c r="G26" s="86"/>
      <c r="H26" s="7"/>
      <c r="I26" s="87">
        <v>7271400</v>
      </c>
      <c r="J26" s="7"/>
      <c r="K26" s="84">
        <v>9</v>
      </c>
      <c r="L26" s="6"/>
      <c r="M26" s="88">
        <f t="shared" si="3"/>
        <v>4.6840115221246656E-3</v>
      </c>
      <c r="N26" s="6"/>
      <c r="O26" s="6"/>
      <c r="P26" s="6"/>
      <c r="Q26" s="6"/>
      <c r="R26" s="74" t="s">
        <v>49</v>
      </c>
      <c r="S26" s="6"/>
      <c r="T26" s="83"/>
      <c r="U26" s="6"/>
      <c r="V26" s="82"/>
      <c r="W26" s="6"/>
      <c r="X26" s="6"/>
      <c r="Y26" s="6"/>
      <c r="Z26" s="56"/>
      <c r="AA26" s="56"/>
      <c r="AB26" s="56"/>
      <c r="AC26" s="56"/>
      <c r="AD26" s="56"/>
      <c r="AE26" s="56"/>
      <c r="AF26" s="87"/>
      <c r="AG26" s="56"/>
      <c r="AH26" s="56"/>
      <c r="AI26" s="56"/>
      <c r="AJ26" s="56"/>
    </row>
    <row r="27" spans="1:36" ht="14" customHeight="1" x14ac:dyDescent="0.15">
      <c r="A27" s="74" t="s">
        <v>54</v>
      </c>
      <c r="B27" s="6"/>
      <c r="C27" s="83"/>
      <c r="D27" s="6"/>
      <c r="E27" s="82"/>
      <c r="F27" s="6"/>
      <c r="G27" s="86"/>
      <c r="H27" s="7"/>
      <c r="I27" s="87">
        <v>6426400</v>
      </c>
      <c r="J27" s="7"/>
      <c r="K27" s="84">
        <v>10</v>
      </c>
      <c r="L27" s="6"/>
      <c r="M27" s="88">
        <f t="shared" si="3"/>
        <v>4.1396885944635078E-3</v>
      </c>
      <c r="N27" s="6"/>
      <c r="O27" s="6"/>
      <c r="P27" s="6"/>
      <c r="Q27" s="6"/>
      <c r="R27" s="74" t="s">
        <v>53</v>
      </c>
      <c r="S27" s="6"/>
      <c r="T27" s="83"/>
      <c r="U27" s="6"/>
      <c r="V27" s="82"/>
      <c r="W27" s="6"/>
      <c r="X27" s="6"/>
      <c r="Y27" s="6"/>
      <c r="Z27" s="56"/>
      <c r="AA27" s="56"/>
      <c r="AB27" s="56"/>
      <c r="AC27" s="56"/>
      <c r="AD27" s="56"/>
      <c r="AE27" s="56"/>
      <c r="AF27" s="87"/>
      <c r="AG27" s="56"/>
      <c r="AH27" s="56"/>
      <c r="AI27" s="56"/>
      <c r="AJ27" s="56"/>
    </row>
    <row r="28" spans="1:36" ht="14" customHeight="1" x14ac:dyDescent="0.15">
      <c r="A28" s="74"/>
      <c r="B28" s="6"/>
      <c r="C28" s="83"/>
      <c r="D28" s="6"/>
      <c r="E28" s="82"/>
      <c r="F28" s="6"/>
      <c r="G28" s="86"/>
      <c r="H28" s="7"/>
      <c r="I28" s="83"/>
      <c r="J28" s="7"/>
      <c r="K28" s="82"/>
      <c r="L28" s="6"/>
      <c r="M28" s="86"/>
      <c r="N28" s="6"/>
      <c r="O28" s="6"/>
      <c r="P28" s="6"/>
      <c r="Q28" s="6"/>
      <c r="R28" s="6"/>
      <c r="S28" s="6"/>
      <c r="T28" s="6"/>
      <c r="U28" s="6"/>
      <c r="V28" s="7"/>
      <c r="W28" s="6"/>
      <c r="X28" s="6"/>
      <c r="Y28" s="6"/>
      <c r="Z28" s="56"/>
      <c r="AA28" s="56" t="s">
        <v>23</v>
      </c>
      <c r="AB28" s="56"/>
      <c r="AC28" s="58">
        <f t="shared" ref="AC28:AC38" si="4">SUMIF($AA$10:$AA$24,AA28,$AC$10:$AC$24)</f>
        <v>3544002100</v>
      </c>
      <c r="AD28" s="58"/>
      <c r="AE28" s="58"/>
      <c r="AF28" s="7"/>
      <c r="AG28" s="58"/>
      <c r="AH28" s="56" t="s">
        <v>25</v>
      </c>
      <c r="AI28" s="56"/>
      <c r="AJ28" s="58">
        <f t="shared" ref="AJ28:AJ38" si="5">SUMIF($AH$10:$AH$24,AH28,$AJ$10:$AJ$24)</f>
        <v>25141000</v>
      </c>
    </row>
    <row r="29" spans="1:36" ht="14" customHeight="1" x14ac:dyDescent="0.15">
      <c r="A29" s="74"/>
      <c r="B29" s="6"/>
      <c r="C29" s="83"/>
      <c r="D29" s="6"/>
      <c r="E29" s="82"/>
      <c r="F29" s="6"/>
      <c r="G29" s="86"/>
      <c r="H29" s="7"/>
      <c r="I29" s="83"/>
      <c r="J29" s="7"/>
      <c r="K29" s="82"/>
      <c r="L29" s="6"/>
      <c r="M29" s="86"/>
      <c r="N29" s="6"/>
      <c r="O29" s="6"/>
      <c r="P29" s="6"/>
      <c r="Q29" s="6"/>
      <c r="R29" s="89" t="s">
        <v>63</v>
      </c>
      <c r="S29" s="6"/>
      <c r="T29" s="90">
        <f>SUM(T10:T28)</f>
        <v>92674100</v>
      </c>
      <c r="U29" s="6"/>
      <c r="V29" s="82"/>
      <c r="W29" s="6"/>
      <c r="X29" s="6"/>
      <c r="Y29" s="6"/>
      <c r="Z29" s="56"/>
      <c r="AA29" s="56" t="s">
        <v>27</v>
      </c>
      <c r="AB29" s="56"/>
      <c r="AC29" s="58">
        <f t="shared" si="4"/>
        <v>17240100</v>
      </c>
      <c r="AD29" s="58"/>
      <c r="AE29" s="58"/>
      <c r="AF29" s="90">
        <f>SUM(AF10:AF28)</f>
        <v>110104100</v>
      </c>
      <c r="AG29" s="58"/>
      <c r="AH29" s="56" t="s">
        <v>28</v>
      </c>
      <c r="AI29" s="56"/>
      <c r="AJ29" s="58">
        <f t="shared" si="5"/>
        <v>18163300</v>
      </c>
    </row>
    <row r="30" spans="1:36" ht="14" customHeight="1" x14ac:dyDescent="0.15">
      <c r="A30" s="6"/>
      <c r="B30" s="6"/>
      <c r="C30" s="6"/>
      <c r="D30" s="6"/>
      <c r="E30" s="7"/>
      <c r="F30" s="6"/>
      <c r="G30" s="7"/>
      <c r="H30" s="7"/>
      <c r="I30" s="7"/>
      <c r="J30" s="7"/>
      <c r="K30" s="7"/>
      <c r="L30" s="6"/>
      <c r="M30" s="86"/>
      <c r="N30" s="6"/>
      <c r="O30" s="6"/>
      <c r="P30" s="6"/>
      <c r="Q30" s="6"/>
      <c r="R30" s="6"/>
      <c r="S30" s="6"/>
      <c r="T30" s="6"/>
      <c r="U30" s="6"/>
      <c r="V30" s="82"/>
      <c r="W30" s="6"/>
      <c r="X30" s="6"/>
      <c r="Y30" s="6"/>
      <c r="Z30" s="56"/>
      <c r="AA30" s="56" t="s">
        <v>29</v>
      </c>
      <c r="AB30" s="56"/>
      <c r="AC30" s="58">
        <f t="shared" si="4"/>
        <v>14893200</v>
      </c>
      <c r="AD30" s="58"/>
      <c r="AE30" s="58"/>
      <c r="AF30" s="7"/>
      <c r="AG30" s="58"/>
      <c r="AH30" s="56" t="s">
        <v>32</v>
      </c>
      <c r="AI30" s="56"/>
      <c r="AJ30" s="58">
        <f t="shared" si="5"/>
        <v>8567600</v>
      </c>
    </row>
    <row r="31" spans="1:36" ht="14" customHeight="1" x14ac:dyDescent="0.15">
      <c r="A31" s="89" t="s">
        <v>63</v>
      </c>
      <c r="B31" s="6"/>
      <c r="C31" s="90">
        <f>SUM(C12:C30)</f>
        <v>85121500</v>
      </c>
      <c r="D31" s="6"/>
      <c r="E31" s="82"/>
      <c r="F31" s="6"/>
      <c r="G31" s="86">
        <f>SUM(G12:G30)</f>
        <v>3.266248179271454E-2</v>
      </c>
      <c r="H31" s="7"/>
      <c r="I31" s="90">
        <f>SUM(I12:I30)</f>
        <v>93573300</v>
      </c>
      <c r="J31" s="7"/>
      <c r="K31" s="82"/>
      <c r="L31" s="6"/>
      <c r="M31" s="86">
        <f>SUM(M12:M30)</f>
        <v>5.3894347112991708E-2</v>
      </c>
      <c r="N31" s="6"/>
      <c r="O31" s="6"/>
      <c r="P31" s="6"/>
      <c r="Q31" s="6"/>
      <c r="R31" s="6" t="s">
        <v>64</v>
      </c>
      <c r="S31" s="6"/>
      <c r="T31" s="91">
        <f>'Table 6#'!T12</f>
        <v>0</v>
      </c>
      <c r="U31" s="83"/>
      <c r="V31" s="83"/>
      <c r="W31" s="83"/>
      <c r="X31" s="6"/>
      <c r="Y31" s="6"/>
      <c r="Z31" s="56"/>
      <c r="AA31" s="56" t="s">
        <v>36</v>
      </c>
      <c r="AB31" s="56"/>
      <c r="AC31" s="58">
        <f t="shared" si="4"/>
        <v>12506100</v>
      </c>
      <c r="AD31" s="58"/>
      <c r="AE31" s="58"/>
      <c r="AF31" s="83">
        <v>1552387300</v>
      </c>
      <c r="AG31" s="58"/>
      <c r="AH31" s="56" t="s">
        <v>34</v>
      </c>
      <c r="AI31" s="56"/>
      <c r="AJ31" s="58">
        <f t="shared" si="5"/>
        <v>6766200</v>
      </c>
    </row>
    <row r="32" spans="1:36" ht="13" x14ac:dyDescent="0.15">
      <c r="A32" s="6"/>
      <c r="B32" s="6"/>
      <c r="C32" s="6"/>
      <c r="D32" s="6"/>
      <c r="E32" s="82"/>
      <c r="F32" s="6"/>
      <c r="G32" s="86"/>
      <c r="H32" s="7"/>
      <c r="I32" s="7"/>
      <c r="J32" s="7"/>
      <c r="K32" s="82"/>
      <c r="L32" s="6"/>
      <c r="M32" s="7"/>
      <c r="N32" s="6"/>
      <c r="O32" s="6"/>
      <c r="P32" s="6"/>
      <c r="Q32" s="6"/>
      <c r="R32" s="6"/>
      <c r="S32" s="6"/>
      <c r="T32" s="6"/>
      <c r="U32" s="6"/>
      <c r="V32" s="6"/>
      <c r="W32" s="6"/>
      <c r="X32" s="6"/>
      <c r="Y32" s="6"/>
      <c r="Z32" s="56"/>
      <c r="AA32" s="56" t="s">
        <v>34</v>
      </c>
      <c r="AB32" s="56"/>
      <c r="AC32" s="58">
        <f t="shared" si="4"/>
        <v>11073600</v>
      </c>
      <c r="AD32" s="58"/>
      <c r="AE32" s="58"/>
      <c r="AF32" s="58"/>
      <c r="AG32" s="58"/>
      <c r="AH32" s="56" t="s">
        <v>38</v>
      </c>
      <c r="AI32" s="56"/>
      <c r="AJ32" s="58">
        <f t="shared" si="5"/>
        <v>6447400</v>
      </c>
    </row>
    <row r="33" spans="1:36" ht="13" x14ac:dyDescent="0.15">
      <c r="A33" s="6" t="s">
        <v>64</v>
      </c>
      <c r="B33" s="6"/>
      <c r="C33" s="91">
        <f>'Table 6#'!C13</f>
        <v>2425608700</v>
      </c>
      <c r="D33" s="83"/>
      <c r="E33" s="83"/>
      <c r="F33" s="83"/>
      <c r="G33" s="83"/>
      <c r="H33" s="83"/>
      <c r="I33" s="83">
        <v>1552387300</v>
      </c>
      <c r="J33" s="7"/>
      <c r="K33" s="7"/>
      <c r="L33" s="6"/>
      <c r="M33" s="7"/>
      <c r="N33" s="6"/>
      <c r="O33" s="6"/>
      <c r="P33" s="6"/>
      <c r="Q33" s="6"/>
      <c r="R33" s="6"/>
      <c r="S33" s="6"/>
      <c r="T33" s="6"/>
      <c r="U33" s="6"/>
      <c r="V33" s="6"/>
      <c r="W33" s="6"/>
      <c r="X33" s="6"/>
      <c r="Y33" s="6"/>
      <c r="Z33" s="56"/>
      <c r="AA33" s="56" t="s">
        <v>31</v>
      </c>
      <c r="AB33" s="56"/>
      <c r="AC33" s="58">
        <f t="shared" si="4"/>
        <v>8760600</v>
      </c>
      <c r="AD33" s="58"/>
      <c r="AE33" s="58"/>
      <c r="AF33" s="58"/>
      <c r="AG33" s="58"/>
      <c r="AH33" s="56" t="s">
        <v>31</v>
      </c>
      <c r="AI33" s="56"/>
      <c r="AJ33" s="58">
        <f t="shared" si="5"/>
        <v>6304900</v>
      </c>
    </row>
    <row r="34" spans="1:36" ht="13" x14ac:dyDescent="0.15">
      <c r="A34" s="6"/>
      <c r="B34" s="6"/>
      <c r="C34" s="6"/>
      <c r="D34" s="6"/>
      <c r="E34" s="7"/>
      <c r="F34" s="6"/>
      <c r="G34" s="7"/>
      <c r="H34" s="7"/>
      <c r="I34" s="7"/>
      <c r="J34" s="7"/>
      <c r="K34" s="7"/>
      <c r="L34" s="6"/>
      <c r="M34" s="7"/>
      <c r="N34" s="6"/>
      <c r="O34" s="6"/>
      <c r="P34" s="6"/>
      <c r="Q34" s="6"/>
      <c r="R34" s="6"/>
      <c r="S34" s="6"/>
      <c r="T34" s="6"/>
      <c r="U34" s="6"/>
      <c r="V34" s="6"/>
      <c r="W34" s="6"/>
      <c r="X34" s="6"/>
      <c r="Y34" s="6"/>
      <c r="Z34" s="56"/>
      <c r="AA34" s="56" t="s">
        <v>45</v>
      </c>
      <c r="AB34" s="56"/>
      <c r="AC34" s="58">
        <f t="shared" si="4"/>
        <v>6639000</v>
      </c>
      <c r="AD34" s="58"/>
      <c r="AE34" s="58"/>
      <c r="AF34" s="58"/>
      <c r="AG34" s="58"/>
      <c r="AH34" s="56" t="s">
        <v>42</v>
      </c>
      <c r="AI34" s="56"/>
      <c r="AJ34" s="58">
        <f t="shared" si="5"/>
        <v>6275400</v>
      </c>
    </row>
    <row r="35" spans="1:36" ht="13" x14ac:dyDescent="0.15">
      <c r="A35" s="6"/>
      <c r="B35" s="6"/>
      <c r="C35" s="6"/>
      <c r="D35" s="6"/>
      <c r="E35" s="7"/>
      <c r="F35" s="6"/>
      <c r="G35" s="7"/>
      <c r="H35" s="7"/>
      <c r="I35" s="7"/>
      <c r="J35" s="7"/>
      <c r="K35" s="7"/>
      <c r="L35" s="6"/>
      <c r="M35" s="7"/>
      <c r="N35" s="6"/>
      <c r="O35" s="6"/>
      <c r="P35" s="6"/>
      <c r="Q35" s="6"/>
      <c r="R35" s="6"/>
      <c r="S35" s="6"/>
      <c r="T35" s="6"/>
      <c r="U35" s="6"/>
      <c r="V35" s="6"/>
      <c r="W35" s="6"/>
      <c r="X35" s="6"/>
      <c r="Y35" s="6"/>
      <c r="Z35" s="56"/>
      <c r="AA35" s="56" t="s">
        <v>48</v>
      </c>
      <c r="AB35" s="56"/>
      <c r="AC35" s="58">
        <f t="shared" si="4"/>
        <v>6617200</v>
      </c>
      <c r="AD35" s="58"/>
      <c r="AE35" s="58"/>
      <c r="AF35" s="58"/>
      <c r="AG35" s="58"/>
      <c r="AH35" s="56" t="s">
        <v>41</v>
      </c>
      <c r="AI35" s="56"/>
      <c r="AJ35" s="58">
        <f t="shared" si="5"/>
        <v>5966500</v>
      </c>
    </row>
    <row r="36" spans="1:36" ht="13" x14ac:dyDescent="0.15">
      <c r="A36" s="6" t="s">
        <v>17</v>
      </c>
      <c r="B36" s="6"/>
      <c r="C36" s="6"/>
      <c r="D36" s="6"/>
      <c r="E36" s="7"/>
      <c r="F36" s="6"/>
      <c r="G36" s="7"/>
      <c r="H36" s="7"/>
      <c r="I36" s="7"/>
      <c r="J36" s="7"/>
      <c r="K36" s="7"/>
      <c r="L36" s="6"/>
      <c r="M36" s="7"/>
      <c r="N36" s="6"/>
      <c r="O36" s="6"/>
      <c r="P36" s="6"/>
      <c r="Q36" s="6"/>
      <c r="R36" s="6"/>
      <c r="S36" s="6"/>
      <c r="T36" s="6"/>
      <c r="U36" s="6"/>
      <c r="V36" s="6"/>
      <c r="W36" s="6"/>
      <c r="X36" s="6"/>
      <c r="Y36" s="6"/>
      <c r="Z36" s="56"/>
      <c r="AA36" s="56" t="s">
        <v>52</v>
      </c>
      <c r="AB36" s="56"/>
      <c r="AC36" s="58">
        <f t="shared" si="4"/>
        <v>5824300</v>
      </c>
      <c r="AD36" s="58"/>
      <c r="AE36" s="58"/>
      <c r="AF36" s="58"/>
      <c r="AG36" s="58"/>
      <c r="AH36" s="56" t="s">
        <v>48</v>
      </c>
      <c r="AI36" s="56"/>
      <c r="AJ36" s="58">
        <f t="shared" si="5"/>
        <v>4444100</v>
      </c>
    </row>
    <row r="37" spans="1:36" ht="13" x14ac:dyDescent="0.15">
      <c r="A37" s="6"/>
      <c r="B37" s="6"/>
      <c r="C37" s="6"/>
      <c r="D37" s="6"/>
      <c r="E37" s="7"/>
      <c r="F37" s="6"/>
      <c r="G37" s="7"/>
      <c r="H37" s="7"/>
      <c r="I37" s="7"/>
      <c r="J37" s="7"/>
      <c r="K37" s="7"/>
      <c r="L37" s="6"/>
      <c r="M37" s="7"/>
      <c r="N37" s="6"/>
      <c r="O37" s="6"/>
      <c r="P37" s="6"/>
      <c r="Q37" s="6"/>
      <c r="R37" s="6"/>
      <c r="S37" s="6"/>
      <c r="T37" s="6"/>
      <c r="U37" s="6"/>
      <c r="V37" s="6"/>
      <c r="W37" s="6"/>
      <c r="X37" s="6"/>
      <c r="Y37" s="6"/>
      <c r="Z37" s="56"/>
      <c r="AA37" s="56" t="s">
        <v>55</v>
      </c>
      <c r="AB37" s="56"/>
      <c r="AC37" s="58">
        <f t="shared" si="4"/>
        <v>4808100</v>
      </c>
      <c r="AD37" s="58"/>
      <c r="AE37" s="58"/>
      <c r="AF37" s="58"/>
      <c r="AG37" s="58"/>
      <c r="AH37" s="56" t="s">
        <v>56</v>
      </c>
      <c r="AI37" s="56"/>
      <c r="AJ37" s="58">
        <f t="shared" si="5"/>
        <v>4196400</v>
      </c>
    </row>
    <row r="38" spans="1:36" ht="13" x14ac:dyDescent="0.15">
      <c r="A38" s="6"/>
      <c r="B38" s="6"/>
      <c r="C38" s="6"/>
      <c r="D38" s="6"/>
      <c r="E38" s="7"/>
      <c r="F38" s="6"/>
      <c r="G38" s="7"/>
      <c r="H38" s="7"/>
      <c r="I38" s="7"/>
      <c r="J38" s="7"/>
      <c r="K38" s="7"/>
      <c r="L38" s="6"/>
      <c r="M38" s="7"/>
      <c r="N38" s="6"/>
      <c r="O38" s="6"/>
      <c r="P38" s="6"/>
      <c r="Q38" s="6"/>
      <c r="R38" s="6"/>
      <c r="S38" s="6"/>
      <c r="T38" s="6"/>
      <c r="U38" s="6"/>
      <c r="V38" s="6"/>
      <c r="W38" s="6"/>
      <c r="X38" s="6"/>
      <c r="Y38" s="6"/>
      <c r="Z38" s="56"/>
      <c r="AA38" s="56" t="s">
        <v>28</v>
      </c>
      <c r="AB38" s="56"/>
      <c r="AC38" s="58">
        <f t="shared" si="4"/>
        <v>4438100</v>
      </c>
      <c r="AD38" s="58"/>
      <c r="AE38" s="58"/>
      <c r="AF38" s="58"/>
      <c r="AG38" s="58"/>
      <c r="AH38" s="56" t="s">
        <v>53</v>
      </c>
      <c r="AI38" s="56"/>
      <c r="AJ38" s="58">
        <f t="shared" si="5"/>
        <v>4035500</v>
      </c>
    </row>
    <row r="39" spans="1:36" x14ac:dyDescent="0.15">
      <c r="A39" s="6"/>
      <c r="B39" s="6"/>
      <c r="C39" s="6"/>
      <c r="D39" s="6"/>
      <c r="E39" s="7"/>
      <c r="F39" s="6"/>
      <c r="G39" s="7"/>
      <c r="H39" s="7"/>
      <c r="I39" s="7"/>
      <c r="J39" s="7"/>
      <c r="K39" s="7"/>
      <c r="L39" s="6"/>
      <c r="M39" s="7"/>
      <c r="N39" s="6"/>
      <c r="O39" s="6"/>
      <c r="P39" s="6"/>
      <c r="Q39" s="6"/>
      <c r="R39" s="6"/>
      <c r="S39" s="6"/>
      <c r="T39" s="6"/>
      <c r="U39" s="6"/>
      <c r="V39" s="6"/>
      <c r="W39" s="6"/>
      <c r="X39" s="6"/>
      <c r="Y39" s="6"/>
      <c r="Z39" s="6"/>
      <c r="AA39" s="6"/>
      <c r="AB39" s="6"/>
      <c r="AC39" s="6"/>
      <c r="AD39" s="6"/>
      <c r="AE39" s="6"/>
      <c r="AF39" s="6"/>
      <c r="AG39" s="6"/>
      <c r="AH39" s="6"/>
      <c r="AI39" s="6"/>
      <c r="AJ39" s="6"/>
    </row>
    <row r="40" spans="1:36" x14ac:dyDescent="0.15">
      <c r="A40" s="6"/>
      <c r="B40" s="6"/>
      <c r="C40" s="6"/>
      <c r="D40" s="6"/>
      <c r="E40" s="7"/>
      <c r="F40" s="6"/>
      <c r="G40" s="7"/>
      <c r="H40" s="7"/>
      <c r="I40" s="7"/>
      <c r="J40" s="7"/>
      <c r="K40" s="7"/>
      <c r="L40" s="6"/>
      <c r="M40" s="7"/>
      <c r="N40" s="6"/>
      <c r="O40" s="6"/>
      <c r="P40" s="6"/>
      <c r="Q40" s="6"/>
      <c r="R40" s="6"/>
      <c r="S40" s="6"/>
      <c r="T40" s="6"/>
      <c r="U40" s="6"/>
      <c r="V40" s="6"/>
      <c r="W40" s="6"/>
      <c r="X40" s="6"/>
      <c r="Y40" s="6"/>
      <c r="Z40" s="6"/>
      <c r="AA40" s="6"/>
      <c r="AB40" s="6"/>
      <c r="AC40" s="6"/>
      <c r="AD40" s="6"/>
      <c r="AE40" s="6"/>
      <c r="AF40" s="6"/>
      <c r="AG40" s="6"/>
      <c r="AH40" s="6"/>
      <c r="AI40" s="6"/>
      <c r="AJ40" s="6"/>
    </row>
    <row r="41" spans="1:36" x14ac:dyDescent="0.15">
      <c r="A41" s="6"/>
      <c r="B41" s="6"/>
      <c r="C41" s="6"/>
      <c r="D41" s="6"/>
      <c r="E41" s="7"/>
      <c r="F41" s="6"/>
      <c r="G41" s="7"/>
      <c r="H41" s="7"/>
      <c r="I41" s="7"/>
      <c r="J41" s="7"/>
      <c r="K41" s="7"/>
      <c r="L41" s="6"/>
      <c r="M41" s="7"/>
      <c r="N41" s="6"/>
      <c r="O41" s="6"/>
      <c r="P41" s="6"/>
      <c r="Q41" s="6"/>
      <c r="R41" s="6"/>
      <c r="S41" s="6"/>
      <c r="T41" s="6"/>
      <c r="U41" s="6"/>
      <c r="V41" s="6"/>
      <c r="W41" s="6"/>
      <c r="X41" s="6"/>
      <c r="Y41" s="6"/>
      <c r="Z41" s="6"/>
      <c r="AA41" s="6"/>
      <c r="AB41" s="6"/>
      <c r="AC41" s="6"/>
      <c r="AD41" s="6"/>
      <c r="AE41" s="6"/>
      <c r="AF41" s="6"/>
      <c r="AG41" s="6"/>
      <c r="AH41" s="6"/>
      <c r="AI41" s="6"/>
      <c r="AJ41" s="6"/>
    </row>
    <row r="42" spans="1:36" x14ac:dyDescent="0.15">
      <c r="A42" s="6"/>
      <c r="B42" s="6"/>
      <c r="C42" s="6"/>
      <c r="D42" s="6"/>
      <c r="E42" s="7"/>
      <c r="F42" s="6"/>
      <c r="G42" s="7"/>
      <c r="H42" s="7"/>
      <c r="I42" s="7"/>
      <c r="J42" s="7"/>
      <c r="K42" s="7"/>
      <c r="L42" s="6"/>
      <c r="M42" s="7"/>
      <c r="N42" s="6"/>
      <c r="O42" s="6"/>
      <c r="P42" s="6"/>
      <c r="Q42" s="6"/>
      <c r="R42" s="6"/>
      <c r="S42" s="6"/>
      <c r="T42" s="6"/>
      <c r="U42" s="6"/>
      <c r="V42" s="6"/>
      <c r="W42" s="6"/>
      <c r="X42" s="6"/>
      <c r="Y42" s="6"/>
      <c r="Z42" s="6"/>
      <c r="AA42" s="6"/>
      <c r="AB42" s="6"/>
      <c r="AC42" s="6"/>
      <c r="AD42" s="6"/>
      <c r="AE42" s="6"/>
      <c r="AF42" s="6"/>
      <c r="AG42" s="6"/>
      <c r="AH42" s="6"/>
      <c r="AI42" s="6"/>
      <c r="AJ42" s="6"/>
    </row>
    <row r="43" spans="1:36" x14ac:dyDescent="0.15">
      <c r="A43" s="6"/>
      <c r="B43" s="6"/>
      <c r="C43" s="6"/>
      <c r="D43" s="6"/>
      <c r="E43" s="7"/>
      <c r="F43" s="6"/>
      <c r="G43" s="7"/>
      <c r="H43" s="7"/>
      <c r="I43" s="7"/>
      <c r="J43" s="7"/>
      <c r="K43" s="7"/>
      <c r="L43" s="6"/>
      <c r="M43" s="7"/>
      <c r="N43" s="6"/>
      <c r="O43" s="6"/>
      <c r="P43" s="6"/>
      <c r="Q43" s="6"/>
      <c r="R43" s="6"/>
      <c r="S43" s="6"/>
      <c r="T43" s="6"/>
      <c r="U43" s="6"/>
      <c r="V43" s="6"/>
      <c r="W43" s="6"/>
      <c r="X43" s="6"/>
      <c r="Y43" s="6"/>
      <c r="Z43" s="6"/>
      <c r="AA43" s="6"/>
      <c r="AB43" s="6"/>
      <c r="AC43" s="6"/>
      <c r="AD43" s="6"/>
      <c r="AE43" s="6"/>
      <c r="AF43" s="6"/>
      <c r="AG43" s="6"/>
      <c r="AH43" s="6"/>
      <c r="AI43" s="6"/>
      <c r="AJ43" s="6"/>
    </row>
    <row r="44" spans="1:36" x14ac:dyDescent="0.15">
      <c r="A44" s="6"/>
      <c r="B44" s="6"/>
      <c r="C44" s="6"/>
      <c r="D44" s="6"/>
      <c r="E44" s="7"/>
      <c r="F44" s="6"/>
      <c r="G44" s="7"/>
      <c r="H44" s="7"/>
      <c r="I44" s="7"/>
      <c r="J44" s="7"/>
      <c r="K44" s="7"/>
      <c r="L44" s="6"/>
      <c r="M44" s="7"/>
      <c r="N44" s="6"/>
      <c r="O44" s="6"/>
      <c r="P44" s="6"/>
      <c r="Q44" s="6"/>
      <c r="R44" s="6"/>
      <c r="S44" s="6"/>
      <c r="T44" s="6"/>
      <c r="U44" s="6"/>
      <c r="V44" s="6"/>
      <c r="W44" s="6"/>
      <c r="X44" s="6"/>
      <c r="Y44" s="6"/>
      <c r="Z44" s="6"/>
      <c r="AA44" s="6"/>
      <c r="AB44" s="6"/>
      <c r="AC44" s="6"/>
      <c r="AD44" s="6"/>
      <c r="AE44" s="6"/>
      <c r="AF44" s="6"/>
      <c r="AG44" s="6"/>
      <c r="AH44" s="6"/>
      <c r="AI44" s="6"/>
      <c r="AJ44" s="6"/>
    </row>
    <row r="45" spans="1:36" x14ac:dyDescent="0.15">
      <c r="A45" s="6"/>
      <c r="B45" s="6"/>
      <c r="C45" s="6"/>
      <c r="D45" s="6"/>
      <c r="E45" s="7"/>
      <c r="F45" s="6"/>
      <c r="G45" s="7"/>
      <c r="H45" s="7"/>
      <c r="I45" s="7"/>
      <c r="J45" s="7"/>
      <c r="K45" s="7"/>
      <c r="L45" s="6"/>
      <c r="M45" s="7"/>
      <c r="N45" s="6"/>
      <c r="O45" s="6"/>
      <c r="P45" s="6"/>
      <c r="Q45" s="6"/>
      <c r="R45" s="6"/>
      <c r="S45" s="6"/>
      <c r="T45" s="6"/>
      <c r="U45" s="6"/>
      <c r="V45" s="6"/>
      <c r="W45" s="6"/>
      <c r="X45" s="6"/>
      <c r="Y45" s="6"/>
      <c r="Z45" s="6"/>
      <c r="AA45" s="6"/>
      <c r="AB45" s="6"/>
      <c r="AC45" s="6"/>
      <c r="AD45" s="6"/>
      <c r="AE45" s="6"/>
      <c r="AF45" s="6"/>
      <c r="AG45" s="6"/>
      <c r="AH45" s="6"/>
      <c r="AI45" s="6"/>
      <c r="AJ45" s="6"/>
    </row>
    <row r="46" spans="1:36" x14ac:dyDescent="0.15">
      <c r="A46" s="6"/>
      <c r="B46" s="6"/>
      <c r="C46" s="6"/>
      <c r="D46" s="6"/>
      <c r="E46" s="7"/>
      <c r="F46" s="6"/>
      <c r="G46" s="7"/>
      <c r="H46" s="7"/>
      <c r="I46" s="7"/>
      <c r="J46" s="7"/>
      <c r="K46" s="7"/>
      <c r="L46" s="6"/>
      <c r="M46" s="7"/>
      <c r="N46" s="6"/>
      <c r="O46" s="6"/>
      <c r="P46" s="6"/>
      <c r="Q46" s="6"/>
      <c r="R46" s="6"/>
      <c r="S46" s="6"/>
      <c r="T46" s="6"/>
      <c r="U46" s="6"/>
      <c r="V46" s="6"/>
      <c r="W46" s="6"/>
      <c r="X46" s="6"/>
      <c r="Y46" s="6"/>
      <c r="Z46" s="6"/>
      <c r="AA46" s="6"/>
      <c r="AB46" s="6"/>
      <c r="AC46" s="6"/>
      <c r="AD46" s="6"/>
      <c r="AE46" s="6"/>
      <c r="AF46" s="6"/>
      <c r="AG46" s="6"/>
      <c r="AH46" s="6"/>
      <c r="AI46" s="6"/>
      <c r="AJ46" s="6"/>
    </row>
    <row r="47" spans="1:36" x14ac:dyDescent="0.15">
      <c r="A47" s="6"/>
      <c r="B47" s="6"/>
      <c r="C47" s="6"/>
      <c r="D47" s="6"/>
      <c r="E47" s="7"/>
      <c r="F47" s="6"/>
      <c r="G47" s="7"/>
      <c r="H47" s="7"/>
      <c r="I47" s="7"/>
      <c r="J47" s="7"/>
      <c r="K47" s="7"/>
      <c r="L47" s="6"/>
      <c r="M47" s="7"/>
      <c r="N47" s="6"/>
      <c r="O47" s="6"/>
      <c r="P47" s="6"/>
      <c r="Q47" s="6"/>
      <c r="R47" s="6"/>
      <c r="S47" s="6"/>
      <c r="T47" s="6"/>
      <c r="U47" s="6"/>
      <c r="V47" s="6"/>
      <c r="W47" s="6"/>
      <c r="X47" s="6"/>
      <c r="Y47" s="6"/>
      <c r="Z47" s="6"/>
      <c r="AA47" s="6"/>
      <c r="AB47" s="6"/>
      <c r="AC47" s="6"/>
      <c r="AD47" s="6"/>
      <c r="AE47" s="6"/>
      <c r="AF47" s="6"/>
      <c r="AG47" s="6"/>
      <c r="AH47" s="6"/>
      <c r="AI47" s="6"/>
      <c r="AJ47" s="6"/>
    </row>
    <row r="48" spans="1:36" x14ac:dyDescent="0.15">
      <c r="A48" s="6"/>
      <c r="B48" s="6"/>
      <c r="C48" s="6"/>
      <c r="D48" s="6"/>
      <c r="E48" s="7"/>
      <c r="F48" s="6"/>
      <c r="G48" s="7"/>
      <c r="H48" s="7"/>
      <c r="I48" s="7"/>
      <c r="J48" s="7"/>
      <c r="K48" s="7"/>
      <c r="L48" s="6"/>
      <c r="M48" s="7"/>
      <c r="N48" s="6"/>
      <c r="O48" s="6"/>
      <c r="P48" s="6"/>
      <c r="Q48" s="6"/>
      <c r="R48" s="6"/>
      <c r="S48" s="6"/>
      <c r="T48" s="6"/>
      <c r="U48" s="6"/>
      <c r="V48" s="6"/>
      <c r="W48" s="6"/>
      <c r="X48" s="6"/>
      <c r="Y48" s="6"/>
      <c r="Z48" s="6"/>
      <c r="AA48" s="6"/>
      <c r="AB48" s="6"/>
      <c r="AC48" s="6"/>
      <c r="AD48" s="6"/>
      <c r="AE48" s="6"/>
      <c r="AF48" s="6"/>
      <c r="AG48" s="6"/>
      <c r="AH48" s="6"/>
      <c r="AI48" s="6"/>
      <c r="AJ48" s="6"/>
    </row>
    <row r="49" spans="1:36" x14ac:dyDescent="0.15">
      <c r="A49" s="6"/>
      <c r="B49" s="6"/>
      <c r="C49" s="6"/>
      <c r="D49" s="6"/>
      <c r="E49" s="7"/>
      <c r="F49" s="6"/>
      <c r="G49" s="7"/>
      <c r="H49" s="7"/>
      <c r="I49" s="7"/>
      <c r="J49" s="7"/>
      <c r="K49" s="7"/>
      <c r="L49" s="6"/>
      <c r="M49" s="7"/>
      <c r="N49" s="6"/>
      <c r="O49" s="6"/>
      <c r="P49" s="6"/>
      <c r="Q49" s="6"/>
      <c r="R49" s="6"/>
      <c r="S49" s="6"/>
      <c r="T49" s="6"/>
      <c r="U49" s="6"/>
      <c r="V49" s="6"/>
      <c r="W49" s="6"/>
      <c r="X49" s="6"/>
      <c r="Y49" s="6"/>
      <c r="Z49" s="6"/>
      <c r="AA49" s="6"/>
      <c r="AB49" s="6"/>
      <c r="AC49" s="6"/>
      <c r="AD49" s="6"/>
      <c r="AE49" s="6"/>
      <c r="AF49" s="6"/>
      <c r="AG49" s="6"/>
      <c r="AH49" s="6"/>
      <c r="AI49" s="6"/>
      <c r="AJ49" s="6"/>
    </row>
    <row r="50" spans="1:36" x14ac:dyDescent="0.15">
      <c r="A50" s="6"/>
      <c r="B50" s="6"/>
      <c r="C50" s="6"/>
      <c r="D50" s="6"/>
      <c r="E50" s="7"/>
      <c r="F50" s="6"/>
      <c r="G50" s="7"/>
      <c r="H50" s="7"/>
      <c r="I50" s="7"/>
      <c r="J50" s="7"/>
      <c r="K50" s="7"/>
      <c r="L50" s="6"/>
      <c r="M50" s="7"/>
      <c r="N50" s="6"/>
      <c r="O50" s="6"/>
      <c r="P50" s="6"/>
      <c r="Q50" s="6"/>
      <c r="R50" s="6"/>
      <c r="S50" s="6"/>
      <c r="T50" s="6"/>
      <c r="U50" s="6"/>
      <c r="V50" s="6"/>
      <c r="W50" s="6"/>
      <c r="X50" s="6"/>
      <c r="Y50" s="6"/>
      <c r="Z50" s="6"/>
      <c r="AA50" s="6"/>
      <c r="AB50" s="6"/>
      <c r="AC50" s="6"/>
      <c r="AD50" s="6"/>
      <c r="AE50" s="6"/>
      <c r="AF50" s="6"/>
      <c r="AG50" s="6"/>
      <c r="AH50" s="6"/>
      <c r="AI50" s="6"/>
      <c r="AJ50" s="6"/>
    </row>
    <row r="51" spans="1:36" x14ac:dyDescent="0.15">
      <c r="A51" s="6"/>
      <c r="B51" s="6"/>
      <c r="C51" s="6"/>
      <c r="D51" s="6"/>
      <c r="E51" s="7"/>
      <c r="F51" s="6"/>
      <c r="G51" s="7"/>
      <c r="H51" s="7"/>
      <c r="I51" s="7"/>
      <c r="J51" s="7"/>
      <c r="K51" s="7"/>
      <c r="L51" s="6"/>
      <c r="M51" s="7"/>
      <c r="N51" s="6"/>
      <c r="O51" s="6"/>
      <c r="P51" s="6"/>
      <c r="Q51" s="6"/>
      <c r="R51" s="6"/>
      <c r="S51" s="6"/>
      <c r="T51" s="6"/>
      <c r="U51" s="6"/>
      <c r="V51" s="6"/>
      <c r="W51" s="6"/>
      <c r="X51" s="6"/>
      <c r="Y51" s="6"/>
      <c r="Z51" s="6"/>
      <c r="AA51" s="6"/>
      <c r="AB51" s="6"/>
      <c r="AC51" s="6"/>
      <c r="AD51" s="6"/>
      <c r="AE51" s="6"/>
      <c r="AF51" s="6"/>
      <c r="AG51" s="6"/>
      <c r="AH51" s="6"/>
      <c r="AI51" s="6"/>
      <c r="AJ51" s="6"/>
    </row>
    <row r="52" spans="1:36" x14ac:dyDescent="0.15">
      <c r="A52" s="6"/>
      <c r="B52" s="6"/>
      <c r="C52" s="6"/>
      <c r="D52" s="6"/>
      <c r="E52" s="7"/>
      <c r="F52" s="6"/>
      <c r="G52" s="7"/>
      <c r="H52" s="7"/>
      <c r="I52" s="7"/>
      <c r="J52" s="7"/>
      <c r="K52" s="7"/>
      <c r="L52" s="6"/>
      <c r="M52" s="7"/>
      <c r="N52" s="6"/>
      <c r="O52" s="6"/>
      <c r="P52" s="6"/>
      <c r="Q52" s="6"/>
      <c r="R52" s="6"/>
      <c r="S52" s="6"/>
      <c r="T52" s="6"/>
      <c r="U52" s="6"/>
      <c r="V52" s="6"/>
      <c r="W52" s="6"/>
      <c r="X52" s="6"/>
      <c r="Y52" s="6"/>
      <c r="Z52" s="6"/>
      <c r="AA52" s="6"/>
      <c r="AB52" s="6"/>
      <c r="AC52" s="6"/>
      <c r="AD52" s="6"/>
      <c r="AE52" s="6"/>
      <c r="AF52" s="6"/>
      <c r="AG52" s="6"/>
      <c r="AH52" s="6"/>
      <c r="AI52" s="6"/>
      <c r="AJ52" s="6"/>
    </row>
    <row r="53" spans="1:36" x14ac:dyDescent="0.15">
      <c r="A53" s="6"/>
      <c r="B53" s="6"/>
      <c r="C53" s="6"/>
      <c r="D53" s="6"/>
      <c r="E53" s="7"/>
      <c r="F53" s="6"/>
      <c r="G53" s="7"/>
      <c r="H53" s="7"/>
      <c r="I53" s="7"/>
      <c r="J53" s="7"/>
      <c r="K53" s="7"/>
      <c r="L53" s="6"/>
      <c r="M53" s="7"/>
      <c r="N53" s="6"/>
      <c r="O53" s="6"/>
      <c r="P53" s="6"/>
      <c r="Q53" s="6"/>
      <c r="R53" s="6"/>
      <c r="S53" s="6"/>
      <c r="T53" s="6"/>
      <c r="U53" s="6"/>
      <c r="V53" s="6"/>
      <c r="W53" s="6"/>
      <c r="X53" s="6"/>
      <c r="Y53" s="6"/>
      <c r="Z53" s="6"/>
      <c r="AA53" s="6"/>
      <c r="AB53" s="6"/>
      <c r="AC53" s="6"/>
      <c r="AD53" s="6"/>
      <c r="AE53" s="6"/>
      <c r="AF53" s="6"/>
      <c r="AG53" s="6"/>
      <c r="AH53" s="6"/>
      <c r="AI53" s="6"/>
      <c r="AJ53" s="6"/>
    </row>
    <row r="54" spans="1:36" x14ac:dyDescent="0.15">
      <c r="A54" s="6"/>
      <c r="B54" s="6"/>
      <c r="C54" s="6"/>
      <c r="D54" s="6"/>
      <c r="E54" s="7"/>
      <c r="F54" s="6"/>
      <c r="G54" s="7"/>
      <c r="H54" s="7"/>
      <c r="I54" s="7"/>
      <c r="J54" s="7"/>
      <c r="K54" s="7"/>
      <c r="L54" s="6"/>
      <c r="M54" s="7"/>
      <c r="N54" s="6"/>
      <c r="O54" s="6"/>
      <c r="P54" s="6"/>
      <c r="Q54" s="6"/>
      <c r="R54" s="6"/>
      <c r="S54" s="6"/>
      <c r="T54" s="6"/>
      <c r="U54" s="6"/>
      <c r="V54" s="6"/>
      <c r="W54" s="6"/>
      <c r="X54" s="6"/>
      <c r="Y54" s="6"/>
      <c r="Z54" s="6"/>
      <c r="AA54" s="6"/>
      <c r="AB54" s="6"/>
      <c r="AC54" s="6"/>
      <c r="AD54" s="6"/>
      <c r="AE54" s="6"/>
      <c r="AF54" s="6"/>
      <c r="AG54" s="6"/>
      <c r="AH54" s="6"/>
      <c r="AI54" s="6"/>
      <c r="AJ54" s="6"/>
    </row>
    <row r="55" spans="1:36" x14ac:dyDescent="0.15">
      <c r="A55" s="6"/>
      <c r="B55" s="6"/>
      <c r="C55" s="6"/>
      <c r="D55" s="6"/>
      <c r="E55" s="7"/>
      <c r="F55" s="6"/>
      <c r="G55" s="7"/>
      <c r="H55" s="7"/>
      <c r="I55" s="7"/>
      <c r="J55" s="7"/>
      <c r="K55" s="7"/>
      <c r="L55" s="6"/>
      <c r="M55" s="7"/>
      <c r="N55" s="6"/>
      <c r="O55" s="6"/>
      <c r="P55" s="6"/>
      <c r="Q55" s="6"/>
      <c r="R55" s="6"/>
      <c r="S55" s="6"/>
      <c r="T55" s="6"/>
      <c r="U55" s="6"/>
      <c r="V55" s="6"/>
      <c r="W55" s="6"/>
      <c r="X55" s="6"/>
      <c r="Y55" s="6"/>
      <c r="Z55" s="6"/>
      <c r="AA55" s="6"/>
      <c r="AB55" s="6"/>
      <c r="AC55" s="6"/>
      <c r="AD55" s="6"/>
      <c r="AE55" s="6"/>
      <c r="AF55" s="6"/>
      <c r="AG55" s="6"/>
      <c r="AH55" s="6"/>
      <c r="AI55" s="6"/>
      <c r="AJ55" s="6"/>
    </row>
    <row r="56" spans="1:36" x14ac:dyDescent="0.15">
      <c r="A56" s="6"/>
      <c r="B56" s="6"/>
      <c r="C56" s="6"/>
      <c r="D56" s="6"/>
      <c r="E56" s="7"/>
      <c r="F56" s="6"/>
      <c r="G56" s="7"/>
      <c r="H56" s="7"/>
      <c r="I56" s="7"/>
      <c r="J56" s="7"/>
      <c r="K56" s="7"/>
      <c r="L56" s="6"/>
      <c r="M56" s="7"/>
      <c r="N56" s="6"/>
      <c r="O56" s="6"/>
      <c r="P56" s="6"/>
      <c r="Q56" s="6"/>
      <c r="R56" s="6"/>
      <c r="S56" s="6"/>
      <c r="T56" s="6"/>
      <c r="U56" s="6"/>
      <c r="V56" s="6"/>
      <c r="W56" s="6"/>
      <c r="X56" s="6"/>
      <c r="Y56" s="6"/>
      <c r="Z56" s="6"/>
      <c r="AA56" s="6"/>
      <c r="AB56" s="6"/>
      <c r="AC56" s="6"/>
      <c r="AD56" s="6"/>
      <c r="AE56" s="6"/>
      <c r="AF56" s="6"/>
      <c r="AG56" s="6"/>
      <c r="AH56" s="6"/>
      <c r="AI56" s="6"/>
      <c r="AJ56" s="6"/>
    </row>
    <row r="57" spans="1:36" x14ac:dyDescent="0.15">
      <c r="A57" s="6"/>
      <c r="B57" s="6"/>
      <c r="C57" s="6"/>
      <c r="D57" s="6"/>
      <c r="E57" s="7"/>
      <c r="F57" s="6"/>
      <c r="G57" s="7"/>
      <c r="H57" s="7"/>
      <c r="I57" s="7"/>
      <c r="J57" s="7"/>
      <c r="K57" s="7"/>
      <c r="L57" s="6"/>
      <c r="M57" s="7"/>
      <c r="N57" s="6"/>
      <c r="O57" s="6"/>
      <c r="P57" s="6"/>
      <c r="Q57" s="6"/>
      <c r="R57" s="6"/>
      <c r="S57" s="6"/>
      <c r="T57" s="6"/>
      <c r="U57" s="6"/>
      <c r="V57" s="6"/>
      <c r="W57" s="6"/>
      <c r="X57" s="6"/>
      <c r="Y57" s="6"/>
      <c r="Z57" s="6"/>
      <c r="AA57" s="6"/>
      <c r="AB57" s="6"/>
      <c r="AC57" s="6"/>
      <c r="AD57" s="6"/>
      <c r="AE57" s="6"/>
      <c r="AF57" s="6"/>
      <c r="AG57" s="6"/>
      <c r="AH57" s="6"/>
      <c r="AI57" s="6"/>
      <c r="AJ57" s="6"/>
    </row>
    <row r="58" spans="1:36" x14ac:dyDescent="0.15">
      <c r="A58" s="6"/>
      <c r="B58" s="6"/>
      <c r="C58" s="6"/>
      <c r="D58" s="6"/>
      <c r="E58" s="7"/>
      <c r="F58" s="6"/>
      <c r="G58" s="7"/>
      <c r="H58" s="7"/>
      <c r="I58" s="7"/>
      <c r="J58" s="7"/>
      <c r="K58" s="7"/>
      <c r="L58" s="6"/>
      <c r="M58" s="7"/>
      <c r="N58" s="6"/>
      <c r="O58" s="6"/>
      <c r="P58" s="6"/>
      <c r="Q58" s="6"/>
      <c r="R58" s="6"/>
      <c r="S58" s="6"/>
      <c r="T58" s="6"/>
      <c r="U58" s="6"/>
      <c r="V58" s="6"/>
      <c r="W58" s="6"/>
      <c r="X58" s="6"/>
      <c r="Y58" s="6"/>
      <c r="Z58" s="6"/>
      <c r="AA58" s="6"/>
      <c r="AB58" s="6"/>
      <c r="AC58" s="6"/>
      <c r="AD58" s="6"/>
      <c r="AE58" s="6"/>
      <c r="AF58" s="6"/>
      <c r="AG58" s="6"/>
      <c r="AH58" s="6"/>
      <c r="AI58" s="6"/>
      <c r="AJ58" s="6"/>
    </row>
    <row r="59" spans="1:36" x14ac:dyDescent="0.15">
      <c r="A59" s="6"/>
      <c r="B59" s="6"/>
      <c r="C59" s="6"/>
      <c r="D59" s="6"/>
      <c r="E59" s="7"/>
      <c r="F59" s="6"/>
      <c r="G59" s="7"/>
      <c r="H59" s="7"/>
      <c r="I59" s="7"/>
      <c r="J59" s="7"/>
      <c r="K59" s="7"/>
      <c r="L59" s="6"/>
      <c r="M59" s="7"/>
      <c r="N59" s="6"/>
      <c r="O59" s="6"/>
      <c r="P59" s="6"/>
      <c r="Q59" s="6"/>
      <c r="R59" s="6"/>
      <c r="S59" s="6"/>
      <c r="T59" s="6"/>
      <c r="U59" s="6"/>
      <c r="V59" s="6"/>
      <c r="W59" s="6"/>
      <c r="X59" s="6"/>
      <c r="Y59" s="6"/>
      <c r="Z59" s="6"/>
      <c r="AA59" s="6"/>
      <c r="AB59" s="6"/>
      <c r="AC59" s="6"/>
      <c r="AD59" s="6"/>
      <c r="AE59" s="6"/>
      <c r="AF59" s="6"/>
      <c r="AG59" s="6"/>
      <c r="AH59" s="6"/>
      <c r="AI59" s="6"/>
      <c r="AJ59" s="6"/>
    </row>
    <row r="60" spans="1:36" x14ac:dyDescent="0.15">
      <c r="A60" s="6"/>
      <c r="B60" s="6"/>
      <c r="C60" s="6"/>
      <c r="D60" s="6"/>
      <c r="E60" s="7"/>
      <c r="F60" s="6"/>
      <c r="G60" s="7"/>
      <c r="H60" s="7"/>
      <c r="I60" s="7"/>
      <c r="J60" s="7"/>
      <c r="K60" s="7"/>
      <c r="L60" s="6"/>
      <c r="M60" s="7"/>
      <c r="N60" s="6"/>
      <c r="O60" s="6"/>
      <c r="P60" s="6"/>
      <c r="Q60" s="6"/>
      <c r="R60" s="6"/>
      <c r="S60" s="6"/>
      <c r="T60" s="6"/>
      <c r="U60" s="6"/>
      <c r="V60" s="6"/>
      <c r="W60" s="6"/>
      <c r="X60" s="6"/>
      <c r="Y60" s="6"/>
      <c r="Z60" s="6"/>
      <c r="AA60" s="6"/>
      <c r="AB60" s="6"/>
      <c r="AC60" s="6"/>
      <c r="AD60" s="6"/>
      <c r="AE60" s="6"/>
      <c r="AF60" s="6"/>
      <c r="AG60" s="6"/>
      <c r="AH60" s="6"/>
      <c r="AI60" s="6"/>
      <c r="AJ60" s="6"/>
    </row>
    <row r="61" spans="1:36" x14ac:dyDescent="0.15">
      <c r="A61" s="6"/>
      <c r="B61" s="6"/>
      <c r="C61" s="6"/>
      <c r="D61" s="6"/>
      <c r="E61" s="7"/>
      <c r="F61" s="6"/>
      <c r="G61" s="7"/>
      <c r="H61" s="7"/>
      <c r="I61" s="7"/>
      <c r="J61" s="7"/>
      <c r="K61" s="7"/>
      <c r="L61" s="6"/>
      <c r="M61" s="7"/>
      <c r="N61" s="6"/>
      <c r="O61" s="6"/>
      <c r="P61" s="6"/>
      <c r="Q61" s="6"/>
      <c r="R61" s="6"/>
      <c r="S61" s="6"/>
      <c r="T61" s="6"/>
      <c r="U61" s="6"/>
      <c r="V61" s="6"/>
      <c r="W61" s="6"/>
      <c r="X61" s="6"/>
      <c r="Y61" s="6"/>
      <c r="Z61" s="6"/>
      <c r="AA61" s="6"/>
      <c r="AB61" s="6"/>
      <c r="AC61" s="6"/>
      <c r="AD61" s="6"/>
      <c r="AE61" s="6"/>
      <c r="AF61" s="6"/>
      <c r="AG61" s="6"/>
      <c r="AH61" s="6"/>
      <c r="AI61" s="6"/>
      <c r="AJ61" s="6"/>
    </row>
    <row r="62" spans="1:36" x14ac:dyDescent="0.15">
      <c r="A62" s="6"/>
      <c r="B62" s="6"/>
      <c r="C62" s="6"/>
      <c r="D62" s="6"/>
      <c r="E62" s="7"/>
      <c r="F62" s="6"/>
      <c r="G62" s="7"/>
      <c r="H62" s="7"/>
      <c r="I62" s="7"/>
      <c r="J62" s="7"/>
      <c r="K62" s="7"/>
      <c r="L62" s="6"/>
      <c r="M62" s="7"/>
      <c r="N62" s="6"/>
      <c r="O62" s="6"/>
      <c r="P62" s="6"/>
      <c r="Q62" s="6"/>
      <c r="R62" s="6"/>
      <c r="S62" s="6"/>
      <c r="T62" s="6"/>
      <c r="U62" s="6"/>
      <c r="V62" s="6"/>
      <c r="W62" s="6"/>
      <c r="X62" s="6"/>
      <c r="Y62" s="6"/>
      <c r="Z62" s="6"/>
      <c r="AA62" s="6"/>
      <c r="AB62" s="6"/>
      <c r="AC62" s="6"/>
      <c r="AD62" s="6"/>
      <c r="AE62" s="6"/>
      <c r="AF62" s="6"/>
      <c r="AG62" s="6"/>
      <c r="AH62" s="6"/>
      <c r="AI62" s="6"/>
      <c r="AJ62" s="6"/>
    </row>
    <row r="63" spans="1:36" x14ac:dyDescent="0.15">
      <c r="A63" s="6"/>
      <c r="B63" s="6"/>
      <c r="C63" s="6"/>
      <c r="D63" s="6"/>
      <c r="E63" s="7"/>
      <c r="F63" s="6"/>
      <c r="G63" s="7"/>
      <c r="H63" s="7"/>
      <c r="I63" s="7"/>
      <c r="J63" s="7"/>
      <c r="K63" s="7"/>
      <c r="L63" s="6"/>
      <c r="M63" s="7"/>
      <c r="N63" s="6"/>
      <c r="O63" s="6"/>
      <c r="P63" s="6"/>
      <c r="Q63" s="6"/>
      <c r="R63" s="6"/>
      <c r="S63" s="6"/>
      <c r="T63" s="6"/>
      <c r="U63" s="6"/>
      <c r="V63" s="6"/>
      <c r="W63" s="6"/>
      <c r="X63" s="6"/>
      <c r="Y63" s="6"/>
      <c r="Z63" s="6"/>
      <c r="AA63" s="6"/>
      <c r="AB63" s="6"/>
      <c r="AC63" s="6"/>
      <c r="AD63" s="6"/>
      <c r="AE63" s="6"/>
      <c r="AF63" s="6"/>
      <c r="AG63" s="6"/>
      <c r="AH63" s="6"/>
      <c r="AI63" s="6"/>
      <c r="AJ63" s="6"/>
    </row>
    <row r="64" spans="1:36" x14ac:dyDescent="0.15">
      <c r="N64" s="6"/>
    </row>
  </sheetData>
  <autoFilter ref="A11:M29" xr:uid="{00000000-0001-0000-0600-000000000000}">
    <sortState xmlns:xlrd2="http://schemas.microsoft.com/office/spreadsheetml/2017/richdata2" ref="A12:M29">
      <sortCondition ref="E11:E29"/>
    </sortState>
  </autoFilter>
  <mergeCells count="5">
    <mergeCell ref="C9:G9"/>
    <mergeCell ref="I9:M9"/>
    <mergeCell ref="A1:M1"/>
    <mergeCell ref="A3:M3"/>
    <mergeCell ref="A5:M5"/>
  </mergeCells>
  <pageMargins left="0.75" right="0.75" top="0.5" bottom="1" header="0.5" footer="0.5"/>
  <pageSetup firstPageNumber="99" orientation="portrait" useFirstPageNumber="1" r:id="rId1"/>
  <headerFooter differentOddEven="1" alignWithMargins="0">
    <oddHeader>&amp;R&amp;"Verdana,Bold"&amp;9TABLE 7</oddHeader>
    <oddFooter>&amp;C&amp;"Verdana,Bold"&amp;9&amp;P</oddFooter>
    <evenHeader>&amp;R&amp;"Verdana,Bold"&amp;9TABLE 7</evenHeader>
    <evenFooter>&amp;C&amp;"Verdana,Bold"&amp;9&amp;P</evenFooter>
  </headerFooter>
  <customProperties>
    <customPr name="OrphanNamesChecke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M48"/>
  <sheetViews>
    <sheetView zoomScaleNormal="100" zoomScaleSheetLayoutView="74" workbookViewId="0">
      <selection activeCell="G14" sqref="G14:G15"/>
    </sheetView>
  </sheetViews>
  <sheetFormatPr baseColWidth="10" defaultColWidth="9.1640625" defaultRowHeight="14" customHeight="1" x14ac:dyDescent="0.15"/>
  <cols>
    <col min="1" max="1" width="10.33203125" style="2" customWidth="1"/>
    <col min="2" max="2" width="1.6640625" style="2" customWidth="1"/>
    <col min="3" max="3" width="11.33203125" style="2" customWidth="1"/>
    <col min="4" max="4" width="1.6640625" style="2" customWidth="1"/>
    <col min="5" max="5" width="11.33203125" style="2" customWidth="1"/>
    <col min="6" max="6" width="1.6640625" style="2" customWidth="1"/>
    <col min="7" max="7" width="11.33203125" style="2" customWidth="1"/>
    <col min="8" max="8" width="1.6640625" style="2" customWidth="1"/>
    <col min="9" max="9" width="11.33203125" style="2" customWidth="1"/>
    <col min="10" max="10" width="1.6640625" style="2" customWidth="1"/>
    <col min="11" max="11" width="12.33203125" style="2" customWidth="1"/>
    <col min="12" max="12" width="1.6640625" style="2" customWidth="1"/>
    <col min="13" max="13" width="12.1640625" style="2" bestFit="1" customWidth="1"/>
    <col min="14" max="16384" width="9.1640625" style="2"/>
  </cols>
  <sheetData>
    <row r="1" spans="1:13" ht="12" x14ac:dyDescent="0.15">
      <c r="A1" s="176" t="s">
        <v>0</v>
      </c>
      <c r="B1" s="176"/>
      <c r="C1" s="176"/>
      <c r="D1" s="176"/>
      <c r="E1" s="176"/>
      <c r="F1" s="176"/>
      <c r="G1" s="176"/>
      <c r="H1" s="176"/>
      <c r="I1" s="176"/>
      <c r="J1" s="176"/>
      <c r="K1" s="176"/>
      <c r="L1" s="176"/>
      <c r="M1" s="176"/>
    </row>
    <row r="2" spans="1:13" ht="12" x14ac:dyDescent="0.15"/>
    <row r="3" spans="1:13" ht="12" x14ac:dyDescent="0.15">
      <c r="A3" s="177" t="s">
        <v>65</v>
      </c>
      <c r="B3" s="177"/>
      <c r="C3" s="177"/>
      <c r="D3" s="177"/>
      <c r="E3" s="177"/>
      <c r="F3" s="177"/>
      <c r="G3" s="177"/>
      <c r="H3" s="177"/>
      <c r="I3" s="177"/>
      <c r="J3" s="177"/>
      <c r="K3" s="177"/>
      <c r="L3" s="177"/>
      <c r="M3" s="177"/>
    </row>
    <row r="4" spans="1:13" ht="12" x14ac:dyDescent="0.15"/>
    <row r="5" spans="1:13" ht="12" x14ac:dyDescent="0.15">
      <c r="A5" s="177" t="s">
        <v>66</v>
      </c>
      <c r="B5" s="177"/>
      <c r="C5" s="177"/>
      <c r="D5" s="177"/>
      <c r="E5" s="177"/>
      <c r="F5" s="177"/>
      <c r="G5" s="177"/>
      <c r="H5" s="177"/>
      <c r="I5" s="177"/>
      <c r="J5" s="177"/>
      <c r="K5" s="177"/>
      <c r="L5" s="177"/>
      <c r="M5" s="177"/>
    </row>
    <row r="6" spans="1:13" ht="12" x14ac:dyDescent="0.15">
      <c r="A6" s="177" t="s">
        <v>67</v>
      </c>
      <c r="B6" s="177"/>
      <c r="C6" s="177"/>
      <c r="D6" s="177"/>
      <c r="E6" s="177"/>
      <c r="F6" s="177"/>
      <c r="G6" s="177"/>
      <c r="H6" s="177"/>
      <c r="I6" s="177"/>
      <c r="J6" s="177"/>
      <c r="K6" s="177"/>
      <c r="L6" s="177"/>
      <c r="M6" s="177"/>
    </row>
    <row r="7" spans="1:13" ht="12" x14ac:dyDescent="0.15"/>
    <row r="8" spans="1:13" ht="12" x14ac:dyDescent="0.15"/>
    <row r="9" spans="1:13" ht="12" x14ac:dyDescent="0.15">
      <c r="A9" s="1"/>
      <c r="B9" s="1"/>
      <c r="C9" s="180" t="s">
        <v>68</v>
      </c>
      <c r="D9" s="180"/>
      <c r="E9" s="180"/>
      <c r="F9" s="1"/>
      <c r="G9" s="1"/>
      <c r="H9" s="1"/>
      <c r="I9" s="181" t="s">
        <v>69</v>
      </c>
      <c r="J9" s="181"/>
      <c r="K9" s="181"/>
      <c r="L9" s="49"/>
      <c r="M9" s="50"/>
    </row>
    <row r="10" spans="1:13" ht="12" x14ac:dyDescent="0.15">
      <c r="A10" s="1"/>
      <c r="B10" s="1"/>
      <c r="C10" s="1"/>
      <c r="D10" s="1"/>
      <c r="E10" s="1"/>
      <c r="F10" s="1"/>
      <c r="G10" s="1"/>
      <c r="H10" s="1"/>
      <c r="I10" s="1" t="s">
        <v>70</v>
      </c>
      <c r="J10" s="1"/>
      <c r="K10" s="1"/>
      <c r="L10" s="1"/>
      <c r="M10" s="1"/>
    </row>
    <row r="11" spans="1:13" ht="12" x14ac:dyDescent="0.15">
      <c r="A11" s="1"/>
      <c r="B11" s="1"/>
      <c r="C11" s="1"/>
      <c r="D11" s="1"/>
      <c r="E11" s="1"/>
      <c r="F11" s="1"/>
      <c r="G11" s="1"/>
      <c r="H11" s="1"/>
      <c r="I11" s="1" t="s">
        <v>71</v>
      </c>
      <c r="J11" s="1"/>
      <c r="K11" s="1"/>
      <c r="L11" s="1"/>
      <c r="M11" s="1"/>
    </row>
    <row r="12" spans="1:13" ht="12" x14ac:dyDescent="0.15">
      <c r="A12" s="1" t="s">
        <v>3</v>
      </c>
      <c r="B12" s="1"/>
      <c r="C12" s="1" t="s">
        <v>72</v>
      </c>
      <c r="D12" s="1"/>
      <c r="E12" s="1" t="s">
        <v>73</v>
      </c>
      <c r="F12" s="1"/>
      <c r="G12" s="1"/>
      <c r="H12" s="1"/>
      <c r="I12" s="1" t="s">
        <v>74</v>
      </c>
      <c r="J12" s="1"/>
      <c r="K12" s="1" t="s">
        <v>75</v>
      </c>
      <c r="L12" s="1"/>
      <c r="M12" s="1"/>
    </row>
    <row r="13" spans="1:13" ht="12" x14ac:dyDescent="0.15">
      <c r="A13" s="172" t="s">
        <v>4</v>
      </c>
      <c r="B13" s="1"/>
      <c r="C13" s="172" t="s">
        <v>76</v>
      </c>
      <c r="D13" s="1"/>
      <c r="E13" s="172" t="s">
        <v>77</v>
      </c>
      <c r="F13" s="1"/>
      <c r="G13" s="172" t="s">
        <v>78</v>
      </c>
      <c r="H13" s="1"/>
      <c r="I13" s="172" t="s">
        <v>79</v>
      </c>
      <c r="J13" s="1"/>
      <c r="K13" s="172" t="s">
        <v>80</v>
      </c>
      <c r="L13" s="1"/>
      <c r="M13" s="1"/>
    </row>
    <row r="14" spans="1:13" ht="12" x14ac:dyDescent="0.15">
      <c r="A14" s="1">
        <v>2024</v>
      </c>
      <c r="B14" s="1"/>
      <c r="C14" s="54">
        <v>0.33239999999999997</v>
      </c>
      <c r="D14" s="1"/>
      <c r="E14" s="54">
        <v>0.15479999999999999</v>
      </c>
      <c r="G14" s="11">
        <v>0.48720000000000002</v>
      </c>
      <c r="I14" s="54">
        <v>1.1392</v>
      </c>
      <c r="K14" s="54">
        <v>1.2746</v>
      </c>
      <c r="L14" s="1"/>
      <c r="M14" s="1"/>
    </row>
    <row r="15" spans="1:13" ht="12" x14ac:dyDescent="0.15">
      <c r="A15" s="1">
        <v>2023</v>
      </c>
      <c r="B15" s="1"/>
      <c r="C15" s="54">
        <v>0.34699999999999998</v>
      </c>
      <c r="D15" s="1"/>
      <c r="E15" s="54">
        <v>0.14799999999999999</v>
      </c>
      <c r="G15" s="11">
        <v>0.495</v>
      </c>
      <c r="I15" s="54">
        <v>1.3246</v>
      </c>
      <c r="K15" s="54">
        <v>1.2746</v>
      </c>
      <c r="L15" s="1"/>
      <c r="M15" s="1"/>
    </row>
    <row r="16" spans="1:13" ht="12" x14ac:dyDescent="0.15">
      <c r="A16" s="1">
        <v>2022</v>
      </c>
      <c r="B16" s="1"/>
      <c r="C16" s="54">
        <v>0.35170000000000001</v>
      </c>
      <c r="D16" s="1"/>
      <c r="E16" s="54">
        <v>0.16039999999999999</v>
      </c>
      <c r="G16" s="11">
        <f>SUM(C16:E16)</f>
        <v>0.5121</v>
      </c>
      <c r="I16" s="54">
        <v>1.395</v>
      </c>
      <c r="K16" s="54">
        <v>1.292</v>
      </c>
      <c r="L16" s="1"/>
      <c r="M16" s="1"/>
    </row>
    <row r="17" spans="1:13" ht="12" x14ac:dyDescent="0.15">
      <c r="A17" s="1">
        <v>2021</v>
      </c>
      <c r="B17" s="1"/>
      <c r="C17" s="54">
        <v>0.34699999999999998</v>
      </c>
      <c r="D17" s="1"/>
      <c r="E17" s="54">
        <v>0.1651</v>
      </c>
      <c r="G17" s="11">
        <f>SUM(C17:E17)</f>
        <v>0.5121</v>
      </c>
      <c r="I17" s="54">
        <v>1.4106000000000001</v>
      </c>
      <c r="K17" s="54">
        <v>1.2757000000000001</v>
      </c>
      <c r="L17" s="1"/>
      <c r="M17" s="1"/>
    </row>
    <row r="18" spans="1:13" ht="14" customHeight="1" x14ac:dyDescent="0.15">
      <c r="A18" s="1">
        <v>2020</v>
      </c>
      <c r="C18" s="54">
        <v>0.34960000000000002</v>
      </c>
      <c r="D18" s="1"/>
      <c r="E18" s="54">
        <v>0.16500000000000001</v>
      </c>
      <c r="G18" s="11">
        <f>SUM(C18,E18)</f>
        <v>0.51460000000000006</v>
      </c>
      <c r="I18" s="54">
        <v>1.42</v>
      </c>
      <c r="K18" s="54">
        <v>1.32</v>
      </c>
      <c r="L18" s="1"/>
      <c r="M18" s="1"/>
    </row>
    <row r="19" spans="1:13" ht="14" customHeight="1" x14ac:dyDescent="0.15">
      <c r="A19" s="1">
        <v>2019</v>
      </c>
      <c r="B19" s="1"/>
      <c r="C19" s="11">
        <v>0.34970000000000001</v>
      </c>
      <c r="D19" s="1"/>
      <c r="E19" s="11">
        <v>0.16489999999999999</v>
      </c>
      <c r="F19" s="1"/>
      <c r="G19" s="11">
        <f>SUM(C19,E19)</f>
        <v>0.51459999999999995</v>
      </c>
      <c r="H19" s="1"/>
      <c r="I19" s="11">
        <v>1.49</v>
      </c>
      <c r="J19" s="1"/>
      <c r="K19" s="11">
        <v>1.32</v>
      </c>
      <c r="M19" s="10"/>
    </row>
    <row r="20" spans="1:13" ht="14" customHeight="1" x14ac:dyDescent="0.15">
      <c r="A20" s="1">
        <v>2018</v>
      </c>
      <c r="C20" s="11">
        <v>0.32479999999999998</v>
      </c>
      <c r="D20" s="11"/>
      <c r="E20" s="11">
        <v>0.16619999999999999</v>
      </c>
      <c r="F20" s="12"/>
      <c r="G20" s="11">
        <f t="shared" ref="G20:G26" si="0">SUM(C20:E20)</f>
        <v>0.49099999999999999</v>
      </c>
      <c r="H20" s="51"/>
      <c r="I20" s="11">
        <v>1.49</v>
      </c>
      <c r="J20" s="11"/>
      <c r="K20" s="11">
        <v>1.39</v>
      </c>
      <c r="L20" s="11"/>
      <c r="M20" s="12"/>
    </row>
    <row r="21" spans="1:13" ht="14" customHeight="1" x14ac:dyDescent="0.15">
      <c r="A21" s="1">
        <v>2017</v>
      </c>
      <c r="C21" s="11">
        <v>0.31680000000000003</v>
      </c>
      <c r="D21" s="11"/>
      <c r="E21" s="11">
        <v>0.17430000000000001</v>
      </c>
      <c r="F21" s="12"/>
      <c r="G21" s="11">
        <f t="shared" si="0"/>
        <v>0.49110000000000004</v>
      </c>
      <c r="H21" s="51"/>
      <c r="I21" s="11">
        <v>1.47</v>
      </c>
      <c r="J21" s="11"/>
      <c r="K21" s="11">
        <v>1.39</v>
      </c>
      <c r="L21" s="11"/>
      <c r="M21" s="11"/>
    </row>
    <row r="22" spans="1:13" ht="14" customHeight="1" x14ac:dyDescent="0.15">
      <c r="A22" s="1">
        <v>2016</v>
      </c>
      <c r="C22" s="11">
        <v>0.31590000000000001</v>
      </c>
      <c r="D22" s="11"/>
      <c r="E22" s="11">
        <v>0.17519999999999999</v>
      </c>
      <c r="F22" s="12"/>
      <c r="G22" s="11">
        <f t="shared" si="0"/>
        <v>0.49109999999999998</v>
      </c>
      <c r="H22" s="51"/>
      <c r="I22" s="11">
        <v>1.49</v>
      </c>
      <c r="J22" s="11"/>
      <c r="K22" s="11">
        <v>1.39</v>
      </c>
      <c r="L22" s="11"/>
      <c r="M22" s="11"/>
    </row>
    <row r="23" spans="1:13" ht="14" customHeight="1" x14ac:dyDescent="0.15">
      <c r="A23" s="1">
        <v>2015</v>
      </c>
      <c r="C23" s="11">
        <v>0.31640000000000001</v>
      </c>
      <c r="D23" s="11"/>
      <c r="E23" s="11">
        <v>0.18099999999999999</v>
      </c>
      <c r="F23" s="12"/>
      <c r="G23" s="11">
        <f t="shared" si="0"/>
        <v>0.49740000000000001</v>
      </c>
      <c r="H23" s="51"/>
      <c r="I23" s="11">
        <v>1.49</v>
      </c>
      <c r="J23" s="11"/>
      <c r="K23" s="11">
        <v>1.39</v>
      </c>
      <c r="L23" s="11"/>
      <c r="M23" s="11"/>
    </row>
    <row r="24" spans="1:13" ht="14" customHeight="1" x14ac:dyDescent="0.15">
      <c r="A24" s="1">
        <v>2014</v>
      </c>
      <c r="C24" s="11">
        <v>0.30099999999999999</v>
      </c>
      <c r="D24" s="11"/>
      <c r="E24" s="11">
        <v>0.19639999999999999</v>
      </c>
      <c r="F24" s="12"/>
      <c r="G24" s="11">
        <f t="shared" si="0"/>
        <v>0.49739999999999995</v>
      </c>
      <c r="H24" s="51"/>
      <c r="I24" s="11">
        <v>1.49</v>
      </c>
      <c r="J24" s="11"/>
      <c r="K24" s="11">
        <v>1.43</v>
      </c>
      <c r="L24" s="11"/>
      <c r="M24" s="11"/>
    </row>
    <row r="25" spans="1:13" ht="14" customHeight="1" x14ac:dyDescent="0.15">
      <c r="A25" s="1">
        <v>2013</v>
      </c>
      <c r="C25" s="11">
        <v>0.29930000000000001</v>
      </c>
      <c r="D25" s="11"/>
      <c r="E25" s="11">
        <v>0.2006</v>
      </c>
      <c r="F25" s="12"/>
      <c r="G25" s="11">
        <f t="shared" si="0"/>
        <v>0.49990000000000001</v>
      </c>
      <c r="H25" s="51"/>
      <c r="I25" s="11">
        <v>1.46</v>
      </c>
      <c r="J25" s="11"/>
      <c r="K25" s="11">
        <v>1.43</v>
      </c>
      <c r="L25" s="11"/>
      <c r="M25" s="11"/>
    </row>
    <row r="26" spans="1:13" ht="14" hidden="1" customHeight="1" x14ac:dyDescent="0.15">
      <c r="A26" s="1">
        <v>2012</v>
      </c>
      <c r="C26" s="11">
        <v>0.29930000000000001</v>
      </c>
      <c r="D26" s="11"/>
      <c r="E26" s="11">
        <v>0.185</v>
      </c>
      <c r="F26" s="12"/>
      <c r="G26" s="11">
        <f t="shared" si="0"/>
        <v>0.48430000000000001</v>
      </c>
      <c r="H26" s="51"/>
      <c r="I26" s="11">
        <v>1.4350000000000001</v>
      </c>
      <c r="J26" s="11"/>
      <c r="K26" s="11">
        <v>1.43</v>
      </c>
      <c r="L26" s="11"/>
      <c r="M26" s="11"/>
    </row>
    <row r="27" spans="1:13" ht="12" x14ac:dyDescent="0.15">
      <c r="A27" s="1"/>
      <c r="C27" s="11"/>
      <c r="D27" s="11"/>
      <c r="E27" s="11"/>
      <c r="F27" s="12"/>
      <c r="G27" s="11"/>
      <c r="H27" s="12"/>
      <c r="I27" s="11"/>
      <c r="J27" s="11"/>
      <c r="K27" s="11"/>
      <c r="L27" s="11"/>
      <c r="M27" s="11"/>
    </row>
    <row r="28" spans="1:13" ht="12" x14ac:dyDescent="0.15">
      <c r="A28" s="1"/>
      <c r="C28" s="179" t="s">
        <v>81</v>
      </c>
      <c r="D28" s="179"/>
      <c r="E28" s="179"/>
      <c r="F28" s="179"/>
      <c r="G28" s="179"/>
      <c r="H28" s="179"/>
      <c r="I28" s="179"/>
      <c r="J28" s="179"/>
      <c r="K28" s="179"/>
      <c r="L28" s="179"/>
      <c r="M28" s="179"/>
    </row>
    <row r="29" spans="1:13" ht="12" x14ac:dyDescent="0.15">
      <c r="A29" s="1"/>
      <c r="B29" s="1"/>
      <c r="C29" s="180" t="s">
        <v>82</v>
      </c>
      <c r="D29" s="180"/>
      <c r="E29" s="180"/>
      <c r="F29" s="180"/>
      <c r="G29" s="180"/>
      <c r="H29" s="180"/>
      <c r="I29" s="180"/>
      <c r="J29" s="50"/>
      <c r="K29" s="1"/>
      <c r="L29" s="1"/>
      <c r="M29" s="1"/>
    </row>
    <row r="30" spans="1:13" ht="12" x14ac:dyDescent="0.15">
      <c r="A30" s="1"/>
      <c r="B30" s="1"/>
      <c r="C30" s="1"/>
      <c r="D30" s="1"/>
      <c r="E30" s="1"/>
      <c r="F30" s="1"/>
      <c r="G30" s="1"/>
      <c r="H30" s="1"/>
      <c r="I30" s="1" t="s">
        <v>83</v>
      </c>
      <c r="J30" s="1"/>
      <c r="K30" s="1"/>
      <c r="L30" s="1"/>
      <c r="M30" s="1"/>
    </row>
    <row r="31" spans="1:13" ht="12" x14ac:dyDescent="0.15">
      <c r="A31" s="1" t="s">
        <v>3</v>
      </c>
      <c r="B31" s="1"/>
      <c r="C31" s="1" t="s">
        <v>82</v>
      </c>
      <c r="D31" s="1"/>
      <c r="E31" s="1" t="s">
        <v>84</v>
      </c>
      <c r="F31" s="1"/>
      <c r="G31" s="1" t="s">
        <v>85</v>
      </c>
      <c r="H31" s="1"/>
      <c r="I31" s="1" t="s">
        <v>86</v>
      </c>
      <c r="J31" s="1"/>
      <c r="K31" s="1" t="s">
        <v>75</v>
      </c>
      <c r="L31" s="1"/>
      <c r="M31" s="1" t="s">
        <v>87</v>
      </c>
    </row>
    <row r="32" spans="1:13" ht="12" x14ac:dyDescent="0.15">
      <c r="A32" s="172" t="s">
        <v>4</v>
      </c>
      <c r="B32" s="1"/>
      <c r="C32" s="172" t="s">
        <v>88</v>
      </c>
      <c r="D32" s="1"/>
      <c r="E32" s="172" t="s">
        <v>89</v>
      </c>
      <c r="F32" s="1"/>
      <c r="G32" s="172" t="s">
        <v>90</v>
      </c>
      <c r="H32" s="1"/>
      <c r="I32" s="172" t="s">
        <v>89</v>
      </c>
      <c r="J32" s="1"/>
      <c r="K32" s="172" t="s">
        <v>88</v>
      </c>
      <c r="L32" s="1"/>
      <c r="M32" s="172" t="s">
        <v>88</v>
      </c>
    </row>
    <row r="33" spans="1:13" ht="14" customHeight="1" x14ac:dyDescent="0.15">
      <c r="A33" s="1">
        <v>2024</v>
      </c>
      <c r="B33" s="1"/>
      <c r="C33" s="54">
        <v>0.27633099999999999</v>
      </c>
      <c r="D33" s="1"/>
      <c r="E33" s="54">
        <v>0.27623500000000001</v>
      </c>
      <c r="F33" s="1"/>
      <c r="G33" s="54">
        <v>1.8360000000000001E-2</v>
      </c>
      <c r="H33" s="1"/>
      <c r="I33" s="54">
        <v>0.14915</v>
      </c>
      <c r="J33" s="1"/>
      <c r="K33" s="54">
        <v>0.22620000000000001</v>
      </c>
      <c r="L33" s="1"/>
      <c r="M33" s="54">
        <v>0.27310000000000001</v>
      </c>
    </row>
    <row r="34" spans="1:13" ht="14" customHeight="1" x14ac:dyDescent="0.15">
      <c r="A34" s="1">
        <v>2023</v>
      </c>
      <c r="B34" s="1"/>
      <c r="C34" s="54">
        <v>0.26235000000000003</v>
      </c>
      <c r="D34" s="1"/>
      <c r="E34" s="54">
        <v>0.27623500000000001</v>
      </c>
      <c r="F34" s="1"/>
      <c r="G34" s="54">
        <v>1.8360000000000001E-2</v>
      </c>
      <c r="H34" s="1"/>
      <c r="I34" s="54">
        <v>0.14915</v>
      </c>
      <c r="J34" s="1"/>
      <c r="K34" s="54">
        <v>0.284715</v>
      </c>
      <c r="L34" s="1"/>
      <c r="M34" s="54">
        <v>0.34389999999999998</v>
      </c>
    </row>
    <row r="35" spans="1:13" ht="14" customHeight="1" x14ac:dyDescent="0.15">
      <c r="A35" s="1">
        <v>2022</v>
      </c>
      <c r="B35" s="1"/>
      <c r="C35" s="54">
        <v>0.27629999999999999</v>
      </c>
      <c r="D35" s="1"/>
      <c r="E35" s="54">
        <v>0.2762</v>
      </c>
      <c r="F35" s="1"/>
      <c r="G35" s="54">
        <v>1.8599999999999998E-2</v>
      </c>
      <c r="H35" s="1"/>
      <c r="I35" s="54">
        <v>0.1492</v>
      </c>
      <c r="J35" s="1"/>
      <c r="K35" s="54">
        <v>0.314</v>
      </c>
      <c r="L35" s="1"/>
      <c r="M35" s="54">
        <v>0.37990000000000002</v>
      </c>
    </row>
    <row r="36" spans="1:13" ht="14" customHeight="1" x14ac:dyDescent="0.15">
      <c r="A36" s="1">
        <v>2021</v>
      </c>
      <c r="B36" s="1"/>
      <c r="C36" s="54">
        <v>0.26235000000000003</v>
      </c>
      <c r="D36" s="1"/>
      <c r="E36" s="54">
        <v>0.27623500000000001</v>
      </c>
      <c r="F36" s="1"/>
      <c r="G36" s="54">
        <v>1.8579999999999999E-2</v>
      </c>
      <c r="H36" s="1"/>
      <c r="I36" s="54">
        <v>0.14915</v>
      </c>
      <c r="J36" s="1"/>
      <c r="K36" s="54">
        <v>0.32241500000000001</v>
      </c>
      <c r="L36" s="1"/>
      <c r="M36" s="54">
        <v>0.38540000000000002</v>
      </c>
    </row>
    <row r="37" spans="1:13" ht="14" customHeight="1" x14ac:dyDescent="0.15">
      <c r="A37" s="1">
        <v>2020</v>
      </c>
      <c r="B37" s="1"/>
      <c r="C37" s="54">
        <v>0.27742899999999998</v>
      </c>
      <c r="D37" s="1"/>
      <c r="E37" s="54">
        <v>0.27623500000000001</v>
      </c>
      <c r="F37" s="1"/>
      <c r="G37" s="54">
        <v>1.8579999999999999E-2</v>
      </c>
      <c r="H37" s="1"/>
      <c r="I37" s="54">
        <v>0.14915</v>
      </c>
      <c r="J37" s="1"/>
      <c r="K37" s="54">
        <v>0.32241500000000001</v>
      </c>
      <c r="L37" s="1"/>
      <c r="M37" s="54">
        <v>0.33189999999999997</v>
      </c>
    </row>
    <row r="38" spans="1:13" ht="14" customHeight="1" x14ac:dyDescent="0.15">
      <c r="A38" s="1">
        <v>2019</v>
      </c>
      <c r="B38" s="1"/>
      <c r="C38" s="54">
        <v>0.27739999999999998</v>
      </c>
      <c r="D38" s="1"/>
      <c r="E38" s="54">
        <v>0.2762</v>
      </c>
      <c r="F38" s="1"/>
      <c r="G38" s="54">
        <v>1.8599999999999998E-2</v>
      </c>
      <c r="H38" s="1"/>
      <c r="I38" s="54">
        <v>0.1492</v>
      </c>
      <c r="J38" s="1"/>
      <c r="K38" s="54">
        <v>0.29520000000000002</v>
      </c>
      <c r="L38" s="1"/>
      <c r="M38" s="54">
        <v>0.33189999999999997</v>
      </c>
    </row>
    <row r="39" spans="1:13" ht="14" customHeight="1" x14ac:dyDescent="0.15">
      <c r="A39" s="1">
        <v>2018</v>
      </c>
      <c r="C39" s="54">
        <v>0.2928</v>
      </c>
      <c r="D39" s="54"/>
      <c r="E39" s="54">
        <v>0.27623500000000001</v>
      </c>
      <c r="F39" s="59"/>
      <c r="G39" s="54">
        <v>1.729E-2</v>
      </c>
      <c r="H39" s="51"/>
      <c r="I39" s="54">
        <v>0.14915</v>
      </c>
      <c r="J39" s="54"/>
      <c r="K39" s="54">
        <v>0.30782100000000001</v>
      </c>
      <c r="L39" s="54"/>
      <c r="M39" s="54">
        <v>0.37990000000000002</v>
      </c>
    </row>
    <row r="40" spans="1:13" ht="14" customHeight="1" x14ac:dyDescent="0.15">
      <c r="A40" s="1">
        <v>2017</v>
      </c>
      <c r="C40" s="54">
        <v>0.2928</v>
      </c>
      <c r="D40" s="54"/>
      <c r="E40" s="54">
        <v>0.27623500000000001</v>
      </c>
      <c r="F40" s="59"/>
      <c r="G40" s="54">
        <v>1.729E-2</v>
      </c>
      <c r="H40" s="51"/>
      <c r="I40" s="54">
        <v>0.14915</v>
      </c>
      <c r="J40" s="54"/>
      <c r="K40" s="54">
        <v>0.2928</v>
      </c>
      <c r="L40" s="54"/>
      <c r="M40" s="54">
        <v>0.3851</v>
      </c>
    </row>
    <row r="41" spans="1:13" ht="14" customHeight="1" x14ac:dyDescent="0.15">
      <c r="A41" s="1">
        <v>2016</v>
      </c>
      <c r="C41" s="54">
        <v>0.29292099999999999</v>
      </c>
      <c r="D41" s="54"/>
      <c r="E41" s="54">
        <v>0.2762</v>
      </c>
      <c r="F41" s="59"/>
      <c r="G41" s="54">
        <v>1.729E-2</v>
      </c>
      <c r="H41" s="51"/>
      <c r="I41" s="54">
        <v>0.14915</v>
      </c>
      <c r="J41" s="54"/>
      <c r="K41" s="54">
        <v>0.29292099999999999</v>
      </c>
      <c r="L41" s="54"/>
      <c r="M41" s="54">
        <v>0.3851</v>
      </c>
    </row>
    <row r="42" spans="1:13" ht="14" customHeight="1" x14ac:dyDescent="0.15">
      <c r="A42" s="1">
        <v>2015</v>
      </c>
      <c r="C42" s="60">
        <v>0.29289999999999999</v>
      </c>
      <c r="D42" s="60"/>
      <c r="E42" s="60">
        <v>0.27623500000000001</v>
      </c>
      <c r="F42" s="61"/>
      <c r="G42" s="60">
        <v>1.7798000000000001E-2</v>
      </c>
      <c r="H42" s="51"/>
      <c r="I42" s="54">
        <v>0.14915</v>
      </c>
      <c r="J42" s="54"/>
      <c r="K42" s="60">
        <v>0.29289999999999999</v>
      </c>
      <c r="L42" s="54"/>
      <c r="M42" s="54">
        <v>0.39410000000000001</v>
      </c>
    </row>
    <row r="43" spans="1:13" ht="14" customHeight="1" x14ac:dyDescent="0.15">
      <c r="A43" s="1">
        <v>2014</v>
      </c>
      <c r="C43" s="60">
        <v>0.278221</v>
      </c>
      <c r="D43" s="60"/>
      <c r="E43" s="60">
        <v>0.27623999999999999</v>
      </c>
      <c r="F43" s="61"/>
      <c r="G43" s="60">
        <v>1.737E-2</v>
      </c>
      <c r="H43" s="51"/>
      <c r="I43" s="54">
        <v>0.14915</v>
      </c>
      <c r="J43" s="54"/>
      <c r="K43" s="60">
        <v>0.278221</v>
      </c>
      <c r="L43" s="54"/>
      <c r="M43" s="54">
        <v>0.39989999999999998</v>
      </c>
    </row>
    <row r="44" spans="1:13" ht="14" customHeight="1" x14ac:dyDescent="0.15">
      <c r="A44" s="1">
        <v>2013</v>
      </c>
      <c r="C44" s="60">
        <v>0.30522100000000002</v>
      </c>
      <c r="D44" s="60"/>
      <c r="E44" s="60">
        <v>0.27623500000000001</v>
      </c>
      <c r="F44" s="61"/>
      <c r="G44" s="60">
        <v>1.737E-2</v>
      </c>
      <c r="H44" s="51"/>
      <c r="I44" s="54">
        <v>0.141623</v>
      </c>
      <c r="J44" s="54"/>
      <c r="K44" s="54">
        <v>0.35042099999999998</v>
      </c>
      <c r="L44" s="54"/>
      <c r="M44" s="54">
        <v>0.40360000000000001</v>
      </c>
    </row>
    <row r="45" spans="1:13" ht="14" hidden="1" customHeight="1" x14ac:dyDescent="0.15">
      <c r="A45" s="1">
        <v>2012</v>
      </c>
      <c r="C45" s="60">
        <v>0.32686599999999999</v>
      </c>
      <c r="D45" s="60"/>
      <c r="E45" s="60">
        <v>0.27623500000000001</v>
      </c>
      <c r="F45" s="61"/>
      <c r="G45" s="60">
        <v>1.6652E-2</v>
      </c>
      <c r="H45" s="51"/>
      <c r="I45" s="54">
        <v>0.141623</v>
      </c>
      <c r="J45" s="54"/>
      <c r="K45" s="54">
        <v>0.33400000000000002</v>
      </c>
      <c r="L45" s="54"/>
      <c r="M45" s="54">
        <v>0.40360000000000001</v>
      </c>
    </row>
    <row r="46" spans="1:13" ht="14" customHeight="1" x14ac:dyDescent="0.15">
      <c r="A46" s="1"/>
      <c r="C46" s="11"/>
      <c r="D46" s="11"/>
      <c r="E46" s="11"/>
      <c r="F46" s="12"/>
      <c r="G46" s="11"/>
      <c r="H46" s="12"/>
      <c r="I46" s="11"/>
      <c r="J46" s="11"/>
      <c r="K46" s="11"/>
      <c r="L46" s="11"/>
      <c r="M46" s="11"/>
    </row>
    <row r="47" spans="1:13" ht="14" customHeight="1" x14ac:dyDescent="0.15">
      <c r="A47" s="1"/>
      <c r="C47" s="11"/>
      <c r="D47" s="11"/>
      <c r="E47" s="11"/>
      <c r="F47" s="12"/>
      <c r="G47" s="11"/>
      <c r="H47" s="12"/>
      <c r="I47" s="11"/>
      <c r="J47" s="11"/>
      <c r="K47" s="11"/>
      <c r="L47" s="11"/>
      <c r="M47" s="11"/>
    </row>
    <row r="48" spans="1:13" ht="14" customHeight="1" x14ac:dyDescent="0.15">
      <c r="A48" s="2" t="s">
        <v>91</v>
      </c>
    </row>
  </sheetData>
  <mergeCells count="8">
    <mergeCell ref="C28:M28"/>
    <mergeCell ref="C29:I29"/>
    <mergeCell ref="C9:E9"/>
    <mergeCell ref="I9:K9"/>
    <mergeCell ref="A1:M1"/>
    <mergeCell ref="A3:M3"/>
    <mergeCell ref="A5:M5"/>
    <mergeCell ref="A6:M6"/>
  </mergeCells>
  <pageMargins left="0.75" right="0.75" top="0.5" bottom="1" header="0.5" footer="0.5"/>
  <pageSetup firstPageNumber="120" orientation="portrait" r:id="rId1"/>
  <headerFooter alignWithMargins="0">
    <oddHeader>&amp;R&amp;"Verdana,Bold"&amp;9TABLE 8</oddHeader>
    <oddFooter>&amp;C&amp;"Verdana,Bold"&amp;9&amp;P</oddFooter>
  </headerFooter>
  <customProperties>
    <customPr name="OrphanNamesChecke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M77"/>
  <sheetViews>
    <sheetView zoomScaleNormal="100" zoomScaleSheetLayoutView="72" workbookViewId="0">
      <selection activeCell="C38" sqref="C38"/>
    </sheetView>
  </sheetViews>
  <sheetFormatPr baseColWidth="10" defaultColWidth="9.1640625" defaultRowHeight="14" customHeight="1" x14ac:dyDescent="0.15"/>
  <cols>
    <col min="1" max="1" width="31.33203125" style="2" customWidth="1"/>
    <col min="2" max="2" width="1.1640625" style="2" customWidth="1"/>
    <col min="3" max="3" width="14.6640625" style="2" customWidth="1"/>
    <col min="4" max="4" width="0.5" style="2" customWidth="1"/>
    <col min="5" max="5" width="4.33203125" style="2" customWidth="1"/>
    <col min="6" max="6" width="0.5" style="2" customWidth="1"/>
    <col min="7" max="7" width="9.33203125" style="2" customWidth="1"/>
    <col min="8" max="8" width="0.5" style="2" customWidth="1"/>
    <col min="9" max="9" width="14.33203125" style="2" customWidth="1"/>
    <col min="10" max="10" width="0.5" style="2" customWidth="1"/>
    <col min="11" max="11" width="3.6640625" style="2" customWidth="1"/>
    <col min="12" max="12" width="0.5" style="2" customWidth="1"/>
    <col min="13" max="13" width="10.1640625" style="2" bestFit="1" customWidth="1"/>
    <col min="14" max="17" width="9.1640625" style="2"/>
    <col min="18" max="18" width="11" style="2" bestFit="1" customWidth="1"/>
    <col min="19" max="16384" width="9.1640625" style="2"/>
  </cols>
  <sheetData>
    <row r="1" spans="1:13" ht="12" x14ac:dyDescent="0.15">
      <c r="A1" s="176" t="s">
        <v>0</v>
      </c>
      <c r="B1" s="176"/>
      <c r="C1" s="176"/>
      <c r="D1" s="176"/>
      <c r="E1" s="176"/>
      <c r="F1" s="176"/>
      <c r="G1" s="176"/>
      <c r="H1" s="176"/>
      <c r="I1" s="176"/>
      <c r="J1" s="176"/>
      <c r="K1" s="176"/>
      <c r="L1" s="176"/>
      <c r="M1" s="176"/>
    </row>
    <row r="2" spans="1:13" ht="12" x14ac:dyDescent="0.15"/>
    <row r="3" spans="1:13" ht="12" x14ac:dyDescent="0.15">
      <c r="A3" s="177" t="s">
        <v>92</v>
      </c>
      <c r="B3" s="177"/>
      <c r="C3" s="177"/>
      <c r="D3" s="177"/>
      <c r="E3" s="177"/>
      <c r="F3" s="177"/>
      <c r="G3" s="177"/>
      <c r="H3" s="177"/>
      <c r="I3" s="177"/>
      <c r="J3" s="177"/>
      <c r="K3" s="177"/>
      <c r="L3" s="177"/>
      <c r="M3" s="177"/>
    </row>
    <row r="4" spans="1:13" ht="12" x14ac:dyDescent="0.15"/>
    <row r="5" spans="1:13" ht="12" x14ac:dyDescent="0.15">
      <c r="A5" s="177" t="s">
        <v>93</v>
      </c>
      <c r="B5" s="177"/>
      <c r="C5" s="177"/>
      <c r="D5" s="177"/>
      <c r="E5" s="177"/>
      <c r="F5" s="177"/>
      <c r="G5" s="177"/>
      <c r="H5" s="177"/>
      <c r="I5" s="177"/>
      <c r="J5" s="177"/>
      <c r="K5" s="177"/>
      <c r="L5" s="177"/>
      <c r="M5" s="177"/>
    </row>
    <row r="6" spans="1:13" ht="12" x14ac:dyDescent="0.15"/>
    <row r="7" spans="1:13" ht="12" x14ac:dyDescent="0.15"/>
    <row r="8" spans="1:13" ht="12" x14ac:dyDescent="0.15"/>
    <row r="9" spans="1:13" ht="12" x14ac:dyDescent="0.15">
      <c r="A9" s="120"/>
      <c r="B9" s="120"/>
      <c r="C9" s="182">
        <v>2024</v>
      </c>
      <c r="D9" s="182"/>
      <c r="E9" s="182"/>
      <c r="F9" s="182"/>
      <c r="G9" s="182"/>
      <c r="H9" s="120"/>
      <c r="I9" s="183">
        <v>2015</v>
      </c>
      <c r="J9" s="182"/>
      <c r="K9" s="182"/>
      <c r="L9" s="182"/>
      <c r="M9" s="182"/>
    </row>
    <row r="10" spans="1:13" ht="12" x14ac:dyDescent="0.15">
      <c r="A10" s="120"/>
      <c r="B10" s="120"/>
      <c r="C10" s="121"/>
      <c r="D10" s="121"/>
      <c r="E10" s="121"/>
      <c r="F10" s="121"/>
      <c r="G10" s="121" t="s">
        <v>94</v>
      </c>
      <c r="H10" s="120"/>
      <c r="I10" s="121"/>
      <c r="J10" s="121"/>
      <c r="K10" s="121"/>
      <c r="L10" s="121"/>
      <c r="M10" s="121" t="s">
        <v>94</v>
      </c>
    </row>
    <row r="11" spans="1:13" ht="12" x14ac:dyDescent="0.15">
      <c r="A11" s="120"/>
      <c r="B11" s="120"/>
      <c r="C11" s="121"/>
      <c r="D11" s="121"/>
      <c r="E11" s="121"/>
      <c r="F11" s="121"/>
      <c r="G11" s="121" t="s">
        <v>95</v>
      </c>
      <c r="H11" s="120"/>
      <c r="I11" s="121"/>
      <c r="J11" s="121"/>
      <c r="K11" s="121"/>
      <c r="L11" s="121"/>
      <c r="M11" s="121" t="s">
        <v>95</v>
      </c>
    </row>
    <row r="12" spans="1:13" ht="12" x14ac:dyDescent="0.15">
      <c r="A12" s="120"/>
      <c r="B12" s="120"/>
      <c r="C12" s="121"/>
      <c r="D12" s="121"/>
      <c r="E12" s="121"/>
      <c r="F12" s="121"/>
      <c r="G12" s="121" t="s">
        <v>96</v>
      </c>
      <c r="H12" s="120"/>
      <c r="I12" s="121"/>
      <c r="J12" s="121"/>
      <c r="K12" s="121"/>
      <c r="L12" s="121"/>
      <c r="M12" s="121" t="s">
        <v>96</v>
      </c>
    </row>
    <row r="13" spans="1:13" ht="12" x14ac:dyDescent="0.15">
      <c r="A13" s="120"/>
      <c r="B13" s="120"/>
      <c r="C13" s="121" t="s">
        <v>97</v>
      </c>
      <c r="D13" s="121"/>
      <c r="E13" s="121"/>
      <c r="F13" s="121"/>
      <c r="G13" s="121" t="s">
        <v>97</v>
      </c>
      <c r="H13" s="120"/>
      <c r="I13" s="121" t="s">
        <v>97</v>
      </c>
      <c r="J13" s="121"/>
      <c r="K13" s="121"/>
      <c r="L13" s="121"/>
      <c r="M13" s="121" t="s">
        <v>97</v>
      </c>
    </row>
    <row r="14" spans="1:13" ht="12" x14ac:dyDescent="0.15">
      <c r="A14" s="120"/>
      <c r="B14" s="120"/>
      <c r="C14" s="121" t="s">
        <v>98</v>
      </c>
      <c r="D14" s="121"/>
      <c r="E14" s="121"/>
      <c r="F14" s="121"/>
      <c r="G14" s="121" t="s">
        <v>98</v>
      </c>
      <c r="H14" s="120"/>
      <c r="I14" s="121" t="s">
        <v>98</v>
      </c>
      <c r="J14" s="121"/>
      <c r="K14" s="121"/>
      <c r="L14" s="121"/>
      <c r="M14" s="121" t="s">
        <v>98</v>
      </c>
    </row>
    <row r="15" spans="1:13" ht="12" x14ac:dyDescent="0.15">
      <c r="A15" s="122" t="s">
        <v>99</v>
      </c>
      <c r="B15" s="120"/>
      <c r="C15" s="173" t="s">
        <v>100</v>
      </c>
      <c r="D15" s="121"/>
      <c r="E15" s="173" t="s">
        <v>21</v>
      </c>
      <c r="F15" s="121"/>
      <c r="G15" s="173" t="s">
        <v>100</v>
      </c>
      <c r="H15" s="120"/>
      <c r="I15" s="173" t="s">
        <v>100</v>
      </c>
      <c r="J15" s="121"/>
      <c r="K15" s="173" t="s">
        <v>21</v>
      </c>
      <c r="L15" s="121"/>
      <c r="M15" s="173" t="s">
        <v>100</v>
      </c>
    </row>
    <row r="16" spans="1:13" ht="12" x14ac:dyDescent="0.15">
      <c r="A16" s="120"/>
      <c r="B16" s="120"/>
      <c r="C16" s="123"/>
      <c r="D16" s="123"/>
      <c r="E16" s="123"/>
      <c r="F16" s="120"/>
      <c r="G16" s="124"/>
      <c r="H16" s="120"/>
      <c r="I16" s="123"/>
      <c r="J16" s="123"/>
      <c r="K16" s="123"/>
      <c r="L16" s="120"/>
      <c r="M16" s="124"/>
    </row>
    <row r="17" spans="1:13" ht="14" customHeight="1" x14ac:dyDescent="0.15">
      <c r="A17" s="125" t="s">
        <v>101</v>
      </c>
      <c r="B17" s="120"/>
      <c r="C17" s="126">
        <f>C57</f>
        <v>156322530</v>
      </c>
      <c r="D17" s="126"/>
      <c r="E17" s="127">
        <v>1</v>
      </c>
      <c r="F17" s="120"/>
      <c r="G17" s="124">
        <f t="shared" ref="G17:G26" si="0">SUM(C17/C$38)</f>
        <v>2.3192068670190882E-2</v>
      </c>
      <c r="H17" s="120"/>
      <c r="I17" s="126">
        <v>100587449</v>
      </c>
      <c r="J17" s="123"/>
      <c r="K17" s="127">
        <v>2</v>
      </c>
      <c r="L17" s="120"/>
      <c r="M17" s="124">
        <f>I17/I$38</f>
        <v>3.3117743275470631E-2</v>
      </c>
    </row>
    <row r="18" spans="1:13" ht="14" customHeight="1" x14ac:dyDescent="0.15">
      <c r="A18" s="120" t="s">
        <v>102</v>
      </c>
      <c r="B18" s="120"/>
      <c r="C18" s="123">
        <f>C58</f>
        <v>112840728</v>
      </c>
      <c r="D18" s="123"/>
      <c r="E18" s="127">
        <v>2</v>
      </c>
      <c r="F18" s="120"/>
      <c r="G18" s="124">
        <f t="shared" si="0"/>
        <v>1.6741092359305668E-2</v>
      </c>
      <c r="H18" s="120"/>
      <c r="I18" s="126"/>
      <c r="J18" s="126"/>
      <c r="K18" s="127"/>
      <c r="L18" s="120"/>
      <c r="M18" s="124"/>
    </row>
    <row r="19" spans="1:13" ht="14" customHeight="1" x14ac:dyDescent="0.15">
      <c r="A19" s="125" t="s">
        <v>103</v>
      </c>
      <c r="B19" s="120"/>
      <c r="C19" s="123">
        <f>C59</f>
        <v>106594902</v>
      </c>
      <c r="D19" s="123"/>
      <c r="E19" s="127">
        <v>3</v>
      </c>
      <c r="F19" s="120"/>
      <c r="G19" s="124">
        <f t="shared" si="0"/>
        <v>1.5814459291800531E-2</v>
      </c>
      <c r="H19" s="120"/>
      <c r="I19" s="123">
        <v>157733450</v>
      </c>
      <c r="J19" s="123"/>
      <c r="K19" s="127">
        <v>1</v>
      </c>
      <c r="L19" s="120"/>
      <c r="M19" s="124">
        <f>I19/I$38</f>
        <v>5.1932681015245584E-2</v>
      </c>
    </row>
    <row r="20" spans="1:13" ht="14" customHeight="1" x14ac:dyDescent="0.15">
      <c r="A20" s="125" t="s">
        <v>104</v>
      </c>
      <c r="B20" s="120"/>
      <c r="C20" s="128">
        <f>C68</f>
        <v>80229218</v>
      </c>
      <c r="D20" s="126"/>
      <c r="E20" s="127">
        <v>4</v>
      </c>
      <c r="F20" s="120"/>
      <c r="G20" s="124">
        <f t="shared" si="0"/>
        <v>1.1902836611022828E-2</v>
      </c>
      <c r="H20" s="120"/>
      <c r="I20" s="123"/>
      <c r="J20" s="123"/>
      <c r="K20" s="127"/>
      <c r="L20" s="120"/>
      <c r="M20" s="124"/>
    </row>
    <row r="21" spans="1:13" ht="14" customHeight="1" x14ac:dyDescent="0.15">
      <c r="A21" s="125" t="s">
        <v>105</v>
      </c>
      <c r="B21" s="120"/>
      <c r="C21" s="123">
        <f>C60</f>
        <v>68123480</v>
      </c>
      <c r="D21" s="123"/>
      <c r="E21" s="127">
        <v>5</v>
      </c>
      <c r="F21" s="120"/>
      <c r="G21" s="124">
        <f t="shared" si="0"/>
        <v>1.0106824820532108E-2</v>
      </c>
      <c r="H21" s="120"/>
      <c r="I21" s="123">
        <v>48082040</v>
      </c>
      <c r="J21" s="123"/>
      <c r="K21" s="127">
        <v>3</v>
      </c>
      <c r="L21" s="120"/>
      <c r="M21" s="124">
        <f>I21/I$38</f>
        <v>1.5830689342573048E-2</v>
      </c>
    </row>
    <row r="22" spans="1:13" ht="14" customHeight="1" x14ac:dyDescent="0.15">
      <c r="A22" s="125" t="s">
        <v>106</v>
      </c>
      <c r="B22" s="120"/>
      <c r="C22" s="123">
        <f>C69</f>
        <v>61550582</v>
      </c>
      <c r="D22" s="123"/>
      <c r="E22" s="127">
        <v>6</v>
      </c>
      <c r="F22" s="120"/>
      <c r="G22" s="124">
        <f t="shared" si="0"/>
        <v>9.1316672295043769E-3</v>
      </c>
      <c r="H22" s="120"/>
      <c r="I22" s="123"/>
      <c r="J22" s="123"/>
      <c r="K22" s="127"/>
      <c r="L22" s="120"/>
      <c r="M22" s="124"/>
    </row>
    <row r="23" spans="1:13" ht="14" customHeight="1" x14ac:dyDescent="0.15">
      <c r="A23" s="125" t="s">
        <v>107</v>
      </c>
      <c r="B23" s="120"/>
      <c r="C23" s="123">
        <f>C61</f>
        <v>43686637</v>
      </c>
      <c r="D23" s="123"/>
      <c r="E23" s="127">
        <v>7</v>
      </c>
      <c r="F23" s="120"/>
      <c r="G23" s="124">
        <f t="shared" si="0"/>
        <v>6.4813657076411299E-3</v>
      </c>
      <c r="H23" s="120"/>
      <c r="I23" s="123"/>
      <c r="J23" s="123"/>
      <c r="K23" s="127"/>
      <c r="L23" s="120"/>
      <c r="M23" s="124"/>
    </row>
    <row r="24" spans="1:13" s="27" customFormat="1" ht="14" customHeight="1" x14ac:dyDescent="0.15">
      <c r="A24" s="125" t="s">
        <v>108</v>
      </c>
      <c r="B24" s="129"/>
      <c r="C24" s="131">
        <f>C70</f>
        <v>35174800</v>
      </c>
      <c r="D24" s="131"/>
      <c r="E24" s="127">
        <v>8</v>
      </c>
      <c r="F24" s="129"/>
      <c r="G24" s="124">
        <f t="shared" si="0"/>
        <v>5.2185464056923219E-3</v>
      </c>
      <c r="H24" s="129"/>
      <c r="I24" s="131"/>
      <c r="J24" s="131"/>
      <c r="K24" s="127"/>
      <c r="L24" s="129"/>
      <c r="M24" s="124"/>
    </row>
    <row r="25" spans="1:13" ht="14" customHeight="1" x14ac:dyDescent="0.15">
      <c r="A25" s="125" t="s">
        <v>109</v>
      </c>
      <c r="B25" s="120"/>
      <c r="C25" s="123">
        <f>C62</f>
        <v>32374472</v>
      </c>
      <c r="D25" s="123"/>
      <c r="E25" s="127">
        <v>9</v>
      </c>
      <c r="F25" s="120"/>
      <c r="G25" s="124">
        <f t="shared" si="0"/>
        <v>4.803088702474121E-3</v>
      </c>
      <c r="H25" s="120"/>
      <c r="I25" s="126"/>
      <c r="J25" s="123"/>
      <c r="K25" s="127"/>
      <c r="L25" s="120"/>
      <c r="M25" s="124"/>
    </row>
    <row r="26" spans="1:13" s="27" customFormat="1" ht="14" customHeight="1" x14ac:dyDescent="0.3">
      <c r="A26" s="125" t="s">
        <v>110</v>
      </c>
      <c r="B26" s="129"/>
      <c r="C26" s="130">
        <f>C63</f>
        <v>28910120</v>
      </c>
      <c r="D26" s="131"/>
      <c r="E26" s="127">
        <v>10</v>
      </c>
      <c r="F26" s="129"/>
      <c r="G26" s="132">
        <f t="shared" si="0"/>
        <v>4.289116151737429E-3</v>
      </c>
      <c r="H26" s="129"/>
      <c r="I26" s="131"/>
      <c r="J26" s="131"/>
      <c r="K26" s="127"/>
      <c r="L26" s="129"/>
      <c r="M26" s="124"/>
    </row>
    <row r="27" spans="1:13" ht="14" customHeight="1" x14ac:dyDescent="0.15">
      <c r="A27" s="125" t="s">
        <v>111</v>
      </c>
      <c r="B27" s="120"/>
      <c r="C27" s="123"/>
      <c r="D27" s="123"/>
      <c r="E27" s="127"/>
      <c r="F27" s="120"/>
      <c r="G27" s="124"/>
      <c r="H27" s="120"/>
      <c r="I27" s="123">
        <v>23253974</v>
      </c>
      <c r="J27" s="123"/>
      <c r="K27" s="127">
        <v>4</v>
      </c>
      <c r="L27" s="120"/>
      <c r="M27" s="124">
        <f t="shared" ref="M27:M33" si="1">I27/I$38</f>
        <v>7.656215051904427E-3</v>
      </c>
    </row>
    <row r="28" spans="1:13" ht="14" customHeight="1" x14ac:dyDescent="0.15">
      <c r="A28" s="125" t="s">
        <v>112</v>
      </c>
      <c r="B28" s="120"/>
      <c r="C28" s="123"/>
      <c r="D28" s="123"/>
      <c r="E28" s="127"/>
      <c r="F28" s="120"/>
      <c r="G28" s="124"/>
      <c r="H28" s="120"/>
      <c r="I28" s="123">
        <v>19500000</v>
      </c>
      <c r="J28" s="123"/>
      <c r="K28" s="127">
        <v>5</v>
      </c>
      <c r="L28" s="120"/>
      <c r="M28" s="124">
        <f t="shared" si="1"/>
        <v>6.4202442779086417E-3</v>
      </c>
    </row>
    <row r="29" spans="1:13" ht="14" customHeight="1" x14ac:dyDescent="0.15">
      <c r="A29" s="125" t="s">
        <v>113</v>
      </c>
      <c r="B29" s="120"/>
      <c r="C29" s="123"/>
      <c r="D29" s="123"/>
      <c r="E29" s="127"/>
      <c r="F29" s="120"/>
      <c r="G29" s="124"/>
      <c r="H29" s="120"/>
      <c r="I29" s="123">
        <v>18058140</v>
      </c>
      <c r="J29" s="123"/>
      <c r="K29" s="127">
        <v>6</v>
      </c>
      <c r="L29" s="120"/>
      <c r="M29" s="124">
        <f t="shared" si="1"/>
        <v>5.9455215387011874E-3</v>
      </c>
    </row>
    <row r="30" spans="1:13" ht="14" customHeight="1" x14ac:dyDescent="0.15">
      <c r="A30" s="125" t="s">
        <v>114</v>
      </c>
      <c r="B30" s="120"/>
      <c r="C30" s="123"/>
      <c r="D30" s="123"/>
      <c r="E30" s="127"/>
      <c r="F30" s="120"/>
      <c r="G30" s="133"/>
      <c r="H30" s="120"/>
      <c r="I30" s="123">
        <v>12459300</v>
      </c>
      <c r="J30" s="123"/>
      <c r="K30" s="127">
        <v>7</v>
      </c>
      <c r="L30" s="120"/>
      <c r="M30" s="124">
        <f t="shared" si="1"/>
        <v>4.1021410016280581E-3</v>
      </c>
    </row>
    <row r="31" spans="1:13" ht="15.75" customHeight="1" x14ac:dyDescent="0.15">
      <c r="A31" s="125" t="s">
        <v>115</v>
      </c>
      <c r="B31" s="120"/>
      <c r="C31" s="123"/>
      <c r="D31" s="123"/>
      <c r="E31" s="127"/>
      <c r="F31" s="120"/>
      <c r="G31" s="133"/>
      <c r="H31" s="120"/>
      <c r="I31" s="123">
        <v>11301240</v>
      </c>
      <c r="J31" s="123"/>
      <c r="K31" s="127">
        <v>8</v>
      </c>
      <c r="L31" s="120"/>
      <c r="M31" s="124">
        <f t="shared" si="1"/>
        <v>3.720857509911398E-3</v>
      </c>
    </row>
    <row r="32" spans="1:13" ht="15.75" customHeight="1" x14ac:dyDescent="0.15">
      <c r="A32" s="125" t="s">
        <v>116</v>
      </c>
      <c r="B32" s="120"/>
      <c r="C32" s="123"/>
      <c r="D32" s="123"/>
      <c r="E32" s="127"/>
      <c r="F32" s="120"/>
      <c r="G32" s="133"/>
      <c r="H32" s="120"/>
      <c r="I32" s="123">
        <v>9875405</v>
      </c>
      <c r="J32" s="123"/>
      <c r="K32" s="127">
        <v>9</v>
      </c>
      <c r="L32" s="120"/>
      <c r="M32" s="124">
        <f t="shared" si="1"/>
        <v>3.2514108945271994E-3</v>
      </c>
    </row>
    <row r="33" spans="1:13" ht="15.75" customHeight="1" x14ac:dyDescent="0.3">
      <c r="A33" s="125" t="s">
        <v>117</v>
      </c>
      <c r="B33" s="120"/>
      <c r="C33" s="123"/>
      <c r="D33" s="123"/>
      <c r="E33" s="127"/>
      <c r="F33" s="120"/>
      <c r="G33" s="124"/>
      <c r="H33" s="120"/>
      <c r="I33" s="134">
        <v>5878860</v>
      </c>
      <c r="J33" s="123"/>
      <c r="K33" s="127">
        <v>10</v>
      </c>
      <c r="L33" s="120"/>
      <c r="M33" s="135">
        <f t="shared" si="1"/>
        <v>1.9355752449038972E-3</v>
      </c>
    </row>
    <row r="34" spans="1:13" ht="14" customHeight="1" x14ac:dyDescent="0.15">
      <c r="A34" s="120"/>
      <c r="B34" s="120"/>
      <c r="C34" s="123"/>
      <c r="D34" s="123"/>
      <c r="E34" s="123"/>
      <c r="F34" s="120"/>
      <c r="G34" s="124"/>
      <c r="H34" s="120"/>
      <c r="I34" s="123"/>
      <c r="J34" s="123"/>
      <c r="K34" s="123"/>
      <c r="L34" s="120"/>
      <c r="M34" s="124"/>
    </row>
    <row r="35" spans="1:13" ht="14" customHeight="1" x14ac:dyDescent="0.3">
      <c r="A35" s="120" t="s">
        <v>118</v>
      </c>
      <c r="B35" s="120"/>
      <c r="C35" s="136">
        <f>SUM(C17:C34)</f>
        <v>725807469</v>
      </c>
      <c r="D35" s="123"/>
      <c r="E35" s="123"/>
      <c r="F35" s="120"/>
      <c r="G35" s="137">
        <f>SUM(G17:G34)</f>
        <v>0.10768106594990137</v>
      </c>
      <c r="H35" s="120"/>
      <c r="I35" s="136">
        <f>SUM(I17:I34)</f>
        <v>406729858</v>
      </c>
      <c r="J35" s="123"/>
      <c r="K35" s="123"/>
      <c r="L35" s="120"/>
      <c r="M35" s="137">
        <f>SUM(M17:M34)</f>
        <v>0.13391307915277409</v>
      </c>
    </row>
    <row r="36" spans="1:13" ht="14" customHeight="1" x14ac:dyDescent="0.15">
      <c r="A36" s="120"/>
      <c r="B36" s="120"/>
      <c r="C36" s="123"/>
      <c r="D36" s="123"/>
      <c r="E36" s="123"/>
      <c r="F36" s="120"/>
      <c r="G36" s="120"/>
      <c r="H36" s="120"/>
      <c r="I36" s="123"/>
      <c r="J36" s="123"/>
      <c r="K36" s="123"/>
      <c r="L36" s="120"/>
      <c r="M36" s="120"/>
    </row>
    <row r="37" spans="1:13" ht="14" customHeight="1" x14ac:dyDescent="0.15">
      <c r="A37" s="120" t="s">
        <v>119</v>
      </c>
      <c r="B37" s="120"/>
      <c r="C37" s="123"/>
      <c r="D37" s="123"/>
      <c r="E37" s="123"/>
      <c r="F37" s="120"/>
      <c r="G37" s="120"/>
      <c r="H37" s="120"/>
      <c r="I37" s="123"/>
      <c r="J37" s="123"/>
      <c r="K37" s="123"/>
      <c r="L37" s="120"/>
      <c r="M37" s="120"/>
    </row>
    <row r="38" spans="1:13" s="27" customFormat="1" ht="14" customHeight="1" x14ac:dyDescent="0.3">
      <c r="A38" s="138" t="s">
        <v>120</v>
      </c>
      <c r="B38" s="129"/>
      <c r="C38" s="136">
        <f>'Table 15'!G10</f>
        <v>6740344392</v>
      </c>
      <c r="D38" s="131"/>
      <c r="E38" s="131"/>
      <c r="F38" s="129"/>
      <c r="G38" s="129"/>
      <c r="H38" s="129"/>
      <c r="I38" s="136">
        <v>3037267611</v>
      </c>
      <c r="J38" s="131"/>
      <c r="K38" s="131"/>
      <c r="L38" s="129"/>
      <c r="M38" s="129"/>
    </row>
    <row r="39" spans="1:13" ht="14" customHeight="1" x14ac:dyDescent="0.15">
      <c r="A39" s="75"/>
      <c r="B39" s="75"/>
      <c r="C39" s="92"/>
      <c r="D39" s="92"/>
      <c r="E39" s="92"/>
      <c r="F39" s="75"/>
      <c r="G39" s="75"/>
      <c r="H39" s="75"/>
      <c r="I39" s="92"/>
      <c r="J39" s="92"/>
      <c r="K39" s="92"/>
      <c r="L39" s="75"/>
      <c r="M39" s="75"/>
    </row>
    <row r="40" spans="1:13" ht="14" customHeight="1" x14ac:dyDescent="0.15">
      <c r="A40" s="2" t="s">
        <v>91</v>
      </c>
      <c r="B40" s="75"/>
      <c r="C40" s="75"/>
      <c r="D40" s="75"/>
      <c r="E40" s="75"/>
      <c r="F40" s="75"/>
      <c r="G40" s="75"/>
      <c r="H40" s="75"/>
      <c r="I40" s="75"/>
      <c r="J40" s="75"/>
      <c r="K40" s="75"/>
      <c r="L40" s="75"/>
      <c r="M40" s="75"/>
    </row>
    <row r="44" spans="1:13" ht="14" customHeight="1" x14ac:dyDescent="0.15">
      <c r="A44" s="2" t="s">
        <v>82</v>
      </c>
    </row>
    <row r="45" spans="1:13" ht="14" customHeight="1" x14ac:dyDescent="0.15">
      <c r="A45" s="2" t="s">
        <v>121</v>
      </c>
      <c r="C45" s="162">
        <v>12465260</v>
      </c>
    </row>
    <row r="46" spans="1:13" ht="14" customHeight="1" x14ac:dyDescent="0.15">
      <c r="A46" s="2" t="s">
        <v>122</v>
      </c>
      <c r="C46" s="162">
        <v>11732490</v>
      </c>
    </row>
    <row r="47" spans="1:13" ht="14" customHeight="1" x14ac:dyDescent="0.15">
      <c r="A47" s="2" t="s">
        <v>123</v>
      </c>
      <c r="C47" s="162">
        <v>7513230</v>
      </c>
    </row>
    <row r="48" spans="1:13" ht="14" customHeight="1" x14ac:dyDescent="0.15">
      <c r="A48" s="2" t="s">
        <v>124</v>
      </c>
      <c r="C48" s="162">
        <v>7423140</v>
      </c>
    </row>
    <row r="49" spans="1:3" ht="14" customHeight="1" x14ac:dyDescent="0.15">
      <c r="A49" s="2" t="s">
        <v>125</v>
      </c>
      <c r="C49" s="162">
        <v>4598940</v>
      </c>
    </row>
    <row r="50" spans="1:3" ht="14" customHeight="1" x14ac:dyDescent="0.15">
      <c r="A50" s="2" t="s">
        <v>126</v>
      </c>
      <c r="C50" s="162">
        <v>4122500</v>
      </c>
    </row>
    <row r="51" spans="1:3" ht="14" customHeight="1" x14ac:dyDescent="0.15">
      <c r="A51" s="2" t="s">
        <v>127</v>
      </c>
      <c r="C51" s="162">
        <v>3900000</v>
      </c>
    </row>
    <row r="52" spans="1:3" ht="14" customHeight="1" x14ac:dyDescent="0.15">
      <c r="A52" s="2" t="s">
        <v>128</v>
      </c>
      <c r="C52" s="162">
        <v>3825951</v>
      </c>
    </row>
    <row r="53" spans="1:3" ht="14" customHeight="1" x14ac:dyDescent="0.15">
      <c r="A53" s="2" t="s">
        <v>129</v>
      </c>
      <c r="C53" s="162">
        <v>3517170</v>
      </c>
    </row>
    <row r="54" spans="1:3" ht="14" customHeight="1" x14ac:dyDescent="0.15">
      <c r="A54" s="2" t="s">
        <v>130</v>
      </c>
      <c r="C54" s="162">
        <v>3428260</v>
      </c>
    </row>
    <row r="56" spans="1:3" ht="14" customHeight="1" x14ac:dyDescent="0.15">
      <c r="A56" s="2" t="s">
        <v>75</v>
      </c>
    </row>
    <row r="57" spans="1:3" ht="14" customHeight="1" x14ac:dyDescent="0.15">
      <c r="A57" s="2" t="s">
        <v>131</v>
      </c>
      <c r="C57" s="169">
        <f>85045970+71276560</f>
        <v>156322530</v>
      </c>
    </row>
    <row r="58" spans="1:3" ht="14" customHeight="1" x14ac:dyDescent="0.15">
      <c r="A58" s="2" t="s">
        <v>132</v>
      </c>
      <c r="C58" s="169">
        <v>112840728</v>
      </c>
    </row>
    <row r="59" spans="1:3" ht="14" customHeight="1" x14ac:dyDescent="0.15">
      <c r="A59" s="2" t="s">
        <v>133</v>
      </c>
      <c r="C59" s="169">
        <v>106594902</v>
      </c>
    </row>
    <row r="60" spans="1:3" ht="14" customHeight="1" x14ac:dyDescent="0.15">
      <c r="A60" s="2" t="s">
        <v>134</v>
      </c>
      <c r="C60" s="169">
        <v>68123480</v>
      </c>
    </row>
    <row r="61" spans="1:3" ht="14" customHeight="1" x14ac:dyDescent="0.15">
      <c r="A61" s="2" t="s">
        <v>135</v>
      </c>
      <c r="C61" s="169">
        <v>43686637</v>
      </c>
    </row>
    <row r="62" spans="1:3" ht="14" customHeight="1" x14ac:dyDescent="0.15">
      <c r="A62" s="2" t="s">
        <v>136</v>
      </c>
      <c r="C62" s="169">
        <v>32374472</v>
      </c>
    </row>
    <row r="63" spans="1:3" ht="14" customHeight="1" x14ac:dyDescent="0.15">
      <c r="A63" s="2" t="s">
        <v>137</v>
      </c>
      <c r="C63" s="169">
        <v>28910120</v>
      </c>
    </row>
    <row r="64" spans="1:3" ht="14" customHeight="1" x14ac:dyDescent="0.15">
      <c r="A64" s="2" t="s">
        <v>138</v>
      </c>
      <c r="C64" s="162">
        <v>24472820</v>
      </c>
    </row>
    <row r="65" spans="1:3" ht="14" customHeight="1" x14ac:dyDescent="0.15">
      <c r="A65" s="2" t="s">
        <v>139</v>
      </c>
      <c r="C65" s="162">
        <v>22000000</v>
      </c>
    </row>
    <row r="67" spans="1:3" ht="14" customHeight="1" x14ac:dyDescent="0.15">
      <c r="A67" s="2" t="s">
        <v>87</v>
      </c>
    </row>
    <row r="68" spans="1:3" ht="14" customHeight="1" x14ac:dyDescent="0.15">
      <c r="A68" s="2" t="s">
        <v>104</v>
      </c>
      <c r="C68" s="169">
        <v>80229218</v>
      </c>
    </row>
    <row r="69" spans="1:3" ht="14" customHeight="1" x14ac:dyDescent="0.15">
      <c r="A69" s="2" t="s">
        <v>140</v>
      </c>
      <c r="C69" s="169">
        <v>61550582</v>
      </c>
    </row>
    <row r="70" spans="1:3" ht="14" customHeight="1" x14ac:dyDescent="0.15">
      <c r="A70" s="2" t="s">
        <v>141</v>
      </c>
      <c r="C70" s="169">
        <v>35174800</v>
      </c>
    </row>
    <row r="71" spans="1:3" ht="14" customHeight="1" x14ac:dyDescent="0.15">
      <c r="A71" s="2" t="s">
        <v>142</v>
      </c>
      <c r="C71" s="162">
        <v>28807900</v>
      </c>
    </row>
    <row r="72" spans="1:3" ht="14" customHeight="1" x14ac:dyDescent="0.15">
      <c r="A72" s="2" t="s">
        <v>143</v>
      </c>
      <c r="C72" s="162">
        <v>19485685</v>
      </c>
    </row>
    <row r="73" spans="1:3" ht="14" customHeight="1" x14ac:dyDescent="0.15">
      <c r="A73" s="2" t="s">
        <v>144</v>
      </c>
      <c r="C73" s="162">
        <v>17404847</v>
      </c>
    </row>
    <row r="74" spans="1:3" ht="14" customHeight="1" x14ac:dyDescent="0.15">
      <c r="A74" s="2" t="s">
        <v>145</v>
      </c>
      <c r="C74" s="162">
        <v>15510400</v>
      </c>
    </row>
    <row r="75" spans="1:3" ht="14" customHeight="1" x14ac:dyDescent="0.15">
      <c r="A75" s="2" t="s">
        <v>146</v>
      </c>
      <c r="C75" s="162">
        <v>14500000</v>
      </c>
    </row>
    <row r="76" spans="1:3" ht="14" customHeight="1" x14ac:dyDescent="0.15">
      <c r="A76" s="2" t="s">
        <v>147</v>
      </c>
      <c r="C76" s="162">
        <v>13679226</v>
      </c>
    </row>
    <row r="77" spans="1:3" ht="14" customHeight="1" x14ac:dyDescent="0.15">
      <c r="A77" s="2" t="s">
        <v>148</v>
      </c>
      <c r="C77" s="162">
        <v>12942800</v>
      </c>
    </row>
  </sheetData>
  <sortState xmlns:xlrd2="http://schemas.microsoft.com/office/spreadsheetml/2017/richdata2" ref="A27:M33">
    <sortCondition ref="K27:K33"/>
  </sortState>
  <mergeCells count="5">
    <mergeCell ref="C9:G9"/>
    <mergeCell ref="I9:M9"/>
    <mergeCell ref="A1:M1"/>
    <mergeCell ref="A3:M3"/>
    <mergeCell ref="A5:M5"/>
  </mergeCells>
  <pageMargins left="0.75" right="0.75" top="0.5" bottom="1" header="0.5" footer="0.5"/>
  <pageSetup firstPageNumber="101" orientation="portrait" useFirstPageNumber="1" r:id="rId1"/>
  <headerFooter differentOddEven="1" alignWithMargins="0">
    <oddHeader>&amp;R&amp;"Verdana,Bold"&amp;9TABLE 9</oddHeader>
    <oddFooter>&amp;C&amp;"Verdana,Bold"&amp;9&amp;P</oddFooter>
    <evenHeader>&amp;R&amp;"Verdana,Bold"&amp;9TABLE 9</evenHeader>
    <evenFooter>&amp;C&amp;"Verdana,Bold"&amp;9&amp;P</even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sheetPr>
  <dimension ref="A1:U25"/>
  <sheetViews>
    <sheetView zoomScaleNormal="100" zoomScaleSheetLayoutView="76" workbookViewId="0">
      <selection activeCell="P24" sqref="P24"/>
    </sheetView>
  </sheetViews>
  <sheetFormatPr baseColWidth="10" defaultColWidth="9.1640625" defaultRowHeight="12" customHeight="1" x14ac:dyDescent="0.15"/>
  <cols>
    <col min="1" max="1" width="13.33203125" style="2" customWidth="1"/>
    <col min="2" max="2" width="0.5" style="2" customWidth="1"/>
    <col min="3" max="3" width="14" style="2" bestFit="1" customWidth="1"/>
    <col min="4" max="4" width="0.5" style="2" customWidth="1"/>
    <col min="5" max="5" width="14" style="2" bestFit="1" customWidth="1"/>
    <col min="6" max="6" width="0.6640625" style="2" customWidth="1"/>
    <col min="7" max="7" width="9.83203125" style="2" customWidth="1"/>
    <col min="8" max="8" width="0.6640625" style="2" customWidth="1"/>
    <col min="9" max="9" width="12.6640625" style="2" customWidth="1"/>
    <col min="10" max="10" width="0.6640625" style="2" customWidth="1"/>
    <col min="11" max="11" width="14" style="2" bestFit="1" customWidth="1"/>
    <col min="12" max="12" width="0.83203125" style="2" customWidth="1"/>
    <col min="13" max="13" width="9.33203125" style="2" customWidth="1"/>
    <col min="14" max="16" width="9.1640625" style="2"/>
    <col min="17" max="17" width="10.33203125" style="2" bestFit="1" customWidth="1"/>
    <col min="18" max="18" width="9.1640625" style="2"/>
    <col min="19" max="19" width="10.6640625" style="2" bestFit="1" customWidth="1"/>
    <col min="20" max="16384" width="9.1640625" style="2"/>
  </cols>
  <sheetData>
    <row r="1" spans="1:21" x14ac:dyDescent="0.15">
      <c r="A1" s="176" t="s">
        <v>0</v>
      </c>
      <c r="B1" s="176"/>
      <c r="C1" s="176"/>
      <c r="D1" s="176"/>
      <c r="E1" s="176"/>
      <c r="F1" s="176"/>
      <c r="G1" s="176"/>
      <c r="H1" s="176"/>
      <c r="I1" s="176"/>
      <c r="J1" s="176"/>
      <c r="K1" s="176"/>
      <c r="L1" s="176"/>
      <c r="M1" s="176"/>
    </row>
    <row r="2" spans="1:21" x14ac:dyDescent="0.15"/>
    <row r="3" spans="1:21" x14ac:dyDescent="0.15">
      <c r="A3" s="177" t="s">
        <v>149</v>
      </c>
      <c r="B3" s="177"/>
      <c r="C3" s="177"/>
      <c r="D3" s="177"/>
      <c r="E3" s="177"/>
      <c r="F3" s="177"/>
      <c r="G3" s="177"/>
      <c r="H3" s="177"/>
      <c r="I3" s="177"/>
      <c r="J3" s="177"/>
      <c r="K3" s="177"/>
      <c r="L3" s="177"/>
      <c r="M3" s="177"/>
    </row>
    <row r="4" spans="1:21" x14ac:dyDescent="0.15"/>
    <row r="5" spans="1:21" x14ac:dyDescent="0.15">
      <c r="A5" s="177" t="s">
        <v>2</v>
      </c>
      <c r="B5" s="177"/>
      <c r="C5" s="177"/>
      <c r="D5" s="177"/>
      <c r="E5" s="177"/>
      <c r="F5" s="177"/>
      <c r="G5" s="177"/>
      <c r="H5" s="177"/>
      <c r="I5" s="177"/>
      <c r="J5" s="177"/>
      <c r="K5" s="177"/>
      <c r="L5" s="177"/>
      <c r="M5" s="177"/>
    </row>
    <row r="6" spans="1:21" x14ac:dyDescent="0.15">
      <c r="A6" s="177" t="s">
        <v>67</v>
      </c>
      <c r="B6" s="177"/>
      <c r="C6" s="177"/>
      <c r="D6" s="177"/>
      <c r="E6" s="177"/>
      <c r="F6" s="177"/>
      <c r="G6" s="177"/>
      <c r="H6" s="177"/>
      <c r="I6" s="177"/>
      <c r="J6" s="177"/>
      <c r="K6" s="177"/>
      <c r="L6" s="177"/>
      <c r="M6" s="177"/>
    </row>
    <row r="7" spans="1:21" x14ac:dyDescent="0.15"/>
    <row r="8" spans="1:21" x14ac:dyDescent="0.15"/>
    <row r="9" spans="1:21" x14ac:dyDescent="0.15">
      <c r="C9" s="1"/>
      <c r="E9" s="177" t="s">
        <v>150</v>
      </c>
      <c r="F9" s="184"/>
      <c r="G9" s="184"/>
      <c r="K9" s="177" t="s">
        <v>151</v>
      </c>
      <c r="L9" s="184"/>
      <c r="M9" s="184"/>
    </row>
    <row r="10" spans="1:21" x14ac:dyDescent="0.15">
      <c r="A10" s="1" t="s">
        <v>152</v>
      </c>
      <c r="B10" s="1"/>
      <c r="C10" s="1" t="s">
        <v>153</v>
      </c>
      <c r="D10" s="1"/>
      <c r="E10" s="180" t="s">
        <v>154</v>
      </c>
      <c r="F10" s="180"/>
      <c r="G10" s="180"/>
      <c r="H10" s="1"/>
      <c r="I10" s="1" t="s">
        <v>155</v>
      </c>
      <c r="J10" s="1"/>
      <c r="K10" s="180" t="s">
        <v>156</v>
      </c>
      <c r="L10" s="180"/>
      <c r="M10" s="180"/>
    </row>
    <row r="11" spans="1:21" x14ac:dyDescent="0.15">
      <c r="A11" s="1" t="s">
        <v>8</v>
      </c>
      <c r="B11" s="1"/>
      <c r="C11" s="1" t="s">
        <v>157</v>
      </c>
      <c r="D11" s="1"/>
      <c r="E11" s="1"/>
      <c r="F11" s="1"/>
      <c r="G11" s="1" t="s">
        <v>158</v>
      </c>
      <c r="H11" s="1"/>
      <c r="I11" s="1" t="s">
        <v>159</v>
      </c>
      <c r="J11" s="1"/>
      <c r="K11" s="1"/>
      <c r="L11" s="1"/>
      <c r="M11" s="1" t="s">
        <v>158</v>
      </c>
    </row>
    <row r="12" spans="1:21" x14ac:dyDescent="0.15">
      <c r="A12" s="53" t="s">
        <v>160</v>
      </c>
      <c r="B12" s="1"/>
      <c r="C12" s="172" t="s">
        <v>152</v>
      </c>
      <c r="D12" s="1"/>
      <c r="E12" s="172" t="s">
        <v>161</v>
      </c>
      <c r="F12" s="1"/>
      <c r="G12" s="172" t="s">
        <v>162</v>
      </c>
      <c r="H12" s="1"/>
      <c r="I12" s="172" t="s">
        <v>163</v>
      </c>
      <c r="J12" s="1"/>
      <c r="K12" s="172" t="s">
        <v>161</v>
      </c>
      <c r="L12" s="1"/>
      <c r="M12" s="172" t="s">
        <v>162</v>
      </c>
      <c r="T12" s="2">
        <v>2022</v>
      </c>
      <c r="U12" s="2">
        <v>2023</v>
      </c>
    </row>
    <row r="13" spans="1:21" x14ac:dyDescent="0.15">
      <c r="A13" s="1">
        <v>2024</v>
      </c>
      <c r="C13" s="52">
        <v>28354039.440000001</v>
      </c>
      <c r="E13" s="52">
        <f>28023427.37</f>
        <v>28023427.370000001</v>
      </c>
      <c r="G13" s="14">
        <f t="shared" ref="G13:G25" si="0">SUM(E13/C13)</f>
        <v>0.98833985998010587</v>
      </c>
      <c r="I13" s="3">
        <f>SUM(S13:AC13)</f>
        <v>0</v>
      </c>
      <c r="K13" s="52">
        <f>I13+E13</f>
        <v>28023427.370000001</v>
      </c>
      <c r="M13" s="14">
        <f>SUM(K13/C13)</f>
        <v>0.98833985998010587</v>
      </c>
    </row>
    <row r="14" spans="1:21" x14ac:dyDescent="0.15">
      <c r="A14" s="1">
        <v>2023</v>
      </c>
      <c r="C14" s="52">
        <v>26144518.079999998</v>
      </c>
      <c r="E14" s="52">
        <v>25757953.149999999</v>
      </c>
      <c r="G14" s="14">
        <f t="shared" si="0"/>
        <v>0.98521430271473565</v>
      </c>
      <c r="I14" s="3">
        <f>SUM(S14:AC14)</f>
        <v>57109.9</v>
      </c>
      <c r="K14" s="52">
        <f>25757953.15+I14</f>
        <v>25815063.049999997</v>
      </c>
      <c r="M14" s="14">
        <f>SUM(K14/C14)</f>
        <v>0.98739869562743909</v>
      </c>
      <c r="U14" s="2">
        <v>57109.9</v>
      </c>
    </row>
    <row r="15" spans="1:21" ht="12" customHeight="1" x14ac:dyDescent="0.15">
      <c r="A15" s="1">
        <v>2022</v>
      </c>
      <c r="C15" s="52">
        <v>22951478</v>
      </c>
      <c r="E15" s="52">
        <v>22775565</v>
      </c>
      <c r="G15" s="14">
        <f t="shared" si="0"/>
        <v>0.99233543913816791</v>
      </c>
      <c r="I15" s="3">
        <f t="shared" ref="I15:I24" si="1">SUM(S15:AC15)</f>
        <v>110107.16</v>
      </c>
      <c r="K15" s="52">
        <f>E15+I15</f>
        <v>22885672.16</v>
      </c>
      <c r="M15" s="14">
        <f>SUM(K15/C15)</f>
        <v>0.99713282778564416</v>
      </c>
      <c r="S15" s="2">
        <v>0</v>
      </c>
      <c r="T15" s="2">
        <v>137846.29</v>
      </c>
      <c r="U15" s="2">
        <v>-27739.13</v>
      </c>
    </row>
    <row r="16" spans="1:21" ht="12" customHeight="1" x14ac:dyDescent="0.15">
      <c r="A16" s="1">
        <v>2021</v>
      </c>
      <c r="C16" s="52">
        <v>22011090</v>
      </c>
      <c r="E16" s="52">
        <v>21787625</v>
      </c>
      <c r="G16" s="14">
        <f t="shared" si="0"/>
        <v>0.98984761772361118</v>
      </c>
      <c r="I16" s="3">
        <f t="shared" si="1"/>
        <v>24328.5</v>
      </c>
      <c r="K16" s="52">
        <f>I16+E16</f>
        <v>21811953.5</v>
      </c>
      <c r="M16" s="14">
        <f>SUM(K16/C16)</f>
        <v>0.99095290146921389</v>
      </c>
      <c r="S16" s="52">
        <v>40262</v>
      </c>
      <c r="T16" s="2">
        <v>1872.83</v>
      </c>
      <c r="U16" s="2">
        <v>-17806.330000000002</v>
      </c>
    </row>
    <row r="17" spans="1:21" ht="12" customHeight="1" x14ac:dyDescent="0.15">
      <c r="A17" s="1">
        <v>2020</v>
      </c>
      <c r="C17" s="52">
        <v>20854329.060000002</v>
      </c>
      <c r="E17" s="52">
        <v>20758492.939999998</v>
      </c>
      <c r="G17" s="14">
        <f t="shared" si="0"/>
        <v>0.99540449756382599</v>
      </c>
      <c r="I17" s="3">
        <f t="shared" si="1"/>
        <v>82648.01999999999</v>
      </c>
      <c r="K17" s="52">
        <f>I17+E17</f>
        <v>20841140.959999997</v>
      </c>
      <c r="M17" s="14">
        <f t="shared" ref="M17:M25" si="2">SUM(K17/C17)</f>
        <v>0.99936760852089457</v>
      </c>
      <c r="S17" s="52">
        <v>68692</v>
      </c>
      <c r="T17" s="2">
        <v>14934.73</v>
      </c>
      <c r="U17" s="2">
        <v>-978.71</v>
      </c>
    </row>
    <row r="18" spans="1:21" ht="12" customHeight="1" x14ac:dyDescent="0.15">
      <c r="A18" s="1">
        <v>2019</v>
      </c>
      <c r="C18" s="52">
        <v>19922568</v>
      </c>
      <c r="E18" s="52">
        <v>19825244</v>
      </c>
      <c r="G18" s="14">
        <f t="shared" si="0"/>
        <v>0.99511488679571836</v>
      </c>
      <c r="I18" s="3">
        <f t="shared" si="1"/>
        <v>91224.06</v>
      </c>
      <c r="K18" s="52">
        <f>I18+E18</f>
        <v>19916468.059999999</v>
      </c>
      <c r="M18" s="14">
        <f t="shared" si="2"/>
        <v>0.99969381758415876</v>
      </c>
      <c r="O18" s="3"/>
      <c r="P18" s="9"/>
      <c r="Q18" s="9"/>
      <c r="S18" s="52">
        <v>85062</v>
      </c>
      <c r="T18" s="2">
        <v>2743.18</v>
      </c>
      <c r="U18" s="2">
        <v>3418.88</v>
      </c>
    </row>
    <row r="19" spans="1:21" ht="12" customHeight="1" x14ac:dyDescent="0.15">
      <c r="A19" s="1">
        <v>2018</v>
      </c>
      <c r="C19" s="52">
        <v>18010824</v>
      </c>
      <c r="D19" s="3"/>
      <c r="E19" s="52">
        <v>17899825</v>
      </c>
      <c r="F19" s="3"/>
      <c r="G19" s="14">
        <f t="shared" si="0"/>
        <v>0.99383709484918625</v>
      </c>
      <c r="H19" s="3"/>
      <c r="I19" s="3">
        <f t="shared" si="1"/>
        <v>74731.91</v>
      </c>
      <c r="J19" s="3"/>
      <c r="K19" s="52">
        <f>I19+E19</f>
        <v>17974556.91</v>
      </c>
      <c r="L19" s="3"/>
      <c r="M19" s="14">
        <f t="shared" si="2"/>
        <v>0.9979863725279865</v>
      </c>
      <c r="O19" s="3"/>
      <c r="P19" s="9"/>
      <c r="Q19" s="9"/>
      <c r="S19" s="52">
        <v>71342</v>
      </c>
      <c r="T19" s="2">
        <v>3206.09</v>
      </c>
      <c r="U19" s="2">
        <v>183.82</v>
      </c>
    </row>
    <row r="20" spans="1:21" ht="12" customHeight="1" x14ac:dyDescent="0.15">
      <c r="A20" s="1">
        <v>2017</v>
      </c>
      <c r="C20" s="52">
        <v>17356822</v>
      </c>
      <c r="D20" s="3"/>
      <c r="E20" s="52">
        <v>17241556</v>
      </c>
      <c r="F20" s="3"/>
      <c r="G20" s="14">
        <f t="shared" si="0"/>
        <v>0.99335903773167689</v>
      </c>
      <c r="H20" s="3"/>
      <c r="I20" s="3">
        <f t="shared" si="1"/>
        <v>74365.98</v>
      </c>
      <c r="J20" s="3"/>
      <c r="K20" s="52">
        <v>17314231</v>
      </c>
      <c r="L20" s="3"/>
      <c r="M20" s="14">
        <f t="shared" si="2"/>
        <v>0.99754615217002285</v>
      </c>
      <c r="O20" s="3"/>
      <c r="P20" s="9"/>
      <c r="Q20" s="9"/>
      <c r="S20" s="48">
        <v>72675</v>
      </c>
      <c r="T20" s="2">
        <v>1618.83</v>
      </c>
      <c r="U20" s="2">
        <v>72.150000000000006</v>
      </c>
    </row>
    <row r="21" spans="1:21" ht="12" customHeight="1" x14ac:dyDescent="0.15">
      <c r="A21" s="1">
        <v>2016</v>
      </c>
      <c r="C21" s="52">
        <v>16238180</v>
      </c>
      <c r="D21" s="3"/>
      <c r="E21" s="52">
        <v>16160248</v>
      </c>
      <c r="F21" s="3"/>
      <c r="G21" s="14">
        <f t="shared" si="0"/>
        <v>0.99520069367379838</v>
      </c>
      <c r="H21" s="3"/>
      <c r="I21" s="3">
        <f t="shared" si="1"/>
        <v>59083.81</v>
      </c>
      <c r="J21" s="3"/>
      <c r="K21" s="52">
        <v>16218083</v>
      </c>
      <c r="L21" s="3"/>
      <c r="M21" s="14">
        <f t="shared" si="2"/>
        <v>0.99876236129911111</v>
      </c>
      <c r="O21" s="3"/>
      <c r="P21" s="9"/>
      <c r="Q21" s="9"/>
      <c r="S21" s="48">
        <v>57835</v>
      </c>
      <c r="T21" s="2">
        <v>1236.78</v>
      </c>
      <c r="U21" s="2">
        <v>12.03</v>
      </c>
    </row>
    <row r="22" spans="1:21" ht="12" customHeight="1" x14ac:dyDescent="0.15">
      <c r="A22" s="1">
        <v>2015</v>
      </c>
      <c r="C22" s="52">
        <v>14793867</v>
      </c>
      <c r="D22" s="3"/>
      <c r="E22" s="3">
        <v>14738760</v>
      </c>
      <c r="F22" s="3"/>
      <c r="G22" s="14">
        <f t="shared" si="0"/>
        <v>0.99627501044858657</v>
      </c>
      <c r="H22" s="3"/>
      <c r="I22" s="3">
        <f t="shared" si="1"/>
        <v>45621.56</v>
      </c>
      <c r="J22" s="3"/>
      <c r="K22" s="52">
        <v>14783490</v>
      </c>
      <c r="L22" s="3"/>
      <c r="M22" s="14">
        <f t="shared" si="2"/>
        <v>0.99929856068058476</v>
      </c>
      <c r="O22" s="3"/>
      <c r="P22" s="9"/>
      <c r="Q22" s="9"/>
      <c r="S22" s="48">
        <v>44730</v>
      </c>
      <c r="T22" s="2">
        <v>884.5</v>
      </c>
      <c r="U22" s="2">
        <v>7.06</v>
      </c>
    </row>
    <row r="23" spans="1:21" ht="12" customHeight="1" x14ac:dyDescent="0.15">
      <c r="A23" s="1">
        <v>2014</v>
      </c>
      <c r="C23" s="52">
        <v>13383759</v>
      </c>
      <c r="D23" s="3"/>
      <c r="E23" s="52">
        <v>13297258</v>
      </c>
      <c r="F23" s="3"/>
      <c r="G23" s="14">
        <f t="shared" si="0"/>
        <v>0.99353686808018582</v>
      </c>
      <c r="H23" s="3"/>
      <c r="I23" s="3">
        <f t="shared" si="1"/>
        <v>68805.25</v>
      </c>
      <c r="J23" s="3"/>
      <c r="K23" s="52">
        <v>13365670</v>
      </c>
      <c r="L23" s="3"/>
      <c r="M23" s="14">
        <f t="shared" si="2"/>
        <v>0.99864843651174529</v>
      </c>
      <c r="O23" s="3"/>
      <c r="P23" s="9"/>
      <c r="Q23" s="9"/>
      <c r="S23" s="48">
        <v>68412</v>
      </c>
      <c r="T23" s="2">
        <v>240.13</v>
      </c>
      <c r="U23" s="2">
        <v>153.12</v>
      </c>
    </row>
    <row r="24" spans="1:21" ht="12" customHeight="1" x14ac:dyDescent="0.15">
      <c r="A24" s="1">
        <v>2013</v>
      </c>
      <c r="C24" s="52">
        <f>5030274+7506266</f>
        <v>12536540</v>
      </c>
      <c r="D24" s="3"/>
      <c r="E24" s="3">
        <f>4997690+7457646</f>
        <v>12455336</v>
      </c>
      <c r="F24" s="3"/>
      <c r="G24" s="14">
        <f t="shared" si="0"/>
        <v>0.99352261469273018</v>
      </c>
      <c r="H24" s="3"/>
      <c r="I24" s="3">
        <f t="shared" si="1"/>
        <v>71915.3</v>
      </c>
      <c r="J24" s="3"/>
      <c r="K24" s="52">
        <v>12526768</v>
      </c>
      <c r="L24" s="3"/>
      <c r="M24" s="14">
        <f t="shared" si="2"/>
        <v>0.99922051858008665</v>
      </c>
      <c r="O24" s="3"/>
      <c r="P24" s="9"/>
      <c r="Q24" s="9"/>
      <c r="S24" s="48">
        <v>71432</v>
      </c>
      <c r="T24" s="2">
        <v>477.3</v>
      </c>
      <c r="U24" s="2">
        <v>6</v>
      </c>
    </row>
    <row r="25" spans="1:21" ht="12" hidden="1" customHeight="1" x14ac:dyDescent="0.15">
      <c r="A25" s="1">
        <v>2012</v>
      </c>
      <c r="C25" s="52">
        <v>11239572</v>
      </c>
      <c r="D25" s="3"/>
      <c r="E25" s="3">
        <v>11159974</v>
      </c>
      <c r="F25" s="3"/>
      <c r="G25" s="14">
        <f t="shared" si="0"/>
        <v>0.99291805773387098</v>
      </c>
      <c r="H25" s="3"/>
      <c r="I25" s="48">
        <v>71740</v>
      </c>
      <c r="J25" s="3"/>
      <c r="K25" s="52">
        <v>11231714</v>
      </c>
      <c r="L25" s="3"/>
      <c r="M25" s="14">
        <f t="shared" si="2"/>
        <v>0.99930086305777477</v>
      </c>
      <c r="O25" s="3"/>
      <c r="P25" s="9"/>
      <c r="Q25" s="9"/>
    </row>
  </sheetData>
  <mergeCells count="8">
    <mergeCell ref="E9:G9"/>
    <mergeCell ref="K9:M9"/>
    <mergeCell ref="E10:G10"/>
    <mergeCell ref="K10:M10"/>
    <mergeCell ref="A1:M1"/>
    <mergeCell ref="A3:M3"/>
    <mergeCell ref="A5:M5"/>
    <mergeCell ref="A6:M6"/>
  </mergeCells>
  <pageMargins left="0.75" right="0.75" top="0.5" bottom="1" header="0.5" footer="0.5"/>
  <pageSetup firstPageNumber="102" orientation="portrait" useFirstPageNumber="1" r:id="rId1"/>
  <headerFooter alignWithMargins="0">
    <oddHeader>&amp;R&amp;"Verdana,Bold"&amp;9TABLE 10</oddHeader>
    <oddFooter>&amp;C&amp;"Verdana,Bold"&amp;9&amp;P</oddFooter>
  </headerFooter>
  <customProperties>
    <customPr name="OrphanNamesChecke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sheetPr>
  <dimension ref="A1:AO96"/>
  <sheetViews>
    <sheetView tabSelected="1" view="pageBreakPreview" topLeftCell="A2" zoomScaleNormal="90" zoomScaleSheetLayoutView="100" workbookViewId="0">
      <selection activeCell="E58" sqref="E58"/>
    </sheetView>
  </sheetViews>
  <sheetFormatPr baseColWidth="10" defaultColWidth="9.1640625" defaultRowHeight="14" customHeight="1" x14ac:dyDescent="0.15"/>
  <cols>
    <col min="1" max="1" width="1.83203125" style="2" customWidth="1"/>
    <col min="2" max="2" width="20.33203125" style="2" customWidth="1"/>
    <col min="3" max="3" width="2.6640625" style="2" customWidth="1"/>
    <col min="4" max="4" width="16.83203125" style="2" customWidth="1"/>
    <col min="5" max="5" width="2.6640625" style="2" customWidth="1"/>
    <col min="6" max="6" width="22.1640625" style="2" customWidth="1"/>
    <col min="7" max="7" width="2.6640625" style="2" customWidth="1"/>
    <col min="8" max="8" width="21.5" style="2" customWidth="1"/>
    <col min="9" max="9" width="20.33203125" style="2" customWidth="1"/>
    <col min="10" max="10" width="2.6640625" style="2" customWidth="1"/>
    <col min="11" max="11" width="20.33203125" style="2" customWidth="1"/>
    <col min="12" max="12" width="2.6640625" style="2" customWidth="1"/>
    <col min="13" max="13" width="20.33203125" style="2" customWidth="1"/>
    <col min="14" max="14" width="2.6640625" style="2" customWidth="1"/>
    <col min="15" max="15" width="20.33203125" style="2" customWidth="1"/>
    <col min="16" max="16" width="2.6640625" style="2" customWidth="1"/>
    <col min="17" max="17" width="14.6640625" style="2" customWidth="1"/>
    <col min="18" max="18" width="0" style="2" hidden="1" customWidth="1"/>
    <col min="19" max="19" width="17.5" style="2" hidden="1" customWidth="1"/>
    <col min="20" max="20" width="2.33203125" style="2" hidden="1" customWidth="1"/>
    <col min="21" max="21" width="17.5" style="2" hidden="1" customWidth="1"/>
    <col min="22" max="22" width="2.33203125" style="2" hidden="1" customWidth="1"/>
    <col min="23" max="23" width="16.6640625" style="2" hidden="1" customWidth="1"/>
    <col min="24" max="24" width="2.33203125" style="2" hidden="1" customWidth="1"/>
    <col min="25" max="25" width="16" style="2" hidden="1" customWidth="1"/>
    <col min="26" max="26" width="2.33203125" style="2" hidden="1" customWidth="1"/>
    <col min="27" max="27" width="17.5" style="2" hidden="1" customWidth="1"/>
    <col min="28" max="28" width="0" style="2" hidden="1" customWidth="1"/>
    <col min="29" max="29" width="9.1640625" style="2"/>
    <col min="30" max="30" width="16.83203125" style="2" bestFit="1" customWidth="1"/>
    <col min="31" max="31" width="2.33203125" style="2" customWidth="1"/>
    <col min="32" max="32" width="16.83203125" style="2" bestFit="1" customWidth="1"/>
    <col min="33" max="33" width="2.33203125" style="2" customWidth="1"/>
    <col min="34" max="34" width="15.83203125" style="2" bestFit="1" customWidth="1"/>
    <col min="35" max="35" width="2.33203125" style="2" customWidth="1"/>
    <col min="36" max="36" width="15.1640625" style="2" bestFit="1" customWidth="1"/>
    <col min="37" max="37" width="2.33203125" style="2" customWidth="1"/>
    <col min="38" max="38" width="16.83203125" style="2" bestFit="1" customWidth="1"/>
    <col min="39" max="39" width="1.6640625" style="2" customWidth="1"/>
    <col min="40" max="40" width="17.33203125" style="2" bestFit="1" customWidth="1"/>
    <col min="41" max="41" width="16.33203125" style="2" bestFit="1" customWidth="1"/>
    <col min="42" max="16384" width="9.1640625" style="2"/>
  </cols>
  <sheetData>
    <row r="1" spans="1:40" ht="12" x14ac:dyDescent="0.15">
      <c r="A1" s="176" t="s">
        <v>0</v>
      </c>
      <c r="B1" s="176"/>
      <c r="C1" s="176"/>
      <c r="D1" s="176"/>
      <c r="E1" s="176"/>
      <c r="F1" s="176"/>
      <c r="G1" s="176"/>
      <c r="H1" s="176"/>
      <c r="I1" s="55"/>
      <c r="J1" s="55"/>
      <c r="K1" s="55"/>
      <c r="L1" s="55"/>
      <c r="M1" s="55"/>
    </row>
    <row r="2" spans="1:40" ht="12" x14ac:dyDescent="0.15"/>
    <row r="3" spans="1:40" ht="12" x14ac:dyDescent="0.15">
      <c r="A3" s="177" t="s">
        <v>164</v>
      </c>
      <c r="B3" s="177"/>
      <c r="C3" s="177"/>
      <c r="D3" s="177"/>
      <c r="E3" s="177"/>
      <c r="F3" s="177"/>
      <c r="G3" s="177"/>
      <c r="H3" s="177"/>
    </row>
    <row r="4" spans="1:40" ht="12" x14ac:dyDescent="0.15"/>
    <row r="5" spans="1:40" ht="12" x14ac:dyDescent="0.15">
      <c r="A5" s="177" t="s">
        <v>2</v>
      </c>
      <c r="B5" s="177"/>
      <c r="C5" s="177"/>
      <c r="D5" s="177"/>
      <c r="E5" s="177"/>
      <c r="F5" s="177"/>
      <c r="G5" s="177"/>
      <c r="H5" s="177"/>
    </row>
    <row r="6" spans="1:40" ht="12" x14ac:dyDescent="0.15">
      <c r="A6" s="177" t="s">
        <v>67</v>
      </c>
      <c r="B6" s="177"/>
      <c r="C6" s="177"/>
      <c r="D6" s="177"/>
      <c r="E6" s="177"/>
      <c r="F6" s="177"/>
      <c r="G6" s="177"/>
      <c r="H6" s="177"/>
    </row>
    <row r="7" spans="1:40" ht="12" x14ac:dyDescent="0.15"/>
    <row r="8" spans="1:40" ht="12" x14ac:dyDescent="0.15">
      <c r="B8" s="1" t="s">
        <v>3</v>
      </c>
      <c r="C8" s="1"/>
      <c r="D8" s="1"/>
      <c r="E8" s="1"/>
      <c r="F8" s="1"/>
      <c r="G8" s="1"/>
      <c r="H8" s="1"/>
      <c r="I8" s="1"/>
      <c r="J8" s="1"/>
      <c r="K8" s="1"/>
      <c r="L8" s="1"/>
      <c r="M8" s="1"/>
      <c r="N8" s="1"/>
      <c r="O8" s="1"/>
      <c r="AC8" s="2" t="s">
        <v>165</v>
      </c>
    </row>
    <row r="9" spans="1:40" ht="12" x14ac:dyDescent="0.15">
      <c r="B9" s="1" t="s">
        <v>4</v>
      </c>
      <c r="C9" s="1"/>
      <c r="D9" s="1" t="s">
        <v>97</v>
      </c>
      <c r="E9" s="1"/>
      <c r="F9" s="1"/>
      <c r="G9" s="1"/>
      <c r="H9" s="1"/>
      <c r="I9" s="1"/>
      <c r="J9" s="1"/>
      <c r="K9" s="1"/>
      <c r="L9" s="1"/>
      <c r="M9" s="1" t="s">
        <v>119</v>
      </c>
      <c r="N9" s="1"/>
      <c r="O9" s="1" t="s">
        <v>78</v>
      </c>
    </row>
    <row r="10" spans="1:40" ht="12" x14ac:dyDescent="0.15">
      <c r="B10" s="1" t="s">
        <v>8</v>
      </c>
      <c r="C10" s="1"/>
      <c r="D10" s="1" t="s">
        <v>100</v>
      </c>
      <c r="E10" s="1"/>
      <c r="F10" s="1" t="s">
        <v>166</v>
      </c>
      <c r="G10" s="1"/>
      <c r="H10" s="1" t="s">
        <v>167</v>
      </c>
      <c r="I10" s="1" t="s">
        <v>168</v>
      </c>
      <c r="J10" s="1"/>
      <c r="K10" s="1" t="s">
        <v>169</v>
      </c>
      <c r="L10" s="1"/>
      <c r="M10" s="1" t="s">
        <v>98</v>
      </c>
      <c r="N10" s="1"/>
      <c r="O10" s="1" t="s">
        <v>170</v>
      </c>
      <c r="R10" s="2" t="s">
        <v>171</v>
      </c>
      <c r="AC10" s="2" t="s">
        <v>172</v>
      </c>
    </row>
    <row r="11" spans="1:40" ht="12" x14ac:dyDescent="0.15">
      <c r="B11" s="172" t="s">
        <v>160</v>
      </c>
      <c r="C11" s="1"/>
      <c r="D11" s="53" t="s">
        <v>173</v>
      </c>
      <c r="E11" s="8"/>
      <c r="F11" s="172" t="s">
        <v>174</v>
      </c>
      <c r="G11" s="8"/>
      <c r="H11" s="172" t="s">
        <v>174</v>
      </c>
      <c r="I11" s="172" t="s">
        <v>174</v>
      </c>
      <c r="J11" s="8"/>
      <c r="K11" s="172" t="s">
        <v>174</v>
      </c>
      <c r="L11" s="8"/>
      <c r="M11" s="172" t="s">
        <v>175</v>
      </c>
      <c r="N11" s="8"/>
      <c r="O11" s="172" t="s">
        <v>176</v>
      </c>
      <c r="S11" s="1" t="s">
        <v>166</v>
      </c>
      <c r="T11" s="1"/>
      <c r="U11" s="1" t="s">
        <v>167</v>
      </c>
      <c r="V11" s="1"/>
      <c r="W11" s="1" t="s">
        <v>168</v>
      </c>
      <c r="X11" s="1"/>
      <c r="Y11" s="1" t="s">
        <v>169</v>
      </c>
      <c r="Z11" s="1"/>
      <c r="AA11" s="1" t="s">
        <v>98</v>
      </c>
      <c r="AD11" s="1" t="s">
        <v>166</v>
      </c>
      <c r="AE11" s="1"/>
      <c r="AF11" s="1" t="s">
        <v>167</v>
      </c>
      <c r="AG11" s="1"/>
      <c r="AH11" s="1" t="s">
        <v>168</v>
      </c>
      <c r="AI11" s="1"/>
      <c r="AJ11" s="1" t="s">
        <v>169</v>
      </c>
      <c r="AK11" s="1"/>
      <c r="AL11" s="1" t="s">
        <v>98</v>
      </c>
      <c r="AM11" s="1"/>
    </row>
    <row r="12" spans="1:40" ht="12" x14ac:dyDescent="0.15">
      <c r="B12" s="1"/>
      <c r="C12" s="1"/>
      <c r="D12" s="167"/>
      <c r="E12" s="8"/>
      <c r="F12" s="1"/>
      <c r="G12" s="8"/>
      <c r="H12" s="1"/>
      <c r="I12" s="1"/>
      <c r="J12" s="8"/>
      <c r="K12" s="1"/>
      <c r="L12" s="8"/>
      <c r="M12" s="1"/>
      <c r="N12" s="8"/>
      <c r="O12" s="1"/>
      <c r="S12" s="172" t="s">
        <v>174</v>
      </c>
      <c r="T12" s="172"/>
      <c r="U12" s="172" t="s">
        <v>174</v>
      </c>
      <c r="V12" s="172"/>
      <c r="W12" s="172" t="s">
        <v>174</v>
      </c>
      <c r="X12" s="172"/>
      <c r="Y12" s="172" t="s">
        <v>174</v>
      </c>
      <c r="Z12" s="172"/>
      <c r="AA12" s="172" t="s">
        <v>175</v>
      </c>
      <c r="AD12" s="172" t="s">
        <v>174</v>
      </c>
      <c r="AE12" s="172"/>
      <c r="AF12" s="172" t="s">
        <v>174</v>
      </c>
      <c r="AG12" s="172"/>
      <c r="AH12" s="172" t="s">
        <v>174</v>
      </c>
      <c r="AI12" s="172"/>
      <c r="AJ12" s="172" t="s">
        <v>174</v>
      </c>
      <c r="AK12" s="172"/>
      <c r="AL12" s="172" t="s">
        <v>175</v>
      </c>
      <c r="AM12" s="1"/>
    </row>
    <row r="13" spans="1:40" ht="12" x14ac:dyDescent="0.15">
      <c r="B13" s="1">
        <v>2024</v>
      </c>
      <c r="C13" s="1"/>
      <c r="D13" s="167">
        <v>2023</v>
      </c>
      <c r="E13" s="8"/>
      <c r="F13" s="93">
        <f>AD96</f>
        <v>4664462438</v>
      </c>
      <c r="G13" s="8"/>
      <c r="H13" s="93">
        <f>AF96</f>
        <v>2345387513</v>
      </c>
      <c r="I13" s="93">
        <f>AH96*-1</f>
        <v>-386038551</v>
      </c>
      <c r="J13" s="8"/>
      <c r="K13" s="93">
        <f>AJ96</f>
        <v>222037649</v>
      </c>
      <c r="L13" s="8"/>
      <c r="M13" s="93">
        <f>AL96</f>
        <v>7617926151</v>
      </c>
      <c r="N13" s="8"/>
      <c r="O13" s="168">
        <v>0.48720000000000002</v>
      </c>
      <c r="S13" s="1"/>
      <c r="T13" s="1"/>
      <c r="U13" s="1"/>
      <c r="V13" s="1"/>
      <c r="W13" s="1"/>
      <c r="X13" s="1"/>
      <c r="Y13" s="1"/>
      <c r="Z13" s="1"/>
      <c r="AA13" s="1"/>
      <c r="AD13" s="1"/>
      <c r="AE13" s="1"/>
      <c r="AF13" s="1"/>
      <c r="AG13" s="1"/>
      <c r="AH13" s="1"/>
      <c r="AI13" s="1"/>
      <c r="AJ13" s="1"/>
      <c r="AK13" s="1"/>
      <c r="AL13" s="1"/>
      <c r="AM13" s="1"/>
    </row>
    <row r="14" spans="1:40" ht="12" x14ac:dyDescent="0.15">
      <c r="B14" s="1">
        <v>2023</v>
      </c>
      <c r="C14" s="1"/>
      <c r="D14" s="167">
        <v>2022</v>
      </c>
      <c r="E14" s="8"/>
      <c r="F14" s="52">
        <f>AD88</f>
        <v>4734929478</v>
      </c>
      <c r="G14" s="8"/>
      <c r="H14" s="3">
        <f>AF88</f>
        <v>2047253554</v>
      </c>
      <c r="I14" s="52">
        <f>AH88</f>
        <v>-784132143</v>
      </c>
      <c r="J14" s="8"/>
      <c r="K14" s="52">
        <f>AJ88</f>
        <v>742293503</v>
      </c>
      <c r="L14" s="8"/>
      <c r="M14" s="52">
        <f>AL88</f>
        <v>6740344392</v>
      </c>
      <c r="N14" s="8"/>
      <c r="O14" s="16">
        <v>0.495</v>
      </c>
      <c r="P14" s="163"/>
      <c r="S14" s="1"/>
      <c r="T14" s="1"/>
      <c r="U14" s="1"/>
      <c r="V14" s="1"/>
      <c r="W14" s="1"/>
      <c r="X14" s="1"/>
      <c r="Y14" s="1"/>
      <c r="Z14" s="1"/>
      <c r="AA14" s="1"/>
      <c r="AD14" s="1"/>
      <c r="AE14" s="1"/>
      <c r="AF14" s="1"/>
      <c r="AG14" s="1"/>
      <c r="AH14" s="1"/>
      <c r="AI14" s="1"/>
      <c r="AJ14" s="1"/>
      <c r="AK14" s="1"/>
      <c r="AL14" s="1"/>
      <c r="AM14" s="1"/>
    </row>
    <row r="15" spans="1:40" ht="12" x14ac:dyDescent="0.15">
      <c r="B15" s="1">
        <v>2022</v>
      </c>
      <c r="C15" s="1"/>
      <c r="D15" s="1">
        <v>2021</v>
      </c>
      <c r="E15" s="8"/>
      <c r="F15" s="3">
        <v>3618134708</v>
      </c>
      <c r="G15" s="8"/>
      <c r="H15" s="3">
        <v>1317486482</v>
      </c>
      <c r="I15" s="3">
        <v>-961929765</v>
      </c>
      <c r="K15" s="3">
        <v>232196469</v>
      </c>
      <c r="M15" s="3">
        <f>F15+H15+I15+K15</f>
        <v>4205887894</v>
      </c>
      <c r="O15" s="16">
        <v>0.5121</v>
      </c>
      <c r="S15" s="15"/>
      <c r="T15" s="15"/>
      <c r="U15" s="15"/>
      <c r="V15" s="15"/>
      <c r="W15" s="15"/>
      <c r="X15" s="15"/>
      <c r="Y15" s="15"/>
      <c r="Z15" s="15"/>
      <c r="AA15" s="15"/>
      <c r="AD15" s="15"/>
      <c r="AE15" s="15"/>
      <c r="AF15" s="15"/>
      <c r="AG15" s="15"/>
      <c r="AH15" s="15"/>
      <c r="AI15" s="15"/>
      <c r="AJ15" s="15"/>
      <c r="AK15" s="15"/>
      <c r="AL15" s="15"/>
      <c r="AM15" s="15"/>
      <c r="AN15" s="15"/>
    </row>
    <row r="16" spans="1:40" ht="12" x14ac:dyDescent="0.15">
      <c r="B16" s="1">
        <v>2021</v>
      </c>
      <c r="C16" s="1"/>
      <c r="D16" s="1">
        <v>2020</v>
      </c>
      <c r="E16" s="1"/>
      <c r="F16" s="3">
        <v>3060963760</v>
      </c>
      <c r="H16" s="3">
        <v>1505592717</v>
      </c>
      <c r="I16" s="3">
        <v>-716028336</v>
      </c>
      <c r="K16" s="3">
        <v>276109231</v>
      </c>
      <c r="M16" s="3">
        <f>F16+H16+I16+K16</f>
        <v>4126637372</v>
      </c>
      <c r="O16" s="16">
        <v>0.5121</v>
      </c>
      <c r="R16" s="2" t="s">
        <v>177</v>
      </c>
      <c r="S16" s="15">
        <f>116135568+1117952496</f>
        <v>1234088064</v>
      </c>
      <c r="T16" s="15"/>
      <c r="U16" s="15">
        <f>188054237+536531032+168345310</f>
        <v>892930579</v>
      </c>
      <c r="V16" s="15"/>
      <c r="W16" s="15">
        <f>AA16-S16-U16-Y16</f>
        <v>-160834118</v>
      </c>
      <c r="X16" s="15"/>
      <c r="Y16" s="15">
        <v>39004817</v>
      </c>
      <c r="Z16" s="15"/>
      <c r="AA16" s="15">
        <v>2005189342</v>
      </c>
      <c r="AC16" s="2" t="s">
        <v>177</v>
      </c>
      <c r="AD16" s="15">
        <f>130610010+1147564056</f>
        <v>1278174066</v>
      </c>
      <c r="AE16" s="15"/>
      <c r="AF16" s="15">
        <f>183206281+589856856+188613407</f>
        <v>961676544</v>
      </c>
      <c r="AG16" s="15"/>
      <c r="AH16" s="15">
        <f>AL16-AD16-AF16-AJ16</f>
        <v>-209373502</v>
      </c>
      <c r="AI16" s="15"/>
      <c r="AJ16" s="15">
        <v>37335950</v>
      </c>
      <c r="AK16" s="15"/>
      <c r="AL16" s="15">
        <v>2067813058</v>
      </c>
      <c r="AM16" s="15"/>
      <c r="AN16" s="15">
        <f>AL16-SUM(AD16:AK16)</f>
        <v>0</v>
      </c>
    </row>
    <row r="17" spans="2:40" ht="12" x14ac:dyDescent="0.15">
      <c r="B17" s="1">
        <v>2020</v>
      </c>
      <c r="C17" s="1"/>
      <c r="D17" s="1">
        <v>2019</v>
      </c>
      <c r="E17" s="1"/>
      <c r="F17" s="3">
        <v>3004686341</v>
      </c>
      <c r="H17" s="3">
        <v>1613615732</v>
      </c>
      <c r="I17" s="3">
        <v>-716028336</v>
      </c>
      <c r="K17" s="3">
        <v>250185870</v>
      </c>
      <c r="M17" s="3">
        <f t="shared" ref="M17:M24" si="0">F17+H17+I17+K17</f>
        <v>4152459607</v>
      </c>
      <c r="O17" s="16">
        <v>0.51459999999999995</v>
      </c>
      <c r="R17" s="2" t="s">
        <v>75</v>
      </c>
      <c r="S17" s="15">
        <f>6074570+26783591</f>
        <v>32858161</v>
      </c>
      <c r="T17" s="15"/>
      <c r="U17" s="15">
        <f>74862621+105501299+122695136</f>
        <v>303059056</v>
      </c>
      <c r="V17" s="15"/>
      <c r="W17" s="15">
        <f>AA17-S17-U17-Y17</f>
        <v>-65740808</v>
      </c>
      <c r="X17" s="15"/>
      <c r="Y17" s="15">
        <v>42868700</v>
      </c>
      <c r="Z17" s="15"/>
      <c r="AA17" s="15">
        <v>313045109</v>
      </c>
      <c r="AC17" s="2" t="s">
        <v>75</v>
      </c>
      <c r="AD17" s="15">
        <f>7374840+33472181</f>
        <v>40847021</v>
      </c>
      <c r="AE17" s="15"/>
      <c r="AF17" s="15">
        <f>80193586+181154599+269153110</f>
        <v>530501295</v>
      </c>
      <c r="AG17" s="15"/>
      <c r="AH17" s="15">
        <f>AL17-AD17-AF17-AJ17</f>
        <v>-80650703</v>
      </c>
      <c r="AI17" s="15"/>
      <c r="AJ17" s="15">
        <v>46512710</v>
      </c>
      <c r="AK17" s="15"/>
      <c r="AL17" s="15">
        <v>537210323</v>
      </c>
      <c r="AM17" s="15"/>
      <c r="AN17" s="15">
        <f>AL17-SUM(AD17:AK17)</f>
        <v>0</v>
      </c>
    </row>
    <row r="18" spans="2:40" ht="12" x14ac:dyDescent="0.15">
      <c r="B18" s="1">
        <v>2019</v>
      </c>
      <c r="C18" s="1"/>
      <c r="D18" s="1">
        <v>2018</v>
      </c>
      <c r="F18" s="3">
        <v>2860333982</v>
      </c>
      <c r="H18" s="3">
        <v>1401636211</v>
      </c>
      <c r="I18" s="3">
        <v>-621773006</v>
      </c>
      <c r="J18" s="15"/>
      <c r="K18" s="3">
        <v>260571835</v>
      </c>
      <c r="L18" s="15"/>
      <c r="M18" s="3">
        <f t="shared" si="0"/>
        <v>3900769022</v>
      </c>
      <c r="O18" s="16">
        <v>0.51459999999999995</v>
      </c>
      <c r="R18" s="2" t="s">
        <v>82</v>
      </c>
      <c r="S18" s="15">
        <f>17678093+52599072</f>
        <v>70277165</v>
      </c>
      <c r="T18" s="15"/>
      <c r="U18" s="15">
        <f>28520005+7507078+1670321</f>
        <v>37697404</v>
      </c>
      <c r="V18" s="15"/>
      <c r="W18" s="15">
        <f>AA18-S18-U18-Y18</f>
        <v>-36016970</v>
      </c>
      <c r="X18" s="15"/>
      <c r="Y18" s="15">
        <v>21078573</v>
      </c>
      <c r="Z18" s="15"/>
      <c r="AA18" s="15">
        <v>93036172</v>
      </c>
      <c r="AC18" s="2" t="s">
        <v>82</v>
      </c>
      <c r="AD18" s="15">
        <f>25184285+101526137</f>
        <v>126710422</v>
      </c>
      <c r="AE18" s="15"/>
      <c r="AF18" s="15">
        <f>32491518+11993987+3901851</f>
        <v>48387356</v>
      </c>
      <c r="AG18" s="15"/>
      <c r="AH18" s="15">
        <f>AL18-AD18-AF18-AJ18</f>
        <v>-50723445</v>
      </c>
      <c r="AI18" s="15"/>
      <c r="AJ18" s="15">
        <v>23164860</v>
      </c>
      <c r="AK18" s="15"/>
      <c r="AL18" s="15">
        <v>147539193</v>
      </c>
      <c r="AM18" s="15"/>
      <c r="AN18" s="15">
        <f>AL18-SUM(AD18:AK18)</f>
        <v>0</v>
      </c>
    </row>
    <row r="19" spans="2:40" ht="12" x14ac:dyDescent="0.15">
      <c r="B19" s="1">
        <v>2018</v>
      </c>
      <c r="C19" s="1"/>
      <c r="D19" s="1">
        <v>2017</v>
      </c>
      <c r="E19" s="1"/>
      <c r="F19" s="3">
        <v>2049067806</v>
      </c>
      <c r="H19" s="3">
        <v>2344365139</v>
      </c>
      <c r="I19" s="62">
        <v>-757265921</v>
      </c>
      <c r="J19" s="15"/>
      <c r="K19" s="62">
        <v>146860809</v>
      </c>
      <c r="L19" s="15"/>
      <c r="M19" s="3">
        <f t="shared" si="0"/>
        <v>3783027833</v>
      </c>
      <c r="N19" s="15"/>
      <c r="O19" s="16">
        <v>0.49109999999999998</v>
      </c>
      <c r="S19" s="15">
        <f>SUM(S16:S18)</f>
        <v>1337223390</v>
      </c>
      <c r="T19" s="15"/>
      <c r="U19" s="15">
        <f>SUM(U16:U18)</f>
        <v>1233687039</v>
      </c>
      <c r="V19" s="15"/>
      <c r="W19" s="15">
        <f>SUM(W16:W18)</f>
        <v>-262591896</v>
      </c>
      <c r="X19" s="15"/>
      <c r="Y19" s="15">
        <f>SUM(Y16:Y18)</f>
        <v>102952090</v>
      </c>
      <c r="Z19" s="15"/>
      <c r="AA19" s="15">
        <f>SUM(AA16:AA18)</f>
        <v>2411270623</v>
      </c>
      <c r="AD19" s="15">
        <f>SUM(AD16:AD18)</f>
        <v>1445731509</v>
      </c>
      <c r="AE19" s="15"/>
      <c r="AF19" s="15">
        <f>SUM(AF16:AF18)</f>
        <v>1540565195</v>
      </c>
      <c r="AG19" s="15"/>
      <c r="AH19" s="15">
        <f>SUM(AH16:AH18)</f>
        <v>-340747650</v>
      </c>
      <c r="AI19" s="15"/>
      <c r="AJ19" s="15">
        <f>SUM(AJ16:AJ18)</f>
        <v>107013520</v>
      </c>
      <c r="AK19" s="15"/>
      <c r="AL19" s="15">
        <f>SUM(AL16:AL18)</f>
        <v>2752562574</v>
      </c>
      <c r="AM19" s="15"/>
      <c r="AN19" s="15">
        <f>AL19-SUM(AD19:AK19)</f>
        <v>0</v>
      </c>
    </row>
    <row r="20" spans="2:40" ht="12" x14ac:dyDescent="0.15">
      <c r="B20" s="1">
        <v>2017</v>
      </c>
      <c r="C20" s="1"/>
      <c r="D20" s="1">
        <v>2016</v>
      </c>
      <c r="E20" s="1"/>
      <c r="F20" s="3">
        <v>1895085016</v>
      </c>
      <c r="G20" s="3"/>
      <c r="H20" s="3">
        <v>2269590522</v>
      </c>
      <c r="I20" s="62">
        <v>-649173041</v>
      </c>
      <c r="J20" s="17"/>
      <c r="K20" s="62">
        <v>132002406</v>
      </c>
      <c r="L20" s="17"/>
      <c r="M20" s="3">
        <f t="shared" si="0"/>
        <v>3647504903</v>
      </c>
      <c r="O20" s="16">
        <v>0.49109999999999998</v>
      </c>
    </row>
    <row r="21" spans="2:40" ht="12" x14ac:dyDescent="0.15">
      <c r="B21" s="1">
        <v>2016</v>
      </c>
      <c r="C21" s="1"/>
      <c r="D21" s="1">
        <v>2015</v>
      </c>
      <c r="E21" s="1"/>
      <c r="F21" s="3">
        <v>1702601947</v>
      </c>
      <c r="G21" s="3">
        <v>0</v>
      </c>
      <c r="H21" s="3">
        <v>2087223204</v>
      </c>
      <c r="I21" s="3">
        <v>-544328535</v>
      </c>
      <c r="J21" s="17"/>
      <c r="K21" s="3">
        <v>130353515</v>
      </c>
      <c r="L21" s="17"/>
      <c r="M21" s="3">
        <f t="shared" si="0"/>
        <v>3375850131</v>
      </c>
      <c r="O21" s="16">
        <v>0.49740000000000001</v>
      </c>
      <c r="R21" s="2" t="s">
        <v>178</v>
      </c>
      <c r="AC21" s="2" t="s">
        <v>179</v>
      </c>
    </row>
    <row r="22" spans="2:40" ht="12" x14ac:dyDescent="0.15">
      <c r="B22" s="1">
        <v>2015</v>
      </c>
      <c r="C22" s="1"/>
      <c r="D22" s="1">
        <v>2014</v>
      </c>
      <c r="E22" s="1"/>
      <c r="F22" s="3">
        <v>1568651309</v>
      </c>
      <c r="G22" s="3"/>
      <c r="H22" s="3">
        <v>1793803709</v>
      </c>
      <c r="I22" s="3">
        <v>-460271461</v>
      </c>
      <c r="J22" s="3"/>
      <c r="K22" s="3">
        <v>135084054</v>
      </c>
      <c r="L22" s="3"/>
      <c r="M22" s="3">
        <f t="shared" si="0"/>
        <v>3037267611</v>
      </c>
      <c r="O22" s="16">
        <v>0.49740000000000001</v>
      </c>
      <c r="S22" s="1" t="s">
        <v>166</v>
      </c>
      <c r="T22" s="1"/>
      <c r="U22" s="1" t="s">
        <v>167</v>
      </c>
      <c r="V22" s="1"/>
      <c r="W22" s="1" t="s">
        <v>168</v>
      </c>
      <c r="X22" s="1"/>
      <c r="Y22" s="1" t="s">
        <v>169</v>
      </c>
      <c r="Z22" s="1"/>
      <c r="AA22" s="1" t="s">
        <v>98</v>
      </c>
      <c r="AD22" s="1" t="s">
        <v>166</v>
      </c>
      <c r="AE22" s="1"/>
      <c r="AF22" s="1" t="s">
        <v>167</v>
      </c>
      <c r="AG22" s="1"/>
      <c r="AH22" s="1" t="s">
        <v>168</v>
      </c>
      <c r="AI22" s="1"/>
      <c r="AJ22" s="1" t="s">
        <v>169</v>
      </c>
      <c r="AK22" s="1"/>
      <c r="AL22" s="1" t="s">
        <v>98</v>
      </c>
      <c r="AM22" s="1"/>
    </row>
    <row r="23" spans="2:40" ht="12" x14ac:dyDescent="0.15">
      <c r="B23" s="1">
        <v>2014</v>
      </c>
      <c r="C23" s="1"/>
      <c r="D23" s="1">
        <v>2013</v>
      </c>
      <c r="E23" s="1"/>
      <c r="F23" s="3">
        <v>1445731509</v>
      </c>
      <c r="G23" s="3"/>
      <c r="H23" s="3">
        <v>1540565195</v>
      </c>
      <c r="I23" s="3">
        <v>-340747650</v>
      </c>
      <c r="J23" s="3"/>
      <c r="K23" s="3">
        <v>107013520</v>
      </c>
      <c r="L23" s="3"/>
      <c r="M23" s="3">
        <f t="shared" si="0"/>
        <v>2752562574</v>
      </c>
      <c r="O23" s="16">
        <v>0.49990000000000001</v>
      </c>
      <c r="S23" s="172" t="s">
        <v>174</v>
      </c>
      <c r="T23" s="172"/>
      <c r="U23" s="172" t="s">
        <v>174</v>
      </c>
      <c r="V23" s="172"/>
      <c r="W23" s="172" t="s">
        <v>174</v>
      </c>
      <c r="X23" s="172"/>
      <c r="Y23" s="172" t="s">
        <v>174</v>
      </c>
      <c r="Z23" s="172"/>
      <c r="AA23" s="172" t="s">
        <v>175</v>
      </c>
      <c r="AD23" s="172" t="s">
        <v>174</v>
      </c>
      <c r="AE23" s="172"/>
      <c r="AF23" s="172" t="s">
        <v>174</v>
      </c>
      <c r="AG23" s="172"/>
      <c r="AH23" s="172" t="s">
        <v>174</v>
      </c>
      <c r="AI23" s="172"/>
      <c r="AJ23" s="172" t="s">
        <v>174</v>
      </c>
      <c r="AK23" s="172"/>
      <c r="AL23" s="172" t="s">
        <v>175</v>
      </c>
      <c r="AM23" s="1"/>
    </row>
    <row r="24" spans="2:40" ht="12" x14ac:dyDescent="0.15">
      <c r="B24" s="1">
        <v>2013</v>
      </c>
      <c r="C24" s="1"/>
      <c r="D24" s="1">
        <v>2012</v>
      </c>
      <c r="E24" s="1"/>
      <c r="F24" s="3">
        <v>1383423359</v>
      </c>
      <c r="G24" s="3"/>
      <c r="H24" s="3">
        <v>1396349905</v>
      </c>
      <c r="I24" s="3">
        <v>-285245142</v>
      </c>
      <c r="J24" s="3"/>
      <c r="K24" s="3">
        <v>105837429</v>
      </c>
      <c r="L24" s="3"/>
      <c r="M24" s="3">
        <f t="shared" si="0"/>
        <v>2600365551</v>
      </c>
      <c r="O24" s="16">
        <v>0.48430000000000001</v>
      </c>
      <c r="R24" s="2" t="s">
        <v>177</v>
      </c>
      <c r="S24" s="15">
        <f>112216195+1086572752</f>
        <v>1198788947</v>
      </c>
      <c r="T24" s="15"/>
      <c r="U24" s="15">
        <f>193120280+551045971+175540268</f>
        <v>919706519</v>
      </c>
      <c r="V24" s="15"/>
      <c r="W24" s="15">
        <f>AA24-S24-U24-Y24</f>
        <v>-164497836</v>
      </c>
      <c r="X24" s="15"/>
      <c r="Y24" s="15">
        <v>44631157</v>
      </c>
      <c r="Z24" s="15"/>
      <c r="AA24" s="15">
        <v>1998628787</v>
      </c>
      <c r="AC24" s="2" t="s">
        <v>177</v>
      </c>
      <c r="AD24" s="15">
        <f>145234340+1209244567</f>
        <v>1354478907</v>
      </c>
      <c r="AE24" s="15"/>
      <c r="AF24" s="15">
        <f>199187669+676971846+226949860</f>
        <v>1103109375</v>
      </c>
      <c r="AG24" s="15"/>
      <c r="AH24" s="15">
        <f>AL24-AD24-AF24-AJ24</f>
        <v>-267401494</v>
      </c>
      <c r="AI24" s="15"/>
      <c r="AJ24" s="15">
        <v>40769836</v>
      </c>
      <c r="AK24" s="15"/>
      <c r="AL24" s="15">
        <v>2230956624</v>
      </c>
      <c r="AM24" s="15"/>
      <c r="AN24" s="15">
        <f>AL24-SUM(AD24:AK24)</f>
        <v>0</v>
      </c>
    </row>
    <row r="25" spans="2:40" ht="12" x14ac:dyDescent="0.15">
      <c r="B25" s="1"/>
      <c r="C25" s="1"/>
      <c r="D25" s="1"/>
      <c r="E25" s="1"/>
      <c r="F25" s="3"/>
      <c r="G25" s="3"/>
      <c r="H25" s="3"/>
      <c r="I25" s="3"/>
      <c r="J25" s="3"/>
      <c r="K25" s="3"/>
      <c r="L25" s="3"/>
      <c r="M25" s="3"/>
      <c r="O25" s="16"/>
      <c r="R25" s="2" t="s">
        <v>75</v>
      </c>
      <c r="S25" s="15">
        <f>4921250+24086210</f>
        <v>29007460</v>
      </c>
      <c r="T25" s="15"/>
      <c r="U25" s="15">
        <f>66378691+112773561+124986600</f>
        <v>304138852</v>
      </c>
      <c r="V25" s="15"/>
      <c r="W25" s="15">
        <f>AA25-S25-U25-Y25</f>
        <v>-82025233</v>
      </c>
      <c r="X25" s="15"/>
      <c r="Y25" s="15">
        <v>50064050</v>
      </c>
      <c r="Z25" s="15"/>
      <c r="AA25" s="15">
        <v>301185129</v>
      </c>
      <c r="AC25" s="2" t="s">
        <v>75</v>
      </c>
      <c r="AD25" s="15">
        <f>7263020+41716098</f>
        <v>48979118</v>
      </c>
      <c r="AE25" s="15"/>
      <c r="AF25" s="15">
        <f>108640573+179695328+353550967</f>
        <v>641886868</v>
      </c>
      <c r="AG25" s="15"/>
      <c r="AH25" s="15">
        <f>AL25-AD25-AF25-AJ25</f>
        <v>-123240582</v>
      </c>
      <c r="AI25" s="15"/>
      <c r="AJ25" s="15">
        <v>71550262</v>
      </c>
      <c r="AK25" s="15"/>
      <c r="AL25" s="15">
        <v>639175666</v>
      </c>
      <c r="AM25" s="15"/>
      <c r="AN25" s="15">
        <f>AL25-SUM(AD25:AK25)</f>
        <v>0</v>
      </c>
    </row>
    <row r="26" spans="2:40" ht="12" x14ac:dyDescent="0.15">
      <c r="D26" s="1"/>
      <c r="E26" s="1"/>
      <c r="F26" s="3"/>
      <c r="G26" s="3">
        <v>1276925393</v>
      </c>
      <c r="H26" s="3"/>
      <c r="O26" s="16"/>
      <c r="R26" s="2" t="s">
        <v>82</v>
      </c>
      <c r="S26" s="15">
        <f>11698414+33475435</f>
        <v>45173849</v>
      </c>
      <c r="T26" s="15"/>
      <c r="U26" s="15">
        <f>23740104+4269761+1745493</f>
        <v>29755358</v>
      </c>
      <c r="V26" s="15"/>
      <c r="W26" s="15">
        <f>AA26-S26-U26-Y26</f>
        <v>-33491994</v>
      </c>
      <c r="X26" s="15"/>
      <c r="Y26" s="15">
        <v>22642579</v>
      </c>
      <c r="Z26" s="15"/>
      <c r="AA26" s="15">
        <v>64079792</v>
      </c>
      <c r="AC26" s="2" t="s">
        <v>82</v>
      </c>
      <c r="AD26" s="15">
        <f>30089695+135103589</f>
        <v>165193284</v>
      </c>
      <c r="AE26" s="15"/>
      <c r="AF26" s="15">
        <f>32417342+12277533+4112591</f>
        <v>48807466</v>
      </c>
      <c r="AG26" s="15"/>
      <c r="AH26" s="15">
        <f>AL26-AD26-AF26-AJ26</f>
        <v>-69629385</v>
      </c>
      <c r="AI26" s="15"/>
      <c r="AJ26" s="15">
        <v>22763956</v>
      </c>
      <c r="AK26" s="15"/>
      <c r="AL26" s="15">
        <v>167135321</v>
      </c>
      <c r="AM26" s="15"/>
      <c r="AN26" s="15">
        <f>AL26-SUM(AD26:AK26)</f>
        <v>0</v>
      </c>
    </row>
    <row r="27" spans="2:40" ht="12" x14ac:dyDescent="0.15">
      <c r="B27" s="2" t="s">
        <v>180</v>
      </c>
      <c r="S27" s="15">
        <f>SUM(S24:S26)</f>
        <v>1272970256</v>
      </c>
      <c r="T27" s="15"/>
      <c r="U27" s="15">
        <f>SUM(U24:U26)</f>
        <v>1253600729</v>
      </c>
      <c r="V27" s="15"/>
      <c r="W27" s="15">
        <f>SUM(W24:W26)</f>
        <v>-280015063</v>
      </c>
      <c r="X27" s="15"/>
      <c r="Y27" s="15">
        <f>SUM(Y24:Y26)</f>
        <v>117337786</v>
      </c>
      <c r="Z27" s="15"/>
      <c r="AA27" s="15">
        <f>SUM(AA24:AA26)</f>
        <v>2363893708</v>
      </c>
      <c r="AD27" s="15">
        <f>SUM(AD24:AD26)</f>
        <v>1568651309</v>
      </c>
      <c r="AE27" s="15"/>
      <c r="AF27" s="15">
        <f>SUM(AF24:AF26)</f>
        <v>1793803709</v>
      </c>
      <c r="AG27" s="15"/>
      <c r="AH27" s="15">
        <f>SUM(AH24:AH26)</f>
        <v>-460271461</v>
      </c>
      <c r="AI27" s="15"/>
      <c r="AJ27" s="15">
        <f>SUM(AJ24:AJ26)</f>
        <v>135084054</v>
      </c>
      <c r="AK27" s="15"/>
      <c r="AL27" s="15">
        <f>SUM(AL24:AL26)</f>
        <v>3037267611</v>
      </c>
      <c r="AM27" s="15"/>
      <c r="AN27" s="15">
        <f>AL27-SUM(AD27:AK27)</f>
        <v>0</v>
      </c>
    </row>
    <row r="28" spans="2:40" ht="12" x14ac:dyDescent="0.15"/>
    <row r="29" spans="2:40" ht="12" x14ac:dyDescent="0.15">
      <c r="B29" s="2" t="s">
        <v>181</v>
      </c>
      <c r="R29" s="2" t="s">
        <v>182</v>
      </c>
      <c r="AC29" s="2" t="s">
        <v>183</v>
      </c>
    </row>
    <row r="30" spans="2:40" ht="12" x14ac:dyDescent="0.15">
      <c r="R30" s="2" t="s">
        <v>177</v>
      </c>
      <c r="S30" s="15">
        <f>107496843+1060461596</f>
        <v>1167958439</v>
      </c>
      <c r="T30" s="15"/>
      <c r="U30" s="15">
        <f>187944910+536220714+174302549</f>
        <v>898468173</v>
      </c>
      <c r="V30" s="15"/>
      <c r="W30" s="15">
        <f>AA30-S30-U30-Y30</f>
        <v>-131126359</v>
      </c>
      <c r="X30" s="15"/>
      <c r="Y30" s="15">
        <v>42630418</v>
      </c>
      <c r="Z30" s="15"/>
      <c r="AA30" s="15">
        <v>1977930671</v>
      </c>
      <c r="AD30" s="1" t="s">
        <v>166</v>
      </c>
      <c r="AE30" s="1"/>
      <c r="AF30" s="1" t="s">
        <v>167</v>
      </c>
      <c r="AG30" s="1"/>
      <c r="AH30" s="1" t="s">
        <v>168</v>
      </c>
      <c r="AI30" s="1"/>
      <c r="AJ30" s="1" t="s">
        <v>169</v>
      </c>
      <c r="AK30" s="1"/>
      <c r="AL30" s="1" t="s">
        <v>98</v>
      </c>
      <c r="AM30" s="1"/>
    </row>
    <row r="31" spans="2:40" ht="14" customHeight="1" x14ac:dyDescent="0.15">
      <c r="R31" s="2" t="s">
        <v>75</v>
      </c>
      <c r="S31" s="15">
        <f>4746720+23227750</f>
        <v>27974470</v>
      </c>
      <c r="T31" s="15"/>
      <c r="U31" s="15">
        <f>68591093+117390628+123564840</f>
        <v>309546561</v>
      </c>
      <c r="V31" s="15"/>
      <c r="W31" s="15">
        <f>AA31-S31-U31-Y31</f>
        <v>-82039838</v>
      </c>
      <c r="X31" s="15"/>
      <c r="Y31" s="15">
        <v>51635750</v>
      </c>
      <c r="Z31" s="15"/>
      <c r="AA31" s="15">
        <v>307116943</v>
      </c>
      <c r="AD31" s="172" t="s">
        <v>174</v>
      </c>
      <c r="AE31" s="172"/>
      <c r="AF31" s="172" t="s">
        <v>174</v>
      </c>
      <c r="AG31" s="172"/>
      <c r="AH31" s="172" t="s">
        <v>174</v>
      </c>
      <c r="AI31" s="172"/>
      <c r="AJ31" s="172" t="s">
        <v>174</v>
      </c>
      <c r="AK31" s="172"/>
      <c r="AL31" s="172" t="s">
        <v>175</v>
      </c>
      <c r="AM31" s="1"/>
    </row>
    <row r="32" spans="2:40" ht="14" customHeight="1" x14ac:dyDescent="0.15">
      <c r="R32" s="2" t="s">
        <v>82</v>
      </c>
      <c r="S32" s="15">
        <f>11790735+27226795</f>
        <v>39017530</v>
      </c>
      <c r="T32" s="15"/>
      <c r="U32" s="15">
        <f>22768547+4526922+1974675</f>
        <v>29270144</v>
      </c>
      <c r="V32" s="15"/>
      <c r="W32" s="15">
        <f>AA32-S32-U32-Y32</f>
        <v>-38051071</v>
      </c>
      <c r="X32" s="15"/>
      <c r="Y32" s="15">
        <v>27071273</v>
      </c>
      <c r="Z32" s="15"/>
      <c r="AA32" s="15">
        <v>57307876</v>
      </c>
      <c r="AC32" s="2" t="s">
        <v>177</v>
      </c>
      <c r="AD32" s="15">
        <f>164750611+1266228720</f>
        <v>1430979331</v>
      </c>
      <c r="AE32" s="15"/>
      <c r="AF32" s="15">
        <f>198934471+726730743+365045329</f>
        <v>1290710543</v>
      </c>
      <c r="AG32" s="15"/>
      <c r="AH32" s="15">
        <f>AL32-AD32-AF32-AJ32</f>
        <v>-337654740</v>
      </c>
      <c r="AI32" s="15"/>
      <c r="AJ32" s="15">
        <v>36210160</v>
      </c>
      <c r="AK32" s="15"/>
      <c r="AL32" s="15">
        <v>2420245294</v>
      </c>
      <c r="AM32" s="15"/>
      <c r="AN32" s="15">
        <f>AL32-SUM(AD32:AK32)</f>
        <v>0</v>
      </c>
    </row>
    <row r="33" spans="18:40" ht="14" customHeight="1" x14ac:dyDescent="0.15">
      <c r="S33" s="15">
        <f>SUM(S30:S32)</f>
        <v>1234950439</v>
      </c>
      <c r="T33" s="15"/>
      <c r="U33" s="15">
        <f>SUM(U30:U32)</f>
        <v>1237284878</v>
      </c>
      <c r="V33" s="15"/>
      <c r="W33" s="15">
        <f>SUM(W30:W32)</f>
        <v>-251217268</v>
      </c>
      <c r="X33" s="15"/>
      <c r="Y33" s="15">
        <f>SUM(Y30:Y32)</f>
        <v>121337441</v>
      </c>
      <c r="Z33" s="15"/>
      <c r="AA33" s="15">
        <f>SUM(AA30:AA32)</f>
        <v>2342355490</v>
      </c>
      <c r="AC33" s="2" t="s">
        <v>75</v>
      </c>
      <c r="AD33" s="15">
        <f>7961480+48241271</f>
        <v>56202751</v>
      </c>
      <c r="AE33" s="15"/>
      <c r="AF33" s="15">
        <f>109845682+207778984+424384325</f>
        <v>742008991</v>
      </c>
      <c r="AG33" s="15"/>
      <c r="AH33" s="15">
        <f>AL33-AD33-AF33-AJ33</f>
        <v>-131524354</v>
      </c>
      <c r="AI33" s="15"/>
      <c r="AJ33" s="15">
        <v>64735534</v>
      </c>
      <c r="AK33" s="15"/>
      <c r="AL33" s="15">
        <v>731422922</v>
      </c>
      <c r="AM33" s="15"/>
      <c r="AN33" s="15">
        <f>AL33-SUM(AD33:AK33)</f>
        <v>0</v>
      </c>
    </row>
    <row r="34" spans="18:40" ht="14" customHeight="1" x14ac:dyDescent="0.15">
      <c r="AC34" s="2" t="s">
        <v>82</v>
      </c>
      <c r="AD34" s="15">
        <f>42368927+173050938</f>
        <v>215419865</v>
      </c>
      <c r="AE34" s="15"/>
      <c r="AF34" s="15">
        <f>35170203+14682970+4650497</f>
        <v>54503670</v>
      </c>
      <c r="AG34" s="15"/>
      <c r="AH34" s="15">
        <f>AL34-AD34-AF34-AJ34</f>
        <v>-75149441</v>
      </c>
      <c r="AI34" s="15"/>
      <c r="AJ34" s="15">
        <v>29407821</v>
      </c>
      <c r="AK34" s="15"/>
      <c r="AL34" s="15">
        <v>224181915</v>
      </c>
      <c r="AM34" s="15"/>
      <c r="AN34" s="15">
        <f>AL34-SUM(AD34:AK34)</f>
        <v>0</v>
      </c>
    </row>
    <row r="35" spans="18:40" ht="14" customHeight="1" x14ac:dyDescent="0.15">
      <c r="R35" s="2" t="s">
        <v>184</v>
      </c>
      <c r="AD35" s="15">
        <f>SUM(AD32:AD34)</f>
        <v>1702601947</v>
      </c>
      <c r="AE35" s="15"/>
      <c r="AF35" s="15">
        <f>SUM(AF32:AF34)</f>
        <v>2087223204</v>
      </c>
      <c r="AG35" s="15"/>
      <c r="AH35" s="15">
        <f>SUM(AH32:AH34)</f>
        <v>-544328535</v>
      </c>
      <c r="AI35" s="15"/>
      <c r="AJ35" s="15">
        <f>SUM(AJ32:AJ34)</f>
        <v>130353515</v>
      </c>
      <c r="AK35" s="15"/>
      <c r="AL35" s="15">
        <f>SUM(AL32:AL34)</f>
        <v>3375850131</v>
      </c>
      <c r="AM35" s="15"/>
      <c r="AN35" s="15">
        <f>AL35-SUM(AD35:AK35)</f>
        <v>0</v>
      </c>
    </row>
    <row r="36" spans="18:40" ht="14" customHeight="1" x14ac:dyDescent="0.15">
      <c r="S36" s="1" t="s">
        <v>166</v>
      </c>
      <c r="T36" s="1"/>
      <c r="U36" s="1" t="s">
        <v>167</v>
      </c>
      <c r="V36" s="1"/>
      <c r="W36" s="1" t="s">
        <v>168</v>
      </c>
      <c r="X36" s="1"/>
      <c r="Y36" s="1" t="s">
        <v>169</v>
      </c>
      <c r="Z36" s="1"/>
      <c r="AA36" s="1" t="s">
        <v>98</v>
      </c>
    </row>
    <row r="37" spans="18:40" ht="14" customHeight="1" x14ac:dyDescent="0.15">
      <c r="S37" s="172" t="s">
        <v>174</v>
      </c>
      <c r="T37" s="172"/>
      <c r="U37" s="172" t="s">
        <v>174</v>
      </c>
      <c r="V37" s="172"/>
      <c r="W37" s="172" t="s">
        <v>174</v>
      </c>
      <c r="X37" s="172"/>
      <c r="Y37" s="172" t="s">
        <v>174</v>
      </c>
      <c r="Z37" s="172"/>
      <c r="AA37" s="172" t="s">
        <v>175</v>
      </c>
      <c r="AC37" s="2" t="s">
        <v>185</v>
      </c>
    </row>
    <row r="38" spans="18:40" ht="14" customHeight="1" x14ac:dyDescent="0.15">
      <c r="R38" s="2" t="s">
        <v>177</v>
      </c>
      <c r="S38" s="15">
        <f>97219109+1013854434</f>
        <v>1111073543</v>
      </c>
      <c r="T38" s="15"/>
      <c r="U38" s="15">
        <f>183361564+538651499+172498327</f>
        <v>894511390</v>
      </c>
      <c r="V38" s="15"/>
      <c r="W38" s="15">
        <f>AA38-S38-U38-Y38</f>
        <v>-136349885</v>
      </c>
      <c r="X38" s="15"/>
      <c r="Y38" s="15">
        <v>50823659</v>
      </c>
      <c r="Z38" s="15"/>
      <c r="AA38" s="15">
        <v>1920058707</v>
      </c>
      <c r="AD38" s="1" t="s">
        <v>166</v>
      </c>
      <c r="AE38" s="1"/>
      <c r="AF38" s="1" t="s">
        <v>167</v>
      </c>
      <c r="AG38" s="1"/>
      <c r="AH38" s="1" t="s">
        <v>168</v>
      </c>
      <c r="AI38" s="1"/>
      <c r="AJ38" s="1" t="s">
        <v>169</v>
      </c>
      <c r="AK38" s="1"/>
      <c r="AL38" s="1" t="s">
        <v>98</v>
      </c>
      <c r="AM38" s="1"/>
    </row>
    <row r="39" spans="18:40" ht="14" customHeight="1" x14ac:dyDescent="0.15">
      <c r="R39" s="2" t="s">
        <v>75</v>
      </c>
      <c r="S39" s="15">
        <f>4245935+21249143</f>
        <v>25495078</v>
      </c>
      <c r="T39" s="15"/>
      <c r="U39" s="15">
        <f>46023686+124350997+101689180</f>
        <v>272063863</v>
      </c>
      <c r="V39" s="15"/>
      <c r="W39" s="15">
        <f>AA39-S39-U39-Y39</f>
        <v>-79072186</v>
      </c>
      <c r="X39" s="15"/>
      <c r="Y39" s="15">
        <v>43714568</v>
      </c>
      <c r="Z39" s="15"/>
      <c r="AA39" s="15">
        <v>262201323</v>
      </c>
      <c r="AD39" s="172" t="s">
        <v>174</v>
      </c>
      <c r="AE39" s="172"/>
      <c r="AF39" s="172" t="s">
        <v>174</v>
      </c>
      <c r="AG39" s="172"/>
      <c r="AH39" s="172" t="s">
        <v>174</v>
      </c>
      <c r="AI39" s="172"/>
      <c r="AJ39" s="172" t="s">
        <v>174</v>
      </c>
      <c r="AK39" s="172"/>
      <c r="AL39" s="172" t="s">
        <v>175</v>
      </c>
      <c r="AM39" s="1"/>
    </row>
    <row r="40" spans="18:40" ht="14" customHeight="1" x14ac:dyDescent="0.15">
      <c r="R40" s="2" t="s">
        <v>82</v>
      </c>
      <c r="S40" s="15">
        <f>10713021+22564227</f>
        <v>33277248</v>
      </c>
      <c r="T40" s="15"/>
      <c r="U40" s="15">
        <f>17692484+4905544+2214060</f>
        <v>24812088</v>
      </c>
      <c r="V40" s="15"/>
      <c r="W40" s="15">
        <f>AA40-S40-U40-Y40</f>
        <v>-33122511</v>
      </c>
      <c r="X40" s="15"/>
      <c r="Y40" s="15">
        <v>23598190</v>
      </c>
      <c r="Z40" s="15"/>
      <c r="AA40" s="15">
        <v>48565015</v>
      </c>
      <c r="AC40" s="2" t="s">
        <v>177</v>
      </c>
      <c r="AD40" s="15">
        <f>173076910+1370700758</f>
        <v>1543777668</v>
      </c>
      <c r="AE40" s="15"/>
      <c r="AF40" s="15">
        <f>348181505+778280040+225606648</f>
        <v>1352068193</v>
      </c>
      <c r="AG40" s="15"/>
      <c r="AH40" s="15">
        <f>AL40-AD40-AF40-AJ40</f>
        <v>-44125045</v>
      </c>
      <c r="AI40" s="15"/>
      <c r="AJ40" s="15">
        <v>33060370</v>
      </c>
      <c r="AK40" s="15"/>
      <c r="AL40" s="15">
        <v>2884781186</v>
      </c>
      <c r="AM40" s="15"/>
      <c r="AN40" s="15">
        <f>AL40-SUM(AD40:AK40)</f>
        <v>0</v>
      </c>
    </row>
    <row r="41" spans="18:40" ht="14" customHeight="1" x14ac:dyDescent="0.15">
      <c r="S41" s="15">
        <f>SUM(S38:S40)</f>
        <v>1169845869</v>
      </c>
      <c r="T41" s="15"/>
      <c r="U41" s="15">
        <f>SUM(U38:U40)</f>
        <v>1191387341</v>
      </c>
      <c r="V41" s="15"/>
      <c r="W41" s="15">
        <f>SUM(W38:W40)</f>
        <v>-248544582</v>
      </c>
      <c r="X41" s="15"/>
      <c r="Y41" s="15">
        <f>SUM(Y38:Y40)</f>
        <v>118136417</v>
      </c>
      <c r="Z41" s="15"/>
      <c r="AA41" s="15">
        <f>SUM(AA38:AA40)</f>
        <v>2230825045</v>
      </c>
      <c r="AC41" s="2" t="s">
        <v>75</v>
      </c>
      <c r="AD41" s="15">
        <f>8554160+57264982</f>
        <v>65819142</v>
      </c>
      <c r="AE41" s="15"/>
      <c r="AF41" s="15">
        <f>513309447+232476416+112985684</f>
        <v>858771547</v>
      </c>
      <c r="AG41" s="15"/>
      <c r="AH41" s="15">
        <f>AL41-AD41-AF41-AJ41</f>
        <v>-67170588</v>
      </c>
      <c r="AI41" s="15"/>
      <c r="AJ41" s="15">
        <v>66980133</v>
      </c>
      <c r="AK41" s="15"/>
      <c r="AL41" s="15">
        <v>924400234</v>
      </c>
      <c r="AM41" s="15"/>
      <c r="AN41" s="15">
        <f>AL41-SUM(AD41:AK41)</f>
        <v>0</v>
      </c>
    </row>
    <row r="42" spans="18:40" ht="14" customHeight="1" x14ac:dyDescent="0.15">
      <c r="AC42" s="2" t="s">
        <v>82</v>
      </c>
      <c r="AD42" s="15">
        <f>230632601+54855605</f>
        <v>285488206</v>
      </c>
      <c r="AE42" s="15"/>
      <c r="AF42" s="15">
        <f>35393572+16839664+6517546</f>
        <v>58750782</v>
      </c>
      <c r="AG42" s="15"/>
      <c r="AH42" s="15">
        <f>AL42-AD42-AF42-AJ42</f>
        <v>-35233567</v>
      </c>
      <c r="AI42" s="15"/>
      <c r="AJ42" s="15">
        <v>31961903</v>
      </c>
      <c r="AK42" s="15"/>
      <c r="AL42" s="15">
        <v>340967324</v>
      </c>
      <c r="AM42" s="15"/>
      <c r="AN42" s="15">
        <f>AL42-SUM(AD42:AK42)</f>
        <v>0</v>
      </c>
    </row>
    <row r="43" spans="18:40" ht="14" customHeight="1" x14ac:dyDescent="0.15">
      <c r="R43" s="2" t="s">
        <v>186</v>
      </c>
      <c r="AD43" s="15">
        <f>SUM(AD40:AD42)</f>
        <v>1895085016</v>
      </c>
      <c r="AE43" s="15"/>
      <c r="AF43" s="15">
        <f>SUM(AF40:AF42)</f>
        <v>2269590522</v>
      </c>
      <c r="AG43" s="15"/>
      <c r="AH43" s="15">
        <f>SUM(AH40:AH42)</f>
        <v>-146529200</v>
      </c>
      <c r="AI43" s="15"/>
      <c r="AJ43" s="15">
        <f>SUM(AJ40:AJ42)</f>
        <v>132002406</v>
      </c>
      <c r="AK43" s="15"/>
      <c r="AL43" s="15">
        <f>SUM(AL40:AL42)</f>
        <v>4150148744</v>
      </c>
      <c r="AM43" s="15"/>
      <c r="AN43" s="15">
        <f>AL43-SUM(AD43:AK43)</f>
        <v>0</v>
      </c>
    </row>
    <row r="44" spans="18:40" ht="14" customHeight="1" x14ac:dyDescent="0.15">
      <c r="S44" s="1" t="s">
        <v>166</v>
      </c>
      <c r="T44" s="1"/>
      <c r="U44" s="1" t="s">
        <v>167</v>
      </c>
      <c r="V44" s="1"/>
      <c r="W44" s="1" t="s">
        <v>168</v>
      </c>
      <c r="X44" s="1"/>
      <c r="Y44" s="1" t="s">
        <v>169</v>
      </c>
      <c r="Z44" s="1"/>
      <c r="AA44" s="1" t="s">
        <v>98</v>
      </c>
      <c r="AE44" s="1"/>
      <c r="AG44" s="1"/>
      <c r="AI44" s="1"/>
      <c r="AK44" s="1"/>
    </row>
    <row r="45" spans="18:40" ht="14" customHeight="1" x14ac:dyDescent="0.15">
      <c r="S45" s="172" t="s">
        <v>174</v>
      </c>
      <c r="T45" s="172"/>
      <c r="U45" s="172" t="s">
        <v>174</v>
      </c>
      <c r="V45" s="172"/>
      <c r="W45" s="172" t="s">
        <v>174</v>
      </c>
      <c r="X45" s="172"/>
      <c r="Y45" s="172" t="s">
        <v>174</v>
      </c>
      <c r="Z45" s="172"/>
      <c r="AA45" s="172" t="s">
        <v>175</v>
      </c>
      <c r="AE45" s="172"/>
      <c r="AG45" s="172"/>
      <c r="AI45" s="172"/>
      <c r="AK45" s="172"/>
    </row>
    <row r="46" spans="18:40" ht="14" customHeight="1" x14ac:dyDescent="0.15">
      <c r="R46" s="2" t="s">
        <v>177</v>
      </c>
      <c r="S46" s="15">
        <f>100962609+945538389</f>
        <v>1046500998</v>
      </c>
      <c r="T46" s="15"/>
      <c r="U46" s="15">
        <f>222556259+568022374+252649208</f>
        <v>1043227841</v>
      </c>
      <c r="V46" s="15"/>
      <c r="W46" s="15">
        <f>AA46-S46-U46-Y46</f>
        <v>-261832593</v>
      </c>
      <c r="X46" s="15"/>
      <c r="Y46" s="15">
        <v>126406751</v>
      </c>
      <c r="Z46" s="15"/>
      <c r="AA46" s="15">
        <v>1954302997</v>
      </c>
      <c r="AC46" s="2" t="s">
        <v>187</v>
      </c>
    </row>
    <row r="47" spans="18:40" ht="14" customHeight="1" x14ac:dyDescent="0.15">
      <c r="R47" s="2" t="s">
        <v>75</v>
      </c>
      <c r="S47" s="15">
        <f>3857240+19111100</f>
        <v>22968340</v>
      </c>
      <c r="T47" s="15"/>
      <c r="U47" s="15">
        <f>39314843+88563426+81386898</f>
        <v>209265167</v>
      </c>
      <c r="V47" s="15"/>
      <c r="W47" s="15">
        <f>AA47-S47-U47-Y47</f>
        <v>-47091873</v>
      </c>
      <c r="X47" s="15"/>
      <c r="Y47" s="15">
        <v>40068730</v>
      </c>
      <c r="Z47" s="15"/>
      <c r="AA47" s="15">
        <v>225210364</v>
      </c>
      <c r="AD47" s="1" t="s">
        <v>166</v>
      </c>
      <c r="AE47" s="1"/>
      <c r="AF47" s="1" t="s">
        <v>167</v>
      </c>
      <c r="AG47" s="1"/>
      <c r="AH47" s="1" t="s">
        <v>168</v>
      </c>
      <c r="AI47" s="1"/>
      <c r="AJ47" s="1" t="s">
        <v>169</v>
      </c>
      <c r="AK47" s="1"/>
      <c r="AL47" s="1" t="s">
        <v>98</v>
      </c>
      <c r="AM47" s="1"/>
    </row>
    <row r="48" spans="18:40" ht="14" customHeight="1" x14ac:dyDescent="0.15">
      <c r="R48" s="2" t="s">
        <v>82</v>
      </c>
      <c r="S48" s="15">
        <f>13186794+13931645</f>
        <v>27118439</v>
      </c>
      <c r="T48" s="15"/>
      <c r="U48" s="15">
        <f>15374578+6810650+2247157</f>
        <v>24432385</v>
      </c>
      <c r="V48" s="15"/>
      <c r="W48" s="15">
        <f>AA48-S48-U48-Y48</f>
        <v>-36143928</v>
      </c>
      <c r="X48" s="15"/>
      <c r="Y48" s="15">
        <v>26153487</v>
      </c>
      <c r="Z48" s="15"/>
      <c r="AA48" s="15">
        <v>41560383</v>
      </c>
      <c r="AD48" s="172" t="s">
        <v>174</v>
      </c>
      <c r="AE48" s="172"/>
      <c r="AF48" s="172" t="s">
        <v>174</v>
      </c>
      <c r="AG48" s="172"/>
      <c r="AH48" s="172" t="s">
        <v>174</v>
      </c>
      <c r="AI48" s="172"/>
      <c r="AJ48" s="172" t="s">
        <v>174</v>
      </c>
      <c r="AK48" s="172"/>
      <c r="AL48" s="172" t="s">
        <v>175</v>
      </c>
      <c r="AM48" s="1"/>
    </row>
    <row r="49" spans="18:40" ht="14" customHeight="1" x14ac:dyDescent="0.15">
      <c r="S49" s="15">
        <f>SUM(S46:S48)</f>
        <v>1096587777</v>
      </c>
      <c r="T49" s="15"/>
      <c r="U49" s="15">
        <f>SUM(U46:U48)</f>
        <v>1276925393</v>
      </c>
      <c r="V49" s="15"/>
      <c r="W49" s="15">
        <f>SUM(W46:W48)</f>
        <v>-345068394</v>
      </c>
      <c r="X49" s="15"/>
      <c r="Y49" s="15">
        <f>SUM(Y46:Y48)</f>
        <v>192628968</v>
      </c>
      <c r="Z49" s="15"/>
      <c r="AA49" s="15">
        <f>SUM(AA46:AA48)</f>
        <v>2221073744</v>
      </c>
      <c r="AC49" s="2" t="s">
        <v>177</v>
      </c>
      <c r="AD49" s="15">
        <f>190157318+1432018825</f>
        <v>1622176143</v>
      </c>
      <c r="AE49" s="15"/>
      <c r="AF49" s="15">
        <f>313345280+805122984+240708663</f>
        <v>1359176927</v>
      </c>
      <c r="AG49" s="15"/>
      <c r="AH49" s="15">
        <f>AL49-AD49-AF49-AJ49</f>
        <v>-358182817</v>
      </c>
      <c r="AI49" s="15"/>
      <c r="AJ49" s="15">
        <v>35500767</v>
      </c>
      <c r="AK49" s="15"/>
      <c r="AL49" s="15">
        <v>2658671020</v>
      </c>
      <c r="AM49" s="15"/>
      <c r="AN49" s="15">
        <f>AL49-SUM(AD49:AK49)</f>
        <v>0</v>
      </c>
    </row>
    <row r="50" spans="18:40" ht="14" customHeight="1" x14ac:dyDescent="0.15">
      <c r="AC50" s="2" t="s">
        <v>75</v>
      </c>
      <c r="AD50" s="15">
        <f>8909217+64534938</f>
        <v>73444155</v>
      </c>
      <c r="AE50" s="15"/>
      <c r="AF50" s="15">
        <f>113160534+262645018+535589249</f>
        <v>911394801</v>
      </c>
      <c r="AG50" s="15"/>
      <c r="AH50" s="15">
        <f>AL50-AD50-AF50-AJ50</f>
        <v>-254719402</v>
      </c>
      <c r="AI50" s="15"/>
      <c r="AJ50" s="15">
        <v>73644948</v>
      </c>
      <c r="AK50" s="15"/>
      <c r="AL50" s="15">
        <v>803764502</v>
      </c>
      <c r="AM50" s="15"/>
      <c r="AN50" s="15">
        <f>AL50-SUM(AD50:AK50)</f>
        <v>0</v>
      </c>
    </row>
    <row r="51" spans="18:40" ht="14" customHeight="1" x14ac:dyDescent="0.15">
      <c r="AC51" s="2" t="s">
        <v>82</v>
      </c>
      <c r="AD51" s="15">
        <f>69003097+284444411</f>
        <v>353447508</v>
      </c>
      <c r="AE51" s="15"/>
      <c r="AF51" s="15">
        <f>45117522+28675889</f>
        <v>73793411</v>
      </c>
      <c r="AG51" s="15"/>
      <c r="AH51" s="15">
        <f>AL51-AD51-AF51-AJ51</f>
        <v>-144363702</v>
      </c>
      <c r="AI51" s="15"/>
      <c r="AJ51" s="15">
        <v>37715094</v>
      </c>
      <c r="AK51" s="15"/>
      <c r="AL51" s="15">
        <v>320592311</v>
      </c>
      <c r="AM51" s="15"/>
      <c r="AN51" s="15">
        <f>AL51-SUM(AD51:AK51)</f>
        <v>0</v>
      </c>
    </row>
    <row r="52" spans="18:40" ht="14" customHeight="1" x14ac:dyDescent="0.15">
      <c r="R52" s="2" t="s">
        <v>188</v>
      </c>
      <c r="AD52" s="15">
        <f>SUM(AD49:AD51)</f>
        <v>2049067806</v>
      </c>
      <c r="AE52" s="15"/>
      <c r="AF52" s="15">
        <f>SUM(AF49:AF51)</f>
        <v>2344365139</v>
      </c>
      <c r="AG52" s="15"/>
      <c r="AH52" s="15">
        <f>SUM(AH49:AH51)</f>
        <v>-757265921</v>
      </c>
      <c r="AI52" s="15"/>
      <c r="AJ52" s="15">
        <f>SUM(AJ49:AJ51)</f>
        <v>146860809</v>
      </c>
      <c r="AK52" s="15"/>
      <c r="AL52" s="15">
        <f>SUM(AL49:AL51)</f>
        <v>3783027833</v>
      </c>
      <c r="AM52" s="15"/>
      <c r="AN52" s="15">
        <f>AL52-SUM(AD52:AK52)</f>
        <v>0</v>
      </c>
    </row>
    <row r="53" spans="18:40" ht="14" customHeight="1" x14ac:dyDescent="0.15">
      <c r="S53" s="1" t="s">
        <v>166</v>
      </c>
      <c r="T53" s="1"/>
      <c r="U53" s="1" t="s">
        <v>167</v>
      </c>
      <c r="V53" s="1"/>
      <c r="W53" s="1" t="s">
        <v>168</v>
      </c>
      <c r="X53" s="1"/>
      <c r="Y53" s="1" t="s">
        <v>169</v>
      </c>
      <c r="Z53" s="1"/>
      <c r="AA53" s="1" t="s">
        <v>98</v>
      </c>
      <c r="AE53" s="1"/>
      <c r="AG53" s="1"/>
      <c r="AI53" s="1"/>
      <c r="AK53" s="1"/>
    </row>
    <row r="54" spans="18:40" ht="14" customHeight="1" x14ac:dyDescent="0.15">
      <c r="S54" s="172" t="s">
        <v>174</v>
      </c>
      <c r="T54" s="172"/>
      <c r="U54" s="172" t="s">
        <v>174</v>
      </c>
      <c r="V54" s="172"/>
      <c r="W54" s="172" t="s">
        <v>174</v>
      </c>
      <c r="X54" s="172"/>
      <c r="Y54" s="172" t="s">
        <v>174</v>
      </c>
      <c r="Z54" s="172"/>
      <c r="AA54" s="172" t="s">
        <v>175</v>
      </c>
      <c r="AE54" s="172"/>
      <c r="AG54" s="172"/>
      <c r="AI54" s="172"/>
      <c r="AK54" s="172"/>
    </row>
    <row r="55" spans="18:40" ht="14" customHeight="1" x14ac:dyDescent="0.15">
      <c r="R55" s="2" t="s">
        <v>177</v>
      </c>
      <c r="S55" s="15">
        <f>97934905+853748419</f>
        <v>951683324</v>
      </c>
      <c r="T55" s="15"/>
      <c r="U55" s="15">
        <f>180712751+428343884+226163688</f>
        <v>835220323</v>
      </c>
      <c r="V55" s="15"/>
      <c r="W55" s="15">
        <f>AA55-S55-U55-Y55</f>
        <v>-205004123</v>
      </c>
      <c r="X55" s="15"/>
      <c r="Y55" s="15">
        <v>84032471</v>
      </c>
      <c r="Z55" s="15"/>
      <c r="AA55" s="15">
        <v>1665931995</v>
      </c>
      <c r="AC55" s="2" t="s">
        <v>189</v>
      </c>
    </row>
    <row r="56" spans="18:40" ht="14" customHeight="1" x14ac:dyDescent="0.15">
      <c r="R56" s="2" t="s">
        <v>75</v>
      </c>
      <c r="S56" s="15">
        <f>3931930+17398070</f>
        <v>21330000</v>
      </c>
      <c r="T56" s="15"/>
      <c r="U56" s="15">
        <f>36818635+76255500+65713698</f>
        <v>178787833</v>
      </c>
      <c r="V56" s="15"/>
      <c r="W56" s="15">
        <f>AA56-S56-U56-Y56</f>
        <v>-47628635</v>
      </c>
      <c r="X56" s="15"/>
      <c r="Y56" s="15">
        <v>39528523</v>
      </c>
      <c r="Z56" s="15"/>
      <c r="AA56" s="15">
        <v>192017721</v>
      </c>
      <c r="AD56" s="1" t="s">
        <v>166</v>
      </c>
      <c r="AE56" s="1"/>
      <c r="AF56" s="1" t="s">
        <v>167</v>
      </c>
      <c r="AG56" s="1"/>
      <c r="AH56" s="1" t="s">
        <v>168</v>
      </c>
      <c r="AI56" s="1"/>
      <c r="AJ56" s="1" t="s">
        <v>169</v>
      </c>
      <c r="AK56" s="1"/>
      <c r="AL56" s="1" t="s">
        <v>98</v>
      </c>
      <c r="AM56" s="1"/>
    </row>
    <row r="57" spans="18:40" ht="14" customHeight="1" x14ac:dyDescent="0.15">
      <c r="R57" s="2" t="s">
        <v>82</v>
      </c>
      <c r="S57" s="15">
        <f>4515573+12734214</f>
        <v>17249787</v>
      </c>
      <c r="T57" s="15"/>
      <c r="U57" s="15">
        <f>10808115+6875988+1942018</f>
        <v>19626121</v>
      </c>
      <c r="V57" s="15"/>
      <c r="W57" s="15">
        <f>AA57-S57-U57-Y57</f>
        <v>-18771882</v>
      </c>
      <c r="X57" s="15"/>
      <c r="Y57" s="15">
        <v>17187174</v>
      </c>
      <c r="Z57" s="15"/>
      <c r="AA57" s="15">
        <v>35291200</v>
      </c>
      <c r="AD57" s="172" t="s">
        <v>174</v>
      </c>
      <c r="AE57" s="172"/>
      <c r="AF57" s="172" t="s">
        <v>174</v>
      </c>
      <c r="AG57" s="172"/>
      <c r="AH57" s="172" t="s">
        <v>174</v>
      </c>
      <c r="AI57" s="172"/>
      <c r="AJ57" s="172" t="s">
        <v>174</v>
      </c>
      <c r="AK57" s="172"/>
      <c r="AL57" s="172" t="s">
        <v>175</v>
      </c>
      <c r="AM57" s="1"/>
    </row>
    <row r="58" spans="18:40" ht="14" customHeight="1" x14ac:dyDescent="0.15">
      <c r="S58" s="15">
        <f>SUM(S55:S57)</f>
        <v>990263111</v>
      </c>
      <c r="T58" s="15"/>
      <c r="U58" s="15">
        <f>SUM(U55:U57)</f>
        <v>1033634277</v>
      </c>
      <c r="V58" s="15"/>
      <c r="W58" s="15">
        <f>SUM(W55:W57)</f>
        <v>-271404640</v>
      </c>
      <c r="X58" s="15"/>
      <c r="Y58" s="15">
        <f>SUM(Y55:Y57)</f>
        <v>140748168</v>
      </c>
      <c r="Z58" s="15"/>
      <c r="AA58" s="15">
        <f>SUM(AA55:AA57)</f>
        <v>1893240916</v>
      </c>
      <c r="AC58" s="2" t="s">
        <v>177</v>
      </c>
      <c r="AD58" s="15">
        <v>2323265904</v>
      </c>
      <c r="AE58" s="15"/>
      <c r="AF58" s="15">
        <v>714880897</v>
      </c>
      <c r="AG58" s="15"/>
      <c r="AH58" s="15">
        <f>AL58-AD58-AF58-AJ58</f>
        <v>-436590175</v>
      </c>
      <c r="AI58" s="15"/>
      <c r="AJ58" s="15">
        <v>74746757</v>
      </c>
      <c r="AK58" s="15"/>
      <c r="AL58" s="15">
        <v>2676303383</v>
      </c>
      <c r="AM58" s="15"/>
      <c r="AN58" s="15">
        <f>AL58-SUM(AD58:AK58)</f>
        <v>0</v>
      </c>
    </row>
    <row r="59" spans="18:40" ht="14" customHeight="1" x14ac:dyDescent="0.15">
      <c r="AC59" s="2" t="s">
        <v>75</v>
      </c>
      <c r="AD59" s="15">
        <v>106172114</v>
      </c>
      <c r="AE59" s="15"/>
      <c r="AF59" s="15">
        <v>655714477</v>
      </c>
      <c r="AG59" s="15"/>
      <c r="AH59" s="15">
        <f>AL59-AD59-AF59-AJ59</f>
        <v>-17669034</v>
      </c>
      <c r="AI59" s="15"/>
      <c r="AJ59" s="15">
        <v>110641116</v>
      </c>
      <c r="AK59" s="15"/>
      <c r="AL59" s="15">
        <v>854858673</v>
      </c>
      <c r="AM59" s="15"/>
      <c r="AN59" s="15">
        <f>AL59-SUM(AD59:AK59)</f>
        <v>0</v>
      </c>
    </row>
    <row r="60" spans="18:40" ht="14" customHeight="1" x14ac:dyDescent="0.15">
      <c r="AC60" s="2" t="s">
        <v>82</v>
      </c>
      <c r="AD60" s="15">
        <v>430895964</v>
      </c>
      <c r="AE60" s="15"/>
      <c r="AF60" s="15">
        <v>31040837</v>
      </c>
      <c r="AG60" s="15"/>
      <c r="AH60" s="15">
        <f>AL60-AD60-AF60-AJ60</f>
        <v>-167513797</v>
      </c>
      <c r="AI60" s="15"/>
      <c r="AJ60" s="15">
        <v>75183962</v>
      </c>
      <c r="AK60" s="15"/>
      <c r="AL60" s="15">
        <v>369606966</v>
      </c>
      <c r="AM60" s="15"/>
      <c r="AN60" s="15">
        <f>AL60-SUM(AD60:AK60)</f>
        <v>0</v>
      </c>
    </row>
    <row r="61" spans="18:40" ht="14" customHeight="1" x14ac:dyDescent="0.15">
      <c r="R61" s="2" t="s">
        <v>190</v>
      </c>
      <c r="AD61" s="15">
        <f>SUM(AD58:AD60)</f>
        <v>2860333982</v>
      </c>
      <c r="AE61" s="15"/>
      <c r="AF61" s="15">
        <f>SUM(AF58:AF60)</f>
        <v>1401636211</v>
      </c>
      <c r="AG61" s="15"/>
      <c r="AH61" s="15">
        <f>SUM(AH58:AH60)</f>
        <v>-621773006</v>
      </c>
      <c r="AI61" s="15"/>
      <c r="AJ61" s="15">
        <f>SUM(AJ58:AJ60)</f>
        <v>260571835</v>
      </c>
      <c r="AK61" s="15"/>
      <c r="AL61" s="15">
        <f>SUM(AL58:AL60)</f>
        <v>3900769022</v>
      </c>
      <c r="AM61" s="15"/>
      <c r="AN61" s="15">
        <f>AL61-SUM(AD61:AK61)</f>
        <v>0</v>
      </c>
    </row>
    <row r="62" spans="18:40" ht="14" customHeight="1" x14ac:dyDescent="0.15">
      <c r="S62" s="1" t="s">
        <v>166</v>
      </c>
      <c r="T62" s="1"/>
      <c r="U62" s="1" t="s">
        <v>167</v>
      </c>
      <c r="V62" s="1"/>
      <c r="W62" s="1" t="s">
        <v>168</v>
      </c>
      <c r="X62" s="1"/>
      <c r="Y62" s="1" t="s">
        <v>169</v>
      </c>
      <c r="Z62" s="1"/>
      <c r="AA62" s="1" t="s">
        <v>98</v>
      </c>
      <c r="AE62" s="1"/>
      <c r="AG62" s="1"/>
      <c r="AI62" s="1"/>
      <c r="AK62" s="1"/>
    </row>
    <row r="63" spans="18:40" ht="14" customHeight="1" x14ac:dyDescent="0.15">
      <c r="S63" s="172" t="s">
        <v>174</v>
      </c>
      <c r="T63" s="172"/>
      <c r="U63" s="172" t="s">
        <v>174</v>
      </c>
      <c r="V63" s="172"/>
      <c r="W63" s="172" t="s">
        <v>174</v>
      </c>
      <c r="X63" s="172"/>
      <c r="Y63" s="172" t="s">
        <v>174</v>
      </c>
      <c r="Z63" s="172"/>
      <c r="AA63" s="172" t="s">
        <v>175</v>
      </c>
      <c r="AE63" s="172"/>
      <c r="AG63" s="172"/>
      <c r="AI63" s="172"/>
      <c r="AK63" s="172"/>
    </row>
    <row r="64" spans="18:40" ht="14" customHeight="1" x14ac:dyDescent="0.15">
      <c r="R64" s="2" t="s">
        <v>177</v>
      </c>
      <c r="S64" s="15">
        <f>90702205+777072414</f>
        <v>867774619</v>
      </c>
      <c r="T64" s="15"/>
      <c r="U64" s="15">
        <f>129257508+352363549+184877445</f>
        <v>666498502</v>
      </c>
      <c r="V64" s="15"/>
      <c r="W64" s="15">
        <f>AA64-S64-U64-Y64</f>
        <v>-142285321</v>
      </c>
      <c r="X64" s="15"/>
      <c r="Y64" s="15">
        <v>55597001</v>
      </c>
      <c r="Z64" s="15"/>
      <c r="AA64" s="15">
        <v>1447584801</v>
      </c>
      <c r="AC64" s="2" t="s">
        <v>191</v>
      </c>
    </row>
    <row r="65" spans="18:40" ht="14" customHeight="1" x14ac:dyDescent="0.15">
      <c r="R65" s="2" t="s">
        <v>75</v>
      </c>
      <c r="S65" s="15">
        <f>2787850+14615340</f>
        <v>17403190</v>
      </c>
      <c r="T65" s="15"/>
      <c r="U65" s="15">
        <f>23275020+58228890+51840525</f>
        <v>133344435</v>
      </c>
      <c r="V65" s="15"/>
      <c r="W65" s="15">
        <f>AA65-S65-U65-Y65</f>
        <v>-23796422</v>
      </c>
      <c r="X65" s="15"/>
      <c r="Y65" s="15">
        <v>19959440</v>
      </c>
      <c r="Z65" s="15"/>
      <c r="AA65" s="15">
        <v>146910643</v>
      </c>
      <c r="AD65" s="1" t="s">
        <v>166</v>
      </c>
      <c r="AE65" s="1"/>
      <c r="AF65" s="1" t="s">
        <v>167</v>
      </c>
      <c r="AG65" s="1"/>
      <c r="AH65" s="1" t="s">
        <v>168</v>
      </c>
      <c r="AI65" s="1"/>
      <c r="AJ65" s="1" t="s">
        <v>169</v>
      </c>
      <c r="AK65" s="1"/>
      <c r="AL65" s="1" t="s">
        <v>98</v>
      </c>
    </row>
    <row r="66" spans="18:40" ht="14" customHeight="1" x14ac:dyDescent="0.15">
      <c r="R66" s="2" t="s">
        <v>82</v>
      </c>
      <c r="S66" s="15">
        <f>3883203+12483224</f>
        <v>16366427</v>
      </c>
      <c r="T66" s="15"/>
      <c r="U66" s="15">
        <f>4947910+4646935+1549616</f>
        <v>11144461</v>
      </c>
      <c r="V66" s="15"/>
      <c r="W66" s="15">
        <f>AA66-S66-U66-Y66</f>
        <v>-16779928</v>
      </c>
      <c r="X66" s="15"/>
      <c r="Y66" s="15">
        <v>15833355</v>
      </c>
      <c r="Z66" s="15"/>
      <c r="AA66" s="15">
        <v>26564315</v>
      </c>
      <c r="AD66" s="172" t="s">
        <v>174</v>
      </c>
      <c r="AE66" s="172"/>
      <c r="AF66" s="172" t="s">
        <v>174</v>
      </c>
      <c r="AG66" s="172"/>
      <c r="AH66" s="172" t="s">
        <v>174</v>
      </c>
      <c r="AI66" s="172"/>
      <c r="AJ66" s="172" t="s">
        <v>174</v>
      </c>
      <c r="AK66" s="172"/>
      <c r="AL66" s="172" t="s">
        <v>175</v>
      </c>
    </row>
    <row r="67" spans="18:40" ht="14" customHeight="1" x14ac:dyDescent="0.15">
      <c r="S67" s="15">
        <f>SUM(S64:S66)</f>
        <v>901544236</v>
      </c>
      <c r="T67" s="15"/>
      <c r="U67" s="15">
        <f>SUM(U64:U66)</f>
        <v>810987398</v>
      </c>
      <c r="V67" s="15"/>
      <c r="W67" s="15">
        <f>SUM(W64:W66)</f>
        <v>-182861671</v>
      </c>
      <c r="X67" s="15"/>
      <c r="Y67" s="15">
        <f>SUM(Y64:Y66)</f>
        <v>91389796</v>
      </c>
      <c r="Z67" s="15"/>
      <c r="AA67" s="15">
        <f>SUM(AA64:AA66)</f>
        <v>1621059759</v>
      </c>
      <c r="AC67" s="2" t="s">
        <v>177</v>
      </c>
      <c r="AD67" s="15">
        <f>2354658207+64959032+8203858+13042240</f>
        <v>2440863337</v>
      </c>
      <c r="AE67" s="15"/>
      <c r="AF67" s="15">
        <f>390729597+78291074+822360+8493524+2128677+902632+69076+233024+160840279+135756867</f>
        <v>778267110</v>
      </c>
      <c r="AG67" s="15"/>
      <c r="AH67" s="15">
        <f>AL67-AD67-AF67-AJ67</f>
        <v>-360647627</v>
      </c>
      <c r="AI67" s="15"/>
      <c r="AJ67" s="15">
        <f>31794862+36690259+55405+10529602+682525</f>
        <v>79752653</v>
      </c>
      <c r="AK67" s="15"/>
      <c r="AL67" s="15">
        <v>2938235473</v>
      </c>
      <c r="AN67" s="15">
        <f>AL67-SUM(AD67:AK67)</f>
        <v>0</v>
      </c>
    </row>
    <row r="68" spans="18:40" ht="14" customHeight="1" x14ac:dyDescent="0.15">
      <c r="AC68" s="2" t="s">
        <v>75</v>
      </c>
      <c r="AD68" s="15">
        <f>109233145+12419172+1021780+235320</f>
        <v>122909417</v>
      </c>
      <c r="AE68" s="15"/>
      <c r="AF68" s="15">
        <f>139848208+106347610+17270+429600+4564030+327140+617720+266085333+177275430</f>
        <v>695512341</v>
      </c>
      <c r="AG68" s="15"/>
      <c r="AH68" s="15">
        <f t="shared" ref="AH68:AH69" si="1">AL68-AD68-AF68-AJ68</f>
        <v>-202253061</v>
      </c>
      <c r="AI68" s="15"/>
      <c r="AJ68" s="15">
        <f>65115473+110050+10282798+4131780+29967500</f>
        <v>109607601</v>
      </c>
      <c r="AK68" s="15"/>
      <c r="AL68" s="15">
        <v>725776298</v>
      </c>
      <c r="AN68" s="15">
        <f>AL68-SUM(AD68:AK68)</f>
        <v>0</v>
      </c>
    </row>
    <row r="69" spans="18:40" ht="14" customHeight="1" x14ac:dyDescent="0.15">
      <c r="R69" s="2" t="s">
        <v>192</v>
      </c>
      <c r="AC69" s="2" t="s">
        <v>82</v>
      </c>
      <c r="AD69" s="15">
        <f>466560271+434270+3310886+26885579</f>
        <v>497191006</v>
      </c>
      <c r="AE69" s="15"/>
      <c r="AF69" s="15">
        <f>23894824+2536960+220516+201313+50684+4770206+138763</f>
        <v>31813266</v>
      </c>
      <c r="AG69" s="15"/>
      <c r="AH69" s="15">
        <f t="shared" si="1"/>
        <v>-208949680</v>
      </c>
      <c r="AI69" s="15"/>
      <c r="AJ69" s="15">
        <f>5845140+50733340+567419+29573568+29510</f>
        <v>86748977</v>
      </c>
      <c r="AK69" s="15"/>
      <c r="AL69" s="15">
        <v>406803569</v>
      </c>
      <c r="AN69" s="15">
        <f>AL69-SUM(AD69:AK69)</f>
        <v>0</v>
      </c>
    </row>
    <row r="70" spans="18:40" ht="14" customHeight="1" x14ac:dyDescent="0.15">
      <c r="S70" s="1" t="s">
        <v>166</v>
      </c>
      <c r="T70" s="1"/>
      <c r="U70" s="1" t="s">
        <v>167</v>
      </c>
      <c r="V70" s="1"/>
      <c r="W70" s="1" t="s">
        <v>168</v>
      </c>
      <c r="X70" s="1"/>
      <c r="Y70" s="1" t="s">
        <v>169</v>
      </c>
      <c r="Z70" s="1"/>
      <c r="AA70" s="1" t="s">
        <v>98</v>
      </c>
      <c r="AD70" s="15">
        <f>SUM(AD67:AD69)</f>
        <v>3060963760</v>
      </c>
      <c r="AE70" s="15"/>
      <c r="AF70" s="15">
        <f>SUM(AF67:AF69)</f>
        <v>1505592717</v>
      </c>
      <c r="AG70" s="15"/>
      <c r="AH70" s="15">
        <f>AH67+AH68+AH69</f>
        <v>-771850368</v>
      </c>
      <c r="AI70" s="15"/>
      <c r="AJ70" s="15">
        <f>SUM(AJ67:AJ69)</f>
        <v>276109231</v>
      </c>
      <c r="AK70" s="15"/>
      <c r="AL70" s="15">
        <f>SUM(AL67:AL69)</f>
        <v>4070815340</v>
      </c>
      <c r="AN70" s="15">
        <f>AL70-SUM(AD70:AK70)</f>
        <v>0</v>
      </c>
    </row>
    <row r="71" spans="18:40" ht="14" customHeight="1" x14ac:dyDescent="0.15">
      <c r="S71" s="172" t="s">
        <v>174</v>
      </c>
      <c r="T71" s="172"/>
      <c r="U71" s="172" t="s">
        <v>174</v>
      </c>
      <c r="V71" s="172"/>
      <c r="W71" s="172" t="s">
        <v>174</v>
      </c>
      <c r="X71" s="172"/>
      <c r="Y71" s="172" t="s">
        <v>174</v>
      </c>
      <c r="Z71" s="172"/>
      <c r="AA71" s="172" t="s">
        <v>175</v>
      </c>
      <c r="AE71" s="172"/>
      <c r="AG71" s="172"/>
      <c r="AI71" s="172"/>
      <c r="AK71" s="172"/>
    </row>
    <row r="72" spans="18:40" ht="14" customHeight="1" x14ac:dyDescent="0.15">
      <c r="R72" s="2" t="s">
        <v>177</v>
      </c>
      <c r="S72" s="15">
        <f>84895309+706602363</f>
        <v>791497672</v>
      </c>
      <c r="T72" s="15"/>
      <c r="U72" s="15">
        <f>111264218+311763627+169852119</f>
        <v>592879964</v>
      </c>
      <c r="V72" s="15"/>
      <c r="W72" s="15">
        <f>AA72-S72-U72-Y72</f>
        <v>-140488711</v>
      </c>
      <c r="X72" s="15"/>
      <c r="Y72" s="15">
        <v>48469509</v>
      </c>
      <c r="Z72" s="15"/>
      <c r="AA72" s="15">
        <v>1292358434</v>
      </c>
      <c r="AC72" s="95"/>
      <c r="AD72" s="95"/>
      <c r="AE72" s="99"/>
      <c r="AF72" s="95"/>
      <c r="AG72" s="99"/>
      <c r="AH72" s="95"/>
      <c r="AI72" s="99"/>
      <c r="AJ72" s="95"/>
      <c r="AK72" s="99"/>
      <c r="AL72" s="95"/>
      <c r="AM72" s="95"/>
      <c r="AN72" s="95"/>
    </row>
    <row r="73" spans="18:40" ht="14" customHeight="1" x14ac:dyDescent="0.15">
      <c r="R73" s="2" t="s">
        <v>75</v>
      </c>
      <c r="S73" s="15">
        <f>2060100+11628620</f>
        <v>13688720</v>
      </c>
      <c r="T73" s="15"/>
      <c r="U73" s="15">
        <f>15747870+51103200+47318905</f>
        <v>114169975</v>
      </c>
      <c r="V73" s="15"/>
      <c r="W73" s="15">
        <f>AA73-S73-U73-Y73</f>
        <v>-18014112</v>
      </c>
      <c r="X73" s="15"/>
      <c r="Y73" s="15">
        <v>14534070</v>
      </c>
      <c r="Z73" s="15"/>
      <c r="AA73" s="15">
        <v>124378653</v>
      </c>
      <c r="AC73" s="97" t="s">
        <v>193</v>
      </c>
      <c r="AD73" s="95"/>
      <c r="AE73" s="95"/>
      <c r="AF73" s="95"/>
      <c r="AG73" s="95"/>
      <c r="AH73" s="95"/>
      <c r="AI73" s="95"/>
      <c r="AJ73" s="95"/>
      <c r="AK73" s="95"/>
      <c r="AL73" s="95"/>
      <c r="AM73" s="95"/>
      <c r="AN73" s="95"/>
    </row>
    <row r="74" spans="18:40" ht="14" customHeight="1" x14ac:dyDescent="0.15">
      <c r="R74" s="2" t="s">
        <v>82</v>
      </c>
      <c r="S74" s="15">
        <f>10766853+907028+4056100</f>
        <v>15729981</v>
      </c>
      <c r="T74" s="15"/>
      <c r="U74" s="15">
        <f>4227458+270730+322490+600+943770+186920+1200</f>
        <v>5953168</v>
      </c>
      <c r="V74" s="15"/>
      <c r="W74" s="15">
        <f>AA74-S74-U74-Y74</f>
        <v>-14744188</v>
      </c>
      <c r="X74" s="15"/>
      <c r="Y74" s="15">
        <f>19401656+1914156</f>
        <v>21315812</v>
      </c>
      <c r="Z74" s="15"/>
      <c r="AA74" s="15">
        <f>42998961-14744188</f>
        <v>28254773</v>
      </c>
      <c r="AC74" s="95"/>
      <c r="AD74" s="96" t="s">
        <v>166</v>
      </c>
      <c r="AE74" s="96"/>
      <c r="AF74" s="96" t="s">
        <v>167</v>
      </c>
      <c r="AG74" s="96"/>
      <c r="AH74" s="96" t="s">
        <v>168</v>
      </c>
      <c r="AI74" s="96"/>
      <c r="AJ74" s="96" t="s">
        <v>169</v>
      </c>
      <c r="AK74" s="96"/>
      <c r="AL74" s="96" t="s">
        <v>98</v>
      </c>
      <c r="AM74" s="95"/>
      <c r="AN74" s="95"/>
    </row>
    <row r="75" spans="18:40" ht="14" customHeight="1" x14ac:dyDescent="0.15">
      <c r="S75" s="15">
        <f>SUM(S72:S74)</f>
        <v>820916373</v>
      </c>
      <c r="T75" s="15"/>
      <c r="U75" s="15">
        <f>SUM(U72:U74)</f>
        <v>713003107</v>
      </c>
      <c r="V75" s="15"/>
      <c r="W75" s="15">
        <f>SUM(W72:W74)</f>
        <v>-173247011</v>
      </c>
      <c r="X75" s="15"/>
      <c r="Y75" s="15">
        <f>SUM(Y72:Y74)</f>
        <v>84319391</v>
      </c>
      <c r="Z75" s="15"/>
      <c r="AA75" s="15">
        <f>SUM(AA72:AA74)</f>
        <v>1444991860</v>
      </c>
      <c r="AC75" s="95"/>
      <c r="AD75" s="98" t="s">
        <v>174</v>
      </c>
      <c r="AE75" s="98"/>
      <c r="AF75" s="98" t="s">
        <v>174</v>
      </c>
      <c r="AG75" s="98"/>
      <c r="AH75" s="98" t="s">
        <v>174</v>
      </c>
      <c r="AI75" s="98"/>
      <c r="AJ75" s="98" t="s">
        <v>174</v>
      </c>
      <c r="AK75" s="98"/>
      <c r="AL75" s="98" t="s">
        <v>175</v>
      </c>
      <c r="AM75" s="95"/>
      <c r="AN75" s="95"/>
    </row>
    <row r="76" spans="18:40" ht="14" customHeight="1" x14ac:dyDescent="0.15">
      <c r="AC76" s="97" t="s">
        <v>177</v>
      </c>
      <c r="AD76" s="99">
        <v>2814434480</v>
      </c>
      <c r="AE76" s="99"/>
      <c r="AF76" s="99">
        <v>704423729</v>
      </c>
      <c r="AG76" s="99"/>
      <c r="AH76" s="99">
        <v>-470046879</v>
      </c>
      <c r="AI76" s="99"/>
      <c r="AJ76" s="99">
        <v>43521360</v>
      </c>
      <c r="AK76" s="99"/>
      <c r="AL76" s="99">
        <v>3092332690</v>
      </c>
      <c r="AM76" s="95"/>
      <c r="AN76" s="99">
        <v>0</v>
      </c>
    </row>
    <row r="77" spans="18:40" ht="14" customHeight="1" x14ac:dyDescent="0.15">
      <c r="AC77" s="97" t="s">
        <v>75</v>
      </c>
      <c r="AD77" s="99">
        <v>137607219</v>
      </c>
      <c r="AE77" s="99"/>
      <c r="AF77" s="99">
        <v>582483040</v>
      </c>
      <c r="AG77" s="99"/>
      <c r="AH77" s="99">
        <v>-197126121</v>
      </c>
      <c r="AI77" s="99"/>
      <c r="AJ77" s="99">
        <v>106438522</v>
      </c>
      <c r="AK77" s="99"/>
      <c r="AL77" s="99">
        <v>629402660</v>
      </c>
      <c r="AM77" s="95"/>
      <c r="AN77" s="99">
        <v>0</v>
      </c>
    </row>
    <row r="78" spans="18:40" ht="14" customHeight="1" x14ac:dyDescent="0.15">
      <c r="R78" s="2" t="s">
        <v>194</v>
      </c>
      <c r="AC78" s="97" t="s">
        <v>82</v>
      </c>
      <c r="AD78" s="99">
        <v>666093009</v>
      </c>
      <c r="AE78" s="99"/>
      <c r="AF78" s="99">
        <v>30579713</v>
      </c>
      <c r="AG78" s="99"/>
      <c r="AH78" s="99">
        <v>-294756765</v>
      </c>
      <c r="AI78" s="99"/>
      <c r="AJ78" s="99">
        <v>82236587</v>
      </c>
      <c r="AK78" s="99"/>
      <c r="AL78" s="99">
        <v>484152544</v>
      </c>
      <c r="AM78" s="95"/>
      <c r="AN78" s="99">
        <v>0</v>
      </c>
    </row>
    <row r="79" spans="18:40" ht="14" customHeight="1" x14ac:dyDescent="0.15">
      <c r="S79" s="1" t="s">
        <v>166</v>
      </c>
      <c r="T79" s="1"/>
      <c r="U79" s="1" t="s">
        <v>167</v>
      </c>
      <c r="V79" s="1"/>
      <c r="W79" s="1" t="s">
        <v>168</v>
      </c>
      <c r="X79" s="1"/>
      <c r="Y79" s="1" t="s">
        <v>169</v>
      </c>
      <c r="Z79" s="1"/>
      <c r="AA79" s="1" t="s">
        <v>98</v>
      </c>
      <c r="AC79" s="95"/>
      <c r="AD79" s="99">
        <v>3618134708</v>
      </c>
      <c r="AE79" s="99"/>
      <c r="AF79" s="99">
        <v>1317486482</v>
      </c>
      <c r="AG79" s="99"/>
      <c r="AH79" s="99">
        <v>-961929765</v>
      </c>
      <c r="AI79" s="99"/>
      <c r="AJ79" s="99">
        <v>232196469</v>
      </c>
      <c r="AK79" s="99"/>
      <c r="AL79" s="99">
        <v>4205887894</v>
      </c>
      <c r="AM79" s="95"/>
      <c r="AN79" s="99">
        <v>0</v>
      </c>
    </row>
    <row r="80" spans="18:40" ht="14" customHeight="1" x14ac:dyDescent="0.15">
      <c r="S80" s="172" t="s">
        <v>174</v>
      </c>
      <c r="T80" s="172"/>
      <c r="U80" s="172" t="s">
        <v>174</v>
      </c>
      <c r="V80" s="172"/>
      <c r="W80" s="172" t="s">
        <v>174</v>
      </c>
      <c r="X80" s="172"/>
      <c r="Y80" s="172" t="s">
        <v>174</v>
      </c>
      <c r="Z80" s="172"/>
      <c r="AA80" s="172" t="s">
        <v>175</v>
      </c>
      <c r="AE80" s="172"/>
      <c r="AG80" s="172"/>
      <c r="AI80" s="172"/>
      <c r="AK80" s="172"/>
    </row>
    <row r="81" spans="18:41" ht="14" customHeight="1" x14ac:dyDescent="0.15">
      <c r="R81" s="2" t="s">
        <v>177</v>
      </c>
      <c r="S81" s="15">
        <f>78626814+622282905</f>
        <v>700909719</v>
      </c>
      <c r="T81" s="15"/>
      <c r="U81" s="15">
        <f>106110534+276086070+129602187</f>
        <v>511798791</v>
      </c>
      <c r="V81" s="15"/>
      <c r="W81" s="15">
        <f>AA81-S81-U81-Y81</f>
        <v>-127720569</v>
      </c>
      <c r="X81" s="15"/>
      <c r="Y81" s="15">
        <v>41526510</v>
      </c>
      <c r="Z81" s="15"/>
      <c r="AA81" s="15">
        <v>1126514451</v>
      </c>
      <c r="AE81" s="15"/>
      <c r="AG81" s="15"/>
      <c r="AI81" s="15"/>
      <c r="AK81" s="15"/>
    </row>
    <row r="82" spans="18:41" ht="14" customHeight="1" x14ac:dyDescent="0.15">
      <c r="R82" s="2" t="s">
        <v>75</v>
      </c>
      <c r="S82" s="15">
        <f>14432679+56619343</f>
        <v>71052022</v>
      </c>
      <c r="T82" s="15"/>
      <c r="U82" s="15">
        <f>941570+51261290</f>
        <v>52202860</v>
      </c>
      <c r="V82" s="15"/>
      <c r="W82" s="15">
        <f>AA82-S82-U82-Y82</f>
        <v>-18363438</v>
      </c>
      <c r="X82" s="15"/>
      <c r="Y82" s="15">
        <v>14566921</v>
      </c>
      <c r="Z82" s="15"/>
      <c r="AA82" s="15">
        <v>119458365</v>
      </c>
      <c r="AC82" s="2" t="s">
        <v>195</v>
      </c>
    </row>
    <row r="83" spans="18:41" ht="14" customHeight="1" x14ac:dyDescent="0.15">
      <c r="R83" s="2" t="s">
        <v>82</v>
      </c>
      <c r="S83" s="15">
        <f>10381198+5382600</f>
        <v>15763798</v>
      </c>
      <c r="T83" s="15"/>
      <c r="U83" s="15">
        <f>646656+4612178+324740+343840+949850+206730+1200</f>
        <v>7085194</v>
      </c>
      <c r="V83" s="15"/>
      <c r="W83" s="15">
        <f>AA83-S83-U83-Y83</f>
        <v>-13254759</v>
      </c>
      <c r="X83" s="15"/>
      <c r="Y83" s="15">
        <f>18126786+1301906</f>
        <v>19428692</v>
      </c>
      <c r="Z83" s="15"/>
      <c r="AA83" s="15">
        <v>29022925</v>
      </c>
      <c r="AD83" s="1" t="s">
        <v>166</v>
      </c>
      <c r="AE83" s="1"/>
      <c r="AF83" s="1" t="s">
        <v>167</v>
      </c>
      <c r="AG83" s="1"/>
      <c r="AH83" s="1" t="s">
        <v>168</v>
      </c>
      <c r="AI83" s="1"/>
      <c r="AJ83" s="1" t="s">
        <v>169</v>
      </c>
      <c r="AK83" s="1"/>
      <c r="AL83" s="1" t="s">
        <v>98</v>
      </c>
    </row>
    <row r="84" spans="18:41" ht="14" customHeight="1" x14ac:dyDescent="0.15">
      <c r="S84" s="15">
        <f>SUM(S81:S83)</f>
        <v>787725539</v>
      </c>
      <c r="T84" s="15"/>
      <c r="U84" s="15">
        <f>SUM(U81:U83)</f>
        <v>571086845</v>
      </c>
      <c r="V84" s="15"/>
      <c r="W84" s="15">
        <f>SUM(W81:W83)</f>
        <v>-159338766</v>
      </c>
      <c r="X84" s="15"/>
      <c r="Y84" s="15">
        <f>SUM(Y81:Y83)</f>
        <v>75522123</v>
      </c>
      <c r="Z84" s="15"/>
      <c r="AA84" s="15">
        <f>SUM(AA81:AA83)</f>
        <v>1274995741</v>
      </c>
      <c r="AD84" s="172" t="s">
        <v>174</v>
      </c>
      <c r="AE84" s="172"/>
      <c r="AF84" s="172" t="s">
        <v>174</v>
      </c>
      <c r="AG84" s="172"/>
      <c r="AH84" s="172" t="s">
        <v>174</v>
      </c>
      <c r="AI84" s="172"/>
      <c r="AJ84" s="172" t="s">
        <v>174</v>
      </c>
      <c r="AK84" s="172"/>
      <c r="AL84" s="172" t="s">
        <v>175</v>
      </c>
    </row>
    <row r="85" spans="18:41" ht="14" customHeight="1" x14ac:dyDescent="0.15">
      <c r="AC85" s="2" t="s">
        <v>177</v>
      </c>
      <c r="AD85" s="15">
        <f>3581823210+71028402+14958332+14758257+613674</f>
        <v>3683181875</v>
      </c>
      <c r="AE85" s="15"/>
      <c r="AF85" s="15">
        <f>503334524+82278449+1322241+9798519+2993804+1099385+63505+359946+173019048+123234941</f>
        <v>897504362</v>
      </c>
      <c r="AG85" s="15"/>
      <c r="AH85" s="15">
        <f>-47660729-436134475</f>
        <v>-483795204</v>
      </c>
      <c r="AI85" s="15"/>
      <c r="AJ85" s="15">
        <f>28518801+48133869+60607+12652072+217732186</f>
        <v>307097535</v>
      </c>
      <c r="AK85" s="15"/>
      <c r="AL85" s="15">
        <v>4403988568</v>
      </c>
      <c r="AN85" s="15">
        <f>AL85-SUM(AD85:AK85)</f>
        <v>0</v>
      </c>
    </row>
    <row r="86" spans="18:41" ht="14" customHeight="1" x14ac:dyDescent="0.15">
      <c r="AC86" s="2" t="s">
        <v>75</v>
      </c>
      <c r="AD86" s="15">
        <f>151756048+1201250+4107450</f>
        <v>157064748</v>
      </c>
      <c r="AE86" s="15"/>
      <c r="AF86" s="15">
        <f>483634077+121528722+21670+2218570+5339360+348490+762570+323415359+172120500</f>
        <v>1109389318</v>
      </c>
      <c r="AG86" s="15"/>
      <c r="AH86" s="15">
        <f>-140140371-14838039</f>
        <v>-154978410</v>
      </c>
      <c r="AI86" s="15"/>
      <c r="AJ86" s="15">
        <f>53985560+27735073+140404584+176174+36715560</f>
        <v>259016951</v>
      </c>
      <c r="AK86" s="15"/>
      <c r="AL86" s="15">
        <v>1370492607</v>
      </c>
      <c r="AN86" s="15">
        <f>AL86-SUM(AD86:AK86)</f>
        <v>0</v>
      </c>
    </row>
    <row r="87" spans="18:41" ht="14" customHeight="1" x14ac:dyDescent="0.15">
      <c r="AC87" s="2" t="s">
        <v>82</v>
      </c>
      <c r="AD87" s="15">
        <f>874572202+1299770+13016366+5794516+1</f>
        <v>894682855</v>
      </c>
      <c r="AE87" s="15"/>
      <c r="AF87" s="15">
        <f>31998673+2924810+164893+16349+5101371+153778</f>
        <v>40359874</v>
      </c>
      <c r="AG87" s="15"/>
      <c r="AH87" s="15">
        <f>-77277950-68080579</f>
        <v>-145358529</v>
      </c>
      <c r="AI87" s="15"/>
      <c r="AJ87" s="15">
        <f>9585996+77813525+628833+55579950+32570713</f>
        <v>176179017</v>
      </c>
      <c r="AK87" s="15"/>
      <c r="AL87" s="15">
        <v>965863217</v>
      </c>
      <c r="AN87" s="15">
        <f>AL87-SUM(AD87:AK87)</f>
        <v>0</v>
      </c>
    </row>
    <row r="88" spans="18:41" ht="14" customHeight="1" x14ac:dyDescent="0.15">
      <c r="AD88" s="15">
        <f>SUM(AD85:AD87)</f>
        <v>4734929478</v>
      </c>
      <c r="AE88" s="15"/>
      <c r="AF88" s="15">
        <f>SUM(AF85:AF87)</f>
        <v>2047253554</v>
      </c>
      <c r="AG88" s="15"/>
      <c r="AH88" s="15">
        <f>AH85+AH86+AH87</f>
        <v>-784132143</v>
      </c>
      <c r="AI88" s="15"/>
      <c r="AJ88" s="15">
        <f>SUM(AJ85:AJ87)</f>
        <v>742293503</v>
      </c>
      <c r="AK88" s="15"/>
      <c r="AL88" s="15">
        <f>SUM(AL85:AL87)</f>
        <v>6740344392</v>
      </c>
      <c r="AN88" s="15">
        <f>AL88-SUM(AD88:AK88)</f>
        <v>0</v>
      </c>
    </row>
    <row r="89" spans="18:41" ht="14" customHeight="1" x14ac:dyDescent="0.15">
      <c r="AE89" s="15"/>
      <c r="AG89" s="15"/>
      <c r="AI89" s="15"/>
      <c r="AK89" s="15"/>
    </row>
    <row r="90" spans="18:41" ht="14" customHeight="1" x14ac:dyDescent="0.15">
      <c r="AC90" s="2" t="s">
        <v>196</v>
      </c>
    </row>
    <row r="91" spans="18:41" ht="14" customHeight="1" x14ac:dyDescent="0.15">
      <c r="AD91" s="1" t="s">
        <v>166</v>
      </c>
      <c r="AE91" s="1"/>
      <c r="AF91" s="1" t="s">
        <v>167</v>
      </c>
      <c r="AG91" s="1"/>
      <c r="AH91" s="1" t="s">
        <v>168</v>
      </c>
      <c r="AI91" s="1"/>
      <c r="AJ91" s="1" t="s">
        <v>169</v>
      </c>
      <c r="AK91" s="1"/>
      <c r="AL91" s="1" t="s">
        <v>98</v>
      </c>
    </row>
    <row r="92" spans="18:41" ht="14" customHeight="1" x14ac:dyDescent="0.15">
      <c r="AD92" s="172" t="s">
        <v>174</v>
      </c>
      <c r="AE92" s="172"/>
      <c r="AF92" s="172" t="s">
        <v>174</v>
      </c>
      <c r="AG92" s="172"/>
      <c r="AH92" s="172" t="s">
        <v>174</v>
      </c>
      <c r="AI92" s="172"/>
      <c r="AJ92" s="172" t="s">
        <v>174</v>
      </c>
      <c r="AK92" s="172"/>
      <c r="AL92" s="172" t="s">
        <v>175</v>
      </c>
    </row>
    <row r="93" spans="18:41" ht="14" customHeight="1" x14ac:dyDescent="0.15">
      <c r="AC93" s="2" t="s">
        <v>177</v>
      </c>
      <c r="AD93" s="15">
        <f>3700190994+89418497+20623125+13934307-270272909</f>
        <v>3553894014</v>
      </c>
      <c r="AE93" s="15"/>
      <c r="AF93" s="15">
        <f>561160262+84282279+1602111+10518080+3191054+1222760+75670+349228+198968952+163382009-49018156</f>
        <v>975734249</v>
      </c>
      <c r="AG93" s="15"/>
      <c r="AH93" s="15">
        <f>300626148</f>
        <v>300626148</v>
      </c>
      <c r="AI93" s="15"/>
      <c r="AJ93" s="15">
        <f>730118+41536458+49456573+50728+15001484</f>
        <v>106775361</v>
      </c>
      <c r="AK93" s="15"/>
      <c r="AL93" s="15">
        <v>4937029772</v>
      </c>
      <c r="AN93" s="15">
        <f>AL93-(AD93+AF93+AJ93+AH93)</f>
        <v>0</v>
      </c>
      <c r="AO93" s="15"/>
    </row>
    <row r="94" spans="18:41" ht="14" customHeight="1" x14ac:dyDescent="0.15">
      <c r="AC94" s="2" t="s">
        <v>75</v>
      </c>
      <c r="AD94" s="15">
        <f>160969065+1147070-11809132</f>
        <v>150307003</v>
      </c>
      <c r="AE94" s="15"/>
      <c r="AF94" s="15">
        <f>151201786+172003+43033206+577512117+127297985+24930+24984910+5926160+403270+531480+371705694+171160760-150950587</f>
        <v>1323003714</v>
      </c>
      <c r="AG94" s="15"/>
      <c r="AH94" s="15">
        <v>48124805</v>
      </c>
      <c r="AI94" s="15"/>
      <c r="AJ94" s="15">
        <f>28843988+4898460</f>
        <v>33742448</v>
      </c>
      <c r="AK94" s="15"/>
      <c r="AL94" s="15">
        <v>1555177970</v>
      </c>
      <c r="AN94" s="15">
        <f>AL94-SUM(AD94:AK94)</f>
        <v>0</v>
      </c>
      <c r="AO94" s="15"/>
    </row>
    <row r="95" spans="18:41" ht="14" customHeight="1" x14ac:dyDescent="0.15">
      <c r="AC95" s="2" t="s">
        <v>82</v>
      </c>
      <c r="AD95" s="15">
        <f>1009767933+1595948+29886510+6730697-87719667</f>
        <v>960261421</v>
      </c>
      <c r="AE95" s="15"/>
      <c r="AF95" s="15">
        <f>82794296+595903+37527673+3093370+157607+11164+4439453+201836-82171752</f>
        <v>46649550</v>
      </c>
      <c r="AG95" s="15"/>
      <c r="AH95" s="15">
        <v>37287598</v>
      </c>
      <c r="AI95" s="15"/>
      <c r="AJ95" s="15">
        <f>11305480+70214360</f>
        <v>81519840</v>
      </c>
      <c r="AK95" s="15"/>
      <c r="AL95" s="15">
        <v>1125718409</v>
      </c>
      <c r="AN95" s="15">
        <f>AL95-SUM(AD95:AK95)</f>
        <v>0</v>
      </c>
    </row>
    <row r="96" spans="18:41" ht="14" customHeight="1" x14ac:dyDescent="0.15">
      <c r="AD96" s="15">
        <f>SUM(AD93:AD95)</f>
        <v>4664462438</v>
      </c>
      <c r="AE96" s="15"/>
      <c r="AF96" s="15">
        <f>SUM(AF93:AF95)</f>
        <v>2345387513</v>
      </c>
      <c r="AG96" s="15"/>
      <c r="AH96" s="15">
        <f>AH93+AH94+AH95</f>
        <v>386038551</v>
      </c>
      <c r="AI96" s="15"/>
      <c r="AJ96" s="15">
        <f>SUM(AJ93:AJ95)</f>
        <v>222037649</v>
      </c>
      <c r="AK96" s="15"/>
      <c r="AL96" s="15">
        <f>SUM(AL93:AL95)</f>
        <v>7617926151</v>
      </c>
      <c r="AN96" s="15">
        <f>AL96-SUM(AD96:AK96)</f>
        <v>0</v>
      </c>
    </row>
  </sheetData>
  <mergeCells count="4">
    <mergeCell ref="A1:H1"/>
    <mergeCell ref="A3:H3"/>
    <mergeCell ref="A5:H5"/>
    <mergeCell ref="A6:H6"/>
  </mergeCells>
  <pageMargins left="0.75" right="0.75" top="0.5" bottom="0.5" header="0.5" footer="0.5"/>
  <pageSetup firstPageNumber="103" orientation="portrait" useFirstPageNumber="1" r:id="rId1"/>
  <headerFooter differentOddEven="1" alignWithMargins="0">
    <oddFooter>&amp;C&amp;"Verdana,Bold"&amp;9&amp;P</oddFooter>
    <evenHeader>&amp;R&amp;"Verdana,Bold"&amp;9TABLE 11</evenHeader>
    <evenFooter>&amp;C&amp;"Verdana,Bold"&amp;9&amp;P</evenFooter>
  </headerFooter>
  <customProperties>
    <customPr name="OrphanNamesChecke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sheetPr>
  <dimension ref="A1:AB36"/>
  <sheetViews>
    <sheetView zoomScaleNormal="100" zoomScaleSheetLayoutView="85" workbookViewId="0">
      <selection activeCell="Z47" sqref="Z47:Z48"/>
    </sheetView>
  </sheetViews>
  <sheetFormatPr baseColWidth="10" defaultColWidth="9.1640625" defaultRowHeight="12" x14ac:dyDescent="0.15"/>
  <cols>
    <col min="1" max="1" width="7.1640625" style="2" customWidth="1"/>
    <col min="2" max="2" width="0.83203125" style="2" customWidth="1"/>
    <col min="3" max="3" width="14" style="2" bestFit="1" customWidth="1"/>
    <col min="4" max="4" width="0.83203125" style="2" customWidth="1"/>
    <col min="5" max="5" width="14" style="2" bestFit="1" customWidth="1"/>
    <col min="6" max="6" width="0.83203125" style="2" customWidth="1"/>
    <col min="7" max="7" width="11.6640625" style="2" customWidth="1"/>
    <col min="8" max="8" width="1.6640625" style="2" customWidth="1"/>
    <col min="9" max="9" width="11.6640625" style="2" customWidth="1"/>
    <col min="10" max="10" width="0.83203125" style="2" customWidth="1"/>
    <col min="11" max="11" width="11.6640625" style="2" customWidth="1"/>
    <col min="12" max="12" width="0.83203125" style="2" customWidth="1"/>
    <col min="13" max="13" width="14" style="2" bestFit="1" customWidth="1"/>
    <col min="14" max="14" width="0.83203125" style="2" customWidth="1"/>
    <col min="15" max="15" width="0.5" style="2" customWidth="1"/>
    <col min="16" max="16" width="12.83203125" style="2" bestFit="1" customWidth="1"/>
    <col min="17" max="17" width="0.5" style="2" customWidth="1"/>
    <col min="18" max="18" width="12.5" style="2" customWidth="1"/>
    <col min="19" max="19" width="0.5" style="2" customWidth="1"/>
    <col min="20" max="20" width="12.5" style="2" customWidth="1"/>
    <col min="21" max="21" width="0.5" style="2" customWidth="1"/>
    <col min="22" max="22" width="15.1640625" style="2" bestFit="1" customWidth="1"/>
    <col min="23" max="23" width="0.5" style="2" customWidth="1"/>
    <col min="24" max="24" width="12.5" style="2" customWidth="1"/>
    <col min="25" max="25" width="0.5" style="2" customWidth="1"/>
    <col min="26" max="26" width="11.5" style="2" customWidth="1"/>
    <col min="27" max="27" width="9.1640625" style="2"/>
    <col min="28" max="28" width="11.5" style="2" bestFit="1" customWidth="1"/>
    <col min="29" max="16384" width="9.1640625" style="2"/>
  </cols>
  <sheetData>
    <row r="1" spans="1:28" x14ac:dyDescent="0.15">
      <c r="A1" s="176" t="s">
        <v>0</v>
      </c>
      <c r="B1" s="176"/>
      <c r="C1" s="176"/>
      <c r="D1" s="176"/>
      <c r="E1" s="176"/>
      <c r="F1" s="176"/>
      <c r="G1" s="176"/>
      <c r="H1" s="176"/>
      <c r="I1" s="176"/>
      <c r="J1" s="176"/>
      <c r="K1" s="176"/>
      <c r="L1" s="176"/>
      <c r="M1" s="176"/>
    </row>
    <row r="3" spans="1:28" x14ac:dyDescent="0.15">
      <c r="A3" s="177" t="s">
        <v>197</v>
      </c>
      <c r="B3" s="177"/>
      <c r="C3" s="177"/>
      <c r="D3" s="177"/>
      <c r="E3" s="177"/>
      <c r="F3" s="177"/>
      <c r="G3" s="177"/>
      <c r="H3" s="177"/>
      <c r="I3" s="177"/>
      <c r="J3" s="177"/>
      <c r="K3" s="177"/>
      <c r="L3" s="177"/>
      <c r="M3" s="177"/>
    </row>
    <row r="5" spans="1:28" x14ac:dyDescent="0.15">
      <c r="A5" s="177" t="s">
        <v>2</v>
      </c>
      <c r="B5" s="177"/>
      <c r="C5" s="177"/>
      <c r="D5" s="177"/>
      <c r="E5" s="177"/>
      <c r="F5" s="177"/>
      <c r="G5" s="177"/>
      <c r="H5" s="177"/>
      <c r="I5" s="177"/>
      <c r="J5" s="177"/>
      <c r="K5" s="177"/>
      <c r="L5" s="177"/>
      <c r="M5" s="177"/>
    </row>
    <row r="6" spans="1:28" x14ac:dyDescent="0.15">
      <c r="A6" s="1"/>
      <c r="B6" s="1"/>
      <c r="C6" s="1"/>
      <c r="D6" s="1"/>
      <c r="E6" s="1"/>
      <c r="F6" s="1"/>
      <c r="G6" s="1"/>
      <c r="H6" s="1"/>
      <c r="I6" s="1"/>
      <c r="J6" s="1"/>
      <c r="K6" s="1"/>
      <c r="L6" s="1"/>
      <c r="M6" s="1"/>
    </row>
    <row r="7" spans="1:28" x14ac:dyDescent="0.15">
      <c r="A7" s="1"/>
      <c r="B7" s="1"/>
      <c r="C7" s="1"/>
      <c r="D7" s="1"/>
      <c r="E7" s="1"/>
      <c r="F7" s="1"/>
      <c r="G7" s="1"/>
      <c r="H7" s="1"/>
      <c r="I7" s="1"/>
      <c r="J7" s="1"/>
      <c r="K7" s="1"/>
      <c r="L7" s="1"/>
      <c r="M7" s="1"/>
    </row>
    <row r="10" spans="1:28" ht="14" customHeight="1" x14ac:dyDescent="0.15">
      <c r="C10" s="180" t="s">
        <v>198</v>
      </c>
      <c r="D10" s="180"/>
      <c r="E10" s="180"/>
      <c r="F10" s="180"/>
      <c r="G10" s="180"/>
      <c r="H10" s="180"/>
      <c r="I10" s="180"/>
      <c r="J10" s="1"/>
      <c r="K10" s="180" t="s">
        <v>199</v>
      </c>
      <c r="L10" s="180"/>
      <c r="M10" s="180"/>
      <c r="O10" s="180" t="s">
        <v>199</v>
      </c>
      <c r="P10" s="180"/>
      <c r="Q10" s="180"/>
      <c r="R10" s="180"/>
      <c r="S10" s="180"/>
      <c r="T10" s="180"/>
    </row>
    <row r="11" spans="1:28" ht="14" customHeight="1" x14ac:dyDescent="0.1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8" ht="14" customHeight="1" x14ac:dyDescent="0.15">
      <c r="A12" s="1"/>
      <c r="B12" s="1"/>
      <c r="C12" s="1" t="s">
        <v>200</v>
      </c>
      <c r="D12" s="1"/>
      <c r="E12" s="1" t="s">
        <v>201</v>
      </c>
      <c r="F12" s="1"/>
      <c r="G12" s="1"/>
      <c r="H12" s="1"/>
      <c r="I12" s="1"/>
      <c r="J12" s="1"/>
      <c r="K12" s="1"/>
      <c r="L12" s="1"/>
      <c r="M12" s="1" t="s">
        <v>202</v>
      </c>
      <c r="N12" s="1"/>
      <c r="O12" s="1"/>
      <c r="P12" s="1" t="s">
        <v>200</v>
      </c>
      <c r="Q12" s="1"/>
      <c r="R12" s="1"/>
      <c r="S12" s="1"/>
      <c r="T12" s="1"/>
      <c r="U12" s="1"/>
      <c r="V12" s="1" t="s">
        <v>78</v>
      </c>
      <c r="W12" s="1"/>
      <c r="X12" s="1" t="s">
        <v>203</v>
      </c>
      <c r="Y12" s="1"/>
      <c r="Z12" s="1"/>
    </row>
    <row r="13" spans="1:28" ht="14" customHeight="1" x14ac:dyDescent="0.15">
      <c r="A13" s="1" t="s">
        <v>204</v>
      </c>
      <c r="B13" s="1"/>
      <c r="C13" s="1" t="s">
        <v>205</v>
      </c>
      <c r="D13" s="1"/>
      <c r="E13" s="1" t="s">
        <v>95</v>
      </c>
      <c r="F13" s="1"/>
      <c r="G13" s="1" t="s">
        <v>206</v>
      </c>
      <c r="H13" s="1"/>
      <c r="I13" s="1" t="s">
        <v>207</v>
      </c>
      <c r="J13" s="1"/>
      <c r="K13" s="1" t="s">
        <v>208</v>
      </c>
      <c r="L13" s="1"/>
      <c r="M13" s="1" t="s">
        <v>95</v>
      </c>
      <c r="N13" s="1"/>
      <c r="O13" s="1"/>
      <c r="P13" s="1" t="s">
        <v>205</v>
      </c>
      <c r="Q13" s="1"/>
      <c r="R13" s="1" t="s">
        <v>207</v>
      </c>
      <c r="S13" s="1"/>
      <c r="T13" s="1" t="s">
        <v>206</v>
      </c>
      <c r="U13" s="1"/>
      <c r="V13" s="1" t="s">
        <v>209</v>
      </c>
      <c r="W13" s="1"/>
      <c r="X13" s="1" t="s">
        <v>210</v>
      </c>
      <c r="Y13" s="1"/>
      <c r="Z13" s="1" t="s">
        <v>211</v>
      </c>
    </row>
    <row r="14" spans="1:28" ht="14" customHeight="1" x14ac:dyDescent="0.15">
      <c r="A14" s="172" t="s">
        <v>4</v>
      </c>
      <c r="B14" s="8"/>
      <c r="C14" s="172" t="s">
        <v>212</v>
      </c>
      <c r="D14" s="8"/>
      <c r="E14" s="172" t="s">
        <v>205</v>
      </c>
      <c r="F14" s="8"/>
      <c r="G14" s="172" t="s">
        <v>213</v>
      </c>
      <c r="H14" s="1"/>
      <c r="I14" s="172" t="s">
        <v>214</v>
      </c>
      <c r="J14" s="1"/>
      <c r="K14" s="172" t="s">
        <v>212</v>
      </c>
      <c r="L14" s="8"/>
      <c r="M14" s="172" t="s">
        <v>205</v>
      </c>
      <c r="N14" s="8"/>
      <c r="O14" s="8"/>
      <c r="P14" s="172" t="s">
        <v>212</v>
      </c>
      <c r="Q14" s="8"/>
      <c r="R14" s="172" t="s">
        <v>214</v>
      </c>
      <c r="S14" s="8"/>
      <c r="T14" s="172" t="s">
        <v>213</v>
      </c>
      <c r="U14" s="1"/>
      <c r="V14" s="172" t="s">
        <v>215</v>
      </c>
      <c r="W14" s="1"/>
      <c r="X14" s="172" t="s">
        <v>216</v>
      </c>
      <c r="Y14" s="1"/>
      <c r="Z14" s="172" t="s">
        <v>217</v>
      </c>
      <c r="AB14" s="2" t="s">
        <v>218</v>
      </c>
    </row>
    <row r="15" spans="1:28" ht="14" customHeight="1" x14ac:dyDescent="0.15">
      <c r="A15" s="1">
        <v>2024</v>
      </c>
      <c r="B15" s="8"/>
      <c r="C15" s="19">
        <v>49860745</v>
      </c>
      <c r="D15" s="9"/>
      <c r="E15" s="20">
        <v>44612349</v>
      </c>
      <c r="F15" s="9"/>
      <c r="G15" s="20">
        <v>0</v>
      </c>
      <c r="H15" s="9"/>
      <c r="I15" s="9">
        <v>54614</v>
      </c>
      <c r="J15" s="9"/>
      <c r="K15" s="19">
        <v>0</v>
      </c>
      <c r="M15" s="20">
        <v>22590898</v>
      </c>
      <c r="P15" s="20">
        <v>3263722</v>
      </c>
      <c r="R15" s="20">
        <v>163843</v>
      </c>
      <c r="T15" s="20">
        <v>0</v>
      </c>
      <c r="V15" s="20">
        <v>120546171</v>
      </c>
      <c r="X15" s="14">
        <v>6.7299999999999999E-2</v>
      </c>
      <c r="Y15" s="1"/>
      <c r="Z15" s="18">
        <f>V15/43969</f>
        <v>2741.6172985512521</v>
      </c>
      <c r="AB15" s="2">
        <v>43969</v>
      </c>
    </row>
    <row r="16" spans="1:28" ht="14" customHeight="1" x14ac:dyDescent="0.15">
      <c r="A16" s="1">
        <v>2023</v>
      </c>
      <c r="B16" s="8"/>
      <c r="C16" s="19">
        <f>50790000+3714618</f>
        <v>54504618</v>
      </c>
      <c r="D16" s="9"/>
      <c r="E16" s="20">
        <f>24565000+1418440</f>
        <v>25983440</v>
      </c>
      <c r="F16" s="9"/>
      <c r="G16" s="20">
        <v>0</v>
      </c>
      <c r="H16" s="9"/>
      <c r="I16" s="20">
        <v>81921</v>
      </c>
      <c r="J16" s="9"/>
      <c r="K16" s="19">
        <v>0</v>
      </c>
      <c r="M16" s="20">
        <f>22005000+1524237</f>
        <v>23529237</v>
      </c>
      <c r="P16" s="20">
        <f>3525000+562062</f>
        <v>4087062</v>
      </c>
      <c r="R16" s="20">
        <v>245764</v>
      </c>
      <c r="T16" s="20">
        <v>0</v>
      </c>
      <c r="V16" s="20">
        <v>108432042</v>
      </c>
      <c r="X16" s="14">
        <v>5.8200000000000002E-2</v>
      </c>
      <c r="Y16" s="1"/>
      <c r="Z16" s="18">
        <f>V16/43010</f>
        <v>2521.0890955591722</v>
      </c>
      <c r="AB16" s="2">
        <v>43010</v>
      </c>
    </row>
    <row r="17" spans="1:28" ht="14" customHeight="1" x14ac:dyDescent="0.15">
      <c r="A17" s="1">
        <v>2022</v>
      </c>
      <c r="C17" s="19">
        <f>49375000+5695000+3767302</f>
        <v>58837302</v>
      </c>
      <c r="D17" s="9"/>
      <c r="E17" s="20">
        <f>26135000+1734333</f>
        <v>27869333</v>
      </c>
      <c r="F17" s="9"/>
      <c r="G17" s="20">
        <v>0</v>
      </c>
      <c r="H17" s="9"/>
      <c r="I17" s="20">
        <v>109228</v>
      </c>
      <c r="J17" s="9"/>
      <c r="K17" s="19">
        <v>0</v>
      </c>
      <c r="L17" s="9"/>
      <c r="M17" s="20">
        <f>22845000+1371388</f>
        <v>24216388</v>
      </c>
      <c r="N17" s="9"/>
      <c r="O17" s="9"/>
      <c r="P17" s="20">
        <f>4265000+846592</f>
        <v>5111592</v>
      </c>
      <c r="Q17" s="9"/>
      <c r="R17" s="20">
        <v>327685</v>
      </c>
      <c r="S17" s="9"/>
      <c r="T17" s="20">
        <v>0</v>
      </c>
      <c r="U17" s="9"/>
      <c r="V17" s="20">
        <f>SUM(C17:T17)</f>
        <v>116471528</v>
      </c>
      <c r="W17" s="9"/>
      <c r="X17" s="14">
        <v>5.2400000000000002E-2</v>
      </c>
      <c r="Z17" s="18">
        <f>V17/AB17</f>
        <v>2729.374972660522</v>
      </c>
      <c r="AB17" s="165">
        <v>42673.333333333328</v>
      </c>
    </row>
    <row r="18" spans="1:28" ht="14" customHeight="1" x14ac:dyDescent="0.15">
      <c r="A18" s="1">
        <v>2021</v>
      </c>
      <c r="B18" s="1"/>
      <c r="C18" s="19">
        <v>40390000</v>
      </c>
      <c r="D18" s="9"/>
      <c r="E18" s="20">
        <v>14200000</v>
      </c>
      <c r="F18" s="9"/>
      <c r="G18" s="20">
        <v>155000</v>
      </c>
      <c r="H18" s="9"/>
      <c r="I18" s="20">
        <v>136535</v>
      </c>
      <c r="J18" s="9"/>
      <c r="K18" s="19">
        <v>0</v>
      </c>
      <c r="L18" s="9"/>
      <c r="M18" s="20">
        <v>10655000</v>
      </c>
      <c r="N18" s="9"/>
      <c r="O18" s="9"/>
      <c r="P18" s="20">
        <v>2895000</v>
      </c>
      <c r="Q18" s="9"/>
      <c r="R18" s="20">
        <v>475121</v>
      </c>
      <c r="S18" s="9"/>
      <c r="T18" s="20">
        <v>0</v>
      </c>
      <c r="U18" s="9"/>
      <c r="V18" s="20">
        <f>SUM(C18:T18)</f>
        <v>68906656</v>
      </c>
      <c r="W18" s="9"/>
      <c r="X18" s="14">
        <v>4.2500000000000003E-2</v>
      </c>
      <c r="Y18" s="3"/>
      <c r="Z18" s="18">
        <f t="shared" ref="Z18:Z19" si="0">V18/AB18</f>
        <v>1627.5881269191402</v>
      </c>
      <c r="AB18" s="165">
        <v>42336.666666666664</v>
      </c>
    </row>
    <row r="19" spans="1:28" ht="14" customHeight="1" x14ac:dyDescent="0.15">
      <c r="A19" s="1">
        <v>2020</v>
      </c>
      <c r="B19" s="1"/>
      <c r="C19" s="19">
        <v>44620000</v>
      </c>
      <c r="D19" s="9"/>
      <c r="E19" s="20">
        <v>15415000</v>
      </c>
      <c r="F19" s="9"/>
      <c r="G19" s="20">
        <v>345000</v>
      </c>
      <c r="H19" s="9"/>
      <c r="I19" s="20">
        <v>25695</v>
      </c>
      <c r="J19" s="9"/>
      <c r="K19" s="19">
        <v>0</v>
      </c>
      <c r="L19" s="9"/>
      <c r="M19" s="20">
        <v>11200000</v>
      </c>
      <c r="N19" s="9"/>
      <c r="O19" s="9"/>
      <c r="P19" s="20">
        <v>3685000</v>
      </c>
      <c r="Q19" s="9"/>
      <c r="R19" s="20">
        <v>134662</v>
      </c>
      <c r="S19" s="9"/>
      <c r="T19" s="20">
        <v>150000</v>
      </c>
      <c r="U19" s="9"/>
      <c r="V19" s="20">
        <f>SUM(C19:T19)</f>
        <v>75575357</v>
      </c>
      <c r="W19" s="9"/>
      <c r="X19" s="14">
        <v>4.4999999999999998E-2</v>
      </c>
      <c r="Y19" s="3"/>
      <c r="Z19" s="18">
        <f t="shared" si="0"/>
        <v>1799.4132619047618</v>
      </c>
      <c r="AB19" s="165">
        <v>42000</v>
      </c>
    </row>
    <row r="20" spans="1:28" ht="14" customHeight="1" x14ac:dyDescent="0.15">
      <c r="A20" s="1">
        <v>2019</v>
      </c>
      <c r="B20" s="1"/>
      <c r="C20" s="19">
        <v>48320000</v>
      </c>
      <c r="D20" s="9"/>
      <c r="E20" s="19">
        <v>16235000</v>
      </c>
      <c r="F20" s="9"/>
      <c r="G20" s="19">
        <v>530000</v>
      </c>
      <c r="H20" s="9"/>
      <c r="I20" s="19">
        <v>25699</v>
      </c>
      <c r="J20" s="9"/>
      <c r="K20" s="19">
        <v>0</v>
      </c>
      <c r="L20" s="9"/>
      <c r="M20" s="19">
        <v>12330000</v>
      </c>
      <c r="N20" s="9"/>
      <c r="O20" s="9"/>
      <c r="P20" s="19">
        <v>4445000</v>
      </c>
      <c r="Q20" s="9"/>
      <c r="R20" s="19">
        <v>199421</v>
      </c>
      <c r="S20" s="9"/>
      <c r="T20" s="19">
        <v>460000</v>
      </c>
      <c r="U20" s="9"/>
      <c r="V20" s="19">
        <f>SUM(C20:T20)</f>
        <v>82545120</v>
      </c>
      <c r="W20" s="9"/>
      <c r="X20" s="14">
        <v>5.6029051543304793E-2</v>
      </c>
      <c r="Y20" s="3"/>
      <c r="Z20" s="18">
        <v>1931.6029391117142</v>
      </c>
    </row>
    <row r="21" spans="1:28" ht="14" customHeight="1" x14ac:dyDescent="0.15">
      <c r="A21" s="1">
        <v>2018</v>
      </c>
      <c r="B21" s="1"/>
      <c r="C21" s="19">
        <v>52752896</v>
      </c>
      <c r="D21" s="9"/>
      <c r="E21" s="20">
        <v>13636966</v>
      </c>
      <c r="F21" s="9"/>
      <c r="G21" s="20">
        <v>715000</v>
      </c>
      <c r="H21" s="9"/>
      <c r="I21" s="20">
        <v>34264</v>
      </c>
      <c r="J21" s="9"/>
      <c r="K21" s="19">
        <v>0</v>
      </c>
      <c r="L21" s="9"/>
      <c r="M21" s="20">
        <v>13211178</v>
      </c>
      <c r="N21" s="9"/>
      <c r="O21" s="9"/>
      <c r="P21" s="20">
        <v>2127657</v>
      </c>
      <c r="Q21" s="9"/>
      <c r="R21" s="20">
        <v>289553</v>
      </c>
      <c r="S21" s="9"/>
      <c r="T21" s="20">
        <v>765000</v>
      </c>
      <c r="U21" s="9"/>
      <c r="V21" s="20">
        <f>SUM(C21:T21)</f>
        <v>83532514</v>
      </c>
      <c r="W21" s="9"/>
      <c r="X21" s="14">
        <f>V21/'Table 17'!E14</f>
        <v>5.9816407751933032E-2</v>
      </c>
      <c r="Y21" s="3"/>
      <c r="Z21" s="18">
        <v>2028</v>
      </c>
      <c r="AB21" s="94"/>
    </row>
    <row r="22" spans="1:28" ht="14" customHeight="1" x14ac:dyDescent="0.15">
      <c r="A22" s="1">
        <v>2017</v>
      </c>
      <c r="B22" s="1"/>
      <c r="C22" s="19">
        <v>56613614</v>
      </c>
      <c r="D22" s="19"/>
      <c r="E22" s="20">
        <v>9011415</v>
      </c>
      <c r="F22" s="21"/>
      <c r="G22" s="22">
        <v>1230000</v>
      </c>
      <c r="H22" s="22"/>
      <c r="I22" s="22">
        <v>25147</v>
      </c>
      <c r="J22" s="23"/>
      <c r="K22" s="19">
        <v>0</v>
      </c>
      <c r="L22" s="21"/>
      <c r="M22" s="20">
        <v>8174779</v>
      </c>
      <c r="N22" s="24"/>
      <c r="O22" s="24"/>
      <c r="P22" s="22">
        <v>2533626</v>
      </c>
      <c r="Q22" s="24"/>
      <c r="R22" s="22">
        <v>92721</v>
      </c>
      <c r="S22" s="24"/>
      <c r="T22" s="22">
        <v>1065000</v>
      </c>
      <c r="U22" s="23"/>
      <c r="V22" s="20">
        <f t="shared" ref="V22:V26" si="1">SUM(C22:T22)</f>
        <v>78746302</v>
      </c>
      <c r="W22" s="9"/>
      <c r="X22" s="14">
        <v>6.2199999999999998E-2</v>
      </c>
      <c r="Y22" s="3"/>
      <c r="Z22" s="18">
        <v>1996</v>
      </c>
    </row>
    <row r="23" spans="1:28" ht="14" customHeight="1" x14ac:dyDescent="0.15">
      <c r="A23" s="1">
        <v>2016</v>
      </c>
      <c r="B23" s="1"/>
      <c r="C23" s="19">
        <v>56352272</v>
      </c>
      <c r="D23" s="19"/>
      <c r="E23" s="20">
        <v>4057189</v>
      </c>
      <c r="F23" s="21"/>
      <c r="G23" s="22">
        <v>1740000</v>
      </c>
      <c r="H23" s="22"/>
      <c r="I23" s="22">
        <v>58321</v>
      </c>
      <c r="J23" s="23"/>
      <c r="K23" s="19">
        <v>0</v>
      </c>
      <c r="L23" s="21"/>
      <c r="M23" s="20">
        <v>8331966</v>
      </c>
      <c r="N23" s="24"/>
      <c r="O23" s="24"/>
      <c r="P23" s="22">
        <v>3014595</v>
      </c>
      <c r="Q23" s="24"/>
      <c r="R23" s="22">
        <v>162262</v>
      </c>
      <c r="S23" s="24"/>
      <c r="T23" s="22">
        <v>1360000</v>
      </c>
      <c r="U23" s="23"/>
      <c r="V23" s="20">
        <f t="shared" si="1"/>
        <v>75076605</v>
      </c>
      <c r="W23" s="9"/>
      <c r="X23" s="14">
        <v>6.3877627834970183E-2</v>
      </c>
      <c r="Y23" s="3"/>
      <c r="Z23" s="18">
        <v>1979</v>
      </c>
    </row>
    <row r="24" spans="1:28" ht="14" customHeight="1" x14ac:dyDescent="0.15">
      <c r="A24" s="1">
        <v>2015</v>
      </c>
      <c r="B24" s="1"/>
      <c r="C24" s="3">
        <v>53410128</v>
      </c>
      <c r="D24" s="9"/>
      <c r="E24" s="3">
        <v>277801</v>
      </c>
      <c r="F24" s="9"/>
      <c r="G24" s="3">
        <v>1210000</v>
      </c>
      <c r="H24" s="9"/>
      <c r="I24" s="3">
        <v>91495</v>
      </c>
      <c r="J24" s="9"/>
      <c r="K24" s="3">
        <v>0</v>
      </c>
      <c r="L24" s="9"/>
      <c r="M24" s="3">
        <v>8946153</v>
      </c>
      <c r="N24" s="9"/>
      <c r="O24" s="9"/>
      <c r="P24" s="3">
        <v>3490564</v>
      </c>
      <c r="Q24" s="9"/>
      <c r="R24" s="3">
        <v>231803</v>
      </c>
      <c r="S24" s="9"/>
      <c r="T24" s="3">
        <v>1640000</v>
      </c>
      <c r="U24" s="9"/>
      <c r="V24" s="20">
        <f t="shared" si="1"/>
        <v>69297944</v>
      </c>
      <c r="W24" s="9"/>
      <c r="X24" s="14">
        <v>5.985126200561898E-2</v>
      </c>
      <c r="Y24" s="3"/>
      <c r="Z24" s="18">
        <v>1830</v>
      </c>
    </row>
    <row r="25" spans="1:28" ht="14" customHeight="1" x14ac:dyDescent="0.15">
      <c r="A25" s="1">
        <v>2014</v>
      </c>
      <c r="B25" s="1"/>
      <c r="C25" s="3">
        <v>56487433</v>
      </c>
      <c r="D25" s="3"/>
      <c r="E25" s="3">
        <v>543934</v>
      </c>
      <c r="F25" s="3"/>
      <c r="G25" s="3">
        <v>1585000</v>
      </c>
      <c r="H25" s="3"/>
      <c r="I25" s="3">
        <v>123370</v>
      </c>
      <c r="J25" s="3"/>
      <c r="K25" s="3">
        <v>0</v>
      </c>
      <c r="L25" s="3"/>
      <c r="M25" s="3">
        <v>9561204</v>
      </c>
      <c r="N25" s="3"/>
      <c r="O25" s="3"/>
      <c r="P25" s="3">
        <v>3966533</v>
      </c>
      <c r="Q25" s="3"/>
      <c r="R25" s="3">
        <v>347705</v>
      </c>
      <c r="S25" s="3"/>
      <c r="T25" s="3">
        <v>65000</v>
      </c>
      <c r="U25" s="3"/>
      <c r="V25" s="20">
        <f t="shared" si="1"/>
        <v>72680179</v>
      </c>
      <c r="W25" s="3"/>
      <c r="X25" s="14">
        <v>6.3505763332611376E-2</v>
      </c>
      <c r="Y25" s="3"/>
      <c r="Z25" s="18">
        <v>1992</v>
      </c>
    </row>
    <row r="26" spans="1:28" ht="14" customHeight="1" x14ac:dyDescent="0.15">
      <c r="A26" s="1">
        <v>2013</v>
      </c>
      <c r="B26" s="1"/>
      <c r="C26" s="3">
        <v>58693750</v>
      </c>
      <c r="D26" s="3"/>
      <c r="E26" s="3">
        <v>801767</v>
      </c>
      <c r="F26" s="3"/>
      <c r="G26" s="3">
        <v>2155000</v>
      </c>
      <c r="H26" s="3"/>
      <c r="I26" s="3">
        <v>22398</v>
      </c>
      <c r="J26" s="3"/>
      <c r="K26" s="3">
        <v>2215000</v>
      </c>
      <c r="L26" s="3"/>
      <c r="M26" s="3">
        <v>5048233</v>
      </c>
      <c r="N26" s="3"/>
      <c r="O26" s="3"/>
      <c r="P26" s="3">
        <v>2127502</v>
      </c>
      <c r="Q26" s="3"/>
      <c r="R26" s="3">
        <v>0</v>
      </c>
      <c r="S26" s="3"/>
      <c r="T26" s="3">
        <v>130000</v>
      </c>
      <c r="U26" s="3"/>
      <c r="V26" s="20">
        <f t="shared" si="1"/>
        <v>71193650</v>
      </c>
      <c r="W26" s="3"/>
      <c r="X26" s="14">
        <v>6.4997355038163451E-2</v>
      </c>
      <c r="Y26" s="3"/>
      <c r="Z26" s="18">
        <v>1982</v>
      </c>
    </row>
    <row r="27" spans="1:28" ht="14" hidden="1" customHeight="1" x14ac:dyDescent="0.15">
      <c r="A27" s="1">
        <v>2012</v>
      </c>
      <c r="B27" s="1"/>
      <c r="C27" s="3">
        <v>60878759</v>
      </c>
      <c r="D27" s="3"/>
      <c r="E27" s="3">
        <v>1581300</v>
      </c>
      <c r="F27" s="3"/>
      <c r="G27" s="3">
        <v>190000</v>
      </c>
      <c r="H27" s="3"/>
      <c r="I27" s="3">
        <v>60190</v>
      </c>
      <c r="J27" s="3"/>
      <c r="K27" s="3">
        <v>2342656</v>
      </c>
      <c r="L27" s="3"/>
      <c r="M27" s="3">
        <v>5383700</v>
      </c>
      <c r="N27" s="3"/>
      <c r="O27" s="3"/>
      <c r="P27" s="3">
        <v>2413471</v>
      </c>
      <c r="Q27" s="3"/>
      <c r="R27" s="3">
        <v>0</v>
      </c>
      <c r="S27" s="3"/>
      <c r="T27" s="3">
        <v>190000</v>
      </c>
      <c r="U27" s="3"/>
      <c r="V27" s="3">
        <v>73040076</v>
      </c>
      <c r="W27" s="3"/>
      <c r="X27" s="14">
        <v>8.1541675870331398E-2</v>
      </c>
      <c r="Y27" s="3"/>
      <c r="Z27" s="18">
        <v>2117</v>
      </c>
    </row>
    <row r="28" spans="1:28" ht="14" customHeight="1" x14ac:dyDescent="0.15">
      <c r="V28" s="14"/>
    </row>
    <row r="29" spans="1:28" ht="14" customHeight="1" x14ac:dyDescent="0.15"/>
    <row r="30" spans="1:28" ht="14" customHeight="1" x14ac:dyDescent="0.15"/>
    <row r="31" spans="1:28" ht="14" customHeight="1" x14ac:dyDescent="0.15"/>
    <row r="32" spans="1:28" ht="14" customHeight="1" x14ac:dyDescent="0.15"/>
    <row r="33" ht="14" customHeight="1" x14ac:dyDescent="0.15"/>
    <row r="34" ht="14" customHeight="1" x14ac:dyDescent="0.15"/>
    <row r="35" ht="14" customHeight="1" x14ac:dyDescent="0.15"/>
    <row r="36" ht="14" customHeight="1" x14ac:dyDescent="0.15"/>
  </sheetData>
  <mergeCells count="6">
    <mergeCell ref="O10:T10"/>
    <mergeCell ref="C10:I10"/>
    <mergeCell ref="A1:M1"/>
    <mergeCell ref="A3:M3"/>
    <mergeCell ref="A5:M5"/>
    <mergeCell ref="K10:M10"/>
  </mergeCells>
  <pageMargins left="0.75" right="0.75" top="0.5" bottom="1" header="0.5" footer="0.5"/>
  <pageSetup firstPageNumber="105" orientation="portrait" useFirstPageNumber="1" r:id="rId1"/>
  <headerFooter differentOddEven="1" alignWithMargins="0">
    <oddFooter>&amp;C&amp;"Verdana,Bold"&amp;9&amp;P</oddFooter>
    <evenHeader>&amp;R&amp;"Verdana,Bold"&amp;9TABLE 12</evenHeader>
    <evenFooter>&amp;C&amp;"Verdana,Bold"&amp;9&amp;P</evenFooter>
  </headerFooter>
  <customProperties>
    <customPr name="OrphanNamesChecke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P34"/>
  <sheetViews>
    <sheetView zoomScale="94" zoomScaleNormal="94" workbookViewId="0">
      <selection activeCell="G17" sqref="G17"/>
    </sheetView>
  </sheetViews>
  <sheetFormatPr baseColWidth="10" defaultColWidth="9.1640625" defaultRowHeight="12" x14ac:dyDescent="0.15"/>
  <cols>
    <col min="1" max="1" width="5.33203125" style="2" customWidth="1"/>
    <col min="2" max="2" width="0.5" style="2" customWidth="1"/>
    <col min="3" max="3" width="13.6640625" style="2" customWidth="1"/>
    <col min="4" max="4" width="0.5" style="2" customWidth="1"/>
    <col min="5" max="5" width="13.6640625" style="2" customWidth="1"/>
    <col min="6" max="6" width="0.5" style="2" customWidth="1"/>
    <col min="7" max="7" width="13.6640625" style="2" customWidth="1"/>
    <col min="8" max="8" width="0.5" style="2" customWidth="1"/>
    <col min="9" max="9" width="17.6640625" style="2" bestFit="1" customWidth="1"/>
    <col min="10" max="10" width="0.5" style="2" customWidth="1"/>
    <col min="11" max="11" width="12.6640625" style="2" customWidth="1"/>
    <col min="12" max="12" width="0.5" style="2" customWidth="1"/>
    <col min="13" max="13" width="11.1640625" style="2" customWidth="1"/>
    <col min="14" max="14" width="2.6640625" style="2" customWidth="1"/>
    <col min="15" max="15" width="11.1640625" style="2" bestFit="1" customWidth="1"/>
    <col min="16" max="16" width="19.5" style="2" bestFit="1" customWidth="1"/>
    <col min="17" max="16384" width="9.1640625" style="2"/>
  </cols>
  <sheetData>
    <row r="1" spans="1:16" x14ac:dyDescent="0.15">
      <c r="A1" s="176" t="s">
        <v>0</v>
      </c>
      <c r="B1" s="176"/>
      <c r="C1" s="176"/>
      <c r="D1" s="176"/>
      <c r="E1" s="176"/>
      <c r="F1" s="176"/>
      <c r="G1" s="176"/>
      <c r="H1" s="176"/>
      <c r="I1" s="176"/>
      <c r="J1" s="176"/>
      <c r="K1" s="176"/>
      <c r="L1" s="176"/>
      <c r="M1" s="176"/>
    </row>
    <row r="3" spans="1:16" x14ac:dyDescent="0.15">
      <c r="A3" s="177" t="s">
        <v>219</v>
      </c>
      <c r="B3" s="177"/>
      <c r="C3" s="177"/>
      <c r="D3" s="177"/>
      <c r="E3" s="177"/>
      <c r="F3" s="177"/>
      <c r="G3" s="177"/>
      <c r="H3" s="177"/>
      <c r="I3" s="177"/>
      <c r="J3" s="177"/>
      <c r="K3" s="177"/>
      <c r="L3" s="177"/>
      <c r="M3" s="177"/>
    </row>
    <row r="5" spans="1:16" x14ac:dyDescent="0.15">
      <c r="A5" s="177" t="s">
        <v>2</v>
      </c>
      <c r="B5" s="177"/>
      <c r="C5" s="177"/>
      <c r="D5" s="177"/>
      <c r="E5" s="177"/>
      <c r="F5" s="177"/>
      <c r="G5" s="177"/>
      <c r="H5" s="177"/>
      <c r="I5" s="177"/>
      <c r="J5" s="177"/>
      <c r="K5" s="177"/>
      <c r="L5" s="177"/>
      <c r="M5" s="177"/>
    </row>
    <row r="10" spans="1:16" ht="14" customHeight="1" x14ac:dyDescent="0.15">
      <c r="C10" s="180" t="s">
        <v>220</v>
      </c>
      <c r="D10" s="180"/>
      <c r="E10" s="180"/>
      <c r="F10" s="180"/>
      <c r="G10" s="180"/>
      <c r="H10" s="180"/>
      <c r="I10" s="180"/>
      <c r="J10" s="1"/>
      <c r="K10" s="1"/>
      <c r="L10" s="1"/>
      <c r="M10" s="1"/>
    </row>
    <row r="11" spans="1:16" ht="14" customHeight="1" x14ac:dyDescent="0.15">
      <c r="A11" s="1"/>
      <c r="B11" s="1"/>
      <c r="C11" s="1"/>
      <c r="D11" s="1"/>
      <c r="E11" s="1"/>
      <c r="F11" s="1"/>
      <c r="G11" s="1" t="s">
        <v>221</v>
      </c>
      <c r="H11" s="1"/>
      <c r="I11" s="1"/>
      <c r="J11" s="1"/>
      <c r="K11" s="1" t="s">
        <v>222</v>
      </c>
      <c r="L11" s="1"/>
      <c r="M11" s="1"/>
    </row>
    <row r="12" spans="1:16" ht="14" customHeight="1" x14ac:dyDescent="0.15">
      <c r="A12" s="1"/>
      <c r="B12" s="1"/>
      <c r="C12" s="1" t="s">
        <v>200</v>
      </c>
      <c r="D12" s="1"/>
      <c r="E12" s="1" t="s">
        <v>202</v>
      </c>
      <c r="F12" s="1"/>
      <c r="G12" s="1" t="s">
        <v>223</v>
      </c>
      <c r="H12" s="1"/>
      <c r="I12" s="1"/>
      <c r="J12" s="1"/>
      <c r="K12" s="1" t="s">
        <v>224</v>
      </c>
      <c r="L12" s="1"/>
      <c r="M12" s="1"/>
      <c r="P12" s="63" t="s">
        <v>225</v>
      </c>
    </row>
    <row r="13" spans="1:16" ht="14" customHeight="1" x14ac:dyDescent="0.15">
      <c r="A13" s="1" t="s">
        <v>3</v>
      </c>
      <c r="B13" s="1"/>
      <c r="C13" s="1" t="s">
        <v>226</v>
      </c>
      <c r="D13" s="1"/>
      <c r="E13" s="1" t="s">
        <v>95</v>
      </c>
      <c r="F13" s="1"/>
      <c r="G13" s="1" t="s">
        <v>227</v>
      </c>
      <c r="H13" s="1"/>
      <c r="I13" s="1"/>
      <c r="J13" s="1"/>
      <c r="K13" s="1" t="s">
        <v>228</v>
      </c>
      <c r="L13" s="1"/>
      <c r="M13" s="1" t="s">
        <v>229</v>
      </c>
      <c r="P13" s="63" t="s">
        <v>98</v>
      </c>
    </row>
    <row r="14" spans="1:16" ht="14" customHeight="1" x14ac:dyDescent="0.15">
      <c r="A14" s="172" t="s">
        <v>4</v>
      </c>
      <c r="B14" s="1"/>
      <c r="C14" s="172" t="s">
        <v>212</v>
      </c>
      <c r="D14" s="1"/>
      <c r="E14" s="172" t="s">
        <v>205</v>
      </c>
      <c r="F14" s="1"/>
      <c r="G14" s="172" t="s">
        <v>230</v>
      </c>
      <c r="H14" s="1"/>
      <c r="I14" s="172" t="s">
        <v>78</v>
      </c>
      <c r="J14" s="1"/>
      <c r="K14" s="172" t="s">
        <v>174</v>
      </c>
      <c r="L14" s="1"/>
      <c r="M14" s="172" t="s">
        <v>217</v>
      </c>
      <c r="O14" s="65" t="s">
        <v>231</v>
      </c>
      <c r="P14" s="63" t="s">
        <v>100</v>
      </c>
    </row>
    <row r="15" spans="1:16" ht="14" customHeight="1" x14ac:dyDescent="0.15">
      <c r="A15" s="1">
        <v>2024</v>
      </c>
      <c r="B15" s="1"/>
      <c r="C15" s="164">
        <f>'Table 12'!P15+'Table 12'!C15</f>
        <v>53124467</v>
      </c>
      <c r="D15" s="1"/>
      <c r="E15" s="164">
        <f>'Table 12'!M15+'Table 12'!E15</f>
        <v>67203247</v>
      </c>
      <c r="F15" s="1"/>
      <c r="G15" s="15">
        <v>-1786712</v>
      </c>
      <c r="H15" s="1"/>
      <c r="I15" s="15">
        <f>C15+E15+G15</f>
        <v>118541002</v>
      </c>
      <c r="J15" s="1"/>
      <c r="K15" s="13">
        <f>I15/'Table 11#'!M13</f>
        <v>1.5560796947925152E-2</v>
      </c>
      <c r="L15" s="1"/>
      <c r="M15" s="9">
        <f>I15/O15</f>
        <v>2741.5296838502277</v>
      </c>
      <c r="O15" s="65">
        <v>43239</v>
      </c>
      <c r="P15" s="63">
        <f>'Table 11#'!M13</f>
        <v>7617926151</v>
      </c>
    </row>
    <row r="16" spans="1:16" ht="14" customHeight="1" x14ac:dyDescent="0.15">
      <c r="A16" s="1">
        <v>2023</v>
      </c>
      <c r="B16" s="1"/>
      <c r="C16" s="164">
        <f>'Table 12'!P16+'Table 12'!C16</f>
        <v>58591680</v>
      </c>
      <c r="D16" s="1"/>
      <c r="E16" s="164">
        <f>'Table 12'!M16+'Table 12'!E16</f>
        <v>49512677</v>
      </c>
      <c r="F16" s="1"/>
      <c r="G16" s="15">
        <v>-867965</v>
      </c>
      <c r="H16" s="1"/>
      <c r="I16" s="15">
        <f>C16+E16+G16</f>
        <v>107236392</v>
      </c>
      <c r="J16" s="1"/>
      <c r="K16" s="13">
        <f>I16/'Table 11#'!M14</f>
        <v>1.5909630986701073E-2</v>
      </c>
      <c r="L16" s="1"/>
      <c r="M16" s="9">
        <f>I16/O16</f>
        <v>2493.2897465705651</v>
      </c>
      <c r="O16" s="65">
        <f>'Table 12'!AB16</f>
        <v>43010</v>
      </c>
      <c r="P16" s="63">
        <f>'Table 11#'!M14</f>
        <v>6740344392</v>
      </c>
    </row>
    <row r="17" spans="1:16" ht="14" customHeight="1" x14ac:dyDescent="0.15">
      <c r="A17" s="1">
        <v>2022</v>
      </c>
      <c r="B17" s="1"/>
      <c r="C17" s="146">
        <f>'Table 12'!C17+'Table 12'!P17</f>
        <v>63948894</v>
      </c>
      <c r="D17" s="3"/>
      <c r="E17" s="146">
        <f>'Table 12'!E17+'Table 12'!M17</f>
        <v>52085721</v>
      </c>
      <c r="F17" s="3"/>
      <c r="G17" s="146">
        <v>-1550080</v>
      </c>
      <c r="H17" s="3"/>
      <c r="I17" s="146">
        <f>C17+E17+G17</f>
        <v>114484535</v>
      </c>
      <c r="K17" s="13">
        <f>I17/'Table 11#'!M15</f>
        <v>2.7220063369573017E-2</v>
      </c>
      <c r="M17" s="3">
        <f>I17/O17</f>
        <v>2682.8120996719267</v>
      </c>
      <c r="O17" s="65">
        <f>'Table 12'!AB17</f>
        <v>42673.333333333328</v>
      </c>
      <c r="P17" s="146">
        <v>4205887894</v>
      </c>
    </row>
    <row r="18" spans="1:16" ht="14" customHeight="1" x14ac:dyDescent="0.15">
      <c r="A18" s="1">
        <v>2021</v>
      </c>
      <c r="B18" s="1"/>
      <c r="C18" s="146">
        <v>43285000</v>
      </c>
      <c r="D18" s="3"/>
      <c r="E18" s="146">
        <v>24855000</v>
      </c>
      <c r="F18" s="3"/>
      <c r="G18" s="146">
        <v>-934899</v>
      </c>
      <c r="H18" s="3"/>
      <c r="I18" s="146">
        <f>C18+E18+G18</f>
        <v>67205101</v>
      </c>
      <c r="K18" s="13">
        <f>I18/'Table 11#'!M16</f>
        <v>1.6285681280356516E-2</v>
      </c>
      <c r="M18" s="3">
        <f>I18/O18</f>
        <v>1587.39707897016</v>
      </c>
      <c r="O18" s="65">
        <f>'Table 12'!AB18</f>
        <v>42336.666666666664</v>
      </c>
      <c r="P18" s="146">
        <v>4306840068</v>
      </c>
    </row>
    <row r="19" spans="1:16" ht="14" customHeight="1" x14ac:dyDescent="0.15">
      <c r="A19" s="1" t="s">
        <v>232</v>
      </c>
      <c r="B19" s="1"/>
      <c r="C19" s="146">
        <v>46223908</v>
      </c>
      <c r="D19" s="3"/>
      <c r="E19" s="146">
        <v>15801473</v>
      </c>
      <c r="F19" s="3"/>
      <c r="G19" s="146">
        <v>-1051874</v>
      </c>
      <c r="H19" s="3"/>
      <c r="I19" s="146">
        <v>60973507</v>
      </c>
      <c r="K19" s="13">
        <v>1.4683708637939316E-2</v>
      </c>
      <c r="M19" s="3">
        <v>1480.5863484046429</v>
      </c>
      <c r="O19" s="65">
        <f>'Table 12'!AB19</f>
        <v>42000</v>
      </c>
      <c r="P19" s="146">
        <v>4152459607</v>
      </c>
    </row>
    <row r="20" spans="1:16" ht="14" customHeight="1" x14ac:dyDescent="0.15">
      <c r="A20" s="1" t="s">
        <v>233</v>
      </c>
      <c r="C20" s="146">
        <v>54687960</v>
      </c>
      <c r="D20" s="3"/>
      <c r="E20" s="146">
        <v>16834029</v>
      </c>
      <c r="F20" s="3"/>
      <c r="G20" s="146">
        <v>-1084908</v>
      </c>
      <c r="H20" s="3"/>
      <c r="I20" s="146">
        <v>70437081</v>
      </c>
      <c r="K20" s="13">
        <v>1.8057229382909101E-2</v>
      </c>
      <c r="M20" s="3">
        <v>1785.3415709831952</v>
      </c>
      <c r="O20" s="65">
        <v>41948</v>
      </c>
      <c r="P20" s="146">
        <v>3900769022</v>
      </c>
    </row>
    <row r="21" spans="1:16" ht="14" customHeight="1" x14ac:dyDescent="0.15">
      <c r="A21" s="1" t="s">
        <v>234</v>
      </c>
      <c r="C21" s="146">
        <v>54880553</v>
      </c>
      <c r="D21" s="3"/>
      <c r="E21" s="146">
        <v>13636966</v>
      </c>
      <c r="F21" s="3"/>
      <c r="G21" s="146">
        <v>-809427</v>
      </c>
      <c r="H21" s="3"/>
      <c r="I21" s="146">
        <v>67708092</v>
      </c>
      <c r="K21" s="13">
        <v>1.8562851538406828E-2</v>
      </c>
      <c r="M21" s="3">
        <v>1784.7037798513363</v>
      </c>
      <c r="O21" s="64">
        <v>41182</v>
      </c>
      <c r="P21" s="146">
        <v>3647504903</v>
      </c>
    </row>
    <row r="22" spans="1:16" ht="14" customHeight="1" x14ac:dyDescent="0.15">
      <c r="A22" s="1" t="s">
        <v>235</v>
      </c>
      <c r="C22" s="146">
        <v>59147240</v>
      </c>
      <c r="D22" s="3"/>
      <c r="E22" s="146">
        <v>9011415</v>
      </c>
      <c r="F22" s="3"/>
      <c r="G22" s="146">
        <v>-924989</v>
      </c>
      <c r="H22" s="3"/>
      <c r="I22" s="146">
        <v>67233666</v>
      </c>
      <c r="K22" s="13">
        <v>1.9916069550185846E-2</v>
      </c>
      <c r="M22" s="3">
        <v>1775.6151062986928</v>
      </c>
      <c r="O22" s="64">
        <v>39453</v>
      </c>
      <c r="P22" s="146">
        <v>3375850131</v>
      </c>
    </row>
    <row r="23" spans="1:16" ht="14" customHeight="1" x14ac:dyDescent="0.15">
      <c r="A23" s="1" t="s">
        <v>236</v>
      </c>
      <c r="C23" s="146">
        <v>59366867</v>
      </c>
      <c r="D23" s="3"/>
      <c r="E23" s="146">
        <v>4057189</v>
      </c>
      <c r="F23" s="3"/>
      <c r="G23" s="146">
        <v>-813306</v>
      </c>
      <c r="H23" s="3"/>
      <c r="I23" s="146">
        <v>62610750</v>
      </c>
      <c r="K23" s="13">
        <v>2.0614169714003511E-2</v>
      </c>
      <c r="M23" s="3">
        <v>1716.4446089316555</v>
      </c>
      <c r="O23" s="64">
        <v>37938</v>
      </c>
      <c r="P23" s="146">
        <v>3037267611</v>
      </c>
    </row>
    <row r="24" spans="1:16" ht="14" customHeight="1" x14ac:dyDescent="0.15">
      <c r="A24" s="1" t="s">
        <v>237</v>
      </c>
      <c r="C24" s="146">
        <v>56900692</v>
      </c>
      <c r="D24" s="3"/>
      <c r="E24" s="146">
        <v>277801</v>
      </c>
      <c r="F24" s="3"/>
      <c r="G24" s="146">
        <v>-847178</v>
      </c>
      <c r="H24" s="3"/>
      <c r="I24" s="146">
        <v>56331315</v>
      </c>
      <c r="K24" s="13">
        <v>2.0465044294393577E-2</v>
      </c>
      <c r="M24" s="3">
        <v>1567.8509003868742</v>
      </c>
      <c r="O24" s="64">
        <v>37865</v>
      </c>
      <c r="P24" s="146">
        <v>2752562574</v>
      </c>
    </row>
    <row r="25" spans="1:16" ht="14" customHeight="1" x14ac:dyDescent="0.15">
      <c r="A25" s="1" t="s">
        <v>238</v>
      </c>
      <c r="C25" s="146">
        <v>60453966</v>
      </c>
      <c r="D25" s="3"/>
      <c r="E25" s="146">
        <v>543934</v>
      </c>
      <c r="F25" s="3"/>
      <c r="G25" s="146">
        <v>-517199</v>
      </c>
      <c r="H25" s="3"/>
      <c r="I25" s="146">
        <v>60480701</v>
      </c>
      <c r="K25" s="13">
        <v>2.3258538006989619E-2</v>
      </c>
      <c r="M25" s="3">
        <v>1753.1146120177395</v>
      </c>
      <c r="O25" s="64">
        <v>36477</v>
      </c>
      <c r="P25" s="146">
        <v>2600365551</v>
      </c>
    </row>
    <row r="26" spans="1:16" ht="14" customHeight="1" x14ac:dyDescent="0.15">
      <c r="A26" s="1" t="s">
        <v>239</v>
      </c>
      <c r="C26" s="146">
        <v>60821252</v>
      </c>
      <c r="D26" s="3"/>
      <c r="E26" s="146">
        <v>801767</v>
      </c>
      <c r="F26" s="3"/>
      <c r="G26" s="146">
        <v>-227674</v>
      </c>
      <c r="H26" s="3"/>
      <c r="I26" s="146">
        <v>61395345</v>
      </c>
      <c r="K26" s="13">
        <v>2.5461822664937763E-2</v>
      </c>
      <c r="M26" s="3">
        <v>1830.2928988790841</v>
      </c>
      <c r="O26" s="64">
        <v>35929</v>
      </c>
      <c r="P26" s="146">
        <v>2411270623</v>
      </c>
    </row>
    <row r="27" spans="1:16" ht="14" hidden="1" customHeight="1" x14ac:dyDescent="0.15">
      <c r="A27" s="1" t="s">
        <v>240</v>
      </c>
      <c r="C27" s="3">
        <v>63292230</v>
      </c>
      <c r="D27" s="3"/>
      <c r="E27" s="3">
        <v>1581300</v>
      </c>
      <c r="F27" s="3"/>
      <c r="G27" s="26">
        <v>-117250</v>
      </c>
      <c r="H27" s="3"/>
      <c r="I27" s="3">
        <v>64756280</v>
      </c>
      <c r="K27" s="13">
        <v>2.7393905140848235E-2</v>
      </c>
      <c r="M27" s="3">
        <v>2418.0836445108289</v>
      </c>
      <c r="O27" s="64">
        <v>34499</v>
      </c>
      <c r="P27" s="3">
        <v>2363893708</v>
      </c>
    </row>
    <row r="28" spans="1:16" ht="14" customHeight="1" x14ac:dyDescent="0.15">
      <c r="K28" s="1"/>
    </row>
    <row r="29" spans="1:16" ht="14" customHeight="1" x14ac:dyDescent="0.15"/>
    <row r="30" spans="1:16" ht="14" customHeight="1" x14ac:dyDescent="0.15"/>
    <row r="31" spans="1:16" ht="14" customHeight="1" x14ac:dyDescent="0.15"/>
    <row r="32" spans="1:16" ht="14" customHeight="1" x14ac:dyDescent="0.15"/>
    <row r="33" ht="14" customHeight="1" x14ac:dyDescent="0.15"/>
    <row r="34" ht="14" customHeight="1" x14ac:dyDescent="0.15"/>
  </sheetData>
  <mergeCells count="4">
    <mergeCell ref="C10:I10"/>
    <mergeCell ref="A1:M1"/>
    <mergeCell ref="A3:M3"/>
    <mergeCell ref="A5:M5"/>
  </mergeCells>
  <pageMargins left="0.75" right="0.75" top="0.5" bottom="1" header="0.5" footer="0.5"/>
  <pageSetup firstPageNumber="128" orientation="portrait" r:id="rId1"/>
  <headerFooter differentOddEven="1" alignWithMargins="0">
    <oddHeader>&amp;R&amp;"Verdana,Bold"&amp;9TABLE 13</oddHeader>
    <oddFooter>&amp;C&amp;"Verdana,Bold"&amp;9&amp;P</oddFooter>
    <evenHeader>&amp;R&amp;"Verdana,Bold"&amp;9TABLE 14</evenHeader>
    <evenFooter>&amp;C&amp;"Verdana,Bold"&amp;9&amp;P</evenFooter>
  </headerFooter>
  <customProperties>
    <customPr name="OrphanNamesChecke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G54"/>
  <sheetViews>
    <sheetView zoomScaleNormal="100" workbookViewId="0">
      <selection activeCell="G27" sqref="G27"/>
    </sheetView>
  </sheetViews>
  <sheetFormatPr baseColWidth="10" defaultColWidth="9.1640625" defaultRowHeight="12" x14ac:dyDescent="0.15"/>
  <cols>
    <col min="1" max="1" width="25.1640625" style="2" customWidth="1"/>
    <col min="2" max="2" width="3.6640625" style="2" customWidth="1"/>
    <col min="3" max="3" width="19" style="2" customWidth="1"/>
    <col min="4" max="4" width="3.6640625" style="2" customWidth="1"/>
    <col min="5" max="5" width="15.83203125" style="2" customWidth="1"/>
    <col min="6" max="6" width="3.6640625" style="2" customWidth="1"/>
    <col min="7" max="7" width="19.6640625" style="2" customWidth="1"/>
    <col min="8" max="16384" width="9.1640625" style="2"/>
  </cols>
  <sheetData>
    <row r="1" spans="1:7" x14ac:dyDescent="0.15">
      <c r="A1" s="176" t="s">
        <v>0</v>
      </c>
      <c r="B1" s="176"/>
      <c r="C1" s="176"/>
      <c r="D1" s="176"/>
      <c r="E1" s="176"/>
      <c r="F1" s="176"/>
      <c r="G1" s="176"/>
    </row>
    <row r="3" spans="1:7" x14ac:dyDescent="0.15">
      <c r="A3" s="177" t="s">
        <v>241</v>
      </c>
      <c r="B3" s="177"/>
      <c r="C3" s="177"/>
      <c r="D3" s="177"/>
      <c r="E3" s="177"/>
      <c r="F3" s="177"/>
      <c r="G3" s="177"/>
    </row>
    <row r="5" spans="1:7" x14ac:dyDescent="0.15">
      <c r="A5" s="177" t="s">
        <v>242</v>
      </c>
      <c r="B5" s="177"/>
      <c r="C5" s="177"/>
      <c r="D5" s="177"/>
      <c r="E5" s="177"/>
      <c r="F5" s="177"/>
      <c r="G5" s="177"/>
    </row>
    <row r="7" spans="1:7" x14ac:dyDescent="0.15">
      <c r="A7" s="1"/>
      <c r="B7" s="1"/>
      <c r="C7" s="1"/>
      <c r="D7" s="1"/>
      <c r="E7" s="1"/>
      <c r="F7" s="1"/>
      <c r="G7" s="1" t="s">
        <v>243</v>
      </c>
    </row>
    <row r="8" spans="1:7" ht="14" customHeight="1" x14ac:dyDescent="0.15">
      <c r="A8" s="1"/>
      <c r="B8" s="1"/>
      <c r="C8" s="1"/>
      <c r="D8" s="1"/>
      <c r="E8" s="1" t="s">
        <v>243</v>
      </c>
      <c r="F8" s="1"/>
      <c r="G8" s="1" t="s">
        <v>244</v>
      </c>
    </row>
    <row r="9" spans="1:7" ht="14" customHeight="1" x14ac:dyDescent="0.15">
      <c r="A9" s="1"/>
      <c r="B9" s="1"/>
      <c r="C9" s="1" t="s">
        <v>73</v>
      </c>
      <c r="D9" s="1"/>
      <c r="E9" s="1" t="s">
        <v>94</v>
      </c>
      <c r="F9" s="1"/>
      <c r="G9" s="1" t="s">
        <v>245</v>
      </c>
    </row>
    <row r="10" spans="1:7" ht="14" customHeight="1" x14ac:dyDescent="0.15">
      <c r="A10" s="172" t="s">
        <v>246</v>
      </c>
      <c r="B10" s="8"/>
      <c r="C10" s="172" t="s">
        <v>247</v>
      </c>
      <c r="D10" s="8"/>
      <c r="E10" s="172" t="s">
        <v>248</v>
      </c>
      <c r="F10" s="8"/>
      <c r="G10" s="172" t="s">
        <v>73</v>
      </c>
    </row>
    <row r="11" spans="1:7" ht="14" customHeight="1" x14ac:dyDescent="0.15"/>
    <row r="12" spans="1:7" ht="14" customHeight="1" x14ac:dyDescent="0.15">
      <c r="A12" s="37" t="s">
        <v>249</v>
      </c>
      <c r="B12" s="37"/>
    </row>
    <row r="13" spans="1:7" ht="14" customHeight="1" x14ac:dyDescent="0.15"/>
    <row r="14" spans="1:7" ht="14" customHeight="1" x14ac:dyDescent="0.15">
      <c r="A14" s="2" t="s">
        <v>250</v>
      </c>
      <c r="C14" s="139">
        <v>809962090</v>
      </c>
      <c r="D14" s="139"/>
      <c r="E14" s="14">
        <v>3.8E-3</v>
      </c>
      <c r="F14" s="14"/>
      <c r="G14" s="140">
        <f>C14*E14</f>
        <v>3077855.9419999998</v>
      </c>
    </row>
    <row r="15" spans="1:7" ht="14" customHeight="1" x14ac:dyDescent="0.15">
      <c r="A15" s="2" t="s">
        <v>251</v>
      </c>
      <c r="C15" s="3">
        <v>2207225000</v>
      </c>
      <c r="D15" s="3"/>
      <c r="E15" s="14">
        <v>3.8E-3</v>
      </c>
      <c r="F15" s="14"/>
      <c r="G15" s="26">
        <f t="shared" ref="G15:G21" si="0">C15*E15</f>
        <v>8387455</v>
      </c>
    </row>
    <row r="16" spans="1:7" ht="14" customHeight="1" x14ac:dyDescent="0.15">
      <c r="A16" s="2" t="s">
        <v>252</v>
      </c>
      <c r="C16" s="3">
        <v>1168200000</v>
      </c>
      <c r="D16" s="3"/>
      <c r="E16" s="14">
        <v>3.8E-3</v>
      </c>
      <c r="F16" s="14"/>
      <c r="G16" s="26">
        <f t="shared" si="0"/>
        <v>4439160</v>
      </c>
    </row>
    <row r="17" spans="1:7" ht="14" customHeight="1" x14ac:dyDescent="0.15">
      <c r="A17" s="2" t="s">
        <v>253</v>
      </c>
      <c r="C17" s="3">
        <v>121175000</v>
      </c>
      <c r="D17" s="3"/>
      <c r="E17" s="14">
        <v>3.5900000000000001E-2</v>
      </c>
      <c r="F17" s="14"/>
      <c r="G17" s="26">
        <f t="shared" si="0"/>
        <v>4350182.5</v>
      </c>
    </row>
    <row r="18" spans="1:7" ht="14" customHeight="1" x14ac:dyDescent="0.15">
      <c r="A18" s="2" t="s">
        <v>44</v>
      </c>
      <c r="C18" s="3">
        <v>1049362848</v>
      </c>
      <c r="D18" s="3"/>
      <c r="E18" s="14">
        <v>3.9800000000000002E-2</v>
      </c>
      <c r="F18" s="14"/>
      <c r="G18" s="26">
        <f t="shared" si="0"/>
        <v>41764641.350400001</v>
      </c>
    </row>
    <row r="19" spans="1:7" ht="14" customHeight="1" x14ac:dyDescent="0.15">
      <c r="A19" s="2" t="s">
        <v>254</v>
      </c>
      <c r="C19" s="3">
        <v>101935155</v>
      </c>
      <c r="D19" s="3"/>
      <c r="E19" s="14">
        <v>3.3399999999999999E-2</v>
      </c>
      <c r="F19" s="14"/>
      <c r="G19" s="26">
        <f t="shared" si="0"/>
        <v>3404634.1770000001</v>
      </c>
    </row>
    <row r="20" spans="1:7" ht="14" customHeight="1" x14ac:dyDescent="0.15">
      <c r="A20" s="2" t="s">
        <v>255</v>
      </c>
      <c r="C20" s="3">
        <v>13145000</v>
      </c>
      <c r="D20" s="3"/>
      <c r="E20" s="14">
        <v>0.18290000000000001</v>
      </c>
      <c r="F20" s="14"/>
      <c r="G20" s="26">
        <f t="shared" si="0"/>
        <v>2404220.5</v>
      </c>
    </row>
    <row r="21" spans="1:7" ht="14" customHeight="1" x14ac:dyDescent="0.15">
      <c r="A21" s="2" t="s">
        <v>256</v>
      </c>
      <c r="C21" s="3">
        <v>552986085</v>
      </c>
      <c r="D21" s="3"/>
      <c r="E21" s="14">
        <v>2.9999999999999997E-4</v>
      </c>
      <c r="F21" s="14"/>
      <c r="G21" s="26">
        <f t="shared" si="0"/>
        <v>165895.82549999998</v>
      </c>
    </row>
    <row r="22" spans="1:7" s="27" customFormat="1" ht="14" customHeight="1" x14ac:dyDescent="0.15">
      <c r="A22" s="27" t="s">
        <v>257</v>
      </c>
      <c r="C22" s="28">
        <v>374839507</v>
      </c>
      <c r="D22" s="28"/>
      <c r="E22" s="67">
        <v>0.46550000000000002</v>
      </c>
      <c r="F22" s="67"/>
      <c r="G22" s="141">
        <f>C22*E22-0.5</f>
        <v>174487790.00850001</v>
      </c>
    </row>
    <row r="23" spans="1:7" ht="14" customHeight="1" x14ac:dyDescent="0.15">
      <c r="C23" s="3"/>
      <c r="D23" s="3"/>
      <c r="E23" s="14"/>
      <c r="F23" s="14"/>
      <c r="G23" s="3"/>
    </row>
    <row r="24" spans="1:7" ht="14" customHeight="1" x14ac:dyDescent="0.15">
      <c r="A24" s="2" t="s">
        <v>258</v>
      </c>
      <c r="G24" s="26">
        <f>SUM(G14:G23)</f>
        <v>242481835.30340001</v>
      </c>
    </row>
    <row r="25" spans="1:7" ht="14" customHeight="1" x14ac:dyDescent="0.15">
      <c r="G25" s="3"/>
    </row>
    <row r="26" spans="1:7" ht="14" customHeight="1" x14ac:dyDescent="0.3">
      <c r="A26" s="2" t="s">
        <v>259</v>
      </c>
      <c r="G26" s="142">
        <v>94527708</v>
      </c>
    </row>
    <row r="27" spans="1:7" ht="14" customHeight="1" x14ac:dyDescent="0.15"/>
    <row r="28" spans="1:7" ht="15" x14ac:dyDescent="0.3">
      <c r="A28" s="55" t="s">
        <v>260</v>
      </c>
      <c r="G28" s="71">
        <f>SUM(G24:G27)</f>
        <v>337009543.30340004</v>
      </c>
    </row>
    <row r="29" spans="1:7" ht="14" customHeight="1" x14ac:dyDescent="0.15"/>
    <row r="30" spans="1:7" ht="14" customHeight="1" x14ac:dyDescent="0.15"/>
    <row r="31" spans="1:7" ht="27" customHeight="1" x14ac:dyDescent="0.15">
      <c r="A31" s="185" t="s">
        <v>261</v>
      </c>
      <c r="B31" s="185"/>
      <c r="C31" s="185"/>
      <c r="D31" s="185"/>
      <c r="E31" s="185"/>
      <c r="F31" s="185"/>
      <c r="G31" s="185"/>
    </row>
    <row r="32" spans="1:7" ht="14" customHeight="1" x14ac:dyDescent="0.15"/>
    <row r="33" spans="1:7" ht="78.75" customHeight="1" x14ac:dyDescent="0.15">
      <c r="A33" s="185" t="s">
        <v>262</v>
      </c>
      <c r="B33" s="185"/>
      <c r="C33" s="185"/>
      <c r="D33" s="185"/>
      <c r="E33" s="185"/>
      <c r="F33" s="185"/>
      <c r="G33" s="185"/>
    </row>
    <row r="34" spans="1:7" ht="14" customHeight="1" x14ac:dyDescent="0.15">
      <c r="A34" s="37"/>
    </row>
    <row r="35" spans="1:7" ht="14" customHeight="1" x14ac:dyDescent="0.15">
      <c r="A35" s="37"/>
    </row>
    <row r="36" spans="1:7" ht="14" customHeight="1" x14ac:dyDescent="0.15">
      <c r="A36" s="37"/>
    </row>
    <row r="37" spans="1:7" ht="14" customHeight="1" x14ac:dyDescent="0.15">
      <c r="A37" s="37"/>
    </row>
    <row r="38" spans="1:7" ht="14" customHeight="1" x14ac:dyDescent="0.15"/>
    <row r="39" spans="1:7" ht="14" customHeight="1" x14ac:dyDescent="0.15"/>
    <row r="40" spans="1:7" ht="14" customHeight="1" x14ac:dyDescent="0.15"/>
    <row r="41" spans="1:7" ht="14" customHeight="1" x14ac:dyDescent="0.15"/>
    <row r="42" spans="1:7" ht="14" customHeight="1" x14ac:dyDescent="0.15"/>
    <row r="43" spans="1:7" ht="14" customHeight="1" x14ac:dyDescent="0.15"/>
    <row r="45" spans="1:7" ht="14" customHeight="1" x14ac:dyDescent="0.15"/>
    <row r="46" spans="1:7" ht="14" customHeight="1" x14ac:dyDescent="0.15"/>
    <row r="47" spans="1:7" ht="14" customHeight="1" x14ac:dyDescent="0.15"/>
    <row r="48" spans="1:7" ht="14" customHeight="1" x14ac:dyDescent="0.15"/>
    <row r="49" ht="14" customHeight="1" x14ac:dyDescent="0.15"/>
    <row r="50" ht="14" customHeight="1" x14ac:dyDescent="0.15"/>
    <row r="51" ht="14" customHeight="1" x14ac:dyDescent="0.15"/>
    <row r="52" ht="14" customHeight="1" x14ac:dyDescent="0.15"/>
    <row r="53" ht="14" customHeight="1" x14ac:dyDescent="0.15"/>
    <row r="54" ht="14" customHeight="1" x14ac:dyDescent="0.15"/>
  </sheetData>
  <mergeCells count="5">
    <mergeCell ref="A31:G31"/>
    <mergeCell ref="A33:G33"/>
    <mergeCell ref="A1:G1"/>
    <mergeCell ref="A3:G3"/>
    <mergeCell ref="A5:G5"/>
  </mergeCells>
  <pageMargins left="0.75" right="0.75" top="0.5" bottom="1" header="0.5" footer="0.5"/>
  <pageSetup firstPageNumber="108" orientation="portrait" useFirstPageNumber="1" r:id="rId1"/>
  <headerFooter alignWithMargins="0">
    <oddHeader>&amp;R&amp;"Verdana,Bold"&amp;9TABLE 14</oddHeader>
    <oddFooter>&amp;C&amp;"Verdana,Bold"&amp;9&amp;P</oddFooter>
  </headerFooter>
  <customProperties>
    <customPr name="OrphanNamesChecke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T47"/>
  <sheetViews>
    <sheetView zoomScale="115" zoomScaleNormal="115" workbookViewId="0">
      <selection activeCell="O11" sqref="O11"/>
    </sheetView>
  </sheetViews>
  <sheetFormatPr baseColWidth="10" defaultColWidth="9.1640625" defaultRowHeight="14" customHeight="1" x14ac:dyDescent="0.15"/>
  <cols>
    <col min="1" max="1" width="32.5" style="2" customWidth="1"/>
    <col min="2" max="2" width="1.6640625" style="2" customWidth="1"/>
    <col min="3" max="3" width="19.5" style="2" bestFit="1" customWidth="1"/>
    <col min="4" max="4" width="1.6640625" style="2" customWidth="1"/>
    <col min="5" max="5" width="15.6640625" style="3" customWidth="1"/>
    <col min="6" max="6" width="1.6640625" style="2" customWidth="1"/>
    <col min="7" max="7" width="16.83203125" style="2" bestFit="1" customWidth="1"/>
    <col min="8" max="8" width="1.6640625" style="2" customWidth="1"/>
    <col min="9" max="9" width="16.83203125" style="2" bestFit="1" customWidth="1"/>
    <col min="10" max="10" width="1.6640625" style="2" customWidth="1"/>
    <col min="11" max="11" width="13.5" style="2" customWidth="1"/>
    <col min="12" max="12" width="1.6640625" style="2" customWidth="1"/>
    <col min="13" max="13" width="13.83203125" style="2" customWidth="1"/>
    <col min="14" max="14" width="1.6640625" style="2" customWidth="1"/>
    <col min="15" max="15" width="13.83203125" style="2" customWidth="1"/>
    <col min="16" max="16" width="1.6640625" style="2" customWidth="1"/>
    <col min="17" max="17" width="13.83203125" style="2" customWidth="1"/>
    <col min="18" max="18" width="1.6640625" style="2" customWidth="1"/>
    <col min="19" max="19" width="13.83203125" style="2" customWidth="1"/>
    <col min="20" max="16384" width="9.1640625" style="2"/>
  </cols>
  <sheetData>
    <row r="1" spans="1:20" ht="12" customHeight="1" x14ac:dyDescent="0.15">
      <c r="A1" s="176" t="s">
        <v>0</v>
      </c>
      <c r="B1" s="176"/>
      <c r="C1" s="176"/>
      <c r="D1" s="176"/>
      <c r="E1" s="176"/>
      <c r="F1" s="176"/>
      <c r="G1" s="176"/>
    </row>
    <row r="2" spans="1:20" ht="12" customHeight="1" x14ac:dyDescent="0.15"/>
    <row r="3" spans="1:20" ht="12" customHeight="1" x14ac:dyDescent="0.15">
      <c r="A3" s="177" t="s">
        <v>263</v>
      </c>
      <c r="B3" s="177"/>
      <c r="C3" s="177"/>
      <c r="D3" s="177"/>
      <c r="E3" s="177"/>
      <c r="F3" s="177"/>
      <c r="G3" s="177"/>
    </row>
    <row r="4" spans="1:20" ht="12" customHeight="1" x14ac:dyDescent="0.15"/>
    <row r="5" spans="1:20" ht="12" customHeight="1" x14ac:dyDescent="0.15">
      <c r="A5" s="177" t="s">
        <v>2</v>
      </c>
      <c r="B5" s="177"/>
      <c r="C5" s="177"/>
      <c r="D5" s="177"/>
      <c r="E5" s="177"/>
      <c r="F5" s="177"/>
      <c r="G5" s="177"/>
    </row>
    <row r="6" spans="1:20" ht="12" customHeight="1" x14ac:dyDescent="0.15"/>
    <row r="7" spans="1:20" ht="12" customHeight="1" x14ac:dyDescent="0.15"/>
    <row r="8" spans="1:20" ht="12" customHeight="1" x14ac:dyDescent="0.15"/>
    <row r="9" spans="1:20" ht="12" customHeight="1" x14ac:dyDescent="0.15"/>
    <row r="10" spans="1:20" ht="14" customHeight="1" x14ac:dyDescent="0.3">
      <c r="A10" s="27" t="str">
        <f>CONCATENATE(M10," ",O10," ",Q10)</f>
        <v>Assessed Value, 2023 Tax Roll</v>
      </c>
      <c r="B10" s="27"/>
      <c r="C10" s="27"/>
      <c r="D10" s="27"/>
      <c r="E10" s="27"/>
      <c r="F10" s="27"/>
      <c r="G10" s="68">
        <f>'Table 11#'!M14</f>
        <v>6740344392</v>
      </c>
      <c r="J10" s="27"/>
      <c r="K10" s="27"/>
      <c r="L10" s="27"/>
      <c r="M10" s="27" t="s">
        <v>264</v>
      </c>
      <c r="N10" s="27"/>
      <c r="O10" s="27">
        <v>2023</v>
      </c>
      <c r="P10" s="27"/>
      <c r="Q10" s="27" t="s">
        <v>265</v>
      </c>
      <c r="R10" s="27"/>
      <c r="S10" s="27"/>
      <c r="T10" s="27"/>
    </row>
    <row r="11" spans="1:20" ht="14" customHeight="1" x14ac:dyDescent="0.15">
      <c r="A11" s="27"/>
      <c r="B11" s="27"/>
      <c r="C11" s="27"/>
      <c r="D11" s="27"/>
      <c r="E11" s="27"/>
      <c r="F11" s="27"/>
      <c r="G11" s="28"/>
      <c r="J11" s="27"/>
      <c r="K11" s="27"/>
      <c r="L11" s="27"/>
      <c r="M11" s="27"/>
      <c r="N11" s="27"/>
      <c r="O11" s="27"/>
      <c r="P11" s="27"/>
      <c r="Q11" s="27"/>
      <c r="R11" s="27"/>
      <c r="S11" s="27"/>
      <c r="T11" s="27"/>
    </row>
    <row r="12" spans="1:20" ht="76.5" customHeight="1" x14ac:dyDescent="0.15">
      <c r="A12" s="69" t="s">
        <v>266</v>
      </c>
      <c r="B12" s="27"/>
      <c r="C12" s="27"/>
      <c r="D12" s="27"/>
      <c r="E12" s="27"/>
      <c r="F12" s="27"/>
      <c r="G12" s="70">
        <f>(G10*0.1)</f>
        <v>674034439.20000005</v>
      </c>
      <c r="J12" s="27"/>
      <c r="K12" s="27"/>
      <c r="L12" s="27"/>
      <c r="M12" s="27"/>
      <c r="N12" s="27"/>
      <c r="O12" s="27"/>
      <c r="P12" s="27"/>
      <c r="Q12" s="27"/>
      <c r="R12" s="27"/>
      <c r="S12" s="27"/>
      <c r="T12" s="27"/>
    </row>
    <row r="13" spans="1:20" ht="14" hidden="1" customHeight="1" x14ac:dyDescent="0.15">
      <c r="A13" s="27"/>
      <c r="B13" s="27"/>
      <c r="C13" s="27"/>
      <c r="D13" s="27"/>
      <c r="E13" s="27"/>
      <c r="F13" s="27"/>
      <c r="G13" s="27"/>
      <c r="J13" s="27"/>
      <c r="K13" s="27"/>
      <c r="L13" s="27"/>
      <c r="M13" s="27"/>
      <c r="N13" s="27"/>
      <c r="O13" s="27"/>
      <c r="P13" s="27"/>
      <c r="Q13" s="27"/>
      <c r="R13" s="27"/>
      <c r="S13" s="27"/>
      <c r="T13" s="27"/>
    </row>
    <row r="14" spans="1:20" ht="14" hidden="1" customHeight="1" x14ac:dyDescent="0.15">
      <c r="A14" s="27"/>
      <c r="B14" s="27"/>
      <c r="C14" s="27"/>
      <c r="D14" s="27"/>
      <c r="E14" s="27"/>
      <c r="F14" s="27"/>
      <c r="G14" s="29"/>
      <c r="J14" s="27"/>
      <c r="K14" s="27"/>
      <c r="L14" s="27"/>
      <c r="M14" s="27"/>
      <c r="N14" s="27"/>
      <c r="O14" s="27"/>
      <c r="P14" s="27"/>
      <c r="Q14" s="27"/>
      <c r="R14" s="27"/>
      <c r="S14" s="27"/>
      <c r="T14" s="27"/>
    </row>
    <row r="15" spans="1:20" ht="14" hidden="1" customHeight="1" x14ac:dyDescent="0.15">
      <c r="A15" s="27"/>
      <c r="B15" s="27"/>
      <c r="C15" s="27"/>
      <c r="D15" s="27"/>
      <c r="E15" s="27"/>
      <c r="F15" s="27"/>
      <c r="J15" s="27"/>
      <c r="K15" s="27"/>
      <c r="L15" s="27"/>
      <c r="M15" s="27"/>
      <c r="N15" s="27"/>
      <c r="O15" s="27"/>
      <c r="P15" s="27"/>
      <c r="Q15" s="27"/>
      <c r="R15" s="27"/>
      <c r="S15" s="27"/>
      <c r="T15" s="27"/>
    </row>
    <row r="16" spans="1:20" ht="14" customHeight="1" x14ac:dyDescent="0.15">
      <c r="A16" s="27"/>
      <c r="B16" s="27"/>
      <c r="C16" s="27"/>
      <c r="D16" s="27"/>
      <c r="E16" s="29"/>
      <c r="F16" s="27"/>
      <c r="G16" s="27"/>
      <c r="J16" s="27"/>
      <c r="K16" s="27"/>
      <c r="L16" s="27"/>
      <c r="M16" s="27"/>
      <c r="N16" s="27"/>
      <c r="O16" s="27"/>
      <c r="P16" s="27"/>
      <c r="Q16" s="27"/>
      <c r="R16" s="27"/>
      <c r="S16" s="27"/>
      <c r="T16" s="27"/>
    </row>
    <row r="17" spans="1:20" ht="14" customHeight="1" x14ac:dyDescent="0.15">
      <c r="A17" s="27" t="s">
        <v>267</v>
      </c>
      <c r="B17" s="27"/>
      <c r="C17" s="27"/>
      <c r="D17" s="27"/>
      <c r="E17" s="29"/>
      <c r="F17" s="27"/>
      <c r="G17" s="27"/>
      <c r="J17" s="27"/>
      <c r="K17" s="27"/>
      <c r="L17" s="27"/>
      <c r="M17" s="27"/>
      <c r="N17" s="27"/>
      <c r="O17" s="27"/>
      <c r="P17" s="27"/>
      <c r="Q17" s="27"/>
      <c r="R17" s="27"/>
      <c r="S17" s="27"/>
      <c r="T17" s="27"/>
    </row>
    <row r="18" spans="1:20" ht="14" customHeight="1" x14ac:dyDescent="0.15">
      <c r="A18" s="27"/>
      <c r="B18" s="27"/>
      <c r="C18" s="27"/>
      <c r="D18" s="27"/>
      <c r="E18" s="28"/>
      <c r="F18" s="27"/>
      <c r="G18" s="27"/>
      <c r="J18" s="27"/>
      <c r="K18" s="27"/>
      <c r="L18" s="27"/>
      <c r="M18" s="27"/>
      <c r="N18" s="27"/>
      <c r="O18" s="27"/>
      <c r="P18" s="27"/>
      <c r="Q18" s="27"/>
      <c r="R18" s="27"/>
      <c r="S18" s="27"/>
      <c r="T18" s="27"/>
    </row>
    <row r="19" spans="1:20" ht="14" customHeight="1" x14ac:dyDescent="0.15">
      <c r="A19" s="27" t="s">
        <v>268</v>
      </c>
      <c r="B19" s="27"/>
      <c r="C19" s="27"/>
      <c r="D19" s="27"/>
      <c r="E19" s="29">
        <f>'Table 14'!G26</f>
        <v>94527708</v>
      </c>
      <c r="F19" s="27"/>
      <c r="G19" s="27"/>
      <c r="J19" s="27"/>
      <c r="K19" s="27"/>
      <c r="L19" s="27"/>
      <c r="M19" s="27"/>
      <c r="N19" s="27"/>
      <c r="O19" s="27"/>
      <c r="P19" s="27"/>
      <c r="Q19" s="27"/>
      <c r="R19" s="27"/>
      <c r="S19" s="27"/>
      <c r="T19" s="27"/>
    </row>
    <row r="20" spans="1:20" ht="14" customHeight="1" x14ac:dyDescent="0.15">
      <c r="A20" s="27" t="s">
        <v>269</v>
      </c>
      <c r="B20" s="27"/>
      <c r="C20" s="27"/>
      <c r="D20" s="27"/>
      <c r="E20" s="146">
        <f>'Table 13'!G16</f>
        <v>-867965</v>
      </c>
      <c r="F20" s="27"/>
      <c r="G20" s="32">
        <f>SUM(E19:E20)</f>
        <v>93659743</v>
      </c>
      <c r="J20" s="27"/>
      <c r="K20" s="27"/>
      <c r="L20" s="27"/>
      <c r="M20" s="27"/>
      <c r="N20" s="27"/>
      <c r="O20" s="27"/>
      <c r="P20" s="27"/>
      <c r="Q20" s="27"/>
      <c r="R20" s="27"/>
      <c r="S20" s="27"/>
      <c r="T20" s="27"/>
    </row>
    <row r="21" spans="1:20" ht="14" customHeight="1" x14ac:dyDescent="0.15">
      <c r="A21" s="27"/>
      <c r="B21" s="27"/>
      <c r="C21" s="27"/>
      <c r="D21" s="27"/>
      <c r="E21" s="27"/>
      <c r="F21" s="27"/>
      <c r="G21" s="27"/>
      <c r="J21" s="27"/>
      <c r="K21" s="27"/>
      <c r="L21" s="27"/>
      <c r="M21" s="27"/>
      <c r="N21" s="27"/>
      <c r="O21" s="27"/>
      <c r="P21" s="27"/>
      <c r="Q21" s="27"/>
      <c r="R21" s="27"/>
      <c r="S21" s="27"/>
      <c r="T21" s="27"/>
    </row>
    <row r="22" spans="1:20" ht="14" customHeight="1" x14ac:dyDescent="0.3">
      <c r="A22" s="27" t="s">
        <v>270</v>
      </c>
      <c r="B22" s="27"/>
      <c r="C22" s="27"/>
      <c r="D22" s="27"/>
      <c r="E22" s="27"/>
      <c r="F22" s="27"/>
      <c r="G22" s="71">
        <f>G12-G20</f>
        <v>580374696.20000005</v>
      </c>
      <c r="J22" s="27"/>
      <c r="K22" s="27"/>
      <c r="L22" s="27"/>
      <c r="M22" s="27"/>
      <c r="N22" s="27"/>
      <c r="O22" s="27"/>
      <c r="P22" s="27"/>
      <c r="Q22" s="27"/>
      <c r="R22" s="27"/>
      <c r="S22" s="27"/>
      <c r="T22" s="27"/>
    </row>
    <row r="23" spans="1:20" ht="14" customHeight="1" x14ac:dyDescent="0.15">
      <c r="A23" s="27"/>
      <c r="B23" s="27"/>
      <c r="C23" s="27"/>
      <c r="D23" s="27"/>
      <c r="E23" s="27"/>
      <c r="F23" s="27"/>
      <c r="G23" s="29"/>
      <c r="J23" s="27"/>
      <c r="K23" s="27"/>
      <c r="L23" s="27"/>
      <c r="M23" s="27"/>
      <c r="N23" s="27"/>
      <c r="O23" s="27"/>
      <c r="P23" s="27"/>
      <c r="Q23" s="27"/>
      <c r="R23" s="27"/>
      <c r="S23" s="27"/>
      <c r="T23" s="27"/>
    </row>
    <row r="24" spans="1:20" ht="14" customHeight="1" x14ac:dyDescent="0.15">
      <c r="A24" s="27" t="s">
        <v>271</v>
      </c>
      <c r="B24" s="27"/>
      <c r="C24" s="27"/>
      <c r="D24" s="27"/>
      <c r="E24" s="28"/>
      <c r="F24" s="27"/>
      <c r="G24" s="27"/>
      <c r="J24" s="27"/>
      <c r="K24" s="27"/>
      <c r="L24" s="27"/>
      <c r="M24" s="27"/>
      <c r="N24" s="27"/>
      <c r="O24" s="27"/>
      <c r="P24" s="27"/>
      <c r="Q24" s="27"/>
      <c r="R24" s="27"/>
      <c r="S24" s="27"/>
      <c r="T24" s="27"/>
    </row>
    <row r="25" spans="1:20" ht="14" customHeight="1" x14ac:dyDescent="0.15">
      <c r="A25" s="27" t="s">
        <v>272</v>
      </c>
      <c r="B25" s="27"/>
      <c r="C25" s="27"/>
      <c r="D25" s="27"/>
      <c r="E25" s="28"/>
      <c r="F25" s="27"/>
      <c r="G25" s="67">
        <f>SUM(G20/G22)</f>
        <v>0.16137806078251968</v>
      </c>
      <c r="J25" s="27"/>
      <c r="K25" s="27"/>
      <c r="L25" s="27"/>
      <c r="M25" s="27"/>
      <c r="N25" s="27"/>
      <c r="O25" s="27"/>
      <c r="P25" s="27"/>
      <c r="Q25" s="27"/>
      <c r="R25" s="27"/>
      <c r="S25" s="27"/>
      <c r="T25" s="27"/>
    </row>
    <row r="26" spans="1:20" ht="14" customHeight="1" x14ac:dyDescent="0.15">
      <c r="A26" s="27"/>
      <c r="B26" s="27"/>
      <c r="C26" s="27"/>
      <c r="D26" s="27"/>
      <c r="E26" s="28"/>
      <c r="F26" s="27"/>
      <c r="G26" s="27"/>
      <c r="H26" s="27"/>
      <c r="I26" s="28"/>
      <c r="J26" s="27"/>
      <c r="K26" s="27"/>
      <c r="L26" s="27"/>
      <c r="M26" s="27"/>
      <c r="N26" s="27"/>
      <c r="O26" s="27"/>
      <c r="P26" s="27"/>
      <c r="Q26" s="27"/>
      <c r="R26" s="27"/>
      <c r="S26" s="27"/>
      <c r="T26" s="27"/>
    </row>
    <row r="27" spans="1:20" ht="14" customHeight="1" x14ac:dyDescent="0.15">
      <c r="A27" s="27"/>
      <c r="B27" s="27"/>
      <c r="C27" s="186" t="s">
        <v>152</v>
      </c>
      <c r="D27" s="186"/>
      <c r="E27" s="186"/>
      <c r="F27" s="186"/>
      <c r="G27" s="186"/>
      <c r="H27" s="27"/>
      <c r="I27" s="27"/>
      <c r="J27" s="27"/>
      <c r="K27" s="27"/>
      <c r="L27" s="27"/>
      <c r="M27" s="27"/>
      <c r="N27" s="27"/>
      <c r="O27" s="27"/>
      <c r="P27" s="27"/>
      <c r="Q27" s="27"/>
      <c r="R27" s="27"/>
      <c r="S27" s="27"/>
      <c r="T27" s="27"/>
    </row>
    <row r="28" spans="1:20" ht="14" customHeight="1" x14ac:dyDescent="0.15">
      <c r="A28" s="27"/>
      <c r="B28" s="27"/>
      <c r="C28" s="174">
        <v>2019</v>
      </c>
      <c r="E28" s="174">
        <v>2020</v>
      </c>
      <c r="G28" s="174">
        <v>2021</v>
      </c>
      <c r="H28" s="27"/>
      <c r="I28" s="144">
        <v>2022</v>
      </c>
      <c r="J28" s="27"/>
      <c r="K28" s="31"/>
      <c r="L28" s="27"/>
      <c r="M28" s="31"/>
      <c r="N28" s="27"/>
      <c r="O28" s="31"/>
      <c r="P28" s="27"/>
      <c r="Q28" s="31"/>
      <c r="S28" s="31"/>
    </row>
    <row r="29" spans="1:20" ht="14" customHeight="1" x14ac:dyDescent="0.15">
      <c r="A29" s="27" t="s">
        <v>120</v>
      </c>
      <c r="B29" s="29"/>
      <c r="C29" s="15">
        <v>3900769022</v>
      </c>
      <c r="D29" s="9"/>
      <c r="E29" s="15">
        <v>4152459607</v>
      </c>
      <c r="F29" s="9"/>
      <c r="G29" s="15">
        <v>4070815340</v>
      </c>
      <c r="H29" s="27"/>
      <c r="I29" s="29">
        <v>6740344392</v>
      </c>
      <c r="J29" s="27"/>
      <c r="K29" s="30"/>
      <c r="L29" s="27"/>
      <c r="M29" s="30"/>
      <c r="N29" s="27"/>
      <c r="O29" s="30"/>
      <c r="P29" s="27"/>
      <c r="Q29" s="30"/>
      <c r="S29" s="30"/>
    </row>
    <row r="30" spans="1:20" ht="14" customHeight="1" x14ac:dyDescent="0.15">
      <c r="A30" s="27"/>
      <c r="B30" s="27"/>
      <c r="C30" s="31"/>
      <c r="E30" s="31"/>
      <c r="G30" s="31"/>
      <c r="H30" s="27"/>
      <c r="I30" s="31"/>
      <c r="J30" s="27"/>
      <c r="K30" s="31"/>
      <c r="L30" s="27"/>
      <c r="M30" s="31"/>
      <c r="N30" s="27"/>
      <c r="O30" s="31"/>
      <c r="P30" s="27"/>
      <c r="Q30" s="31"/>
      <c r="S30" s="31"/>
    </row>
    <row r="31" spans="1:20" ht="14" customHeight="1" x14ac:dyDescent="0.15">
      <c r="A31" s="27" t="s">
        <v>273</v>
      </c>
      <c r="B31" s="27"/>
      <c r="C31" s="147">
        <f>C29/10</f>
        <v>390076902.19999999</v>
      </c>
      <c r="D31" s="72"/>
      <c r="E31" s="147">
        <f>E29/10</f>
        <v>415245960.69999999</v>
      </c>
      <c r="F31" s="72"/>
      <c r="G31" s="147">
        <f>G29/10</f>
        <v>407081534</v>
      </c>
      <c r="H31" s="27"/>
      <c r="I31" s="29">
        <v>674034439</v>
      </c>
      <c r="J31" s="27"/>
      <c r="K31" s="29"/>
      <c r="L31" s="27"/>
      <c r="M31" s="29"/>
      <c r="N31" s="27"/>
      <c r="O31" s="29"/>
      <c r="P31" s="27"/>
      <c r="Q31" s="29"/>
      <c r="S31" s="29"/>
    </row>
    <row r="32" spans="1:20" ht="14" customHeight="1" x14ac:dyDescent="0.15">
      <c r="A32" s="27" t="s">
        <v>274</v>
      </c>
      <c r="B32" s="27"/>
      <c r="C32" s="73">
        <v>66019954</v>
      </c>
      <c r="D32" s="73"/>
      <c r="E32" s="73">
        <v>61318507</v>
      </c>
      <c r="F32" s="73"/>
      <c r="G32" s="73">
        <v>53946636</v>
      </c>
      <c r="H32" s="27"/>
      <c r="I32" s="28">
        <v>74600814</v>
      </c>
      <c r="J32" s="27"/>
      <c r="K32" s="28"/>
      <c r="L32" s="27"/>
      <c r="M32" s="28"/>
      <c r="N32" s="27"/>
      <c r="O32" s="28"/>
      <c r="P32" s="27"/>
      <c r="Q32" s="28"/>
      <c r="S32" s="28"/>
    </row>
    <row r="33" spans="1:19" ht="14" customHeight="1" x14ac:dyDescent="0.3">
      <c r="A33" s="27" t="s">
        <v>275</v>
      </c>
      <c r="B33" s="27"/>
      <c r="C33" s="148">
        <f>SUM(C31-C32)</f>
        <v>324056948.19999999</v>
      </c>
      <c r="D33" s="71"/>
      <c r="E33" s="148">
        <f>SUM(E31-E32)</f>
        <v>353927453.69999999</v>
      </c>
      <c r="F33" s="71"/>
      <c r="G33" s="148">
        <f>SUM(G31-G32)</f>
        <v>353134898</v>
      </c>
      <c r="H33" s="27"/>
      <c r="I33" s="148">
        <f>SUM(I31-I32)</f>
        <v>599433625</v>
      </c>
      <c r="J33" s="27"/>
      <c r="K33" s="29"/>
      <c r="L33" s="27"/>
      <c r="M33" s="29"/>
      <c r="N33" s="27"/>
      <c r="O33" s="29"/>
      <c r="P33" s="27"/>
      <c r="Q33" s="29"/>
      <c r="S33" s="29"/>
    </row>
    <row r="34" spans="1:19" ht="14" customHeight="1" x14ac:dyDescent="0.15">
      <c r="A34" s="27"/>
      <c r="B34" s="27"/>
      <c r="D34" s="27"/>
      <c r="E34" s="27"/>
      <c r="F34" s="27"/>
      <c r="G34" s="27"/>
      <c r="H34" s="27"/>
      <c r="I34" s="27"/>
      <c r="J34" s="27"/>
      <c r="K34" s="27"/>
      <c r="L34" s="27"/>
      <c r="M34" s="27"/>
      <c r="N34" s="27"/>
      <c r="O34" s="27"/>
      <c r="P34" s="27"/>
      <c r="Q34" s="28"/>
      <c r="R34" s="27"/>
      <c r="S34" s="28"/>
    </row>
    <row r="35" spans="1:19" ht="14" customHeight="1" x14ac:dyDescent="0.15">
      <c r="A35" s="27"/>
      <c r="B35" s="27"/>
      <c r="C35" s="174">
        <v>2016</v>
      </c>
      <c r="E35" s="174">
        <v>2017</v>
      </c>
      <c r="G35" s="174">
        <v>2018</v>
      </c>
      <c r="H35" s="27"/>
      <c r="I35" s="27"/>
      <c r="J35" s="27"/>
      <c r="K35" s="27"/>
      <c r="L35" s="27"/>
      <c r="M35" s="27"/>
      <c r="N35" s="27"/>
      <c r="O35" s="27"/>
      <c r="P35" s="27"/>
      <c r="Q35" s="28"/>
      <c r="R35" s="27"/>
      <c r="S35" s="27"/>
    </row>
    <row r="36" spans="1:19" ht="14" customHeight="1" x14ac:dyDescent="0.15">
      <c r="A36" s="27" t="s">
        <v>120</v>
      </c>
      <c r="C36" s="15">
        <v>3375850131</v>
      </c>
      <c r="D36" s="9"/>
      <c r="E36" s="15">
        <v>3647504903</v>
      </c>
      <c r="F36" s="9"/>
      <c r="G36" s="15">
        <v>3783027833</v>
      </c>
    </row>
    <row r="37" spans="1:19" ht="14" customHeight="1" x14ac:dyDescent="0.15">
      <c r="A37" s="27"/>
      <c r="C37" s="31"/>
      <c r="E37" s="31"/>
      <c r="G37" s="31"/>
    </row>
    <row r="38" spans="1:19" ht="14" customHeight="1" x14ac:dyDescent="0.15">
      <c r="A38" s="27" t="s">
        <v>273</v>
      </c>
      <c r="C38" s="147">
        <f>C36/10</f>
        <v>337585013.10000002</v>
      </c>
      <c r="D38" s="72"/>
      <c r="E38" s="147">
        <f>E36/10</f>
        <v>364750490.30000001</v>
      </c>
      <c r="F38" s="72"/>
      <c r="G38" s="147">
        <f>G36/10</f>
        <v>378302783.30000001</v>
      </c>
    </row>
    <row r="39" spans="1:19" ht="14" customHeight="1" x14ac:dyDescent="0.15">
      <c r="A39" s="27" t="s">
        <v>274</v>
      </c>
      <c r="C39" s="73">
        <v>61181169</v>
      </c>
      <c r="D39" s="73"/>
      <c r="E39" s="73">
        <v>65792916</v>
      </c>
      <c r="F39" s="73"/>
      <c r="G39" s="73">
        <v>66329699</v>
      </c>
    </row>
    <row r="40" spans="1:19" ht="14" customHeight="1" x14ac:dyDescent="0.3">
      <c r="A40" s="27" t="s">
        <v>275</v>
      </c>
      <c r="C40" s="148">
        <f>SUM(C38-C39)</f>
        <v>276403844.10000002</v>
      </c>
      <c r="D40" s="71"/>
      <c r="E40" s="148">
        <f>SUM(E38-E39)</f>
        <v>298957574.30000001</v>
      </c>
      <c r="F40" s="71"/>
      <c r="G40" s="148">
        <f>SUM(G38-G39)</f>
        <v>311973084.30000001</v>
      </c>
    </row>
    <row r="41" spans="1:19" ht="14" customHeight="1" x14ac:dyDescent="0.15">
      <c r="D41" s="27"/>
      <c r="E41" s="27"/>
      <c r="F41" s="27"/>
      <c r="G41" s="27"/>
    </row>
    <row r="42" spans="1:19" ht="14" customHeight="1" x14ac:dyDescent="0.15">
      <c r="C42" s="174">
        <v>2013</v>
      </c>
      <c r="E42" s="174">
        <v>2014</v>
      </c>
      <c r="G42" s="174">
        <v>2015</v>
      </c>
    </row>
    <row r="43" spans="1:19" ht="14" customHeight="1" x14ac:dyDescent="0.15">
      <c r="A43" s="27" t="s">
        <v>120</v>
      </c>
      <c r="C43" s="15">
        <v>2600365551</v>
      </c>
      <c r="D43" s="9"/>
      <c r="E43" s="15">
        <v>2752562574</v>
      </c>
      <c r="F43" s="9"/>
      <c r="G43" s="15">
        <v>3037267611</v>
      </c>
    </row>
    <row r="44" spans="1:19" ht="14" customHeight="1" x14ac:dyDescent="0.15">
      <c r="A44" s="27"/>
      <c r="C44" s="31"/>
      <c r="E44" s="31"/>
      <c r="G44" s="31"/>
    </row>
    <row r="45" spans="1:19" ht="14" customHeight="1" x14ac:dyDescent="0.15">
      <c r="A45" s="27" t="s">
        <v>273</v>
      </c>
      <c r="C45" s="147">
        <f>C43/10</f>
        <v>260036555.09999999</v>
      </c>
      <c r="D45" s="72"/>
      <c r="E45" s="147">
        <f>E43/10</f>
        <v>275256257.39999998</v>
      </c>
      <c r="F45" s="72"/>
      <c r="G45" s="147">
        <f>G43/10</f>
        <v>303726761.10000002</v>
      </c>
    </row>
    <row r="46" spans="1:19" ht="14" customHeight="1" x14ac:dyDescent="0.15">
      <c r="A46" s="27" t="s">
        <v>274</v>
      </c>
      <c r="C46" s="73">
        <v>60499568</v>
      </c>
      <c r="D46" s="73"/>
      <c r="E46" s="73">
        <v>56803499</v>
      </c>
      <c r="F46" s="73"/>
      <c r="G46" s="73">
        <v>53424303</v>
      </c>
    </row>
    <row r="47" spans="1:19" ht="14" customHeight="1" x14ac:dyDescent="0.3">
      <c r="A47" s="27" t="s">
        <v>275</v>
      </c>
      <c r="C47" s="148">
        <f>SUM(C45-C46)</f>
        <v>199536987.09999999</v>
      </c>
      <c r="D47" s="71"/>
      <c r="E47" s="148">
        <f>SUM(E45-E46)</f>
        <v>218452758.39999998</v>
      </c>
      <c r="F47" s="71"/>
      <c r="G47" s="148">
        <f>SUM(G45-G46)</f>
        <v>250302458.10000002</v>
      </c>
    </row>
  </sheetData>
  <mergeCells count="4">
    <mergeCell ref="C27:G27"/>
    <mergeCell ref="A1:G1"/>
    <mergeCell ref="A3:G3"/>
    <mergeCell ref="A5:G5"/>
  </mergeCells>
  <pageMargins left="0.75" right="0.75" top="0.5" bottom="1" header="0.5" footer="0.5"/>
  <pageSetup firstPageNumber="109" orientation="portrait" useFirstPageNumber="1" r:id="rId1"/>
  <headerFooter alignWithMargins="0">
    <oddHeader>&amp;R&amp;"Verdana,Bold"&amp;9TABLE 15</oddHeader>
    <oddFooter>&amp;C&amp;"Verdana,Bold"&amp;9&amp;P</oddFooter>
  </headerFooter>
  <customProperties>
    <customPr name="OrphanNamesChecke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Q30"/>
  <sheetViews>
    <sheetView zoomScaleNormal="100" zoomScaleSheetLayoutView="70" workbookViewId="0">
      <selection activeCell="M15" sqref="M15"/>
    </sheetView>
  </sheetViews>
  <sheetFormatPr baseColWidth="10" defaultColWidth="9.1640625" defaultRowHeight="12" x14ac:dyDescent="0.15"/>
  <cols>
    <col min="1" max="1" width="6" style="1" bestFit="1" customWidth="1"/>
    <col min="2" max="2" width="0.83203125" style="2" customWidth="1"/>
    <col min="3" max="3" width="14.5" style="2" bestFit="1" customWidth="1"/>
    <col min="4" max="4" width="0.83203125" style="2" customWidth="1"/>
    <col min="5" max="5" width="15.1640625" style="2" customWidth="1"/>
    <col min="6" max="6" width="0.83203125" style="2" customWidth="1"/>
    <col min="7" max="7" width="14.33203125" style="2" customWidth="1"/>
    <col min="8" max="8" width="0.83203125" style="2" customWidth="1"/>
    <col min="9" max="9" width="14.33203125" style="2" customWidth="1"/>
    <col min="10" max="10" width="0.83203125" style="2" customWidth="1"/>
    <col min="11" max="11" width="13.5" style="2" customWidth="1"/>
    <col min="12" max="12" width="0.83203125" style="2" customWidth="1"/>
    <col min="13" max="13" width="9.33203125" style="2" bestFit="1" customWidth="1"/>
    <col min="14" max="14" width="2.6640625" style="2" customWidth="1"/>
    <col min="15" max="15" width="10.6640625" style="2" customWidth="1"/>
    <col min="16" max="16" width="9.1640625" style="2"/>
    <col min="17" max="17" width="11.1640625" style="2" bestFit="1" customWidth="1"/>
    <col min="18" max="18" width="14.33203125" style="2" bestFit="1" customWidth="1"/>
    <col min="19" max="16384" width="9.1640625" style="2"/>
  </cols>
  <sheetData>
    <row r="1" spans="1:13" x14ac:dyDescent="0.15">
      <c r="A1" s="176" t="s">
        <v>0</v>
      </c>
      <c r="B1" s="176"/>
      <c r="C1" s="176"/>
      <c r="D1" s="176"/>
      <c r="E1" s="176"/>
      <c r="F1" s="176"/>
      <c r="G1" s="176"/>
      <c r="H1" s="176"/>
      <c r="I1" s="176"/>
      <c r="J1" s="176"/>
      <c r="K1" s="176"/>
      <c r="L1" s="176"/>
      <c r="M1" s="176"/>
    </row>
    <row r="3" spans="1:13" x14ac:dyDescent="0.15">
      <c r="A3" s="177" t="s">
        <v>276</v>
      </c>
      <c r="B3" s="177"/>
      <c r="C3" s="177"/>
      <c r="D3" s="177"/>
      <c r="E3" s="177"/>
      <c r="F3" s="177"/>
      <c r="G3" s="177"/>
      <c r="H3" s="177"/>
      <c r="I3" s="177"/>
      <c r="J3" s="177"/>
      <c r="K3" s="177"/>
      <c r="L3" s="177"/>
      <c r="M3" s="177"/>
    </row>
    <row r="5" spans="1:13" x14ac:dyDescent="0.15">
      <c r="A5" s="177" t="s">
        <v>2</v>
      </c>
      <c r="B5" s="177"/>
      <c r="C5" s="177"/>
      <c r="D5" s="177"/>
      <c r="E5" s="177"/>
      <c r="F5" s="177"/>
      <c r="G5" s="177"/>
      <c r="H5" s="177"/>
      <c r="I5" s="177"/>
      <c r="J5" s="177"/>
      <c r="K5" s="177"/>
      <c r="L5" s="177"/>
      <c r="M5" s="177"/>
    </row>
    <row r="10" spans="1:13" ht="14" customHeight="1" x14ac:dyDescent="0.15">
      <c r="C10" s="180" t="s">
        <v>277</v>
      </c>
      <c r="D10" s="180"/>
      <c r="E10" s="180"/>
      <c r="F10" s="180"/>
      <c r="G10" s="180"/>
      <c r="H10" s="180"/>
      <c r="I10" s="180"/>
      <c r="J10" s="180"/>
      <c r="K10" s="180"/>
      <c r="L10" s="180"/>
      <c r="M10" s="180"/>
    </row>
    <row r="11" spans="1:13" ht="14" customHeight="1" x14ac:dyDescent="0.15">
      <c r="B11" s="1"/>
      <c r="C11" s="1" t="s">
        <v>278</v>
      </c>
      <c r="D11" s="1"/>
      <c r="E11" s="1" t="s">
        <v>279</v>
      </c>
      <c r="F11" s="1"/>
      <c r="G11" s="1" t="s">
        <v>280</v>
      </c>
      <c r="H11" s="1"/>
      <c r="I11" s="187" t="s">
        <v>281</v>
      </c>
      <c r="J11" s="187"/>
      <c r="K11" s="187"/>
      <c r="L11" s="1"/>
      <c r="M11" s="1"/>
    </row>
    <row r="12" spans="1:13" ht="14" customHeight="1" x14ac:dyDescent="0.15">
      <c r="A12" s="1" t="s">
        <v>3</v>
      </c>
      <c r="B12" s="1"/>
      <c r="C12" s="1" t="s">
        <v>77</v>
      </c>
      <c r="D12" s="1"/>
      <c r="E12" s="1" t="s">
        <v>282</v>
      </c>
      <c r="F12" s="1"/>
      <c r="G12" s="1" t="s">
        <v>283</v>
      </c>
      <c r="H12" s="1"/>
      <c r="I12" s="1"/>
      <c r="J12" s="1"/>
      <c r="K12" s="1"/>
      <c r="L12" s="1"/>
      <c r="M12" s="1"/>
    </row>
    <row r="13" spans="1:13" ht="14" customHeight="1" x14ac:dyDescent="0.15">
      <c r="A13" s="172" t="s">
        <v>4</v>
      </c>
      <c r="B13" s="1"/>
      <c r="C13" s="172" t="s">
        <v>284</v>
      </c>
      <c r="D13" s="1"/>
      <c r="E13" s="172" t="s">
        <v>285</v>
      </c>
      <c r="F13" s="1"/>
      <c r="G13" s="172" t="s">
        <v>208</v>
      </c>
      <c r="H13" s="1"/>
      <c r="I13" s="172" t="s">
        <v>286</v>
      </c>
      <c r="J13" s="1"/>
      <c r="K13" s="172" t="s">
        <v>287</v>
      </c>
      <c r="L13" s="1"/>
      <c r="M13" s="172" t="s">
        <v>288</v>
      </c>
    </row>
    <row r="14" spans="1:13" ht="14" customHeight="1" x14ac:dyDescent="0.15">
      <c r="A14" s="1">
        <v>2024</v>
      </c>
      <c r="C14" s="70">
        <v>32811920</v>
      </c>
      <c r="D14" s="70"/>
      <c r="E14" s="70">
        <v>31257030</v>
      </c>
      <c r="F14" s="70"/>
      <c r="G14" s="26">
        <v>1554890</v>
      </c>
      <c r="H14" s="70"/>
      <c r="I14" s="70">
        <v>1630000</v>
      </c>
      <c r="J14" s="70"/>
      <c r="K14" s="70">
        <v>967183</v>
      </c>
      <c r="M14" s="33">
        <v>0.6</v>
      </c>
    </row>
    <row r="15" spans="1:13" ht="14" customHeight="1" x14ac:dyDescent="0.15">
      <c r="A15" s="1">
        <v>2023</v>
      </c>
      <c r="C15" s="70">
        <v>31283976</v>
      </c>
      <c r="D15" s="70"/>
      <c r="E15" s="70">
        <v>29200652</v>
      </c>
      <c r="F15" s="70"/>
      <c r="G15" s="26">
        <f>C15-E15</f>
        <v>2083324</v>
      </c>
      <c r="H15" s="70"/>
      <c r="I15" s="70">
        <v>1580000</v>
      </c>
      <c r="J15" s="70"/>
      <c r="K15" s="70">
        <v>1017794.14</v>
      </c>
      <c r="M15" s="33">
        <f t="shared" ref="M15:M20" si="0">(G15/(I15+K15))</f>
        <v>0.80195884959537245</v>
      </c>
    </row>
    <row r="16" spans="1:13" ht="14" customHeight="1" x14ac:dyDescent="0.15">
      <c r="A16" s="1">
        <v>2022</v>
      </c>
      <c r="C16" s="26">
        <v>30876559</v>
      </c>
      <c r="D16" s="26"/>
      <c r="E16" s="26">
        <f>26921967-2559869</f>
        <v>24362098</v>
      </c>
      <c r="F16" s="26"/>
      <c r="G16" s="26">
        <f>C16-E16</f>
        <v>6514461</v>
      </c>
      <c r="H16" s="26"/>
      <c r="I16" s="26">
        <v>1180000</v>
      </c>
      <c r="J16" s="26"/>
      <c r="K16" s="26">
        <v>912019</v>
      </c>
      <c r="M16" s="33">
        <f t="shared" si="0"/>
        <v>3.1139588120375579</v>
      </c>
    </row>
    <row r="17" spans="1:17" ht="14" customHeight="1" x14ac:dyDescent="0.15">
      <c r="A17" s="1">
        <v>2021</v>
      </c>
      <c r="C17" s="26">
        <v>28030614</v>
      </c>
      <c r="D17" s="26"/>
      <c r="E17" s="26">
        <f>24765551-2534305</f>
        <v>22231246</v>
      </c>
      <c r="F17" s="26"/>
      <c r="G17" s="26">
        <f>C17-E17</f>
        <v>5799368</v>
      </c>
      <c r="H17" s="26"/>
      <c r="I17" s="26">
        <f>590000+850000+200000+150000+66953</f>
        <v>1856953</v>
      </c>
      <c r="J17" s="26"/>
      <c r="K17" s="26">
        <v>515413</v>
      </c>
      <c r="M17" s="33">
        <f t="shared" si="0"/>
        <v>2.4445502928300269</v>
      </c>
    </row>
    <row r="18" spans="1:17" ht="14" customHeight="1" x14ac:dyDescent="0.15">
      <c r="A18" s="1">
        <v>2020</v>
      </c>
      <c r="C18" s="26">
        <v>29735911</v>
      </c>
      <c r="D18" s="26"/>
      <c r="E18" s="26">
        <v>24032772</v>
      </c>
      <c r="F18" s="26"/>
      <c r="G18" s="26">
        <f>SUM(C18-E18)</f>
        <v>5703139</v>
      </c>
      <c r="H18" s="26"/>
      <c r="I18" s="26">
        <v>1961953</v>
      </c>
      <c r="J18" s="26"/>
      <c r="K18" s="26">
        <v>612643</v>
      </c>
      <c r="M18" s="33">
        <f t="shared" si="0"/>
        <v>2.2151588054980276</v>
      </c>
    </row>
    <row r="19" spans="1:17" ht="14" customHeight="1" x14ac:dyDescent="0.15">
      <c r="A19" s="1">
        <v>2019</v>
      </c>
      <c r="C19" s="26">
        <v>27246250</v>
      </c>
      <c r="D19" s="26"/>
      <c r="E19" s="26">
        <f>24977492-2354506</f>
        <v>22622986</v>
      </c>
      <c r="F19" s="26"/>
      <c r="G19" s="26">
        <f>SUM(C19-E19)</f>
        <v>4623264</v>
      </c>
      <c r="H19" s="26"/>
      <c r="I19" s="26">
        <v>1845132</v>
      </c>
      <c r="J19" s="26"/>
      <c r="K19" s="26">
        <v>561880</v>
      </c>
      <c r="M19" s="33">
        <f t="shared" si="0"/>
        <v>1.9207482139681895</v>
      </c>
      <c r="Q19" s="3"/>
    </row>
    <row r="20" spans="1:17" ht="14" customHeight="1" x14ac:dyDescent="0.15">
      <c r="A20" s="1">
        <v>2018</v>
      </c>
      <c r="C20" s="26">
        <v>27099237</v>
      </c>
      <c r="D20" s="26"/>
      <c r="E20" s="26">
        <v>20802263</v>
      </c>
      <c r="F20" s="26"/>
      <c r="G20" s="26">
        <v>6296974</v>
      </c>
      <c r="H20" s="26"/>
      <c r="I20" s="26">
        <v>1671134</v>
      </c>
      <c r="J20" s="26"/>
      <c r="K20" s="26">
        <v>391609</v>
      </c>
      <c r="M20" s="33">
        <f t="shared" si="0"/>
        <v>3.0527186372708575</v>
      </c>
    </row>
    <row r="21" spans="1:17" ht="14" customHeight="1" x14ac:dyDescent="0.15">
      <c r="A21" s="1">
        <v>2017</v>
      </c>
      <c r="C21" s="26">
        <v>25390713</v>
      </c>
      <c r="D21" s="26"/>
      <c r="E21" s="26">
        <v>18697162</v>
      </c>
      <c r="F21" s="26"/>
      <c r="G21" s="26">
        <v>6693551</v>
      </c>
      <c r="H21" s="26"/>
      <c r="I21" s="26">
        <v>1554541</v>
      </c>
      <c r="J21" s="26"/>
      <c r="K21" s="26">
        <v>368390</v>
      </c>
      <c r="M21" s="33">
        <v>3.48</v>
      </c>
    </row>
    <row r="22" spans="1:17" ht="14" customHeight="1" x14ac:dyDescent="0.15">
      <c r="A22" s="1">
        <v>2016</v>
      </c>
      <c r="C22" s="26">
        <v>22003794</v>
      </c>
      <c r="D22" s="26"/>
      <c r="E22" s="26">
        <v>17603487</v>
      </c>
      <c r="F22" s="26"/>
      <c r="G22" s="26">
        <v>4400307</v>
      </c>
      <c r="H22" s="26"/>
      <c r="I22" s="26">
        <v>1441741</v>
      </c>
      <c r="J22" s="26"/>
      <c r="K22" s="26">
        <v>417346</v>
      </c>
      <c r="M22" s="33">
        <f t="shared" ref="M22:M26" si="1">(G22/(I22+K22))</f>
        <v>2.3669182776276743</v>
      </c>
    </row>
    <row r="23" spans="1:17" ht="14" customHeight="1" x14ac:dyDescent="0.15">
      <c r="A23" s="1">
        <v>2015</v>
      </c>
      <c r="C23" s="26">
        <v>20700369</v>
      </c>
      <c r="D23" s="26"/>
      <c r="E23" s="26">
        <v>15916597</v>
      </c>
      <c r="F23" s="26"/>
      <c r="G23" s="26">
        <f t="shared" ref="G23:G26" si="2">SUM(C23-E23)</f>
        <v>4783772</v>
      </c>
      <c r="H23" s="26"/>
      <c r="I23" s="26">
        <v>1448407</v>
      </c>
      <c r="J23" s="26"/>
      <c r="K23" s="26">
        <v>428912</v>
      </c>
      <c r="M23" s="33">
        <f t="shared" si="1"/>
        <v>2.548193460994109</v>
      </c>
    </row>
    <row r="24" spans="1:17" ht="14" customHeight="1" x14ac:dyDescent="0.15">
      <c r="A24" s="1">
        <v>2014</v>
      </c>
      <c r="C24" s="26">
        <v>19147872</v>
      </c>
      <c r="D24" s="26"/>
      <c r="E24" s="26">
        <v>15246653</v>
      </c>
      <c r="F24" s="26"/>
      <c r="G24" s="26">
        <f t="shared" si="2"/>
        <v>3901219</v>
      </c>
      <c r="H24" s="26"/>
      <c r="I24" s="26">
        <v>1010500</v>
      </c>
      <c r="J24" s="26"/>
      <c r="K24" s="26">
        <v>426100</v>
      </c>
      <c r="M24" s="33">
        <f t="shared" si="1"/>
        <v>2.7155916747876931</v>
      </c>
    </row>
    <row r="25" spans="1:17" ht="14" customHeight="1" x14ac:dyDescent="0.15">
      <c r="A25" s="1">
        <v>2013</v>
      </c>
      <c r="C25" s="26">
        <v>17696327</v>
      </c>
      <c r="D25" s="26"/>
      <c r="E25" s="26">
        <v>14553274</v>
      </c>
      <c r="F25" s="26"/>
      <c r="G25" s="26">
        <f t="shared" si="2"/>
        <v>3143053</v>
      </c>
      <c r="H25" s="26"/>
      <c r="I25" s="26">
        <v>728800</v>
      </c>
      <c r="J25" s="26"/>
      <c r="K25" s="26">
        <v>359680</v>
      </c>
      <c r="M25" s="33">
        <f t="shared" si="1"/>
        <v>2.8875615537262971</v>
      </c>
    </row>
    <row r="26" spans="1:17" ht="14" hidden="1" customHeight="1" x14ac:dyDescent="0.15">
      <c r="A26" s="1">
        <v>2012</v>
      </c>
      <c r="C26" s="26">
        <v>17411568</v>
      </c>
      <c r="D26" s="26"/>
      <c r="E26" s="26">
        <v>14185126</v>
      </c>
      <c r="F26" s="26"/>
      <c r="G26" s="26">
        <f t="shared" si="2"/>
        <v>3226442</v>
      </c>
      <c r="H26" s="26"/>
      <c r="I26" s="26">
        <v>697100</v>
      </c>
      <c r="J26" s="26"/>
      <c r="K26" s="26">
        <v>396968</v>
      </c>
      <c r="M26" s="33">
        <f t="shared" si="1"/>
        <v>2.9490324184602783</v>
      </c>
    </row>
    <row r="27" spans="1:17" ht="14" customHeight="1" x14ac:dyDescent="0.15">
      <c r="C27" s="3"/>
      <c r="D27" s="3"/>
      <c r="E27" s="3"/>
      <c r="F27" s="3"/>
      <c r="G27" s="3"/>
      <c r="H27" s="3"/>
      <c r="I27" s="3"/>
      <c r="J27" s="3"/>
      <c r="K27" s="3"/>
      <c r="M27" s="14"/>
    </row>
    <row r="28" spans="1:17" ht="14" customHeight="1" x14ac:dyDescent="0.15"/>
    <row r="29" spans="1:17" ht="24" customHeight="1" x14ac:dyDescent="0.15">
      <c r="A29" s="185" t="s">
        <v>289</v>
      </c>
      <c r="B29" s="185"/>
      <c r="C29" s="185"/>
      <c r="D29" s="185"/>
      <c r="E29" s="185"/>
      <c r="F29" s="185"/>
      <c r="G29" s="185"/>
      <c r="H29" s="185"/>
      <c r="I29" s="185"/>
      <c r="J29" s="185"/>
      <c r="K29" s="185"/>
      <c r="L29" s="185"/>
      <c r="M29" s="185"/>
    </row>
    <row r="30" spans="1:17" ht="14" customHeight="1" x14ac:dyDescent="0.15"/>
  </sheetData>
  <mergeCells count="6">
    <mergeCell ref="C10:M10"/>
    <mergeCell ref="I11:K11"/>
    <mergeCell ref="A29:M29"/>
    <mergeCell ref="A1:M1"/>
    <mergeCell ref="A3:M3"/>
    <mergeCell ref="A5:M5"/>
  </mergeCells>
  <pageMargins left="0.75" right="0.75" top="0.5" bottom="1" header="0.5" footer="0.5"/>
  <pageSetup firstPageNumber="131" orientation="portrait" r:id="rId1"/>
  <headerFooter alignWithMargins="0">
    <oddHeader>&amp;R&amp;"Verdana,Bold"&amp;9TABLE 16</oddHeader>
    <oddFooter>&amp;C&amp;"Verdana,Bold"&amp;9&amp;P</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T38"/>
  <sheetViews>
    <sheetView zoomScaleNormal="100" workbookViewId="0">
      <selection activeCell="T8" sqref="T8"/>
    </sheetView>
  </sheetViews>
  <sheetFormatPr baseColWidth="10" defaultColWidth="15.6640625" defaultRowHeight="14" customHeight="1" x14ac:dyDescent="0.15"/>
  <cols>
    <col min="1" max="1" width="7.6640625" style="2" customWidth="1"/>
    <col min="2" max="2" width="0.83203125" style="2" customWidth="1"/>
    <col min="3" max="3" width="8.6640625" style="2" customWidth="1"/>
    <col min="4" max="4" width="0.83203125" style="2" customWidth="1"/>
    <col min="5" max="5" width="16.83203125" style="2" bestFit="1" customWidth="1"/>
    <col min="6" max="6" width="0.83203125" style="2" customWidth="1"/>
    <col min="7" max="7" width="9.5" style="2" customWidth="1"/>
    <col min="8" max="8" width="0.83203125" style="2" customWidth="1"/>
    <col min="9" max="9" width="7.6640625" style="2" customWidth="1"/>
    <col min="10" max="10" width="0.83203125" style="2" customWidth="1"/>
    <col min="11" max="11" width="9.83203125" style="2" bestFit="1" customWidth="1"/>
    <col min="12" max="12" width="0.83203125" style="2" customWidth="1"/>
    <col min="13" max="13" width="10.6640625" style="2" customWidth="1"/>
    <col min="14" max="14" width="0.83203125" style="2" customWidth="1"/>
    <col min="15" max="15" width="13.1640625" style="2" customWidth="1"/>
    <col min="16" max="16" width="10.6640625" style="2" customWidth="1"/>
    <col min="17" max="17" width="10.1640625" style="2" customWidth="1"/>
    <col min="18" max="18" width="10.5" style="2" customWidth="1"/>
    <col min="19" max="19" width="11.1640625" style="2" customWidth="1"/>
    <col min="20" max="21" width="11.33203125" style="2" customWidth="1"/>
    <col min="22" max="23" width="11" style="2" customWidth="1"/>
    <col min="24" max="24" width="10.83203125" style="2" customWidth="1"/>
    <col min="25" max="25" width="1.6640625" style="2" customWidth="1"/>
    <col min="26" max="26" width="10.6640625" style="2" customWidth="1"/>
    <col min="27" max="27" width="1.6640625" style="2" customWidth="1"/>
    <col min="28" max="16384" width="15.6640625" style="2"/>
  </cols>
  <sheetData>
    <row r="1" spans="1:15" ht="12" customHeight="1" x14ac:dyDescent="0.15">
      <c r="A1" s="176" t="s">
        <v>0</v>
      </c>
      <c r="B1" s="176"/>
      <c r="C1" s="176"/>
      <c r="D1" s="176"/>
      <c r="E1" s="176"/>
      <c r="F1" s="176"/>
      <c r="G1" s="176"/>
      <c r="H1" s="176"/>
      <c r="I1" s="176"/>
      <c r="J1" s="176"/>
      <c r="K1" s="176"/>
      <c r="L1" s="176"/>
      <c r="M1" s="176"/>
      <c r="N1" s="176"/>
      <c r="O1" s="176"/>
    </row>
    <row r="2" spans="1:15" ht="12" customHeight="1" x14ac:dyDescent="0.15"/>
    <row r="3" spans="1:15" ht="12" customHeight="1" x14ac:dyDescent="0.15">
      <c r="A3" s="177" t="s">
        <v>290</v>
      </c>
      <c r="B3" s="177"/>
      <c r="C3" s="177"/>
      <c r="D3" s="177"/>
      <c r="E3" s="177"/>
      <c r="F3" s="177"/>
      <c r="G3" s="177"/>
      <c r="H3" s="177"/>
      <c r="I3" s="177"/>
      <c r="J3" s="177"/>
      <c r="K3" s="177"/>
      <c r="L3" s="177"/>
      <c r="M3" s="177"/>
      <c r="N3" s="177"/>
      <c r="O3" s="177"/>
    </row>
    <row r="4" spans="1:15" ht="12" customHeight="1" x14ac:dyDescent="0.15"/>
    <row r="5" spans="1:15" ht="12" customHeight="1" x14ac:dyDescent="0.15">
      <c r="A5" s="177" t="s">
        <v>2</v>
      </c>
      <c r="B5" s="177"/>
      <c r="C5" s="177"/>
      <c r="D5" s="177"/>
      <c r="E5" s="177"/>
      <c r="F5" s="177"/>
      <c r="G5" s="177"/>
      <c r="H5" s="177"/>
      <c r="I5" s="177"/>
      <c r="J5" s="177"/>
      <c r="K5" s="177"/>
      <c r="L5" s="177"/>
      <c r="M5" s="177"/>
      <c r="N5" s="177"/>
      <c r="O5" s="177"/>
    </row>
    <row r="6" spans="1:15" ht="12" customHeight="1" x14ac:dyDescent="0.15"/>
    <row r="7" spans="1:15" ht="53.25" customHeight="1" x14ac:dyDescent="0.15">
      <c r="A7" s="100" t="s">
        <v>152</v>
      </c>
      <c r="B7" s="1"/>
      <c r="C7" s="172" t="s">
        <v>231</v>
      </c>
      <c r="D7" s="172"/>
      <c r="E7" s="101" t="s">
        <v>291</v>
      </c>
      <c r="F7" s="101"/>
      <c r="G7" s="101" t="s">
        <v>292</v>
      </c>
      <c r="H7" s="101"/>
      <c r="I7" s="100" t="s">
        <v>293</v>
      </c>
      <c r="J7" s="100"/>
      <c r="K7" s="100" t="s">
        <v>294</v>
      </c>
      <c r="L7" s="100"/>
      <c r="M7" s="100" t="s">
        <v>295</v>
      </c>
      <c r="N7" s="100"/>
      <c r="O7" s="100" t="s">
        <v>296</v>
      </c>
    </row>
    <row r="8" spans="1:15" ht="14" customHeight="1" x14ac:dyDescent="0.15">
      <c r="A8" s="2">
        <v>2024</v>
      </c>
      <c r="C8" s="102">
        <v>43239</v>
      </c>
      <c r="D8" s="3"/>
      <c r="E8" s="70">
        <v>1790872902</v>
      </c>
      <c r="F8" s="70"/>
      <c r="G8" s="70">
        <v>41418</v>
      </c>
      <c r="H8" s="3"/>
      <c r="I8" s="34">
        <v>42</v>
      </c>
      <c r="J8" s="34"/>
      <c r="K8" s="34">
        <v>16</v>
      </c>
      <c r="L8" s="34"/>
      <c r="M8" s="3">
        <v>15758</v>
      </c>
      <c r="N8" s="3"/>
      <c r="O8" s="35">
        <v>3.2000000000000001E-2</v>
      </c>
    </row>
    <row r="9" spans="1:15" ht="14" customHeight="1" x14ac:dyDescent="0.15">
      <c r="A9" s="2">
        <v>2023</v>
      </c>
      <c r="C9" s="102">
        <v>43010</v>
      </c>
      <c r="D9" s="3"/>
      <c r="E9" s="70">
        <v>1734335240</v>
      </c>
      <c r="F9" s="70"/>
      <c r="G9" s="70">
        <v>40324</v>
      </c>
      <c r="H9" s="3"/>
      <c r="I9" s="34">
        <v>39</v>
      </c>
      <c r="J9" s="34"/>
      <c r="K9" s="34">
        <v>15.9</v>
      </c>
      <c r="L9" s="34"/>
      <c r="M9" s="3">
        <v>15573</v>
      </c>
      <c r="N9" s="3"/>
      <c r="O9" s="35">
        <v>3.5999999999999997E-2</v>
      </c>
    </row>
    <row r="10" spans="1:15" ht="14" customHeight="1" x14ac:dyDescent="0.15">
      <c r="A10" s="2">
        <v>2022</v>
      </c>
      <c r="C10" s="102">
        <f>(43010-42000)/3+C11</f>
        <v>42673.333333333328</v>
      </c>
      <c r="D10" s="3"/>
      <c r="E10" s="70">
        <v>1656664146.6666665</v>
      </c>
      <c r="F10" s="70"/>
      <c r="G10" s="70">
        <v>38822</v>
      </c>
      <c r="H10" s="3"/>
      <c r="I10" s="34">
        <v>37.9</v>
      </c>
      <c r="J10" s="34"/>
      <c r="K10" s="34">
        <v>15.9</v>
      </c>
      <c r="L10" s="34"/>
      <c r="M10" s="3">
        <v>15877</v>
      </c>
      <c r="N10" s="3"/>
      <c r="O10" s="35">
        <v>3.3000000000000002E-2</v>
      </c>
    </row>
    <row r="11" spans="1:15" ht="14" customHeight="1" x14ac:dyDescent="0.15">
      <c r="A11" s="2">
        <v>2021</v>
      </c>
      <c r="C11" s="102">
        <f>(43010-42000)/3+C12</f>
        <v>42336.666666666664</v>
      </c>
      <c r="E11" s="3">
        <v>1611714563.3333333</v>
      </c>
      <c r="F11" s="3"/>
      <c r="G11" s="3">
        <v>38069</v>
      </c>
      <c r="I11" s="34">
        <v>37.6</v>
      </c>
      <c r="K11" s="34">
        <v>16.152301875024364</v>
      </c>
      <c r="L11" s="34"/>
      <c r="M11" s="3">
        <v>15887</v>
      </c>
      <c r="N11" s="3"/>
      <c r="O11" s="35">
        <v>3.9E-2</v>
      </c>
    </row>
    <row r="12" spans="1:15" ht="14" customHeight="1" x14ac:dyDescent="0.15">
      <c r="A12" s="2">
        <v>2020</v>
      </c>
      <c r="C12" s="102">
        <v>42000</v>
      </c>
      <c r="E12" s="3">
        <v>1651272000</v>
      </c>
      <c r="F12" s="3"/>
      <c r="G12" s="3">
        <v>39316</v>
      </c>
      <c r="I12" s="34">
        <v>37.4</v>
      </c>
      <c r="K12" s="34">
        <v>16.2</v>
      </c>
      <c r="L12" s="34"/>
      <c r="M12" s="3">
        <v>15675</v>
      </c>
      <c r="N12" s="3"/>
      <c r="O12" s="35">
        <v>5.0999999999999997E-2</v>
      </c>
    </row>
    <row r="13" spans="1:15" ht="14" customHeight="1" x14ac:dyDescent="0.15">
      <c r="A13" s="2">
        <v>2019</v>
      </c>
      <c r="C13" s="3">
        <v>41948</v>
      </c>
      <c r="D13" s="3"/>
      <c r="E13" s="3">
        <v>1473255708</v>
      </c>
      <c r="F13" s="3"/>
      <c r="G13" s="3">
        <v>35121</v>
      </c>
      <c r="H13" s="3"/>
      <c r="I13" s="34">
        <v>38</v>
      </c>
      <c r="J13" s="34"/>
      <c r="K13" s="34">
        <v>16.2</v>
      </c>
      <c r="L13" s="34"/>
      <c r="M13" s="3">
        <v>15925</v>
      </c>
      <c r="N13" s="3"/>
      <c r="O13" s="35">
        <v>2.7E-2</v>
      </c>
    </row>
    <row r="14" spans="1:15" ht="14" customHeight="1" x14ac:dyDescent="0.15">
      <c r="A14" s="36">
        <v>2018</v>
      </c>
      <c r="B14" s="36"/>
      <c r="C14" s="102">
        <v>41182</v>
      </c>
      <c r="D14" s="102"/>
      <c r="E14" s="102">
        <v>1396481620</v>
      </c>
      <c r="F14" s="102"/>
      <c r="G14" s="102">
        <v>33910</v>
      </c>
      <c r="H14" s="102"/>
      <c r="I14" s="103">
        <v>37.299999999999997</v>
      </c>
      <c r="J14" s="103"/>
      <c r="K14" s="103">
        <v>15.9</v>
      </c>
      <c r="L14" s="103"/>
      <c r="M14" s="102">
        <v>15817</v>
      </c>
      <c r="N14" s="102"/>
      <c r="O14" s="104">
        <v>3.2000000000000001E-2</v>
      </c>
    </row>
    <row r="15" spans="1:15" ht="14" customHeight="1" x14ac:dyDescent="0.15">
      <c r="A15" s="36">
        <v>2017</v>
      </c>
      <c r="B15" s="36"/>
      <c r="C15" s="102">
        <v>39453</v>
      </c>
      <c r="D15" s="102"/>
      <c r="E15" s="102">
        <v>1266046770</v>
      </c>
      <c r="F15" s="102"/>
      <c r="G15" s="102">
        <v>32090</v>
      </c>
      <c r="H15" s="102"/>
      <c r="I15" s="103">
        <v>37.200000000000003</v>
      </c>
      <c r="J15" s="103"/>
      <c r="K15" s="103">
        <v>15.9</v>
      </c>
      <c r="L15" s="103"/>
      <c r="M15" s="102">
        <v>15497</v>
      </c>
      <c r="N15" s="102"/>
      <c r="O15" s="104">
        <v>3.7999999999999999E-2</v>
      </c>
    </row>
    <row r="16" spans="1:15" ht="14" customHeight="1" x14ac:dyDescent="0.15">
      <c r="A16" s="36">
        <v>2016</v>
      </c>
      <c r="B16" s="36"/>
      <c r="C16" s="102">
        <v>37938</v>
      </c>
      <c r="D16" s="102"/>
      <c r="E16" s="102">
        <v>1175319240</v>
      </c>
      <c r="F16" s="102"/>
      <c r="G16" s="102">
        <v>30980</v>
      </c>
      <c r="H16" s="102"/>
      <c r="I16" s="103">
        <v>36.9</v>
      </c>
      <c r="J16" s="103"/>
      <c r="K16" s="103">
        <v>15.8</v>
      </c>
      <c r="L16" s="103"/>
      <c r="M16" s="102">
        <v>15460</v>
      </c>
      <c r="N16" s="102"/>
      <c r="O16" s="104">
        <v>3.4000000000000002E-2</v>
      </c>
    </row>
    <row r="17" spans="1:20" ht="14" customHeight="1" x14ac:dyDescent="0.15">
      <c r="A17" s="36">
        <v>2015</v>
      </c>
      <c r="B17" s="36"/>
      <c r="C17" s="102">
        <v>37865</v>
      </c>
      <c r="D17" s="102"/>
      <c r="E17" s="102">
        <v>1157835970</v>
      </c>
      <c r="F17" s="102"/>
      <c r="G17" s="102">
        <v>30578</v>
      </c>
      <c r="H17" s="102"/>
      <c r="I17" s="103">
        <v>36.1</v>
      </c>
      <c r="J17" s="103"/>
      <c r="K17" s="103">
        <v>15.6</v>
      </c>
      <c r="L17" s="103"/>
      <c r="M17" s="102">
        <v>15009</v>
      </c>
      <c r="N17" s="102"/>
      <c r="O17" s="104">
        <v>3.2000000000000001E-2</v>
      </c>
    </row>
    <row r="18" spans="1:20" ht="14" customHeight="1" x14ac:dyDescent="0.15">
      <c r="A18" s="36">
        <v>2014</v>
      </c>
      <c r="B18" s="36"/>
      <c r="C18" s="102">
        <v>36477</v>
      </c>
      <c r="D18" s="102"/>
      <c r="E18" s="102">
        <v>1144465875</v>
      </c>
      <c r="F18" s="102"/>
      <c r="G18" s="102">
        <v>31375</v>
      </c>
      <c r="H18" s="102"/>
      <c r="I18" s="103">
        <v>36.9</v>
      </c>
      <c r="J18" s="103"/>
      <c r="K18" s="103">
        <v>15.4</v>
      </c>
      <c r="L18" s="103"/>
      <c r="M18" s="102">
        <v>14515</v>
      </c>
      <c r="N18" s="102"/>
      <c r="O18" s="104">
        <v>5.0999999999999997E-2</v>
      </c>
    </row>
    <row r="19" spans="1:20" ht="14" customHeight="1" x14ac:dyDescent="0.15">
      <c r="A19" s="36">
        <v>2013</v>
      </c>
      <c r="B19" s="36"/>
      <c r="C19" s="102">
        <v>35929</v>
      </c>
      <c r="D19" s="102"/>
      <c r="E19" s="102">
        <v>1095331494</v>
      </c>
      <c r="F19" s="102"/>
      <c r="G19" s="102">
        <v>30486</v>
      </c>
      <c r="H19" s="102"/>
      <c r="I19" s="103">
        <v>37.1</v>
      </c>
      <c r="J19" s="103"/>
      <c r="K19" s="103">
        <v>15.4</v>
      </c>
      <c r="L19" s="103"/>
      <c r="M19" s="102">
        <v>14058</v>
      </c>
      <c r="N19" s="102"/>
      <c r="O19" s="104">
        <v>5.5E-2</v>
      </c>
    </row>
    <row r="20" spans="1:20" ht="14" customHeight="1" x14ac:dyDescent="0.15">
      <c r="A20" s="36"/>
      <c r="B20" s="36"/>
      <c r="C20" s="102"/>
      <c r="D20" s="102"/>
      <c r="E20" s="102"/>
      <c r="F20" s="102"/>
      <c r="G20" s="102"/>
      <c r="H20" s="102"/>
      <c r="I20" s="103"/>
      <c r="J20" s="103"/>
      <c r="K20" s="103"/>
      <c r="L20" s="103"/>
      <c r="M20" s="102"/>
      <c r="N20" s="102"/>
      <c r="O20" s="104"/>
      <c r="T20" s="105"/>
    </row>
    <row r="21" spans="1:20" ht="14" customHeight="1" x14ac:dyDescent="0.15">
      <c r="A21" s="36"/>
      <c r="C21" s="3"/>
      <c r="D21" s="3"/>
      <c r="E21" s="3"/>
      <c r="F21" s="3"/>
      <c r="G21" s="3"/>
      <c r="H21" s="3"/>
      <c r="I21" s="34"/>
      <c r="J21" s="34"/>
      <c r="K21" s="34"/>
      <c r="L21" s="34"/>
      <c r="M21" s="3"/>
      <c r="N21" s="3"/>
      <c r="O21" s="35"/>
      <c r="T21" s="105"/>
    </row>
    <row r="22" spans="1:20" ht="14" customHeight="1" x14ac:dyDescent="0.15">
      <c r="A22" s="190" t="s">
        <v>297</v>
      </c>
      <c r="B22" s="189" t="s">
        <v>298</v>
      </c>
      <c r="C22" s="189"/>
      <c r="D22" s="189"/>
      <c r="E22" s="189"/>
      <c r="F22" s="189"/>
      <c r="G22" s="189"/>
      <c r="H22" s="189"/>
      <c r="I22" s="189"/>
      <c r="J22" s="189"/>
      <c r="K22" s="189"/>
      <c r="L22" s="189"/>
      <c r="M22" s="189"/>
      <c r="N22" s="189"/>
      <c r="O22" s="189"/>
      <c r="T22" s="105"/>
    </row>
    <row r="23" spans="1:20" ht="14" customHeight="1" x14ac:dyDescent="0.15">
      <c r="A23" s="190"/>
      <c r="B23" s="189"/>
      <c r="C23" s="189"/>
      <c r="D23" s="189"/>
      <c r="E23" s="189"/>
      <c r="F23" s="189"/>
      <c r="G23" s="189"/>
      <c r="H23" s="189"/>
      <c r="I23" s="189"/>
      <c r="J23" s="189"/>
      <c r="K23" s="189"/>
      <c r="L23" s="189"/>
      <c r="M23" s="189"/>
      <c r="N23" s="189"/>
      <c r="O23" s="189"/>
      <c r="T23" s="105"/>
    </row>
    <row r="24" spans="1:20" ht="14" customHeight="1" x14ac:dyDescent="0.15">
      <c r="A24" s="36"/>
      <c r="B24" s="189"/>
      <c r="C24" s="189"/>
      <c r="D24" s="189"/>
      <c r="E24" s="189"/>
      <c r="F24" s="189"/>
      <c r="G24" s="189"/>
      <c r="H24" s="189"/>
      <c r="I24" s="189"/>
      <c r="J24" s="189"/>
      <c r="K24" s="189"/>
      <c r="L24" s="189"/>
      <c r="M24" s="189"/>
      <c r="N24" s="189"/>
      <c r="O24" s="189"/>
      <c r="T24" s="105"/>
    </row>
    <row r="25" spans="1:20" ht="14" customHeight="1" x14ac:dyDescent="0.15">
      <c r="A25" s="36"/>
      <c r="B25" s="189"/>
      <c r="C25" s="189"/>
      <c r="D25" s="189"/>
      <c r="E25" s="189"/>
      <c r="F25" s="189"/>
      <c r="G25" s="189"/>
      <c r="H25" s="189"/>
      <c r="I25" s="189"/>
      <c r="J25" s="189"/>
      <c r="K25" s="189"/>
      <c r="L25" s="189"/>
      <c r="M25" s="189"/>
      <c r="N25" s="189"/>
      <c r="O25" s="189"/>
      <c r="T25" s="105"/>
    </row>
    <row r="26" spans="1:20" ht="14" hidden="1" customHeight="1" x14ac:dyDescent="0.15">
      <c r="A26" s="36">
        <v>2005</v>
      </c>
      <c r="C26" s="3">
        <v>18694</v>
      </c>
      <c r="D26" s="3"/>
      <c r="E26" s="3">
        <v>593870992</v>
      </c>
      <c r="F26" s="3"/>
      <c r="G26" s="3">
        <v>31768</v>
      </c>
      <c r="H26" s="3"/>
      <c r="I26" s="34">
        <v>35.1</v>
      </c>
      <c r="J26" s="34"/>
      <c r="K26" s="34">
        <v>14.6</v>
      </c>
      <c r="L26" s="34"/>
      <c r="M26" s="3">
        <v>6186</v>
      </c>
      <c r="N26" s="3"/>
      <c r="O26" s="35">
        <v>3.9E-2</v>
      </c>
      <c r="T26" s="105"/>
    </row>
    <row r="27" spans="1:20" ht="14" customHeight="1" x14ac:dyDescent="0.15">
      <c r="A27" s="36"/>
      <c r="C27" s="3"/>
      <c r="D27" s="3"/>
      <c r="E27" s="3"/>
      <c r="F27" s="3"/>
      <c r="G27" s="3"/>
      <c r="H27" s="3"/>
      <c r="I27" s="34"/>
      <c r="J27" s="34"/>
      <c r="K27" s="34"/>
      <c r="L27" s="34"/>
      <c r="M27" s="3"/>
      <c r="N27" s="3"/>
      <c r="O27" s="35"/>
      <c r="T27" s="105"/>
    </row>
    <row r="28" spans="1:20" ht="14" customHeight="1" x14ac:dyDescent="0.15">
      <c r="A28" s="36"/>
      <c r="C28" s="3"/>
      <c r="D28" s="3"/>
      <c r="E28" s="3"/>
      <c r="F28" s="3"/>
      <c r="G28" s="3"/>
      <c r="H28" s="3"/>
      <c r="I28" s="34"/>
      <c r="J28" s="34"/>
      <c r="K28" s="34"/>
      <c r="L28" s="34"/>
      <c r="M28" s="3"/>
      <c r="N28" s="3"/>
      <c r="O28" s="35"/>
    </row>
    <row r="29" spans="1:20" ht="14" customHeight="1" x14ac:dyDescent="0.15">
      <c r="A29" s="36"/>
      <c r="C29" s="3"/>
      <c r="D29" s="3"/>
      <c r="E29" s="3"/>
      <c r="F29" s="3"/>
      <c r="G29" s="3"/>
      <c r="H29" s="3"/>
      <c r="I29" s="34"/>
      <c r="J29" s="34"/>
      <c r="K29" s="34"/>
      <c r="L29" s="34"/>
      <c r="M29" s="3"/>
      <c r="N29" s="3"/>
      <c r="O29" s="35"/>
      <c r="P29" s="37"/>
    </row>
    <row r="30" spans="1:20" ht="14" customHeight="1" x14ac:dyDescent="0.15">
      <c r="A30" s="36"/>
      <c r="C30" s="3"/>
      <c r="D30" s="3"/>
      <c r="E30" s="3"/>
      <c r="F30" s="3"/>
      <c r="G30" s="3"/>
      <c r="H30" s="3"/>
      <c r="I30" s="34"/>
      <c r="J30" s="34"/>
      <c r="K30" s="34"/>
      <c r="L30" s="34"/>
      <c r="M30" s="3"/>
      <c r="N30" s="3"/>
      <c r="O30" s="35"/>
    </row>
    <row r="31" spans="1:20" ht="14" customHeight="1" x14ac:dyDescent="0.15">
      <c r="A31" s="36"/>
      <c r="C31" s="3"/>
      <c r="D31" s="3"/>
      <c r="E31" s="3"/>
      <c r="F31" s="3"/>
      <c r="G31" s="3"/>
      <c r="H31" s="3"/>
      <c r="I31" s="34"/>
      <c r="J31" s="34"/>
      <c r="K31" s="34"/>
      <c r="L31" s="34"/>
      <c r="M31" s="3"/>
      <c r="N31" s="3"/>
      <c r="O31" s="35"/>
      <c r="T31" s="66"/>
    </row>
    <row r="32" spans="1:20" ht="14" customHeight="1" x14ac:dyDescent="0.15">
      <c r="A32" s="36"/>
      <c r="C32" s="10"/>
      <c r="D32" s="10"/>
      <c r="E32" s="10"/>
      <c r="F32" s="10"/>
      <c r="G32" s="10"/>
      <c r="H32" s="10"/>
    </row>
    <row r="33" spans="1:15" ht="14" customHeight="1" x14ac:dyDescent="0.15">
      <c r="A33" s="188"/>
      <c r="B33" s="188"/>
      <c r="C33" s="188"/>
      <c r="D33" s="188"/>
      <c r="E33" s="188"/>
      <c r="F33" s="188"/>
      <c r="G33" s="188"/>
      <c r="H33" s="188"/>
      <c r="I33" s="188"/>
      <c r="J33" s="188"/>
      <c r="K33" s="188"/>
      <c r="L33" s="188"/>
      <c r="M33" s="188"/>
      <c r="N33" s="188"/>
      <c r="O33" s="188"/>
    </row>
    <row r="34" spans="1:15" ht="45" customHeight="1" x14ac:dyDescent="0.15">
      <c r="A34" s="38"/>
      <c r="B34" s="37"/>
      <c r="C34" s="189"/>
      <c r="D34" s="189"/>
      <c r="E34" s="189"/>
      <c r="F34" s="189"/>
      <c r="G34" s="189"/>
      <c r="H34" s="189"/>
      <c r="I34" s="189"/>
      <c r="J34" s="189"/>
      <c r="K34" s="189"/>
      <c r="L34" s="189"/>
      <c r="M34" s="189"/>
      <c r="N34" s="189"/>
      <c r="O34" s="189"/>
    </row>
    <row r="35" spans="1:15" ht="14" customHeight="1" x14ac:dyDescent="0.15">
      <c r="A35" s="37"/>
      <c r="B35" s="37"/>
      <c r="C35" s="37"/>
      <c r="D35" s="37"/>
      <c r="E35" s="37"/>
      <c r="F35" s="37"/>
      <c r="G35" s="37"/>
      <c r="H35" s="37"/>
      <c r="I35" s="37"/>
      <c r="J35" s="37"/>
      <c r="K35" s="37"/>
      <c r="L35" s="37"/>
      <c r="M35" s="37"/>
      <c r="N35" s="37"/>
      <c r="O35" s="37"/>
    </row>
    <row r="36" spans="1:15" ht="14" customHeight="1" x14ac:dyDescent="0.15">
      <c r="C36" s="10"/>
      <c r="D36" s="10"/>
      <c r="E36" s="10"/>
      <c r="F36" s="10"/>
      <c r="G36" s="10"/>
      <c r="H36" s="10"/>
    </row>
    <row r="37" spans="1:15" ht="14" customHeight="1" x14ac:dyDescent="0.15">
      <c r="C37" s="10"/>
      <c r="D37" s="10"/>
      <c r="E37" s="10"/>
      <c r="F37" s="10"/>
      <c r="G37" s="10"/>
      <c r="H37" s="10"/>
    </row>
    <row r="38" spans="1:15" ht="14" customHeight="1" x14ac:dyDescent="0.15">
      <c r="C38" s="10"/>
      <c r="D38" s="10"/>
      <c r="E38" s="10"/>
      <c r="F38" s="10"/>
      <c r="G38" s="10"/>
      <c r="H38" s="10"/>
    </row>
  </sheetData>
  <mergeCells count="7">
    <mergeCell ref="A33:O33"/>
    <mergeCell ref="C34:O34"/>
    <mergeCell ref="A1:O1"/>
    <mergeCell ref="A3:O3"/>
    <mergeCell ref="A5:O5"/>
    <mergeCell ref="A22:A23"/>
    <mergeCell ref="B22:O25"/>
  </mergeCells>
  <pageMargins left="0.75" right="0.75" top="0.5" bottom="1" header="0.5" footer="0.5"/>
  <pageSetup firstPageNumber="132" pageOrder="overThenDown" orientation="portrait" r:id="rId1"/>
  <headerFooter alignWithMargins="0">
    <oddHeader>&amp;R&amp;"Verdana,Bold"&amp;9TABLE 17</oddHeader>
    <oddFooter>&amp;C&amp;"Verdana,Bold"&amp;9&amp;P</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N35"/>
  <sheetViews>
    <sheetView zoomScaleNormal="100" zoomScaleSheetLayoutView="85" workbookViewId="0">
      <selection activeCell="L32" sqref="L31:L32"/>
    </sheetView>
  </sheetViews>
  <sheetFormatPr baseColWidth="10" defaultColWidth="9.1640625" defaultRowHeight="14" customHeight="1" x14ac:dyDescent="0.15"/>
  <cols>
    <col min="1" max="1" width="16.5" style="2" customWidth="1"/>
    <col min="2" max="2" width="18.5" style="2" customWidth="1"/>
    <col min="3" max="3" width="1.6640625" style="2" customWidth="1"/>
    <col min="4" max="4" width="13.33203125" style="2" customWidth="1"/>
    <col min="5" max="5" width="0.5" style="2" customWidth="1"/>
    <col min="6" max="6" width="13.33203125" style="2" customWidth="1"/>
    <col min="7" max="7" width="0.5" style="2" customWidth="1"/>
    <col min="8" max="8" width="11.83203125" style="2" customWidth="1"/>
    <col min="9" max="9" width="0.5" style="2" customWidth="1"/>
    <col min="10" max="10" width="13.33203125" style="2" customWidth="1"/>
    <col min="11" max="11" width="10.6640625" style="2" customWidth="1"/>
    <col min="12" max="12" width="22.5" style="2" bestFit="1" customWidth="1"/>
    <col min="13" max="13" width="10.6640625" style="2" customWidth="1"/>
    <col min="14" max="16384" width="9.1640625" style="2"/>
  </cols>
  <sheetData>
    <row r="1" spans="1:14" ht="14" customHeight="1" x14ac:dyDescent="0.15">
      <c r="A1" s="176" t="s">
        <v>0</v>
      </c>
      <c r="B1" s="176"/>
      <c r="C1" s="176"/>
      <c r="D1" s="176"/>
      <c r="E1" s="176"/>
      <c r="F1" s="176"/>
      <c r="G1" s="176"/>
      <c r="H1" s="176"/>
      <c r="I1" s="176"/>
      <c r="J1" s="176"/>
    </row>
    <row r="3" spans="1:14" ht="14" customHeight="1" x14ac:dyDescent="0.15">
      <c r="A3" s="177" t="s">
        <v>299</v>
      </c>
      <c r="B3" s="177"/>
      <c r="C3" s="177"/>
      <c r="D3" s="177"/>
      <c r="E3" s="177"/>
      <c r="F3" s="177"/>
      <c r="G3" s="177"/>
      <c r="H3" s="177"/>
      <c r="I3" s="177"/>
      <c r="J3" s="177"/>
    </row>
    <row r="5" spans="1:14" ht="14" customHeight="1" x14ac:dyDescent="0.15">
      <c r="A5" s="177" t="s">
        <v>93</v>
      </c>
      <c r="B5" s="177"/>
      <c r="C5" s="177"/>
      <c r="D5" s="177"/>
      <c r="E5" s="177"/>
      <c r="F5" s="177"/>
      <c r="G5" s="177"/>
      <c r="H5" s="177"/>
      <c r="I5" s="177"/>
      <c r="J5" s="177"/>
    </row>
    <row r="9" spans="1:14" ht="14" customHeight="1" x14ac:dyDescent="0.15">
      <c r="D9" s="106">
        <v>2024</v>
      </c>
      <c r="E9" s="106"/>
      <c r="F9" s="106"/>
      <c r="H9" s="180">
        <v>2015</v>
      </c>
      <c r="I9" s="180"/>
      <c r="J9" s="180"/>
    </row>
    <row r="10" spans="1:14" ht="41.25" customHeight="1" x14ac:dyDescent="0.15">
      <c r="A10" s="107" t="s">
        <v>300</v>
      </c>
      <c r="B10" s="108"/>
      <c r="C10" s="109"/>
      <c r="D10" s="100" t="s">
        <v>301</v>
      </c>
      <c r="F10" s="100" t="s">
        <v>302</v>
      </c>
      <c r="H10" s="100" t="s">
        <v>301</v>
      </c>
      <c r="J10" s="100" t="s">
        <v>302</v>
      </c>
    </row>
    <row r="11" spans="1:14" ht="14" customHeight="1" x14ac:dyDescent="0.15">
      <c r="D11" s="3"/>
      <c r="F11" s="13"/>
      <c r="H11" s="3"/>
      <c r="J11" s="13"/>
    </row>
    <row r="12" spans="1:14" ht="14" customHeight="1" x14ac:dyDescent="0.15">
      <c r="A12" s="2" t="s">
        <v>303</v>
      </c>
      <c r="D12" s="110">
        <v>2032</v>
      </c>
      <c r="F12" s="111">
        <f>D12/$N$14</f>
        <v>8.7034736797018883E-2</v>
      </c>
      <c r="H12" s="110">
        <v>1810</v>
      </c>
      <c r="J12" s="111">
        <v>0.1046</v>
      </c>
    </row>
    <row r="13" spans="1:14" ht="14" customHeight="1" x14ac:dyDescent="0.15">
      <c r="A13" s="2" t="s">
        <v>304</v>
      </c>
      <c r="D13" s="110">
        <v>800</v>
      </c>
      <c r="F13" s="111">
        <f t="shared" ref="F13:F21" si="0">D13/$N$14</f>
        <v>3.4265644408275155E-2</v>
      </c>
      <c r="H13" s="110">
        <v>1073</v>
      </c>
      <c r="J13" s="111">
        <v>6.2E-2</v>
      </c>
    </row>
    <row r="14" spans="1:14" ht="14" customHeight="1" x14ac:dyDescent="0.15">
      <c r="A14" s="2" t="s">
        <v>305</v>
      </c>
      <c r="D14" s="110">
        <v>800</v>
      </c>
      <c r="F14" s="111">
        <f t="shared" si="0"/>
        <v>3.4265644408275155E-2</v>
      </c>
      <c r="H14" s="110">
        <v>837</v>
      </c>
      <c r="J14" s="111">
        <v>4.8399999999999999E-2</v>
      </c>
      <c r="L14" s="2" t="s">
        <v>306</v>
      </c>
      <c r="N14" s="39">
        <v>23347</v>
      </c>
    </row>
    <row r="15" spans="1:14" ht="14" customHeight="1" x14ac:dyDescent="0.15">
      <c r="A15" s="2" t="s">
        <v>307</v>
      </c>
      <c r="D15" s="110">
        <v>650</v>
      </c>
      <c r="F15" s="111">
        <f t="shared" si="0"/>
        <v>2.7840836081723563E-2</v>
      </c>
      <c r="H15" s="110" t="s">
        <v>308</v>
      </c>
      <c r="J15" s="111" t="s">
        <v>308</v>
      </c>
    </row>
    <row r="16" spans="1:14" ht="14" customHeight="1" x14ac:dyDescent="0.15">
      <c r="A16" s="2" t="s">
        <v>309</v>
      </c>
      <c r="D16" s="110">
        <v>600</v>
      </c>
      <c r="F16" s="111">
        <f t="shared" si="0"/>
        <v>2.5699233306206364E-2</v>
      </c>
      <c r="H16" s="110">
        <v>382</v>
      </c>
      <c r="J16" s="111">
        <v>2.2100000000000002E-2</v>
      </c>
    </row>
    <row r="17" spans="1:10" ht="14" customHeight="1" x14ac:dyDescent="0.15">
      <c r="A17" s="2" t="s">
        <v>310</v>
      </c>
      <c r="D17" s="110">
        <v>500</v>
      </c>
      <c r="F17" s="111">
        <f t="shared" si="0"/>
        <v>2.1416027755171971E-2</v>
      </c>
      <c r="H17" s="110">
        <v>437</v>
      </c>
      <c r="J17" s="111">
        <v>2.53E-2</v>
      </c>
    </row>
    <row r="18" spans="1:10" ht="14" customHeight="1" x14ac:dyDescent="0.15">
      <c r="A18" s="2" t="s">
        <v>311</v>
      </c>
      <c r="D18" s="110">
        <v>480</v>
      </c>
      <c r="F18" s="111">
        <f t="shared" si="0"/>
        <v>2.0559386644965091E-2</v>
      </c>
      <c r="H18" s="110">
        <v>341</v>
      </c>
      <c r="J18" s="111">
        <v>1.9699999999999999E-2</v>
      </c>
    </row>
    <row r="19" spans="1:10" ht="14" customHeight="1" x14ac:dyDescent="0.15">
      <c r="A19" s="2" t="s">
        <v>312</v>
      </c>
      <c r="D19" s="110">
        <v>403</v>
      </c>
      <c r="F19" s="111">
        <f t="shared" si="0"/>
        <v>1.7261318370668608E-2</v>
      </c>
      <c r="H19" s="110" t="s">
        <v>308</v>
      </c>
      <c r="J19" s="111" t="s">
        <v>308</v>
      </c>
    </row>
    <row r="20" spans="1:10" ht="13.5" customHeight="1" x14ac:dyDescent="0.15">
      <c r="A20" s="2" t="s">
        <v>313</v>
      </c>
      <c r="D20" s="110">
        <v>400</v>
      </c>
      <c r="F20" s="111">
        <f t="shared" si="0"/>
        <v>1.7132822204137577E-2</v>
      </c>
      <c r="H20" s="110" t="s">
        <v>308</v>
      </c>
      <c r="J20" s="111" t="s">
        <v>308</v>
      </c>
    </row>
    <row r="21" spans="1:10" ht="15.75" customHeight="1" x14ac:dyDescent="0.15">
      <c r="A21" s="2" t="s">
        <v>314</v>
      </c>
      <c r="D21" s="110">
        <v>350</v>
      </c>
      <c r="F21" s="111">
        <f t="shared" si="0"/>
        <v>1.4991219428620379E-2</v>
      </c>
      <c r="H21" s="110">
        <v>350</v>
      </c>
      <c r="J21" s="111">
        <v>2.0199999999999999E-2</v>
      </c>
    </row>
    <row r="22" spans="1:10" ht="14" customHeight="1" x14ac:dyDescent="0.3">
      <c r="A22" s="2" t="s">
        <v>315</v>
      </c>
      <c r="D22" s="112"/>
      <c r="F22" s="113"/>
      <c r="H22" s="110">
        <v>600</v>
      </c>
      <c r="J22" s="111">
        <v>3.4700000000000002E-2</v>
      </c>
    </row>
    <row r="23" spans="1:10" ht="14" customHeight="1" x14ac:dyDescent="0.15">
      <c r="A23" s="2" t="s">
        <v>316</v>
      </c>
      <c r="D23" s="110"/>
      <c r="F23" s="111"/>
      <c r="H23" s="110">
        <v>323</v>
      </c>
      <c r="J23" s="111">
        <v>1.8700000000000001E-2</v>
      </c>
    </row>
    <row r="24" spans="1:10" ht="15.75" customHeight="1" x14ac:dyDescent="0.3">
      <c r="A24" s="2" t="s">
        <v>317</v>
      </c>
      <c r="D24" s="110"/>
      <c r="F24" s="111"/>
      <c r="H24" s="112">
        <v>400</v>
      </c>
      <c r="J24" s="113">
        <v>2.3099999999999999E-2</v>
      </c>
    </row>
    <row r="25" spans="1:10" ht="14" customHeight="1" x14ac:dyDescent="0.3">
      <c r="D25" s="112"/>
      <c r="F25" s="113"/>
      <c r="H25" s="112"/>
      <c r="J25" s="113"/>
    </row>
    <row r="26" spans="1:10" ht="13.5" customHeight="1" x14ac:dyDescent="0.3">
      <c r="A26" s="2" t="s">
        <v>63</v>
      </c>
      <c r="D26" s="114">
        <f>SUM(D12:D25)</f>
        <v>7015</v>
      </c>
      <c r="F26" s="115">
        <f>SUM(F11:F25)</f>
        <v>0.30046686940506273</v>
      </c>
      <c r="H26" s="114">
        <f>SUM(H12:H25)</f>
        <v>6553</v>
      </c>
      <c r="J26" s="115">
        <f>SUM(J11:J25)</f>
        <v>0.37880000000000003</v>
      </c>
    </row>
    <row r="27" spans="1:10" ht="14" customHeight="1" x14ac:dyDescent="0.15">
      <c r="D27" s="39"/>
      <c r="F27" s="14"/>
      <c r="H27" s="39"/>
      <c r="J27" s="14"/>
    </row>
    <row r="29" spans="1:10" ht="14" customHeight="1" x14ac:dyDescent="0.15">
      <c r="A29" s="2" t="s">
        <v>318</v>
      </c>
    </row>
    <row r="35" spans="1:4" ht="14" customHeight="1" x14ac:dyDescent="0.15">
      <c r="A35" s="47"/>
      <c r="B35" s="47"/>
      <c r="D35" s="46"/>
    </row>
  </sheetData>
  <mergeCells count="4">
    <mergeCell ref="H9:J9"/>
    <mergeCell ref="A1:J1"/>
    <mergeCell ref="A3:J3"/>
    <mergeCell ref="A5:J5"/>
  </mergeCells>
  <pageMargins left="0.75" right="0.75" top="0.5" bottom="1" header="0.5" footer="0.5"/>
  <pageSetup firstPageNumber="133" orientation="portrait" r:id="rId1"/>
  <headerFooter alignWithMargins="0">
    <oddHeader>&amp;R&amp;"Verdana,Bold"&amp;9TABLE 18</oddHeader>
    <oddFooter>&amp;C&amp;"Verdana,Bold"&amp;9&amp;P</oddFooter>
  </headerFooter>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V2281"/>
  <sheetViews>
    <sheetView view="pageBreakPreview" topLeftCell="A16" zoomScale="90" zoomScaleNormal="90" zoomScaleSheetLayoutView="90" workbookViewId="0">
      <selection activeCell="AC22" sqref="AC22"/>
    </sheetView>
  </sheetViews>
  <sheetFormatPr baseColWidth="10" defaultColWidth="9.1640625" defaultRowHeight="12" x14ac:dyDescent="0.15"/>
  <cols>
    <col min="1" max="1" width="24.83203125" style="2" customWidth="1"/>
    <col min="2" max="2" width="3" style="2" customWidth="1"/>
    <col min="3" max="3" width="14.6640625" style="2" customWidth="1"/>
    <col min="4" max="4" width="1.6640625" style="2" customWidth="1"/>
    <col min="5" max="5" width="14.6640625" style="2" customWidth="1"/>
    <col min="6" max="6" width="1.6640625" style="2" customWidth="1"/>
    <col min="7" max="7" width="14.6640625" style="2" customWidth="1"/>
    <col min="8" max="8" width="1.6640625" style="2" customWidth="1"/>
    <col min="9" max="10" width="13.6640625" style="2" customWidth="1"/>
    <col min="11" max="11" width="1.6640625" style="2" customWidth="1"/>
    <col min="12" max="12" width="13.6640625" style="2" customWidth="1"/>
    <col min="13" max="13" width="1.6640625" style="2" customWidth="1"/>
    <col min="14" max="14" width="13.6640625" style="2" customWidth="1"/>
    <col min="15" max="15" width="1.6640625" style="2" customWidth="1"/>
    <col min="16" max="16" width="13.6640625" style="25" customWidth="1"/>
    <col min="17" max="17" width="1.33203125" style="2" customWidth="1"/>
    <col min="18" max="18" width="13.6640625" style="2" customWidth="1"/>
    <col min="19" max="19" width="1.6640625" style="2" customWidth="1"/>
    <col min="20" max="20" width="12.6640625" style="2" customWidth="1"/>
    <col min="21" max="21" width="1.6640625" style="2" customWidth="1"/>
    <col min="22" max="22" width="12.6640625" style="2" customWidth="1"/>
    <col min="23" max="23" width="1.6640625" style="2" customWidth="1"/>
    <col min="24" max="24" width="13.1640625" style="2" customWidth="1"/>
    <col min="25" max="16384" width="9.1640625" style="2"/>
  </cols>
  <sheetData>
    <row r="1" spans="1:22" x14ac:dyDescent="0.15">
      <c r="A1" s="176" t="s">
        <v>0</v>
      </c>
      <c r="B1" s="176"/>
      <c r="C1" s="176"/>
      <c r="D1" s="176"/>
      <c r="E1" s="176"/>
      <c r="F1" s="176"/>
      <c r="G1" s="176"/>
      <c r="H1" s="176"/>
      <c r="I1" s="176"/>
      <c r="P1" s="2"/>
    </row>
    <row r="2" spans="1:22" x14ac:dyDescent="0.15">
      <c r="P2" s="2"/>
    </row>
    <row r="3" spans="1:22" x14ac:dyDescent="0.15">
      <c r="A3" s="177" t="s">
        <v>319</v>
      </c>
      <c r="B3" s="177"/>
      <c r="C3" s="177"/>
      <c r="D3" s="177"/>
      <c r="E3" s="177"/>
      <c r="F3" s="177"/>
      <c r="G3" s="177"/>
      <c r="H3" s="177"/>
      <c r="I3" s="177"/>
      <c r="P3" s="2"/>
    </row>
    <row r="4" spans="1:22" x14ac:dyDescent="0.15">
      <c r="P4" s="2"/>
    </row>
    <row r="5" spans="1:22" x14ac:dyDescent="0.15">
      <c r="A5" s="177" t="s">
        <v>2</v>
      </c>
      <c r="B5" s="177"/>
      <c r="C5" s="177"/>
      <c r="D5" s="177"/>
      <c r="E5" s="177"/>
      <c r="F5" s="177"/>
      <c r="G5" s="177"/>
      <c r="H5" s="177"/>
      <c r="I5" s="177"/>
      <c r="P5" s="2"/>
    </row>
    <row r="6" spans="1:22" x14ac:dyDescent="0.15">
      <c r="P6" s="2"/>
    </row>
    <row r="7" spans="1:22" x14ac:dyDescent="0.15">
      <c r="P7" s="2"/>
    </row>
    <row r="8" spans="1:22" ht="13" customHeight="1" x14ac:dyDescent="0.15">
      <c r="A8" s="40"/>
      <c r="B8" s="40"/>
      <c r="C8" s="191" t="s">
        <v>320</v>
      </c>
      <c r="D8" s="191"/>
      <c r="E8" s="191"/>
      <c r="F8" s="191"/>
      <c r="G8" s="191"/>
      <c r="H8" s="191"/>
      <c r="I8" s="191"/>
      <c r="J8" s="191" t="s">
        <v>320</v>
      </c>
      <c r="K8" s="191"/>
      <c r="L8" s="191"/>
      <c r="M8" s="191"/>
      <c r="N8" s="191"/>
      <c r="O8" s="191"/>
      <c r="P8" s="191"/>
      <c r="Q8" s="191"/>
      <c r="R8" s="191"/>
      <c r="S8" s="191"/>
      <c r="T8" s="191"/>
      <c r="U8" s="166"/>
      <c r="V8" s="166"/>
    </row>
    <row r="9" spans="1:22" ht="13" customHeight="1" x14ac:dyDescent="0.15">
      <c r="A9" s="41" t="s">
        <v>321</v>
      </c>
      <c r="B9" s="42"/>
      <c r="C9" s="175">
        <v>2014</v>
      </c>
      <c r="D9" s="175"/>
      <c r="E9" s="175">
        <v>2015</v>
      </c>
      <c r="F9" s="175"/>
      <c r="G9" s="175">
        <v>2016</v>
      </c>
      <c r="I9" s="175">
        <v>2017</v>
      </c>
      <c r="J9" s="175">
        <v>2018</v>
      </c>
      <c r="L9" s="175">
        <v>2019</v>
      </c>
      <c r="N9" s="175">
        <v>2020</v>
      </c>
      <c r="P9" s="175">
        <v>2021</v>
      </c>
      <c r="R9" s="175">
        <v>2022</v>
      </c>
      <c r="S9" s="143"/>
      <c r="T9" s="145">
        <v>2023</v>
      </c>
      <c r="U9" s="143"/>
      <c r="V9" s="145">
        <v>2024</v>
      </c>
    </row>
    <row r="10" spans="1:22" ht="13" customHeight="1" x14ac:dyDescent="0.15">
      <c r="A10" s="43" t="s">
        <v>322</v>
      </c>
      <c r="B10" s="40"/>
      <c r="C10" s="40"/>
      <c r="D10" s="40"/>
      <c r="E10" s="40"/>
      <c r="F10" s="40"/>
      <c r="G10" s="40"/>
      <c r="I10" s="40"/>
      <c r="J10" s="40"/>
      <c r="L10" s="40"/>
      <c r="N10" s="40"/>
      <c r="P10" s="2"/>
    </row>
    <row r="11" spans="1:22" ht="13" customHeight="1" x14ac:dyDescent="0.15">
      <c r="A11" s="40" t="s">
        <v>323</v>
      </c>
      <c r="B11" s="44"/>
      <c r="C11" s="19">
        <v>6</v>
      </c>
      <c r="D11" s="19"/>
      <c r="E11" s="19">
        <v>6</v>
      </c>
      <c r="F11" s="19"/>
      <c r="G11" s="19">
        <v>5</v>
      </c>
      <c r="I11" s="19">
        <v>5</v>
      </c>
      <c r="J11" s="19">
        <v>5</v>
      </c>
      <c r="L11" s="19">
        <v>5</v>
      </c>
      <c r="N11" s="19">
        <v>5</v>
      </c>
      <c r="P11" s="19">
        <v>5</v>
      </c>
      <c r="R11" s="19">
        <v>5</v>
      </c>
      <c r="T11" s="2">
        <v>5</v>
      </c>
      <c r="V11" s="2">
        <v>4</v>
      </c>
    </row>
    <row r="12" spans="1:22" ht="13" customHeight="1" x14ac:dyDescent="0.15">
      <c r="A12" s="40" t="s">
        <v>324</v>
      </c>
      <c r="B12" s="44"/>
      <c r="C12" s="19">
        <v>6</v>
      </c>
      <c r="D12" s="19"/>
      <c r="E12" s="19">
        <v>6</v>
      </c>
      <c r="F12" s="19"/>
      <c r="G12" s="19">
        <v>6</v>
      </c>
      <c r="I12" s="19">
        <v>6</v>
      </c>
      <c r="J12" s="19">
        <v>6</v>
      </c>
      <c r="L12" s="19">
        <v>4</v>
      </c>
      <c r="N12" s="19">
        <v>4</v>
      </c>
      <c r="P12" s="19">
        <v>4</v>
      </c>
      <c r="R12" s="19">
        <v>4</v>
      </c>
      <c r="T12" s="2">
        <v>4</v>
      </c>
      <c r="V12" s="2">
        <v>4</v>
      </c>
    </row>
    <row r="13" spans="1:22" ht="13" customHeight="1" x14ac:dyDescent="0.15">
      <c r="A13" s="40" t="s">
        <v>325</v>
      </c>
      <c r="B13" s="44"/>
      <c r="C13" s="19">
        <v>5</v>
      </c>
      <c r="D13" s="19"/>
      <c r="E13" s="19">
        <v>5</v>
      </c>
      <c r="F13" s="19"/>
      <c r="G13" s="19">
        <v>5</v>
      </c>
      <c r="I13" s="19">
        <v>5</v>
      </c>
      <c r="J13" s="19">
        <v>5</v>
      </c>
      <c r="L13" s="19">
        <v>3</v>
      </c>
      <c r="N13" s="19">
        <v>3</v>
      </c>
      <c r="P13" s="19">
        <v>3</v>
      </c>
      <c r="R13" s="19">
        <v>2.5</v>
      </c>
      <c r="T13" s="2">
        <v>2.5</v>
      </c>
      <c r="V13" s="2">
        <v>2.5</v>
      </c>
    </row>
    <row r="14" spans="1:22" ht="13" customHeight="1" x14ac:dyDescent="0.15">
      <c r="A14" s="40" t="s">
        <v>326</v>
      </c>
      <c r="B14" s="44"/>
      <c r="C14" s="19">
        <v>3</v>
      </c>
      <c r="D14" s="19"/>
      <c r="E14" s="19">
        <v>3</v>
      </c>
      <c r="F14" s="19"/>
      <c r="G14" s="19">
        <v>4</v>
      </c>
      <c r="I14" s="19">
        <v>4</v>
      </c>
      <c r="J14" s="19">
        <v>4</v>
      </c>
      <c r="L14" s="19">
        <v>3</v>
      </c>
      <c r="N14" s="19">
        <v>3</v>
      </c>
      <c r="P14" s="19">
        <v>4</v>
      </c>
      <c r="R14" s="19">
        <v>4</v>
      </c>
      <c r="T14" s="2">
        <v>4</v>
      </c>
      <c r="V14" s="2">
        <v>4</v>
      </c>
    </row>
    <row r="15" spans="1:22" ht="13" customHeight="1" x14ac:dyDescent="0.15">
      <c r="A15" s="40" t="s">
        <v>327</v>
      </c>
      <c r="B15" s="44"/>
      <c r="C15" s="19">
        <v>13</v>
      </c>
      <c r="D15" s="19"/>
      <c r="E15" s="19">
        <v>13</v>
      </c>
      <c r="F15" s="19"/>
      <c r="G15" s="19">
        <v>0</v>
      </c>
      <c r="I15" s="19">
        <v>0</v>
      </c>
      <c r="J15" s="19">
        <v>0</v>
      </c>
      <c r="L15" s="19">
        <v>0</v>
      </c>
      <c r="N15" s="19">
        <v>0</v>
      </c>
      <c r="P15" s="19">
        <v>0</v>
      </c>
      <c r="R15" s="19">
        <v>0</v>
      </c>
      <c r="T15" s="2">
        <v>0</v>
      </c>
      <c r="V15" s="2">
        <v>0</v>
      </c>
    </row>
    <row r="16" spans="1:22" ht="13" customHeight="1" x14ac:dyDescent="0.15">
      <c r="A16" s="40" t="s">
        <v>328</v>
      </c>
      <c r="B16" s="44"/>
      <c r="C16" s="19">
        <v>2</v>
      </c>
      <c r="D16" s="19"/>
      <c r="E16" s="19">
        <v>2</v>
      </c>
      <c r="F16" s="19"/>
      <c r="G16" s="19">
        <v>2</v>
      </c>
      <c r="I16" s="19">
        <v>2</v>
      </c>
      <c r="J16" s="19">
        <v>2</v>
      </c>
      <c r="L16" s="19">
        <v>2</v>
      </c>
      <c r="N16" s="19">
        <v>2</v>
      </c>
      <c r="P16" s="19">
        <v>2</v>
      </c>
      <c r="R16" s="19">
        <v>2</v>
      </c>
      <c r="T16" s="2">
        <v>2</v>
      </c>
      <c r="V16" s="2">
        <v>3</v>
      </c>
    </row>
    <row r="17" spans="1:22" ht="13" customHeight="1" x14ac:dyDescent="0.15">
      <c r="A17" s="40" t="s">
        <v>329</v>
      </c>
      <c r="B17" s="44"/>
      <c r="C17" s="19">
        <v>4</v>
      </c>
      <c r="D17" s="19"/>
      <c r="E17" s="19">
        <v>4</v>
      </c>
      <c r="F17" s="19"/>
      <c r="G17" s="19">
        <v>4</v>
      </c>
      <c r="I17" s="19">
        <v>4</v>
      </c>
      <c r="J17" s="19">
        <v>5</v>
      </c>
      <c r="L17" s="19">
        <v>5</v>
      </c>
      <c r="N17" s="19">
        <v>5</v>
      </c>
      <c r="P17" s="19">
        <v>4</v>
      </c>
      <c r="R17" s="19">
        <v>4</v>
      </c>
      <c r="T17" s="2">
        <v>4</v>
      </c>
      <c r="V17" s="2">
        <v>3</v>
      </c>
    </row>
    <row r="18" spans="1:22" ht="13" customHeight="1" x14ac:dyDescent="0.15">
      <c r="A18" s="40" t="s">
        <v>330</v>
      </c>
      <c r="B18" s="44"/>
      <c r="C18" s="19">
        <v>1</v>
      </c>
      <c r="D18" s="19"/>
      <c r="E18" s="19">
        <v>1</v>
      </c>
      <c r="F18" s="19"/>
      <c r="G18" s="19">
        <v>1</v>
      </c>
      <c r="I18" s="19">
        <v>1</v>
      </c>
      <c r="J18" s="19">
        <v>0</v>
      </c>
      <c r="L18" s="19">
        <v>0</v>
      </c>
      <c r="N18" s="19">
        <v>0</v>
      </c>
      <c r="P18" s="19">
        <v>0</v>
      </c>
      <c r="R18" s="19">
        <v>0</v>
      </c>
      <c r="T18" s="2">
        <v>0</v>
      </c>
      <c r="V18" s="2">
        <v>0</v>
      </c>
    </row>
    <row r="19" spans="1:22" ht="13" customHeight="1" x14ac:dyDescent="0.15">
      <c r="A19" s="40" t="s">
        <v>331</v>
      </c>
      <c r="B19" s="44"/>
      <c r="C19" s="19">
        <v>2</v>
      </c>
      <c r="D19" s="19"/>
      <c r="E19" s="19">
        <v>2</v>
      </c>
      <c r="F19" s="19"/>
      <c r="G19" s="19">
        <v>2</v>
      </c>
      <c r="I19" s="19">
        <v>2</v>
      </c>
      <c r="J19" s="19">
        <v>0</v>
      </c>
      <c r="L19" s="19">
        <v>0</v>
      </c>
      <c r="N19" s="19">
        <v>0</v>
      </c>
      <c r="P19" s="19">
        <v>0</v>
      </c>
      <c r="R19" s="19">
        <v>0</v>
      </c>
      <c r="T19" s="2">
        <v>0</v>
      </c>
      <c r="V19" s="2">
        <v>0</v>
      </c>
    </row>
    <row r="20" spans="1:22" ht="13" customHeight="1" x14ac:dyDescent="0.15">
      <c r="A20" s="40" t="s">
        <v>332</v>
      </c>
      <c r="B20" s="44"/>
      <c r="C20" s="19">
        <v>3</v>
      </c>
      <c r="D20" s="19"/>
      <c r="E20" s="19">
        <v>3</v>
      </c>
      <c r="F20" s="19"/>
      <c r="G20" s="19">
        <v>7</v>
      </c>
      <c r="I20" s="19">
        <v>7</v>
      </c>
      <c r="J20" s="19">
        <v>7</v>
      </c>
      <c r="L20" s="19">
        <v>7</v>
      </c>
      <c r="N20" s="19">
        <v>8</v>
      </c>
      <c r="P20" s="19">
        <v>8</v>
      </c>
      <c r="R20" s="19">
        <v>8</v>
      </c>
      <c r="T20" s="2">
        <v>10</v>
      </c>
      <c r="V20" s="2">
        <v>11</v>
      </c>
    </row>
    <row r="21" spans="1:22" ht="13" customHeight="1" x14ac:dyDescent="0.15">
      <c r="A21" s="40" t="s">
        <v>333</v>
      </c>
      <c r="B21" s="44"/>
      <c r="C21" s="19">
        <v>2</v>
      </c>
      <c r="D21" s="19"/>
      <c r="E21" s="19">
        <v>2</v>
      </c>
      <c r="F21" s="19"/>
      <c r="G21" s="19">
        <v>2</v>
      </c>
      <c r="I21" s="19">
        <v>2</v>
      </c>
      <c r="J21" s="19">
        <v>2</v>
      </c>
      <c r="L21" s="19">
        <v>2</v>
      </c>
      <c r="N21" s="19">
        <v>2</v>
      </c>
      <c r="P21" s="19">
        <v>2</v>
      </c>
      <c r="R21" s="19">
        <v>2</v>
      </c>
      <c r="T21" s="2">
        <v>3</v>
      </c>
      <c r="V21" s="2">
        <v>3</v>
      </c>
    </row>
    <row r="22" spans="1:22" ht="13" customHeight="1" x14ac:dyDescent="0.15">
      <c r="A22" s="40" t="s">
        <v>334</v>
      </c>
      <c r="B22" s="44"/>
      <c r="C22" s="19">
        <v>6</v>
      </c>
      <c r="D22" s="19"/>
      <c r="E22" s="19">
        <v>6</v>
      </c>
      <c r="F22" s="19"/>
      <c r="G22" s="19">
        <v>6</v>
      </c>
      <c r="I22" s="19">
        <v>7</v>
      </c>
      <c r="J22" s="19">
        <v>8</v>
      </c>
      <c r="L22" s="19">
        <v>8</v>
      </c>
      <c r="N22" s="19">
        <v>8</v>
      </c>
      <c r="P22" s="19">
        <v>8</v>
      </c>
      <c r="R22" s="19">
        <v>8</v>
      </c>
      <c r="T22" s="2">
        <v>9</v>
      </c>
      <c r="V22" s="2">
        <v>9</v>
      </c>
    </row>
    <row r="23" spans="1:22" ht="13" customHeight="1" x14ac:dyDescent="0.15">
      <c r="A23" s="40" t="s">
        <v>335</v>
      </c>
      <c r="B23" s="44"/>
      <c r="C23" s="19">
        <v>4</v>
      </c>
      <c r="D23" s="19"/>
      <c r="E23" s="19">
        <v>4</v>
      </c>
      <c r="F23" s="19"/>
      <c r="G23" s="19">
        <v>5</v>
      </c>
      <c r="I23" s="19">
        <v>5</v>
      </c>
      <c r="J23" s="19">
        <v>5</v>
      </c>
      <c r="L23" s="19">
        <v>5</v>
      </c>
      <c r="N23" s="19">
        <v>5</v>
      </c>
      <c r="P23" s="19">
        <v>5</v>
      </c>
      <c r="R23" s="19">
        <v>5</v>
      </c>
      <c r="T23" s="2">
        <v>5</v>
      </c>
      <c r="V23" s="2">
        <v>5</v>
      </c>
    </row>
    <row r="24" spans="1:22" ht="13" customHeight="1" x14ac:dyDescent="0.15">
      <c r="A24" s="40" t="s">
        <v>336</v>
      </c>
      <c r="B24" s="44"/>
      <c r="C24" s="19">
        <v>6</v>
      </c>
      <c r="D24" s="19"/>
      <c r="E24" s="19">
        <v>8</v>
      </c>
      <c r="F24" s="19"/>
      <c r="G24" s="19">
        <v>8</v>
      </c>
      <c r="I24" s="19">
        <v>8</v>
      </c>
      <c r="J24" s="19">
        <v>8</v>
      </c>
      <c r="L24" s="19">
        <v>7</v>
      </c>
      <c r="N24" s="19">
        <v>7</v>
      </c>
      <c r="P24" s="19">
        <v>7</v>
      </c>
      <c r="R24" s="19">
        <v>7</v>
      </c>
      <c r="T24" s="2">
        <v>7</v>
      </c>
      <c r="V24" s="2">
        <v>7</v>
      </c>
    </row>
    <row r="25" spans="1:22" ht="13" customHeight="1" x14ac:dyDescent="0.15">
      <c r="A25" s="40" t="s">
        <v>337</v>
      </c>
      <c r="B25" s="44"/>
      <c r="C25" s="19">
        <v>3</v>
      </c>
      <c r="D25" s="19"/>
      <c r="E25" s="19">
        <v>3</v>
      </c>
      <c r="F25" s="19"/>
      <c r="G25" s="19">
        <v>3</v>
      </c>
      <c r="I25" s="19">
        <v>3</v>
      </c>
      <c r="J25" s="19">
        <v>3</v>
      </c>
      <c r="L25" s="19">
        <v>3</v>
      </c>
      <c r="N25" s="19">
        <v>3</v>
      </c>
      <c r="P25" s="19">
        <v>3</v>
      </c>
      <c r="R25" s="19">
        <v>3</v>
      </c>
      <c r="T25" s="2">
        <v>3</v>
      </c>
      <c r="V25" s="2">
        <v>3</v>
      </c>
    </row>
    <row r="26" spans="1:22" ht="13" customHeight="1" x14ac:dyDescent="0.15">
      <c r="A26" s="40" t="s">
        <v>338</v>
      </c>
      <c r="B26" s="44"/>
      <c r="C26" s="19">
        <v>4</v>
      </c>
      <c r="D26" s="19"/>
      <c r="E26" s="19">
        <v>6</v>
      </c>
      <c r="F26" s="19"/>
      <c r="G26" s="19">
        <v>6</v>
      </c>
      <c r="I26" s="19">
        <v>6</v>
      </c>
      <c r="J26" s="19">
        <v>6</v>
      </c>
      <c r="L26" s="19">
        <v>7</v>
      </c>
      <c r="N26" s="19">
        <v>8</v>
      </c>
      <c r="P26" s="19">
        <v>8</v>
      </c>
      <c r="R26" s="19">
        <v>8</v>
      </c>
      <c r="T26" s="2">
        <v>9</v>
      </c>
      <c r="V26" s="2">
        <v>9</v>
      </c>
    </row>
    <row r="27" spans="1:22" ht="13" customHeight="1" x14ac:dyDescent="0.15">
      <c r="A27" s="40" t="s">
        <v>339</v>
      </c>
      <c r="B27" s="44"/>
      <c r="C27" s="19">
        <v>2</v>
      </c>
      <c r="D27" s="19"/>
      <c r="E27" s="19">
        <v>3</v>
      </c>
      <c r="F27" s="19"/>
      <c r="G27" s="19">
        <v>0</v>
      </c>
      <c r="I27" s="19">
        <v>0</v>
      </c>
      <c r="J27" s="19">
        <v>0</v>
      </c>
      <c r="L27" s="19">
        <v>0</v>
      </c>
      <c r="N27" s="19">
        <v>0</v>
      </c>
      <c r="P27" s="19">
        <v>0</v>
      </c>
      <c r="R27" s="19">
        <v>0</v>
      </c>
      <c r="T27" s="2">
        <v>0</v>
      </c>
      <c r="V27" s="2">
        <v>0</v>
      </c>
    </row>
    <row r="28" spans="1:22" ht="13" customHeight="1" x14ac:dyDescent="0.15">
      <c r="A28" s="40" t="s">
        <v>340</v>
      </c>
      <c r="B28" s="44"/>
      <c r="C28" s="19">
        <v>0</v>
      </c>
      <c r="D28" s="19"/>
      <c r="E28" s="19">
        <v>0</v>
      </c>
      <c r="F28" s="19"/>
      <c r="G28" s="19">
        <v>16</v>
      </c>
      <c r="I28" s="19">
        <v>16</v>
      </c>
      <c r="J28" s="19">
        <v>17</v>
      </c>
      <c r="L28" s="19">
        <v>10</v>
      </c>
      <c r="N28" s="19">
        <v>10</v>
      </c>
      <c r="P28" s="19">
        <v>11</v>
      </c>
      <c r="R28" s="19">
        <v>11</v>
      </c>
      <c r="T28" s="2">
        <v>11</v>
      </c>
      <c r="V28" s="2">
        <v>11</v>
      </c>
    </row>
    <row r="29" spans="1:22" ht="13" customHeight="1" x14ac:dyDescent="0.15">
      <c r="A29" s="43" t="s">
        <v>341</v>
      </c>
      <c r="B29" s="44"/>
      <c r="C29" s="19"/>
      <c r="D29" s="19"/>
      <c r="E29" s="19"/>
      <c r="F29" s="19"/>
      <c r="G29" s="19"/>
      <c r="I29" s="19"/>
      <c r="J29" s="19"/>
      <c r="L29" s="19"/>
      <c r="N29" s="19"/>
      <c r="P29" s="19"/>
      <c r="R29" s="19"/>
    </row>
    <row r="30" spans="1:22" ht="13" customHeight="1" x14ac:dyDescent="0.15">
      <c r="A30" s="40" t="s">
        <v>342</v>
      </c>
      <c r="B30" s="44"/>
      <c r="C30" s="19">
        <v>75</v>
      </c>
      <c r="D30" s="19"/>
      <c r="E30" s="19">
        <v>75</v>
      </c>
      <c r="F30" s="19"/>
      <c r="G30" s="19">
        <v>78</v>
      </c>
      <c r="I30" s="19">
        <v>81</v>
      </c>
      <c r="J30" s="19">
        <v>86</v>
      </c>
      <c r="L30" s="19">
        <v>86</v>
      </c>
      <c r="N30" s="19">
        <v>87</v>
      </c>
      <c r="P30" s="19">
        <v>88</v>
      </c>
      <c r="R30" s="19">
        <v>90</v>
      </c>
      <c r="T30" s="2">
        <v>94</v>
      </c>
      <c r="V30" s="2">
        <v>95</v>
      </c>
    </row>
    <row r="31" spans="1:22" ht="13" customHeight="1" x14ac:dyDescent="0.15">
      <c r="A31" s="40" t="s">
        <v>343</v>
      </c>
      <c r="B31" s="44"/>
      <c r="C31" s="19">
        <v>33</v>
      </c>
      <c r="D31" s="19"/>
      <c r="E31" s="19">
        <v>33</v>
      </c>
      <c r="F31" s="19"/>
      <c r="G31" s="19">
        <v>36</v>
      </c>
      <c r="I31" s="19">
        <v>39</v>
      </c>
      <c r="J31" s="19">
        <v>45</v>
      </c>
      <c r="L31" s="19">
        <v>45</v>
      </c>
      <c r="N31" s="19">
        <v>46</v>
      </c>
      <c r="P31" s="19">
        <v>46</v>
      </c>
      <c r="R31" s="19">
        <v>46</v>
      </c>
      <c r="T31" s="2">
        <v>50</v>
      </c>
      <c r="V31" s="2">
        <v>53</v>
      </c>
    </row>
    <row r="32" spans="1:22" ht="13" customHeight="1" x14ac:dyDescent="0.15">
      <c r="A32" s="40" t="s">
        <v>344</v>
      </c>
      <c r="B32" s="44"/>
      <c r="C32" s="19">
        <v>8</v>
      </c>
      <c r="D32" s="19"/>
      <c r="E32" s="19">
        <v>9</v>
      </c>
      <c r="F32" s="19"/>
      <c r="G32" s="19">
        <v>8</v>
      </c>
      <c r="I32" s="19">
        <v>8</v>
      </c>
      <c r="J32" s="19">
        <v>11</v>
      </c>
      <c r="L32" s="19">
        <v>12</v>
      </c>
      <c r="N32" s="19">
        <v>12</v>
      </c>
      <c r="P32" s="19">
        <v>12</v>
      </c>
      <c r="R32" s="19">
        <v>12</v>
      </c>
      <c r="T32" s="2">
        <v>14</v>
      </c>
      <c r="V32" s="2">
        <v>14</v>
      </c>
    </row>
    <row r="33" spans="1:22" ht="13" customHeight="1" x14ac:dyDescent="0.15">
      <c r="A33" s="40" t="s">
        <v>345</v>
      </c>
      <c r="B33" s="44"/>
      <c r="C33" s="19">
        <v>8</v>
      </c>
      <c r="D33" s="19"/>
      <c r="E33" s="19">
        <v>8</v>
      </c>
      <c r="F33" s="19"/>
      <c r="G33" s="19">
        <v>8</v>
      </c>
      <c r="I33" s="19">
        <v>5</v>
      </c>
      <c r="J33" s="19">
        <v>0</v>
      </c>
      <c r="L33" s="19">
        <v>0</v>
      </c>
      <c r="N33" s="19">
        <v>0</v>
      </c>
      <c r="P33" s="19">
        <v>0</v>
      </c>
      <c r="R33" s="19">
        <v>0</v>
      </c>
      <c r="T33" s="2">
        <v>0</v>
      </c>
      <c r="V33" s="2">
        <v>0</v>
      </c>
    </row>
    <row r="34" spans="1:22" ht="13" customHeight="1" x14ac:dyDescent="0.15">
      <c r="A34" s="43" t="s">
        <v>346</v>
      </c>
      <c r="B34" s="44"/>
      <c r="C34" s="19"/>
      <c r="D34" s="19"/>
      <c r="E34" s="19"/>
      <c r="F34" s="19"/>
      <c r="G34" s="19"/>
      <c r="I34" s="19"/>
      <c r="J34" s="19"/>
      <c r="L34" s="19"/>
      <c r="N34" s="19"/>
      <c r="P34" s="19"/>
      <c r="R34" s="19"/>
    </row>
    <row r="35" spans="1:22" ht="13" customHeight="1" x14ac:dyDescent="0.15">
      <c r="A35" s="40" t="s">
        <v>347</v>
      </c>
      <c r="B35" s="44"/>
      <c r="C35" s="19">
        <v>7</v>
      </c>
      <c r="D35" s="19"/>
      <c r="E35" s="19">
        <v>7</v>
      </c>
      <c r="F35" s="19"/>
      <c r="G35" s="19">
        <v>8</v>
      </c>
      <c r="I35" s="19">
        <v>8</v>
      </c>
      <c r="J35" s="19">
        <v>7</v>
      </c>
      <c r="L35" s="19">
        <v>7</v>
      </c>
      <c r="N35" s="19">
        <v>8</v>
      </c>
      <c r="P35" s="19">
        <v>9</v>
      </c>
      <c r="R35" s="19">
        <v>9</v>
      </c>
      <c r="T35" s="2">
        <v>9</v>
      </c>
      <c r="V35" s="2">
        <v>9</v>
      </c>
    </row>
    <row r="36" spans="1:22" ht="13" customHeight="1" x14ac:dyDescent="0.15">
      <c r="A36" s="40" t="s">
        <v>348</v>
      </c>
      <c r="B36" s="44"/>
      <c r="C36" s="19">
        <v>0</v>
      </c>
      <c r="D36" s="19"/>
      <c r="E36" s="19">
        <v>0</v>
      </c>
      <c r="F36" s="19"/>
      <c r="G36" s="19">
        <v>3</v>
      </c>
      <c r="I36" s="19">
        <v>3</v>
      </c>
      <c r="J36" s="19">
        <v>4</v>
      </c>
      <c r="L36" s="19">
        <v>4</v>
      </c>
      <c r="N36" s="19">
        <v>4</v>
      </c>
      <c r="P36" s="19">
        <v>5</v>
      </c>
      <c r="R36" s="19">
        <v>5</v>
      </c>
      <c r="T36" s="2">
        <v>6</v>
      </c>
      <c r="V36" s="2">
        <v>6</v>
      </c>
    </row>
    <row r="37" spans="1:22" ht="13" customHeight="1" x14ac:dyDescent="0.15">
      <c r="A37" s="43" t="s">
        <v>349</v>
      </c>
      <c r="B37" s="44"/>
      <c r="C37" s="19"/>
      <c r="D37" s="19"/>
      <c r="E37" s="19"/>
      <c r="F37" s="19"/>
      <c r="G37" s="19"/>
      <c r="I37" s="19"/>
      <c r="J37" s="19"/>
      <c r="L37" s="19"/>
      <c r="N37" s="19"/>
      <c r="P37" s="19"/>
      <c r="R37" s="19"/>
    </row>
    <row r="38" spans="1:22" ht="13" customHeight="1" x14ac:dyDescent="0.15">
      <c r="A38" s="40" t="s">
        <v>350</v>
      </c>
      <c r="B38" s="44"/>
      <c r="C38" s="19">
        <v>9</v>
      </c>
      <c r="D38" s="19"/>
      <c r="E38" s="19">
        <v>9</v>
      </c>
      <c r="F38" s="19"/>
      <c r="G38" s="19">
        <v>9</v>
      </c>
      <c r="I38" s="19">
        <v>10</v>
      </c>
      <c r="J38" s="19">
        <v>12</v>
      </c>
      <c r="L38" s="19">
        <v>11</v>
      </c>
      <c r="N38" s="19">
        <v>11</v>
      </c>
      <c r="P38" s="19">
        <v>11</v>
      </c>
      <c r="R38" s="19">
        <v>11</v>
      </c>
      <c r="T38" s="2">
        <v>15</v>
      </c>
      <c r="V38" s="2">
        <v>16</v>
      </c>
    </row>
    <row r="39" spans="1:22" ht="13" customHeight="1" x14ac:dyDescent="0.15">
      <c r="A39" s="40" t="s">
        <v>351</v>
      </c>
      <c r="B39" s="44"/>
      <c r="C39" s="19">
        <v>0</v>
      </c>
      <c r="D39" s="19"/>
      <c r="E39" s="19">
        <v>0</v>
      </c>
      <c r="F39" s="19"/>
      <c r="G39" s="19">
        <v>0</v>
      </c>
      <c r="I39" s="19">
        <v>0</v>
      </c>
      <c r="J39" s="19">
        <v>0</v>
      </c>
      <c r="L39" s="19">
        <v>0</v>
      </c>
      <c r="N39" s="19">
        <v>0</v>
      </c>
      <c r="P39" s="19">
        <v>0</v>
      </c>
      <c r="R39" s="19">
        <v>0</v>
      </c>
      <c r="T39" s="2">
        <v>0</v>
      </c>
      <c r="V39" s="2">
        <v>0</v>
      </c>
    </row>
    <row r="40" spans="1:22" ht="13" customHeight="1" x14ac:dyDescent="0.15">
      <c r="A40" s="40" t="s">
        <v>352</v>
      </c>
      <c r="B40" s="44"/>
      <c r="C40" s="19">
        <v>1</v>
      </c>
      <c r="D40" s="19"/>
      <c r="E40" s="19">
        <v>1</v>
      </c>
      <c r="F40" s="19"/>
      <c r="G40" s="19">
        <v>1</v>
      </c>
      <c r="I40" s="19">
        <v>1</v>
      </c>
      <c r="J40" s="19">
        <v>1</v>
      </c>
      <c r="L40" s="19">
        <v>5</v>
      </c>
      <c r="N40" s="19">
        <v>5</v>
      </c>
      <c r="P40" s="19">
        <v>6</v>
      </c>
      <c r="R40" s="19">
        <v>5.5</v>
      </c>
      <c r="T40" s="2">
        <v>6.5</v>
      </c>
      <c r="V40" s="2">
        <v>6.5</v>
      </c>
    </row>
    <row r="41" spans="1:22" ht="13" customHeight="1" x14ac:dyDescent="0.15">
      <c r="A41" s="40" t="s">
        <v>353</v>
      </c>
      <c r="B41" s="44"/>
      <c r="C41" s="19">
        <f>9+4+1</f>
        <v>14</v>
      </c>
      <c r="D41" s="19"/>
      <c r="E41" s="19">
        <v>14</v>
      </c>
      <c r="F41" s="19"/>
      <c r="G41" s="19">
        <v>14</v>
      </c>
      <c r="I41" s="19">
        <v>14</v>
      </c>
      <c r="J41" s="19">
        <v>15</v>
      </c>
      <c r="L41" s="19">
        <v>14</v>
      </c>
      <c r="N41" s="19">
        <v>14</v>
      </c>
      <c r="P41" s="19">
        <v>14</v>
      </c>
      <c r="R41" s="19">
        <v>14</v>
      </c>
      <c r="T41" s="2">
        <v>15</v>
      </c>
      <c r="V41" s="2">
        <v>15</v>
      </c>
    </row>
    <row r="42" spans="1:22" ht="13" customHeight="1" x14ac:dyDescent="0.15">
      <c r="A42" s="43" t="s">
        <v>354</v>
      </c>
      <c r="B42" s="44"/>
      <c r="C42" s="19"/>
      <c r="D42" s="19"/>
      <c r="E42" s="19"/>
      <c r="F42" s="19"/>
      <c r="G42" s="19"/>
      <c r="I42" s="19"/>
      <c r="J42" s="19"/>
      <c r="L42" s="19"/>
      <c r="N42" s="19"/>
      <c r="P42" s="19"/>
      <c r="R42" s="19"/>
    </row>
    <row r="43" spans="1:22" ht="13" customHeight="1" x14ac:dyDescent="0.15">
      <c r="A43" s="40" t="s">
        <v>355</v>
      </c>
      <c r="B43" s="44"/>
      <c r="C43" s="19">
        <v>14</v>
      </c>
      <c r="D43" s="19"/>
      <c r="E43" s="19">
        <v>14</v>
      </c>
      <c r="F43" s="19"/>
      <c r="G43" s="19">
        <v>14</v>
      </c>
      <c r="I43" s="19">
        <v>14</v>
      </c>
      <c r="J43" s="19">
        <v>14</v>
      </c>
      <c r="L43" s="19">
        <v>14</v>
      </c>
      <c r="N43" s="19">
        <v>17</v>
      </c>
      <c r="P43" s="19">
        <v>17</v>
      </c>
      <c r="R43" s="19">
        <v>17</v>
      </c>
      <c r="T43" s="2">
        <v>17</v>
      </c>
      <c r="V43" s="2">
        <v>17</v>
      </c>
    </row>
    <row r="44" spans="1:22" ht="13" customHeight="1" x14ac:dyDescent="0.15">
      <c r="A44" s="43" t="s">
        <v>356</v>
      </c>
      <c r="B44" s="44"/>
      <c r="C44" s="19"/>
      <c r="D44" s="19"/>
      <c r="E44" s="19"/>
      <c r="F44" s="19"/>
      <c r="G44" s="19"/>
      <c r="I44" s="19"/>
      <c r="J44" s="19"/>
      <c r="L44" s="19"/>
      <c r="N44" s="19"/>
      <c r="P44" s="19"/>
      <c r="R44" s="19"/>
    </row>
    <row r="45" spans="1:22" ht="13" customHeight="1" x14ac:dyDescent="0.15">
      <c r="A45" s="40" t="s">
        <v>357</v>
      </c>
      <c r="B45" s="44"/>
      <c r="C45" s="19">
        <v>6</v>
      </c>
      <c r="D45" s="19"/>
      <c r="E45" s="19">
        <v>6</v>
      </c>
      <c r="F45" s="19"/>
      <c r="G45" s="19">
        <v>4</v>
      </c>
      <c r="I45" s="19">
        <v>4</v>
      </c>
      <c r="J45" s="19">
        <v>4</v>
      </c>
      <c r="L45" s="19">
        <v>4</v>
      </c>
      <c r="N45" s="19">
        <v>4</v>
      </c>
      <c r="P45" s="19">
        <v>4</v>
      </c>
      <c r="R45" s="19">
        <v>4</v>
      </c>
      <c r="T45" s="2">
        <v>4</v>
      </c>
      <c r="V45" s="2">
        <v>4</v>
      </c>
    </row>
    <row r="46" spans="1:22" ht="13" customHeight="1" x14ac:dyDescent="0.15">
      <c r="A46" s="40" t="s">
        <v>358</v>
      </c>
      <c r="B46" s="44"/>
      <c r="C46" s="19">
        <v>10</v>
      </c>
      <c r="D46" s="19"/>
      <c r="E46" s="19">
        <v>10</v>
      </c>
      <c r="F46" s="19"/>
      <c r="G46" s="19">
        <v>10</v>
      </c>
      <c r="I46" s="19">
        <v>10</v>
      </c>
      <c r="J46" s="19">
        <v>10</v>
      </c>
      <c r="L46" s="19">
        <v>9</v>
      </c>
      <c r="N46" s="19">
        <v>9</v>
      </c>
      <c r="P46" s="19">
        <v>9</v>
      </c>
      <c r="R46" s="19">
        <v>9</v>
      </c>
      <c r="T46" s="2">
        <v>9</v>
      </c>
      <c r="V46" s="2">
        <v>10</v>
      </c>
    </row>
    <row r="47" spans="1:22" ht="13" customHeight="1" x14ac:dyDescent="0.15">
      <c r="A47" s="43" t="s">
        <v>359</v>
      </c>
      <c r="B47" s="44"/>
      <c r="C47" s="19">
        <v>16</v>
      </c>
      <c r="D47" s="19"/>
      <c r="E47" s="19">
        <v>16</v>
      </c>
      <c r="F47" s="19"/>
      <c r="G47" s="19">
        <v>16</v>
      </c>
      <c r="I47" s="19">
        <v>16</v>
      </c>
      <c r="J47" s="19">
        <v>19</v>
      </c>
      <c r="L47" s="19">
        <v>19</v>
      </c>
      <c r="N47" s="19">
        <v>19</v>
      </c>
      <c r="P47" s="19">
        <v>21</v>
      </c>
      <c r="R47" s="19">
        <v>21</v>
      </c>
      <c r="T47" s="2">
        <v>21</v>
      </c>
      <c r="V47" s="2">
        <v>21</v>
      </c>
    </row>
    <row r="48" spans="1:22" ht="13" customHeight="1" x14ac:dyDescent="0.15">
      <c r="A48" s="43" t="s">
        <v>360</v>
      </c>
      <c r="B48" s="44"/>
      <c r="C48" s="19">
        <v>8</v>
      </c>
      <c r="D48" s="19"/>
      <c r="E48" s="19">
        <v>8</v>
      </c>
      <c r="F48" s="19"/>
      <c r="G48" s="19">
        <v>6</v>
      </c>
      <c r="I48" s="19">
        <v>6</v>
      </c>
      <c r="J48" s="19">
        <v>8</v>
      </c>
      <c r="L48" s="19">
        <v>8</v>
      </c>
      <c r="N48" s="19">
        <v>8</v>
      </c>
      <c r="P48" s="19">
        <v>8</v>
      </c>
      <c r="R48" s="19">
        <v>8</v>
      </c>
      <c r="T48" s="2">
        <v>8</v>
      </c>
      <c r="V48" s="2">
        <v>8</v>
      </c>
    </row>
    <row r="49" spans="1:22" ht="13" customHeight="1" x14ac:dyDescent="0.15">
      <c r="A49" s="43" t="s">
        <v>361</v>
      </c>
      <c r="B49" s="44"/>
      <c r="C49" s="19">
        <v>36</v>
      </c>
      <c r="D49" s="19"/>
      <c r="E49" s="19">
        <v>37</v>
      </c>
      <c r="F49" s="19"/>
      <c r="G49" s="19">
        <v>39</v>
      </c>
      <c r="I49" s="19">
        <v>41</v>
      </c>
      <c r="J49" s="19">
        <v>45</v>
      </c>
      <c r="L49" s="19">
        <v>45</v>
      </c>
      <c r="N49" s="19">
        <v>45</v>
      </c>
      <c r="P49" s="19">
        <v>55</v>
      </c>
      <c r="R49" s="19">
        <v>55</v>
      </c>
      <c r="T49" s="2">
        <v>65</v>
      </c>
      <c r="V49" s="2">
        <v>70</v>
      </c>
    </row>
    <row r="50" spans="1:22" ht="13" customHeight="1" x14ac:dyDescent="0.3">
      <c r="A50" s="43" t="s">
        <v>362</v>
      </c>
      <c r="B50" s="44"/>
      <c r="C50" s="32">
        <v>4</v>
      </c>
      <c r="D50" s="32"/>
      <c r="E50" s="32">
        <v>4</v>
      </c>
      <c r="F50" s="32"/>
      <c r="G50" s="32">
        <v>4</v>
      </c>
      <c r="I50" s="32">
        <v>4</v>
      </c>
      <c r="J50" s="32">
        <v>4</v>
      </c>
      <c r="L50" s="32">
        <v>4</v>
      </c>
      <c r="N50" s="32">
        <v>4</v>
      </c>
      <c r="P50" s="32">
        <v>4</v>
      </c>
      <c r="R50" s="32">
        <v>4</v>
      </c>
      <c r="T50" s="170">
        <v>4</v>
      </c>
      <c r="V50" s="170">
        <v>4</v>
      </c>
    </row>
    <row r="51" spans="1:22" ht="10" customHeight="1" x14ac:dyDescent="0.15">
      <c r="A51" s="40"/>
      <c r="B51" s="44"/>
      <c r="C51" s="40"/>
      <c r="D51" s="40"/>
      <c r="E51" s="40"/>
      <c r="F51" s="40"/>
      <c r="G51" s="40"/>
      <c r="I51" s="40"/>
      <c r="J51" s="6"/>
      <c r="L51" s="6"/>
      <c r="P51" s="2"/>
    </row>
    <row r="52" spans="1:22" ht="13" customHeight="1" x14ac:dyDescent="0.3">
      <c r="A52" s="40" t="s">
        <v>363</v>
      </c>
      <c r="B52" s="44"/>
      <c r="C52" s="45">
        <f>SUM(C11:C51)</f>
        <v>321</v>
      </c>
      <c r="D52" s="45"/>
      <c r="E52" s="45">
        <f>SUM(E11:E51)</f>
        <v>328</v>
      </c>
      <c r="F52" s="45"/>
      <c r="G52" s="45">
        <f>SUM(G11:G51)</f>
        <v>340</v>
      </c>
      <c r="I52" s="45">
        <f>SUM(I11:I51)</f>
        <v>347</v>
      </c>
      <c r="J52" s="45">
        <f>SUM(J11:J51)</f>
        <v>368</v>
      </c>
      <c r="L52" s="45">
        <f>SUM(L11:L51)</f>
        <v>358</v>
      </c>
      <c r="N52" s="45">
        <f>SUM(N11:N51)</f>
        <v>366</v>
      </c>
      <c r="P52" s="45">
        <f>SUM(P11:P51)</f>
        <v>383</v>
      </c>
      <c r="Q52" s="45">
        <f t="shared" ref="Q52" si="0">SUM(Q11:Q51)</f>
        <v>0</v>
      </c>
      <c r="R52" s="45">
        <f>SUM(R11:R51)</f>
        <v>384</v>
      </c>
      <c r="T52" s="171">
        <v>416</v>
      </c>
      <c r="V52" s="171">
        <v>427</v>
      </c>
    </row>
    <row r="53" spans="1:22" ht="21" customHeight="1" x14ac:dyDescent="0.15">
      <c r="A53" s="27"/>
      <c r="B53" s="27"/>
      <c r="C53" s="27"/>
      <c r="D53" s="27"/>
      <c r="E53" s="27"/>
      <c r="F53" s="27"/>
      <c r="G53" s="27"/>
      <c r="H53" s="27"/>
      <c r="I53" s="27"/>
      <c r="J53" s="27"/>
      <c r="L53" s="27"/>
      <c r="N53" s="27"/>
      <c r="P53" s="6"/>
    </row>
    <row r="54" spans="1:22" ht="14" customHeight="1" x14ac:dyDescent="0.15">
      <c r="A54" s="74" t="s">
        <v>364</v>
      </c>
      <c r="B54" s="27"/>
      <c r="C54" s="27"/>
      <c r="D54" s="27"/>
      <c r="E54" s="27"/>
      <c r="F54" s="27"/>
      <c r="G54" s="27"/>
      <c r="H54" s="27"/>
      <c r="I54" s="27"/>
      <c r="J54" s="27"/>
      <c r="K54" s="27"/>
      <c r="L54" s="27"/>
      <c r="M54" s="27"/>
      <c r="N54" s="27"/>
      <c r="O54" s="27"/>
      <c r="P54" s="6"/>
    </row>
    <row r="55" spans="1:22" ht="14" customHeight="1" x14ac:dyDescent="0.15">
      <c r="A55" s="56"/>
      <c r="B55" s="27"/>
      <c r="C55" s="27"/>
      <c r="D55" s="27"/>
      <c r="E55" s="27"/>
      <c r="F55" s="27"/>
      <c r="G55" s="27"/>
      <c r="H55" s="27"/>
      <c r="I55" s="27"/>
      <c r="J55" s="27"/>
      <c r="K55" s="27"/>
      <c r="L55" s="27"/>
      <c r="M55" s="27"/>
      <c r="N55" s="27"/>
      <c r="O55" s="27"/>
      <c r="P55" s="2"/>
    </row>
    <row r="56" spans="1:22" ht="14" customHeight="1" x14ac:dyDescent="0.15">
      <c r="A56" s="56"/>
      <c r="B56" s="27"/>
      <c r="C56" s="27"/>
      <c r="D56" s="27"/>
      <c r="E56" s="27"/>
      <c r="F56" s="27"/>
      <c r="G56" s="27"/>
      <c r="H56" s="27"/>
      <c r="I56" s="27"/>
      <c r="J56" s="27"/>
      <c r="K56" s="27"/>
      <c r="L56" s="27"/>
      <c r="M56" s="27"/>
      <c r="N56" s="27"/>
      <c r="O56" s="27"/>
      <c r="P56" s="2"/>
    </row>
    <row r="57" spans="1:22" ht="14" customHeight="1" x14ac:dyDescent="0.15">
      <c r="P57" s="2"/>
    </row>
    <row r="58" spans="1:22" ht="14" customHeight="1" x14ac:dyDescent="0.15">
      <c r="P58" s="2"/>
    </row>
    <row r="59" spans="1:22" ht="14" customHeight="1" x14ac:dyDescent="0.15">
      <c r="P59" s="2"/>
    </row>
    <row r="60" spans="1:22" ht="14" customHeight="1" x14ac:dyDescent="0.15">
      <c r="P60" s="2"/>
    </row>
    <row r="61" spans="1:22" ht="14" customHeight="1" x14ac:dyDescent="0.15">
      <c r="P61" s="2"/>
    </row>
    <row r="62" spans="1:22" ht="14" customHeight="1" x14ac:dyDescent="0.15">
      <c r="P62" s="2"/>
    </row>
    <row r="63" spans="1:22" ht="14" customHeight="1" x14ac:dyDescent="0.15">
      <c r="P63" s="2"/>
    </row>
    <row r="64" spans="1:22" ht="14" customHeight="1" x14ac:dyDescent="0.15">
      <c r="P64" s="2"/>
    </row>
    <row r="65" spans="16:16" ht="14" customHeight="1" x14ac:dyDescent="0.15">
      <c r="P65" s="2"/>
    </row>
    <row r="66" spans="16:16" ht="14" customHeight="1" x14ac:dyDescent="0.15">
      <c r="P66" s="2"/>
    </row>
    <row r="67" spans="16:16" ht="14" customHeight="1" x14ac:dyDescent="0.15">
      <c r="P67" s="2"/>
    </row>
    <row r="68" spans="16:16" ht="14" customHeight="1" x14ac:dyDescent="0.15">
      <c r="P68" s="2"/>
    </row>
    <row r="69" spans="16:16" ht="14" customHeight="1" x14ac:dyDescent="0.15">
      <c r="P69" s="2"/>
    </row>
    <row r="70" spans="16:16" ht="14" customHeight="1" x14ac:dyDescent="0.15">
      <c r="P70" s="2"/>
    </row>
    <row r="71" spans="16:16" ht="14" customHeight="1" x14ac:dyDescent="0.15">
      <c r="P71" s="2"/>
    </row>
    <row r="72" spans="16:16" ht="14" customHeight="1" x14ac:dyDescent="0.15">
      <c r="P72" s="2"/>
    </row>
    <row r="73" spans="16:16" ht="14" customHeight="1" x14ac:dyDescent="0.15">
      <c r="P73" s="2"/>
    </row>
    <row r="74" spans="16:16" ht="14" customHeight="1" x14ac:dyDescent="0.15">
      <c r="P74" s="2"/>
    </row>
    <row r="75" spans="16:16" ht="14" customHeight="1" x14ac:dyDescent="0.15">
      <c r="P75" s="2"/>
    </row>
    <row r="76" spans="16:16" ht="14" customHeight="1" x14ac:dyDescent="0.15">
      <c r="P76" s="2"/>
    </row>
    <row r="77" spans="16:16" ht="14" customHeight="1" x14ac:dyDescent="0.15">
      <c r="P77" s="2"/>
    </row>
    <row r="78" spans="16:16" ht="14" customHeight="1" x14ac:dyDescent="0.15">
      <c r="P78" s="2"/>
    </row>
    <row r="79" spans="16:16" ht="14" customHeight="1" x14ac:dyDescent="0.15">
      <c r="P79" s="2"/>
    </row>
    <row r="80" spans="16:16" ht="14" customHeight="1" x14ac:dyDescent="0.15">
      <c r="P80" s="2"/>
    </row>
    <row r="81" spans="16:16" ht="14" customHeight="1" x14ac:dyDescent="0.15">
      <c r="P81" s="2"/>
    </row>
    <row r="82" spans="16:16" ht="14" customHeight="1" x14ac:dyDescent="0.15">
      <c r="P82" s="2"/>
    </row>
    <row r="83" spans="16:16" ht="14" customHeight="1" x14ac:dyDescent="0.15">
      <c r="P83" s="2"/>
    </row>
    <row r="84" spans="16:16" ht="14" customHeight="1" x14ac:dyDescent="0.15">
      <c r="P84" s="2"/>
    </row>
    <row r="85" spans="16:16" ht="14" customHeight="1" x14ac:dyDescent="0.15">
      <c r="P85" s="2"/>
    </row>
    <row r="86" spans="16:16" ht="14" customHeight="1" x14ac:dyDescent="0.15">
      <c r="P86" s="2"/>
    </row>
    <row r="87" spans="16:16" ht="14" customHeight="1" x14ac:dyDescent="0.15">
      <c r="P87" s="2"/>
    </row>
    <row r="88" spans="16:16" ht="14" customHeight="1" x14ac:dyDescent="0.15">
      <c r="P88" s="2"/>
    </row>
    <row r="89" spans="16:16" ht="14" customHeight="1" x14ac:dyDescent="0.15">
      <c r="P89" s="2"/>
    </row>
    <row r="90" spans="16:16" ht="14" customHeight="1" x14ac:dyDescent="0.15">
      <c r="P90" s="2"/>
    </row>
    <row r="91" spans="16:16" ht="14" customHeight="1" x14ac:dyDescent="0.15">
      <c r="P91" s="2"/>
    </row>
    <row r="92" spans="16:16" ht="14" customHeight="1" x14ac:dyDescent="0.15">
      <c r="P92" s="2"/>
    </row>
    <row r="93" spans="16:16" ht="14" customHeight="1" x14ac:dyDescent="0.15">
      <c r="P93" s="2"/>
    </row>
    <row r="94" spans="16:16" ht="14" customHeight="1" x14ac:dyDescent="0.15">
      <c r="P94" s="2"/>
    </row>
    <row r="95" spans="16:16" ht="14" customHeight="1" x14ac:dyDescent="0.15">
      <c r="P95" s="2"/>
    </row>
    <row r="96" spans="16:16" ht="14" customHeight="1" x14ac:dyDescent="0.15">
      <c r="P96" s="2"/>
    </row>
    <row r="97" spans="16:16" ht="14" customHeight="1" x14ac:dyDescent="0.15">
      <c r="P97" s="2"/>
    </row>
    <row r="98" spans="16:16" ht="14" customHeight="1" x14ac:dyDescent="0.15">
      <c r="P98" s="2"/>
    </row>
    <row r="99" spans="16:16" ht="14" customHeight="1" x14ac:dyDescent="0.15">
      <c r="P99" s="2"/>
    </row>
    <row r="100" spans="16:16" ht="14" customHeight="1" x14ac:dyDescent="0.15">
      <c r="P100" s="2"/>
    </row>
    <row r="101" spans="16:16" ht="14" customHeight="1" x14ac:dyDescent="0.15">
      <c r="P101" s="2"/>
    </row>
    <row r="102" spans="16:16" ht="14" customHeight="1" x14ac:dyDescent="0.15">
      <c r="P102" s="2"/>
    </row>
    <row r="103" spans="16:16" ht="14" customHeight="1" x14ac:dyDescent="0.15">
      <c r="P103" s="2"/>
    </row>
    <row r="104" spans="16:16" ht="14" customHeight="1" x14ac:dyDescent="0.15">
      <c r="P104" s="2"/>
    </row>
    <row r="105" spans="16:16" ht="14" customHeight="1" x14ac:dyDescent="0.15">
      <c r="P105" s="2"/>
    </row>
    <row r="106" spans="16:16" ht="14" customHeight="1" x14ac:dyDescent="0.15">
      <c r="P106" s="2"/>
    </row>
    <row r="107" spans="16:16" ht="14" customHeight="1" x14ac:dyDescent="0.15">
      <c r="P107" s="2"/>
    </row>
    <row r="108" spans="16:16" ht="14" customHeight="1" x14ac:dyDescent="0.15">
      <c r="P108" s="2"/>
    </row>
    <row r="109" spans="16:16" ht="14" customHeight="1" x14ac:dyDescent="0.15">
      <c r="P109" s="2"/>
    </row>
    <row r="110" spans="16:16" ht="14" customHeight="1" x14ac:dyDescent="0.15">
      <c r="P110" s="2"/>
    </row>
    <row r="111" spans="16:16" ht="14" customHeight="1" x14ac:dyDescent="0.15">
      <c r="P111" s="2"/>
    </row>
    <row r="112" spans="16:16" ht="14" customHeight="1" x14ac:dyDescent="0.15">
      <c r="P112" s="2"/>
    </row>
    <row r="113" spans="16:16" ht="14" customHeight="1" x14ac:dyDescent="0.15">
      <c r="P113" s="2"/>
    </row>
    <row r="114" spans="16:16" ht="14" customHeight="1" x14ac:dyDescent="0.15">
      <c r="P114" s="2"/>
    </row>
    <row r="115" spans="16:16" ht="14" customHeight="1" x14ac:dyDescent="0.15">
      <c r="P115" s="2"/>
    </row>
    <row r="116" spans="16:16" ht="14" customHeight="1" x14ac:dyDescent="0.15">
      <c r="P116" s="2"/>
    </row>
    <row r="117" spans="16:16" ht="14" customHeight="1" x14ac:dyDescent="0.15">
      <c r="P117" s="2"/>
    </row>
    <row r="118" spans="16:16" ht="14" customHeight="1" x14ac:dyDescent="0.15">
      <c r="P118" s="2"/>
    </row>
    <row r="119" spans="16:16" ht="14" customHeight="1" x14ac:dyDescent="0.15">
      <c r="P119" s="2"/>
    </row>
    <row r="120" spans="16:16" ht="14" customHeight="1" x14ac:dyDescent="0.15">
      <c r="P120" s="2"/>
    </row>
    <row r="121" spans="16:16" ht="14" customHeight="1" x14ac:dyDescent="0.15">
      <c r="P121" s="2"/>
    </row>
    <row r="122" spans="16:16" ht="14" customHeight="1" x14ac:dyDescent="0.15">
      <c r="P122" s="2"/>
    </row>
    <row r="123" spans="16:16" ht="14" customHeight="1" x14ac:dyDescent="0.15">
      <c r="P123" s="2"/>
    </row>
    <row r="124" spans="16:16" ht="14" customHeight="1" x14ac:dyDescent="0.15">
      <c r="P124" s="2"/>
    </row>
    <row r="125" spans="16:16" ht="14" customHeight="1" x14ac:dyDescent="0.15">
      <c r="P125" s="2"/>
    </row>
    <row r="126" spans="16:16" ht="14" customHeight="1" x14ac:dyDescent="0.15">
      <c r="P126" s="2"/>
    </row>
    <row r="127" spans="16:16" ht="14" customHeight="1" x14ac:dyDescent="0.15">
      <c r="P127" s="2"/>
    </row>
    <row r="128" spans="16:16" ht="14" customHeight="1" x14ac:dyDescent="0.15">
      <c r="P128" s="2"/>
    </row>
    <row r="129" spans="16:16" ht="14" customHeight="1" x14ac:dyDescent="0.15">
      <c r="P129" s="2"/>
    </row>
    <row r="130" spans="16:16" ht="14" customHeight="1" x14ac:dyDescent="0.15">
      <c r="P130" s="2"/>
    </row>
    <row r="131" spans="16:16" ht="14" customHeight="1" x14ac:dyDescent="0.15">
      <c r="P131" s="2"/>
    </row>
    <row r="132" spans="16:16" ht="14" customHeight="1" x14ac:dyDescent="0.15">
      <c r="P132" s="2"/>
    </row>
    <row r="133" spans="16:16" ht="14" customHeight="1" x14ac:dyDescent="0.15">
      <c r="P133" s="2"/>
    </row>
    <row r="134" spans="16:16" ht="14" customHeight="1" x14ac:dyDescent="0.15">
      <c r="P134" s="2"/>
    </row>
    <row r="135" spans="16:16" ht="14" customHeight="1" x14ac:dyDescent="0.15">
      <c r="P135" s="2"/>
    </row>
    <row r="136" spans="16:16" ht="14" customHeight="1" x14ac:dyDescent="0.15">
      <c r="P136" s="2"/>
    </row>
    <row r="137" spans="16:16" ht="14" customHeight="1" x14ac:dyDescent="0.15">
      <c r="P137" s="2"/>
    </row>
    <row r="138" spans="16:16" ht="14" customHeight="1" x14ac:dyDescent="0.15">
      <c r="P138" s="2"/>
    </row>
    <row r="139" spans="16:16" ht="14" customHeight="1" x14ac:dyDescent="0.15">
      <c r="P139" s="2"/>
    </row>
    <row r="140" spans="16:16" ht="14" customHeight="1" x14ac:dyDescent="0.15">
      <c r="P140" s="2"/>
    </row>
    <row r="141" spans="16:16" ht="14" customHeight="1" x14ac:dyDescent="0.15">
      <c r="P141" s="2"/>
    </row>
    <row r="142" spans="16:16" ht="14" customHeight="1" x14ac:dyDescent="0.15">
      <c r="P142" s="2"/>
    </row>
    <row r="143" spans="16:16" ht="14" customHeight="1" x14ac:dyDescent="0.15">
      <c r="P143" s="2"/>
    </row>
    <row r="144" spans="16:16" ht="14" customHeight="1" x14ac:dyDescent="0.15">
      <c r="P144" s="2"/>
    </row>
    <row r="145" spans="16:16" ht="14" customHeight="1" x14ac:dyDescent="0.15">
      <c r="P145" s="2"/>
    </row>
    <row r="146" spans="16:16" ht="14" customHeight="1" x14ac:dyDescent="0.15">
      <c r="P146" s="2"/>
    </row>
    <row r="147" spans="16:16" ht="14" customHeight="1" x14ac:dyDescent="0.15">
      <c r="P147" s="2"/>
    </row>
    <row r="148" spans="16:16" ht="14" customHeight="1" x14ac:dyDescent="0.15">
      <c r="P148" s="2"/>
    </row>
    <row r="149" spans="16:16" ht="14" customHeight="1" x14ac:dyDescent="0.15">
      <c r="P149" s="2"/>
    </row>
    <row r="150" spans="16:16" ht="14" customHeight="1" x14ac:dyDescent="0.15">
      <c r="P150" s="2"/>
    </row>
    <row r="151" spans="16:16" ht="14" customHeight="1" x14ac:dyDescent="0.15">
      <c r="P151" s="2"/>
    </row>
    <row r="152" spans="16:16" ht="14" customHeight="1" x14ac:dyDescent="0.15">
      <c r="P152" s="2"/>
    </row>
    <row r="153" spans="16:16" ht="14" customHeight="1" x14ac:dyDescent="0.15">
      <c r="P153" s="2"/>
    </row>
    <row r="154" spans="16:16" ht="14" customHeight="1" x14ac:dyDescent="0.15">
      <c r="P154" s="2"/>
    </row>
    <row r="155" spans="16:16" ht="14" customHeight="1" x14ac:dyDescent="0.15">
      <c r="P155" s="2"/>
    </row>
    <row r="156" spans="16:16" ht="14" customHeight="1" x14ac:dyDescent="0.15">
      <c r="P156" s="2"/>
    </row>
    <row r="157" spans="16:16" ht="14" customHeight="1" x14ac:dyDescent="0.15">
      <c r="P157" s="2"/>
    </row>
    <row r="158" spans="16:16" ht="14" customHeight="1" x14ac:dyDescent="0.15">
      <c r="P158" s="2"/>
    </row>
    <row r="159" spans="16:16" ht="14" customHeight="1" x14ac:dyDescent="0.15">
      <c r="P159" s="2"/>
    </row>
    <row r="160" spans="16:16" ht="14" customHeight="1" x14ac:dyDescent="0.15">
      <c r="P160" s="2"/>
    </row>
    <row r="161" spans="16:16" ht="14" customHeight="1" x14ac:dyDescent="0.15">
      <c r="P161" s="2"/>
    </row>
    <row r="162" spans="16:16" ht="14" customHeight="1" x14ac:dyDescent="0.15">
      <c r="P162" s="2"/>
    </row>
    <row r="163" spans="16:16" ht="14" customHeight="1" x14ac:dyDescent="0.15">
      <c r="P163" s="2"/>
    </row>
    <row r="164" spans="16:16" ht="14" customHeight="1" x14ac:dyDescent="0.15">
      <c r="P164" s="2"/>
    </row>
    <row r="165" spans="16:16" ht="14" customHeight="1" x14ac:dyDescent="0.15">
      <c r="P165" s="2"/>
    </row>
    <row r="166" spans="16:16" ht="14" customHeight="1" x14ac:dyDescent="0.15">
      <c r="P166" s="2"/>
    </row>
    <row r="167" spans="16:16" ht="14" customHeight="1" x14ac:dyDescent="0.15">
      <c r="P167" s="2"/>
    </row>
    <row r="168" spans="16:16" ht="14" customHeight="1" x14ac:dyDescent="0.15">
      <c r="P168" s="2"/>
    </row>
    <row r="169" spans="16:16" ht="14" customHeight="1" x14ac:dyDescent="0.15">
      <c r="P169" s="2"/>
    </row>
    <row r="170" spans="16:16" ht="14" customHeight="1" x14ac:dyDescent="0.15">
      <c r="P170" s="2"/>
    </row>
    <row r="171" spans="16:16" ht="14" customHeight="1" x14ac:dyDescent="0.15">
      <c r="P171" s="2"/>
    </row>
    <row r="172" spans="16:16" ht="14" customHeight="1" x14ac:dyDescent="0.15">
      <c r="P172" s="2"/>
    </row>
    <row r="173" spans="16:16" ht="14" customHeight="1" x14ac:dyDescent="0.15">
      <c r="P173" s="2"/>
    </row>
    <row r="174" spans="16:16" ht="14" customHeight="1" x14ac:dyDescent="0.15">
      <c r="P174" s="2"/>
    </row>
    <row r="175" spans="16:16" ht="14" customHeight="1" x14ac:dyDescent="0.15">
      <c r="P175" s="2"/>
    </row>
    <row r="176" spans="16:16" ht="14" customHeight="1" x14ac:dyDescent="0.15">
      <c r="P176" s="2"/>
    </row>
    <row r="177" spans="16:16" ht="14" customHeight="1" x14ac:dyDescent="0.15">
      <c r="P177" s="2"/>
    </row>
    <row r="178" spans="16:16" ht="14" customHeight="1" x14ac:dyDescent="0.15">
      <c r="P178" s="2"/>
    </row>
    <row r="179" spans="16:16" ht="14" customHeight="1" x14ac:dyDescent="0.15">
      <c r="P179" s="2"/>
    </row>
    <row r="180" spans="16:16" ht="14" customHeight="1" x14ac:dyDescent="0.15">
      <c r="P180" s="2"/>
    </row>
    <row r="181" spans="16:16" ht="14" customHeight="1" x14ac:dyDescent="0.15">
      <c r="P181" s="2"/>
    </row>
    <row r="182" spans="16:16" ht="14" customHeight="1" x14ac:dyDescent="0.15">
      <c r="P182" s="2"/>
    </row>
    <row r="183" spans="16:16" ht="14" customHeight="1" x14ac:dyDescent="0.15">
      <c r="P183" s="2"/>
    </row>
    <row r="184" spans="16:16" ht="14" customHeight="1" x14ac:dyDescent="0.15">
      <c r="P184" s="2"/>
    </row>
    <row r="185" spans="16:16" ht="14" customHeight="1" x14ac:dyDescent="0.15">
      <c r="P185" s="2"/>
    </row>
    <row r="186" spans="16:16" ht="14" customHeight="1" x14ac:dyDescent="0.15">
      <c r="P186" s="2"/>
    </row>
    <row r="187" spans="16:16" ht="14" customHeight="1" x14ac:dyDescent="0.15">
      <c r="P187" s="2"/>
    </row>
    <row r="188" spans="16:16" ht="14" customHeight="1" x14ac:dyDescent="0.15">
      <c r="P188" s="2"/>
    </row>
    <row r="189" spans="16:16" ht="14" customHeight="1" x14ac:dyDescent="0.15">
      <c r="P189" s="2"/>
    </row>
    <row r="190" spans="16:16" ht="14" customHeight="1" x14ac:dyDescent="0.15">
      <c r="P190" s="2"/>
    </row>
    <row r="191" spans="16:16" ht="14" customHeight="1" x14ac:dyDescent="0.15">
      <c r="P191" s="2"/>
    </row>
    <row r="192" spans="16:16" ht="14" customHeight="1" x14ac:dyDescent="0.15">
      <c r="P192" s="2"/>
    </row>
    <row r="193" spans="16:16" ht="14" customHeight="1" x14ac:dyDescent="0.15">
      <c r="P193" s="2"/>
    </row>
    <row r="194" spans="16:16" ht="14" customHeight="1" x14ac:dyDescent="0.15">
      <c r="P194" s="2"/>
    </row>
    <row r="195" spans="16:16" ht="14" customHeight="1" x14ac:dyDescent="0.15">
      <c r="P195" s="2"/>
    </row>
    <row r="196" spans="16:16" ht="14" customHeight="1" x14ac:dyDescent="0.15">
      <c r="P196" s="2"/>
    </row>
    <row r="197" spans="16:16" ht="14" customHeight="1" x14ac:dyDescent="0.15">
      <c r="P197" s="2"/>
    </row>
    <row r="198" spans="16:16" ht="14" customHeight="1" x14ac:dyDescent="0.15">
      <c r="P198" s="2"/>
    </row>
    <row r="199" spans="16:16" ht="14" customHeight="1" x14ac:dyDescent="0.15">
      <c r="P199" s="2"/>
    </row>
    <row r="200" spans="16:16" ht="14" customHeight="1" x14ac:dyDescent="0.15">
      <c r="P200" s="2"/>
    </row>
    <row r="201" spans="16:16" ht="14" customHeight="1" x14ac:dyDescent="0.15">
      <c r="P201" s="2"/>
    </row>
    <row r="202" spans="16:16" ht="14" customHeight="1" x14ac:dyDescent="0.15">
      <c r="P202" s="2"/>
    </row>
    <row r="203" spans="16:16" ht="14" customHeight="1" x14ac:dyDescent="0.15">
      <c r="P203" s="2"/>
    </row>
    <row r="204" spans="16:16" ht="14" customHeight="1" x14ac:dyDescent="0.15">
      <c r="P204" s="2"/>
    </row>
    <row r="205" spans="16:16" ht="14" customHeight="1" x14ac:dyDescent="0.15">
      <c r="P205" s="2"/>
    </row>
    <row r="206" spans="16:16" ht="14" customHeight="1" x14ac:dyDescent="0.15">
      <c r="P206" s="2"/>
    </row>
    <row r="207" spans="16:16" ht="14" customHeight="1" x14ac:dyDescent="0.15">
      <c r="P207" s="2"/>
    </row>
    <row r="208" spans="16:16" ht="14" customHeight="1" x14ac:dyDescent="0.15">
      <c r="P208" s="2"/>
    </row>
    <row r="209" spans="16:16" ht="14" customHeight="1" x14ac:dyDescent="0.15">
      <c r="P209" s="2"/>
    </row>
    <row r="210" spans="16:16" ht="14" customHeight="1" x14ac:dyDescent="0.15">
      <c r="P210" s="2"/>
    </row>
    <row r="211" spans="16:16" ht="14" customHeight="1" x14ac:dyDescent="0.15">
      <c r="P211" s="2"/>
    </row>
    <row r="212" spans="16:16" ht="14" customHeight="1" x14ac:dyDescent="0.15">
      <c r="P212" s="2"/>
    </row>
    <row r="213" spans="16:16" ht="14" customHeight="1" x14ac:dyDescent="0.15">
      <c r="P213" s="2"/>
    </row>
    <row r="214" spans="16:16" ht="14" customHeight="1" x14ac:dyDescent="0.15">
      <c r="P214" s="2"/>
    </row>
    <row r="215" spans="16:16" ht="14" customHeight="1" x14ac:dyDescent="0.15">
      <c r="P215" s="2"/>
    </row>
    <row r="216" spans="16:16" ht="14" customHeight="1" x14ac:dyDescent="0.15">
      <c r="P216" s="2"/>
    </row>
    <row r="217" spans="16:16" ht="14" customHeight="1" x14ac:dyDescent="0.15">
      <c r="P217" s="2"/>
    </row>
    <row r="218" spans="16:16" ht="14" customHeight="1" x14ac:dyDescent="0.15">
      <c r="P218" s="2"/>
    </row>
    <row r="219" spans="16:16" ht="14" customHeight="1" x14ac:dyDescent="0.15">
      <c r="P219" s="2"/>
    </row>
    <row r="220" spans="16:16" ht="14" customHeight="1" x14ac:dyDescent="0.15">
      <c r="P220" s="2"/>
    </row>
    <row r="221" spans="16:16" ht="14" customHeight="1" x14ac:dyDescent="0.15">
      <c r="P221" s="2"/>
    </row>
    <row r="222" spans="16:16" ht="14" customHeight="1" x14ac:dyDescent="0.15">
      <c r="P222" s="2"/>
    </row>
    <row r="223" spans="16:16" ht="14" customHeight="1" x14ac:dyDescent="0.15">
      <c r="P223" s="2"/>
    </row>
    <row r="224" spans="16:16" ht="14" customHeight="1" x14ac:dyDescent="0.15">
      <c r="P224" s="2"/>
    </row>
    <row r="225" spans="16:16" ht="14" customHeight="1" x14ac:dyDescent="0.15">
      <c r="P225" s="2"/>
    </row>
    <row r="226" spans="16:16" ht="14" customHeight="1" x14ac:dyDescent="0.15">
      <c r="P226" s="2"/>
    </row>
    <row r="227" spans="16:16" ht="14" customHeight="1" x14ac:dyDescent="0.15">
      <c r="P227" s="2"/>
    </row>
    <row r="228" spans="16:16" ht="14" customHeight="1" x14ac:dyDescent="0.15">
      <c r="P228" s="2"/>
    </row>
    <row r="229" spans="16:16" ht="14" customHeight="1" x14ac:dyDescent="0.15">
      <c r="P229" s="2"/>
    </row>
    <row r="230" spans="16:16" ht="14" customHeight="1" x14ac:dyDescent="0.15">
      <c r="P230" s="2"/>
    </row>
    <row r="231" spans="16:16" ht="14" customHeight="1" x14ac:dyDescent="0.15">
      <c r="P231" s="2"/>
    </row>
    <row r="232" spans="16:16" ht="14" customHeight="1" x14ac:dyDescent="0.15">
      <c r="P232" s="2"/>
    </row>
    <row r="233" spans="16:16" ht="14" customHeight="1" x14ac:dyDescent="0.15">
      <c r="P233" s="2"/>
    </row>
    <row r="234" spans="16:16" ht="14" customHeight="1" x14ac:dyDescent="0.15">
      <c r="P234" s="2"/>
    </row>
    <row r="235" spans="16:16" ht="14" customHeight="1" x14ac:dyDescent="0.15"/>
    <row r="236" spans="16:16" ht="14" customHeight="1" x14ac:dyDescent="0.15"/>
    <row r="237" spans="16:16" ht="14" customHeight="1" x14ac:dyDescent="0.15"/>
    <row r="238" spans="16:16" ht="14" customHeight="1" x14ac:dyDescent="0.15"/>
    <row r="239" spans="16:16" ht="14" customHeight="1" x14ac:dyDescent="0.15"/>
    <row r="240" spans="16:16" ht="14" customHeight="1" x14ac:dyDescent="0.15"/>
    <row r="241" ht="14" customHeight="1" x14ac:dyDescent="0.15"/>
    <row r="242" ht="14" customHeight="1" x14ac:dyDescent="0.15"/>
    <row r="243" ht="14" customHeight="1" x14ac:dyDescent="0.15"/>
    <row r="244" ht="14" customHeight="1" x14ac:dyDescent="0.15"/>
    <row r="245" ht="14" customHeight="1" x14ac:dyDescent="0.15"/>
    <row r="246" ht="14" customHeight="1" x14ac:dyDescent="0.15"/>
    <row r="247" ht="14" customHeight="1" x14ac:dyDescent="0.15"/>
    <row r="248" ht="14" customHeight="1" x14ac:dyDescent="0.15"/>
    <row r="249" ht="14" customHeight="1" x14ac:dyDescent="0.15"/>
    <row r="250" ht="14" customHeight="1" x14ac:dyDescent="0.15"/>
    <row r="251" ht="14" customHeight="1" x14ac:dyDescent="0.15"/>
    <row r="252" ht="14" customHeight="1" x14ac:dyDescent="0.15"/>
    <row r="253" ht="14" customHeight="1" x14ac:dyDescent="0.15"/>
    <row r="254" ht="14" customHeight="1" x14ac:dyDescent="0.15"/>
    <row r="255" ht="14" customHeight="1" x14ac:dyDescent="0.15"/>
    <row r="256" ht="14" customHeight="1" x14ac:dyDescent="0.15"/>
    <row r="257" ht="14" customHeight="1" x14ac:dyDescent="0.15"/>
    <row r="258" ht="14" customHeight="1" x14ac:dyDescent="0.15"/>
    <row r="259" ht="14" customHeight="1" x14ac:dyDescent="0.15"/>
    <row r="260" ht="14" customHeight="1" x14ac:dyDescent="0.15"/>
    <row r="261" ht="14" customHeight="1" x14ac:dyDescent="0.15"/>
    <row r="262" ht="14" customHeight="1" x14ac:dyDescent="0.15"/>
    <row r="263" ht="14" customHeight="1" x14ac:dyDescent="0.15"/>
    <row r="264" ht="14" customHeight="1" x14ac:dyDescent="0.15"/>
    <row r="265" ht="14" customHeight="1" x14ac:dyDescent="0.15"/>
    <row r="266" ht="14" customHeight="1" x14ac:dyDescent="0.15"/>
    <row r="267" ht="14" customHeight="1" x14ac:dyDescent="0.15"/>
    <row r="268" ht="14" customHeight="1" x14ac:dyDescent="0.15"/>
    <row r="269" ht="14" customHeight="1" x14ac:dyDescent="0.15"/>
    <row r="270" ht="14" customHeight="1" x14ac:dyDescent="0.15"/>
    <row r="271" ht="14" customHeight="1" x14ac:dyDescent="0.15"/>
    <row r="272" ht="14" customHeight="1" x14ac:dyDescent="0.15"/>
    <row r="273" ht="14" customHeight="1" x14ac:dyDescent="0.15"/>
    <row r="274" ht="14" customHeight="1" x14ac:dyDescent="0.15"/>
    <row r="275" ht="14" customHeight="1" x14ac:dyDescent="0.15"/>
    <row r="276" ht="14" customHeight="1" x14ac:dyDescent="0.15"/>
    <row r="277" ht="14" customHeight="1" x14ac:dyDescent="0.15"/>
    <row r="278" ht="14" customHeight="1" x14ac:dyDescent="0.15"/>
    <row r="279" ht="14" customHeight="1" x14ac:dyDescent="0.15"/>
    <row r="280" ht="14" customHeight="1" x14ac:dyDescent="0.15"/>
    <row r="281" ht="14" customHeight="1" x14ac:dyDescent="0.15"/>
    <row r="282" ht="14" customHeight="1" x14ac:dyDescent="0.15"/>
    <row r="283" ht="14" customHeight="1" x14ac:dyDescent="0.15"/>
    <row r="284" ht="14" customHeight="1" x14ac:dyDescent="0.15"/>
    <row r="285" ht="14" customHeight="1" x14ac:dyDescent="0.15"/>
    <row r="286" ht="14" customHeight="1" x14ac:dyDescent="0.15"/>
    <row r="287" ht="14" customHeight="1" x14ac:dyDescent="0.15"/>
    <row r="288" ht="14" customHeight="1" x14ac:dyDescent="0.15"/>
    <row r="289" ht="14" customHeight="1" x14ac:dyDescent="0.15"/>
    <row r="290" ht="14" customHeight="1" x14ac:dyDescent="0.15"/>
    <row r="291" ht="14" customHeight="1" x14ac:dyDescent="0.15"/>
    <row r="292" ht="14" customHeight="1" x14ac:dyDescent="0.15"/>
    <row r="293" ht="14" customHeight="1" x14ac:dyDescent="0.15"/>
    <row r="294" ht="14" customHeight="1" x14ac:dyDescent="0.15"/>
    <row r="295" ht="14" customHeight="1" x14ac:dyDescent="0.15"/>
    <row r="296" ht="14" customHeight="1" x14ac:dyDescent="0.15"/>
    <row r="297" ht="14" customHeight="1" x14ac:dyDescent="0.15"/>
    <row r="298" ht="14" customHeight="1" x14ac:dyDescent="0.15"/>
    <row r="299" ht="14" customHeight="1" x14ac:dyDescent="0.15"/>
    <row r="300" ht="14" customHeight="1" x14ac:dyDescent="0.15"/>
    <row r="301" ht="14" customHeight="1" x14ac:dyDescent="0.15"/>
    <row r="302" ht="14" customHeight="1" x14ac:dyDescent="0.15"/>
    <row r="303" ht="14" customHeight="1" x14ac:dyDescent="0.15"/>
    <row r="304" ht="14" customHeight="1" x14ac:dyDescent="0.15"/>
    <row r="305" ht="14" customHeight="1" x14ac:dyDescent="0.15"/>
    <row r="306" ht="14" customHeight="1" x14ac:dyDescent="0.15"/>
    <row r="307" ht="14" customHeight="1" x14ac:dyDescent="0.15"/>
    <row r="308" ht="14" customHeight="1" x14ac:dyDescent="0.15"/>
    <row r="309" ht="14" customHeight="1" x14ac:dyDescent="0.15"/>
    <row r="310" ht="14" customHeight="1" x14ac:dyDescent="0.15"/>
    <row r="311" ht="14" customHeight="1" x14ac:dyDescent="0.15"/>
    <row r="312" ht="14" customHeight="1" x14ac:dyDescent="0.15"/>
    <row r="313" ht="14" customHeight="1" x14ac:dyDescent="0.15"/>
    <row r="314" ht="14" customHeight="1" x14ac:dyDescent="0.15"/>
    <row r="315" ht="14" customHeight="1" x14ac:dyDescent="0.15"/>
    <row r="316" ht="14" customHeight="1" x14ac:dyDescent="0.15"/>
    <row r="317" ht="14" customHeight="1" x14ac:dyDescent="0.15"/>
    <row r="318" ht="14" customHeight="1" x14ac:dyDescent="0.15"/>
    <row r="319" ht="14" customHeight="1" x14ac:dyDescent="0.15"/>
    <row r="320" ht="14" customHeight="1" x14ac:dyDescent="0.15"/>
    <row r="321" ht="14" customHeight="1" x14ac:dyDescent="0.15"/>
    <row r="322" ht="14" customHeight="1" x14ac:dyDescent="0.15"/>
    <row r="323" ht="14" customHeight="1" x14ac:dyDescent="0.15"/>
    <row r="324" ht="14" customHeight="1" x14ac:dyDescent="0.15"/>
    <row r="325" ht="14" customHeight="1" x14ac:dyDescent="0.15"/>
    <row r="326" ht="14" customHeight="1" x14ac:dyDescent="0.15"/>
    <row r="327" ht="14" customHeight="1" x14ac:dyDescent="0.15"/>
    <row r="328" ht="14" customHeight="1" x14ac:dyDescent="0.15"/>
    <row r="329" ht="14" customHeight="1" x14ac:dyDescent="0.15"/>
    <row r="330" ht="14" customHeight="1" x14ac:dyDescent="0.15"/>
    <row r="331" ht="14" customHeight="1" x14ac:dyDescent="0.15"/>
    <row r="332" ht="14" customHeight="1" x14ac:dyDescent="0.15"/>
    <row r="333" ht="14" customHeight="1" x14ac:dyDescent="0.15"/>
    <row r="334" ht="14" customHeight="1" x14ac:dyDescent="0.15"/>
    <row r="335" ht="14" customHeight="1" x14ac:dyDescent="0.15"/>
    <row r="336" ht="14" customHeight="1" x14ac:dyDescent="0.15"/>
    <row r="337" ht="14" customHeight="1" x14ac:dyDescent="0.15"/>
    <row r="338" ht="14" customHeight="1" x14ac:dyDescent="0.15"/>
    <row r="339" ht="14" customHeight="1" x14ac:dyDescent="0.15"/>
    <row r="340" ht="14" customHeight="1" x14ac:dyDescent="0.15"/>
    <row r="341" ht="14" customHeight="1" x14ac:dyDescent="0.15"/>
    <row r="342" ht="14" customHeight="1" x14ac:dyDescent="0.15"/>
    <row r="343" ht="14" customHeight="1" x14ac:dyDescent="0.15"/>
    <row r="344" ht="14" customHeight="1" x14ac:dyDescent="0.15"/>
    <row r="345" ht="14" customHeight="1" x14ac:dyDescent="0.15"/>
    <row r="346" ht="14" customHeight="1" x14ac:dyDescent="0.15"/>
    <row r="347" ht="14" customHeight="1" x14ac:dyDescent="0.15"/>
    <row r="348" ht="14" customHeight="1" x14ac:dyDescent="0.15"/>
    <row r="349" ht="14" customHeight="1" x14ac:dyDescent="0.15"/>
    <row r="350" ht="14" customHeight="1" x14ac:dyDescent="0.15"/>
    <row r="351" ht="14" customHeight="1" x14ac:dyDescent="0.15"/>
    <row r="352" ht="14" customHeight="1" x14ac:dyDescent="0.15"/>
    <row r="353" ht="14" customHeight="1" x14ac:dyDescent="0.15"/>
    <row r="354" ht="14" customHeight="1" x14ac:dyDescent="0.15"/>
    <row r="355" ht="14" customHeight="1" x14ac:dyDescent="0.15"/>
    <row r="356" ht="14" customHeight="1" x14ac:dyDescent="0.15"/>
    <row r="357" ht="14" customHeight="1" x14ac:dyDescent="0.15"/>
    <row r="358" ht="14" customHeight="1" x14ac:dyDescent="0.15"/>
    <row r="359" ht="14" customHeight="1" x14ac:dyDescent="0.15"/>
    <row r="360" ht="14" customHeight="1" x14ac:dyDescent="0.15"/>
    <row r="361" ht="14" customHeight="1" x14ac:dyDescent="0.15"/>
    <row r="362" ht="14" customHeight="1" x14ac:dyDescent="0.15"/>
    <row r="363" ht="14" customHeight="1" x14ac:dyDescent="0.15"/>
    <row r="364" ht="14" customHeight="1" x14ac:dyDescent="0.15"/>
    <row r="365" ht="14" customHeight="1" x14ac:dyDescent="0.15"/>
    <row r="366" ht="14" customHeight="1" x14ac:dyDescent="0.15"/>
    <row r="367" ht="14" customHeight="1" x14ac:dyDescent="0.15"/>
    <row r="368" ht="14" customHeight="1" x14ac:dyDescent="0.15"/>
    <row r="369" ht="14" customHeight="1" x14ac:dyDescent="0.15"/>
    <row r="370" ht="14" customHeight="1" x14ac:dyDescent="0.15"/>
    <row r="371" ht="14" customHeight="1" x14ac:dyDescent="0.15"/>
    <row r="372" ht="14" customHeight="1" x14ac:dyDescent="0.15"/>
    <row r="373" ht="14" customHeight="1" x14ac:dyDescent="0.15"/>
    <row r="374" ht="14" customHeight="1" x14ac:dyDescent="0.15"/>
    <row r="375" ht="14" customHeight="1" x14ac:dyDescent="0.15"/>
    <row r="376" ht="14" customHeight="1" x14ac:dyDescent="0.15"/>
    <row r="377" ht="14" customHeight="1" x14ac:dyDescent="0.15"/>
    <row r="378" ht="14" customHeight="1" x14ac:dyDescent="0.15"/>
    <row r="379" ht="14" customHeight="1" x14ac:dyDescent="0.15"/>
    <row r="380" ht="14" customHeight="1" x14ac:dyDescent="0.15"/>
    <row r="381" ht="14" customHeight="1" x14ac:dyDescent="0.15"/>
    <row r="382" ht="14" customHeight="1" x14ac:dyDescent="0.15"/>
    <row r="383" ht="14" customHeight="1" x14ac:dyDescent="0.15"/>
    <row r="384" ht="14" customHeight="1" x14ac:dyDescent="0.15"/>
    <row r="385" ht="14" customHeight="1" x14ac:dyDescent="0.15"/>
    <row r="386" ht="14" customHeight="1" x14ac:dyDescent="0.15"/>
    <row r="387" ht="14" customHeight="1" x14ac:dyDescent="0.15"/>
    <row r="388" ht="14" customHeight="1" x14ac:dyDescent="0.15"/>
    <row r="389" ht="14" customHeight="1" x14ac:dyDescent="0.15"/>
    <row r="390" ht="14" customHeight="1" x14ac:dyDescent="0.15"/>
    <row r="391" ht="14" customHeight="1" x14ac:dyDescent="0.15"/>
    <row r="392" ht="14" customHeight="1" x14ac:dyDescent="0.15"/>
    <row r="393" ht="14" customHeight="1" x14ac:dyDescent="0.15"/>
    <row r="394" ht="14" customHeight="1" x14ac:dyDescent="0.15"/>
    <row r="395" ht="14" customHeight="1" x14ac:dyDescent="0.15"/>
    <row r="396" ht="14" customHeight="1" x14ac:dyDescent="0.15"/>
    <row r="397" ht="14" customHeight="1" x14ac:dyDescent="0.15"/>
    <row r="398" ht="14" customHeight="1" x14ac:dyDescent="0.15"/>
    <row r="399" ht="14" customHeight="1" x14ac:dyDescent="0.15"/>
    <row r="400" ht="14" customHeight="1" x14ac:dyDescent="0.15"/>
    <row r="401" ht="14" customHeight="1" x14ac:dyDescent="0.15"/>
    <row r="402" ht="14" customHeight="1" x14ac:dyDescent="0.15"/>
    <row r="403" ht="14" customHeight="1" x14ac:dyDescent="0.15"/>
    <row r="404" ht="14" customHeight="1" x14ac:dyDescent="0.15"/>
    <row r="405" ht="14" customHeight="1" x14ac:dyDescent="0.15"/>
    <row r="406" ht="14" customHeight="1" x14ac:dyDescent="0.15"/>
    <row r="407" ht="14" customHeight="1" x14ac:dyDescent="0.15"/>
    <row r="408" ht="14" customHeight="1" x14ac:dyDescent="0.15"/>
    <row r="409" ht="14" customHeight="1" x14ac:dyDescent="0.15"/>
    <row r="410" ht="14" customHeight="1" x14ac:dyDescent="0.15"/>
    <row r="411" ht="14" customHeight="1" x14ac:dyDescent="0.15"/>
    <row r="412" ht="14" customHeight="1" x14ac:dyDescent="0.15"/>
    <row r="413" ht="14" customHeight="1" x14ac:dyDescent="0.15"/>
    <row r="414" ht="14" customHeight="1" x14ac:dyDescent="0.15"/>
    <row r="415" ht="14" customHeight="1" x14ac:dyDescent="0.15"/>
    <row r="416" ht="14" customHeight="1" x14ac:dyDescent="0.15"/>
    <row r="417" ht="14" customHeight="1" x14ac:dyDescent="0.15"/>
    <row r="418" ht="14" customHeight="1" x14ac:dyDescent="0.15"/>
    <row r="419" ht="14" customHeight="1" x14ac:dyDescent="0.15"/>
    <row r="420" ht="14" customHeight="1" x14ac:dyDescent="0.15"/>
    <row r="421" ht="14" customHeight="1" x14ac:dyDescent="0.15"/>
    <row r="422" ht="14" customHeight="1" x14ac:dyDescent="0.15"/>
    <row r="423" ht="14" customHeight="1" x14ac:dyDescent="0.15"/>
    <row r="424" ht="14" customHeight="1" x14ac:dyDescent="0.15"/>
    <row r="425" ht="14" customHeight="1" x14ac:dyDescent="0.15"/>
    <row r="426" ht="14" customHeight="1" x14ac:dyDescent="0.15"/>
    <row r="427" ht="14" customHeight="1" x14ac:dyDescent="0.15"/>
    <row r="428" ht="14" customHeight="1" x14ac:dyDescent="0.15"/>
    <row r="429" ht="14" customHeight="1" x14ac:dyDescent="0.15"/>
    <row r="430" ht="14" customHeight="1" x14ac:dyDescent="0.15"/>
    <row r="431" ht="14" customHeight="1" x14ac:dyDescent="0.15"/>
    <row r="432" ht="14" customHeight="1" x14ac:dyDescent="0.15"/>
    <row r="433" ht="14" customHeight="1" x14ac:dyDescent="0.15"/>
    <row r="434" ht="14" customHeight="1" x14ac:dyDescent="0.15"/>
    <row r="435" ht="14" customHeight="1" x14ac:dyDescent="0.15"/>
    <row r="436" ht="14" customHeight="1" x14ac:dyDescent="0.15"/>
    <row r="437" ht="14" customHeight="1" x14ac:dyDescent="0.15"/>
    <row r="438" ht="14" customHeight="1" x14ac:dyDescent="0.15"/>
    <row r="439" ht="14" customHeight="1" x14ac:dyDescent="0.15"/>
    <row r="440" ht="14" customHeight="1" x14ac:dyDescent="0.15"/>
    <row r="441" ht="14" customHeight="1" x14ac:dyDescent="0.15"/>
    <row r="442" ht="14" customHeight="1" x14ac:dyDescent="0.15"/>
    <row r="443" ht="14" customHeight="1" x14ac:dyDescent="0.15"/>
    <row r="444" ht="14" customHeight="1" x14ac:dyDescent="0.15"/>
    <row r="445" ht="14" customHeight="1" x14ac:dyDescent="0.15"/>
    <row r="446" ht="14" customHeight="1" x14ac:dyDescent="0.15"/>
    <row r="447" ht="14" customHeight="1" x14ac:dyDescent="0.15"/>
    <row r="448" ht="14" customHeight="1" x14ac:dyDescent="0.15"/>
    <row r="449" ht="14" customHeight="1" x14ac:dyDescent="0.15"/>
    <row r="450" ht="14" customHeight="1" x14ac:dyDescent="0.15"/>
    <row r="451" ht="14" customHeight="1" x14ac:dyDescent="0.15"/>
    <row r="452" ht="14" customHeight="1" x14ac:dyDescent="0.15"/>
    <row r="453" ht="14" customHeight="1" x14ac:dyDescent="0.15"/>
    <row r="454" ht="14" customHeight="1" x14ac:dyDescent="0.15"/>
    <row r="455" ht="14" customHeight="1" x14ac:dyDescent="0.15"/>
    <row r="456" ht="14" customHeight="1" x14ac:dyDescent="0.15"/>
    <row r="457" ht="14" customHeight="1" x14ac:dyDescent="0.15"/>
    <row r="458" ht="14" customHeight="1" x14ac:dyDescent="0.15"/>
    <row r="459" ht="14" customHeight="1" x14ac:dyDescent="0.15"/>
    <row r="460" ht="14" customHeight="1" x14ac:dyDescent="0.15"/>
    <row r="461" ht="14" customHeight="1" x14ac:dyDescent="0.15"/>
    <row r="462" ht="14" customHeight="1" x14ac:dyDescent="0.15"/>
    <row r="463" ht="14" customHeight="1" x14ac:dyDescent="0.15"/>
    <row r="464" ht="14" customHeight="1" x14ac:dyDescent="0.15"/>
    <row r="465" ht="14" customHeight="1" x14ac:dyDescent="0.15"/>
    <row r="466" ht="14" customHeight="1" x14ac:dyDescent="0.15"/>
    <row r="467" ht="14" customHeight="1" x14ac:dyDescent="0.15"/>
    <row r="468" ht="14" customHeight="1" x14ac:dyDescent="0.15"/>
    <row r="469" ht="14" customHeight="1" x14ac:dyDescent="0.15"/>
    <row r="470" ht="14" customHeight="1" x14ac:dyDescent="0.15"/>
    <row r="471" ht="14" customHeight="1" x14ac:dyDescent="0.15"/>
    <row r="472" ht="14" customHeight="1" x14ac:dyDescent="0.15"/>
    <row r="473" ht="14" customHeight="1" x14ac:dyDescent="0.15"/>
    <row r="474" ht="14" customHeight="1" x14ac:dyDescent="0.15"/>
    <row r="475" ht="14" customHeight="1" x14ac:dyDescent="0.15"/>
    <row r="476" ht="14" customHeight="1" x14ac:dyDescent="0.15"/>
    <row r="477" ht="14" customHeight="1" x14ac:dyDescent="0.15"/>
    <row r="478" ht="14" customHeight="1" x14ac:dyDescent="0.15"/>
    <row r="479" ht="14" customHeight="1" x14ac:dyDescent="0.15"/>
    <row r="480" ht="14" customHeight="1" x14ac:dyDescent="0.15"/>
    <row r="481" ht="14" customHeight="1" x14ac:dyDescent="0.15"/>
    <row r="482" ht="14" customHeight="1" x14ac:dyDescent="0.15"/>
    <row r="483" ht="14" customHeight="1" x14ac:dyDescent="0.15"/>
    <row r="484" ht="14" customHeight="1" x14ac:dyDescent="0.15"/>
    <row r="485" ht="14" customHeight="1" x14ac:dyDescent="0.15"/>
    <row r="486" ht="14" customHeight="1" x14ac:dyDescent="0.15"/>
    <row r="487" ht="14" customHeight="1" x14ac:dyDescent="0.15"/>
    <row r="488" ht="14" customHeight="1" x14ac:dyDescent="0.15"/>
    <row r="489" ht="14" customHeight="1" x14ac:dyDescent="0.15"/>
    <row r="490" ht="14" customHeight="1" x14ac:dyDescent="0.15"/>
    <row r="491" ht="14" customHeight="1" x14ac:dyDescent="0.15"/>
    <row r="492" ht="14" customHeight="1" x14ac:dyDescent="0.15"/>
    <row r="493" ht="14" customHeight="1" x14ac:dyDescent="0.15"/>
    <row r="494" ht="14" customHeight="1" x14ac:dyDescent="0.15"/>
    <row r="495" ht="14" customHeight="1" x14ac:dyDescent="0.15"/>
    <row r="496" ht="14" customHeight="1" x14ac:dyDescent="0.15"/>
    <row r="497" ht="14" customHeight="1" x14ac:dyDescent="0.15"/>
    <row r="498" ht="14" customHeight="1" x14ac:dyDescent="0.15"/>
    <row r="499" ht="14" customHeight="1" x14ac:dyDescent="0.15"/>
    <row r="500" ht="14" customHeight="1" x14ac:dyDescent="0.15"/>
    <row r="501" ht="14" customHeight="1" x14ac:dyDescent="0.15"/>
    <row r="502" ht="14" customHeight="1" x14ac:dyDescent="0.15"/>
    <row r="503" ht="14" customHeight="1" x14ac:dyDescent="0.15"/>
    <row r="504" ht="14" customHeight="1" x14ac:dyDescent="0.15"/>
    <row r="505" ht="14" customHeight="1" x14ac:dyDescent="0.15"/>
    <row r="506" ht="14" customHeight="1" x14ac:dyDescent="0.15"/>
    <row r="507" ht="14" customHeight="1" x14ac:dyDescent="0.15"/>
    <row r="508" ht="14" customHeight="1" x14ac:dyDescent="0.15"/>
    <row r="509" ht="14" customHeight="1" x14ac:dyDescent="0.15"/>
    <row r="510" ht="14" customHeight="1" x14ac:dyDescent="0.15"/>
    <row r="511" ht="14" customHeight="1" x14ac:dyDescent="0.15"/>
    <row r="512" ht="14" customHeight="1" x14ac:dyDescent="0.15"/>
    <row r="513" ht="14" customHeight="1" x14ac:dyDescent="0.15"/>
    <row r="514" ht="14" customHeight="1" x14ac:dyDescent="0.15"/>
    <row r="515" ht="14" customHeight="1" x14ac:dyDescent="0.15"/>
    <row r="516" ht="14" customHeight="1" x14ac:dyDescent="0.15"/>
    <row r="517" ht="14" customHeight="1" x14ac:dyDescent="0.15"/>
    <row r="518" ht="14" customHeight="1" x14ac:dyDescent="0.15"/>
    <row r="519" ht="14" customHeight="1" x14ac:dyDescent="0.15"/>
    <row r="520" ht="14" customHeight="1" x14ac:dyDescent="0.15"/>
    <row r="521" ht="14" customHeight="1" x14ac:dyDescent="0.15"/>
    <row r="522" ht="14" customHeight="1" x14ac:dyDescent="0.15"/>
    <row r="523" ht="14" customHeight="1" x14ac:dyDescent="0.15"/>
    <row r="524" ht="14" customHeight="1" x14ac:dyDescent="0.15"/>
    <row r="525" ht="14" customHeight="1" x14ac:dyDescent="0.15"/>
    <row r="526" ht="14" customHeight="1" x14ac:dyDescent="0.15"/>
    <row r="527" ht="14" customHeight="1" x14ac:dyDescent="0.15"/>
    <row r="528" ht="14" customHeight="1" x14ac:dyDescent="0.15"/>
    <row r="529" ht="14" customHeight="1" x14ac:dyDescent="0.15"/>
    <row r="530" ht="14" customHeight="1" x14ac:dyDescent="0.15"/>
    <row r="531" ht="14" customHeight="1" x14ac:dyDescent="0.15"/>
    <row r="532" ht="14" customHeight="1" x14ac:dyDescent="0.15"/>
    <row r="533" ht="14" customHeight="1" x14ac:dyDescent="0.15"/>
    <row r="534" ht="14" customHeight="1" x14ac:dyDescent="0.15"/>
    <row r="535" ht="14" customHeight="1" x14ac:dyDescent="0.15"/>
    <row r="536" ht="14" customHeight="1" x14ac:dyDescent="0.15"/>
    <row r="537" ht="14" customHeight="1" x14ac:dyDescent="0.15"/>
    <row r="538" ht="14" customHeight="1" x14ac:dyDescent="0.15"/>
    <row r="539" ht="14" customHeight="1" x14ac:dyDescent="0.15"/>
    <row r="540" ht="14" customHeight="1" x14ac:dyDescent="0.15"/>
    <row r="541" ht="14" customHeight="1" x14ac:dyDescent="0.15"/>
    <row r="542" ht="14" customHeight="1" x14ac:dyDescent="0.15"/>
    <row r="543" ht="14" customHeight="1" x14ac:dyDescent="0.15"/>
    <row r="544" ht="14" customHeight="1" x14ac:dyDescent="0.15"/>
    <row r="545" ht="14" customHeight="1" x14ac:dyDescent="0.15"/>
    <row r="546" ht="14" customHeight="1" x14ac:dyDescent="0.15"/>
    <row r="547" ht="14" customHeight="1" x14ac:dyDescent="0.15"/>
    <row r="548" ht="14" customHeight="1" x14ac:dyDescent="0.15"/>
    <row r="549" ht="14" customHeight="1" x14ac:dyDescent="0.15"/>
    <row r="550" ht="14" customHeight="1" x14ac:dyDescent="0.15"/>
    <row r="551" ht="14" customHeight="1" x14ac:dyDescent="0.15"/>
    <row r="552" ht="14" customHeight="1" x14ac:dyDescent="0.15"/>
    <row r="553" ht="14" customHeight="1" x14ac:dyDescent="0.15"/>
    <row r="554" ht="14" customHeight="1" x14ac:dyDescent="0.15"/>
    <row r="555" ht="14" customHeight="1" x14ac:dyDescent="0.15"/>
    <row r="556" ht="14" customHeight="1" x14ac:dyDescent="0.15"/>
    <row r="557" ht="14" customHeight="1" x14ac:dyDescent="0.15"/>
    <row r="558" ht="14" customHeight="1" x14ac:dyDescent="0.15"/>
    <row r="559" ht="14" customHeight="1" x14ac:dyDescent="0.15"/>
    <row r="560" ht="14" customHeight="1" x14ac:dyDescent="0.15"/>
    <row r="561" ht="14" customHeight="1" x14ac:dyDescent="0.15"/>
    <row r="562" ht="14" customHeight="1" x14ac:dyDescent="0.15"/>
    <row r="563" ht="14" customHeight="1" x14ac:dyDescent="0.15"/>
    <row r="564" ht="14" customHeight="1" x14ac:dyDescent="0.15"/>
    <row r="565" ht="14" customHeight="1" x14ac:dyDescent="0.15"/>
    <row r="566" ht="14" customHeight="1" x14ac:dyDescent="0.15"/>
    <row r="567" ht="14" customHeight="1" x14ac:dyDescent="0.15"/>
    <row r="568" ht="14" customHeight="1" x14ac:dyDescent="0.15"/>
    <row r="569" ht="14" customHeight="1" x14ac:dyDescent="0.15"/>
    <row r="570" ht="14" customHeight="1" x14ac:dyDescent="0.15"/>
    <row r="571" ht="14" customHeight="1" x14ac:dyDescent="0.15"/>
    <row r="572" ht="14" customHeight="1" x14ac:dyDescent="0.15"/>
    <row r="573" ht="14" customHeight="1" x14ac:dyDescent="0.15"/>
    <row r="574" ht="14" customHeight="1" x14ac:dyDescent="0.15"/>
    <row r="575" ht="14" customHeight="1" x14ac:dyDescent="0.15"/>
    <row r="576" ht="14" customHeight="1" x14ac:dyDescent="0.15"/>
    <row r="577" ht="14" customHeight="1" x14ac:dyDescent="0.15"/>
    <row r="578" ht="14" customHeight="1" x14ac:dyDescent="0.15"/>
    <row r="579" ht="14" customHeight="1" x14ac:dyDescent="0.15"/>
    <row r="580" ht="14" customHeight="1" x14ac:dyDescent="0.15"/>
    <row r="581" ht="14" customHeight="1" x14ac:dyDescent="0.15"/>
    <row r="582" ht="14" customHeight="1" x14ac:dyDescent="0.15"/>
    <row r="583" ht="14" customHeight="1" x14ac:dyDescent="0.15"/>
    <row r="584" ht="14" customHeight="1" x14ac:dyDescent="0.15"/>
    <row r="585" ht="14" customHeight="1" x14ac:dyDescent="0.15"/>
    <row r="586" ht="14" customHeight="1" x14ac:dyDescent="0.15"/>
    <row r="587" ht="14" customHeight="1" x14ac:dyDescent="0.15"/>
    <row r="588" ht="14" customHeight="1" x14ac:dyDescent="0.15"/>
    <row r="589" ht="14" customHeight="1" x14ac:dyDescent="0.15"/>
    <row r="590" ht="14" customHeight="1" x14ac:dyDescent="0.15"/>
    <row r="591" ht="14" customHeight="1" x14ac:dyDescent="0.15"/>
    <row r="592" ht="14" customHeight="1" x14ac:dyDescent="0.15"/>
    <row r="593" ht="14" customHeight="1" x14ac:dyDescent="0.15"/>
    <row r="594" ht="14" customHeight="1" x14ac:dyDescent="0.15"/>
    <row r="595" ht="14" customHeight="1" x14ac:dyDescent="0.15"/>
    <row r="596" ht="14" customHeight="1" x14ac:dyDescent="0.15"/>
    <row r="597" ht="14" customHeight="1" x14ac:dyDescent="0.15"/>
    <row r="598" ht="14" customHeight="1" x14ac:dyDescent="0.15"/>
    <row r="599" ht="14" customHeight="1" x14ac:dyDescent="0.15"/>
    <row r="600" ht="14" customHeight="1" x14ac:dyDescent="0.15"/>
    <row r="601" ht="14" customHeight="1" x14ac:dyDescent="0.15"/>
    <row r="602" ht="14" customHeight="1" x14ac:dyDescent="0.15"/>
    <row r="603" ht="14" customHeight="1" x14ac:dyDescent="0.15"/>
    <row r="604" ht="14" customHeight="1" x14ac:dyDescent="0.15"/>
    <row r="605" ht="14" customHeight="1" x14ac:dyDescent="0.15"/>
    <row r="606" ht="14" customHeight="1" x14ac:dyDescent="0.15"/>
    <row r="607" ht="14" customHeight="1" x14ac:dyDescent="0.15"/>
    <row r="608" ht="14" customHeight="1" x14ac:dyDescent="0.15"/>
    <row r="609" ht="14" customHeight="1" x14ac:dyDescent="0.15"/>
    <row r="610" ht="14" customHeight="1" x14ac:dyDescent="0.15"/>
    <row r="611" ht="14" customHeight="1" x14ac:dyDescent="0.15"/>
    <row r="612" ht="14" customHeight="1" x14ac:dyDescent="0.15"/>
    <row r="613" ht="14" customHeight="1" x14ac:dyDescent="0.15"/>
    <row r="614" ht="14" customHeight="1" x14ac:dyDescent="0.15"/>
    <row r="615" ht="14" customHeight="1" x14ac:dyDescent="0.15"/>
    <row r="616" ht="14" customHeight="1" x14ac:dyDescent="0.15"/>
    <row r="617" ht="14" customHeight="1" x14ac:dyDescent="0.15"/>
    <row r="618" ht="14" customHeight="1" x14ac:dyDescent="0.15"/>
    <row r="619" ht="14" customHeight="1" x14ac:dyDescent="0.15"/>
    <row r="620" ht="14" customHeight="1" x14ac:dyDescent="0.15"/>
    <row r="621" ht="14" customHeight="1" x14ac:dyDescent="0.15"/>
    <row r="622" ht="14" customHeight="1" x14ac:dyDescent="0.15"/>
    <row r="623" ht="14" customHeight="1" x14ac:dyDescent="0.15"/>
    <row r="624" ht="14" customHeight="1" x14ac:dyDescent="0.15"/>
    <row r="625" ht="14" customHeight="1" x14ac:dyDescent="0.15"/>
    <row r="626" ht="14" customHeight="1" x14ac:dyDescent="0.15"/>
    <row r="627" ht="14" customHeight="1" x14ac:dyDescent="0.15"/>
    <row r="628" ht="14" customHeight="1" x14ac:dyDescent="0.15"/>
    <row r="629" ht="14" customHeight="1" x14ac:dyDescent="0.15"/>
    <row r="630" ht="14" customHeight="1" x14ac:dyDescent="0.15"/>
    <row r="631" ht="14" customHeight="1" x14ac:dyDescent="0.15"/>
    <row r="632" ht="14" customHeight="1" x14ac:dyDescent="0.15"/>
    <row r="633" ht="14" customHeight="1" x14ac:dyDescent="0.15"/>
    <row r="634" ht="14" customHeight="1" x14ac:dyDescent="0.15"/>
    <row r="635" ht="14" customHeight="1" x14ac:dyDescent="0.15"/>
    <row r="636" ht="14" customHeight="1" x14ac:dyDescent="0.15"/>
    <row r="637" ht="14" customHeight="1" x14ac:dyDescent="0.15"/>
    <row r="638" ht="14" customHeight="1" x14ac:dyDescent="0.15"/>
    <row r="639" ht="14" customHeight="1" x14ac:dyDescent="0.15"/>
    <row r="640" ht="14" customHeight="1" x14ac:dyDescent="0.15"/>
    <row r="641" ht="14" customHeight="1" x14ac:dyDescent="0.15"/>
    <row r="642" ht="14" customHeight="1" x14ac:dyDescent="0.15"/>
    <row r="643" ht="14" customHeight="1" x14ac:dyDescent="0.15"/>
    <row r="644" ht="14" customHeight="1" x14ac:dyDescent="0.15"/>
    <row r="645" ht="14" customHeight="1" x14ac:dyDescent="0.15"/>
    <row r="646" ht="14" customHeight="1" x14ac:dyDescent="0.15"/>
    <row r="647" ht="14" customHeight="1" x14ac:dyDescent="0.15"/>
    <row r="648" ht="14" customHeight="1" x14ac:dyDescent="0.15"/>
    <row r="649" ht="14" customHeight="1" x14ac:dyDescent="0.15"/>
    <row r="650" ht="14" customHeight="1" x14ac:dyDescent="0.15"/>
    <row r="651" ht="14" customHeight="1" x14ac:dyDescent="0.15"/>
    <row r="652" ht="14" customHeight="1" x14ac:dyDescent="0.15"/>
    <row r="653" ht="14" customHeight="1" x14ac:dyDescent="0.15"/>
    <row r="654" ht="14" customHeight="1" x14ac:dyDescent="0.15"/>
    <row r="655" ht="14" customHeight="1" x14ac:dyDescent="0.15"/>
    <row r="656" ht="14" customHeight="1" x14ac:dyDescent="0.15"/>
    <row r="657" ht="14" customHeight="1" x14ac:dyDescent="0.15"/>
    <row r="658" ht="14" customHeight="1" x14ac:dyDescent="0.15"/>
    <row r="659" ht="14" customHeight="1" x14ac:dyDescent="0.15"/>
    <row r="660" ht="14" customHeight="1" x14ac:dyDescent="0.15"/>
    <row r="661" ht="14" customHeight="1" x14ac:dyDescent="0.15"/>
    <row r="662" ht="14" customHeight="1" x14ac:dyDescent="0.15"/>
    <row r="663" ht="14" customHeight="1" x14ac:dyDescent="0.15"/>
    <row r="664" ht="14" customHeight="1" x14ac:dyDescent="0.15"/>
    <row r="665" ht="14" customHeight="1" x14ac:dyDescent="0.15"/>
    <row r="666" ht="14" customHeight="1" x14ac:dyDescent="0.15"/>
    <row r="667" ht="14" customHeight="1" x14ac:dyDescent="0.15"/>
    <row r="668" ht="14" customHeight="1" x14ac:dyDescent="0.15"/>
    <row r="669" ht="14" customHeight="1" x14ac:dyDescent="0.15"/>
    <row r="670" ht="14" customHeight="1" x14ac:dyDescent="0.15"/>
    <row r="671" ht="14" customHeight="1" x14ac:dyDescent="0.15"/>
    <row r="672" ht="14" customHeight="1" x14ac:dyDescent="0.15"/>
    <row r="673" ht="14" customHeight="1" x14ac:dyDescent="0.15"/>
    <row r="674" ht="14" customHeight="1" x14ac:dyDescent="0.15"/>
    <row r="675" ht="14" customHeight="1" x14ac:dyDescent="0.15"/>
    <row r="676" ht="14" customHeight="1" x14ac:dyDescent="0.15"/>
    <row r="677" ht="14" customHeight="1" x14ac:dyDescent="0.15"/>
    <row r="678" ht="14" customHeight="1" x14ac:dyDescent="0.15"/>
    <row r="679" ht="14" customHeight="1" x14ac:dyDescent="0.15"/>
    <row r="680" ht="14" customHeight="1" x14ac:dyDescent="0.15"/>
    <row r="681" ht="14" customHeight="1" x14ac:dyDescent="0.15"/>
    <row r="682" ht="14" customHeight="1" x14ac:dyDescent="0.15"/>
    <row r="683" ht="14" customHeight="1" x14ac:dyDescent="0.15"/>
    <row r="684" ht="14" customHeight="1" x14ac:dyDescent="0.15"/>
    <row r="685" ht="14" customHeight="1" x14ac:dyDescent="0.15"/>
    <row r="686" ht="14" customHeight="1" x14ac:dyDescent="0.15"/>
    <row r="687" ht="14" customHeight="1" x14ac:dyDescent="0.15"/>
    <row r="688" ht="14" customHeight="1" x14ac:dyDescent="0.15"/>
    <row r="689" ht="14" customHeight="1" x14ac:dyDescent="0.15"/>
    <row r="690" ht="14" customHeight="1" x14ac:dyDescent="0.15"/>
    <row r="691" ht="14" customHeight="1" x14ac:dyDescent="0.15"/>
    <row r="692" ht="14" customHeight="1" x14ac:dyDescent="0.15"/>
    <row r="693" ht="14" customHeight="1" x14ac:dyDescent="0.15"/>
    <row r="694" ht="14" customHeight="1" x14ac:dyDescent="0.15"/>
    <row r="695" ht="14" customHeight="1" x14ac:dyDescent="0.15"/>
    <row r="696" ht="14" customHeight="1" x14ac:dyDescent="0.15"/>
    <row r="697" ht="14" customHeight="1" x14ac:dyDescent="0.15"/>
    <row r="698" ht="14" customHeight="1" x14ac:dyDescent="0.15"/>
    <row r="699" ht="14" customHeight="1" x14ac:dyDescent="0.15"/>
    <row r="700" ht="14" customHeight="1" x14ac:dyDescent="0.15"/>
    <row r="701" ht="14" customHeight="1" x14ac:dyDescent="0.15"/>
    <row r="702" ht="14" customHeight="1" x14ac:dyDescent="0.15"/>
    <row r="703" ht="14" customHeight="1" x14ac:dyDescent="0.15"/>
    <row r="704" ht="14" customHeight="1" x14ac:dyDescent="0.15"/>
    <row r="705" ht="14" customHeight="1" x14ac:dyDescent="0.15"/>
    <row r="706" ht="14" customHeight="1" x14ac:dyDescent="0.15"/>
    <row r="707" ht="14" customHeight="1" x14ac:dyDescent="0.15"/>
    <row r="708" ht="14" customHeight="1" x14ac:dyDescent="0.15"/>
    <row r="709" ht="14" customHeight="1" x14ac:dyDescent="0.15"/>
    <row r="710" ht="14" customHeight="1" x14ac:dyDescent="0.15"/>
    <row r="711" ht="14" customHeight="1" x14ac:dyDescent="0.15"/>
    <row r="712" ht="14" customHeight="1" x14ac:dyDescent="0.15"/>
    <row r="713" ht="14" customHeight="1" x14ac:dyDescent="0.15"/>
    <row r="714" ht="14" customHeight="1" x14ac:dyDescent="0.15"/>
    <row r="715" ht="14" customHeight="1" x14ac:dyDescent="0.15"/>
    <row r="716" ht="14" customHeight="1" x14ac:dyDescent="0.15"/>
    <row r="717" ht="14" customHeight="1" x14ac:dyDescent="0.15"/>
    <row r="718" ht="14" customHeight="1" x14ac:dyDescent="0.15"/>
    <row r="719" ht="14" customHeight="1" x14ac:dyDescent="0.15"/>
    <row r="720" ht="14" customHeight="1" x14ac:dyDescent="0.15"/>
    <row r="721" ht="14" customHeight="1" x14ac:dyDescent="0.15"/>
    <row r="722" ht="14" customHeight="1" x14ac:dyDescent="0.15"/>
    <row r="723" ht="14" customHeight="1" x14ac:dyDescent="0.15"/>
    <row r="724" ht="14" customHeight="1" x14ac:dyDescent="0.15"/>
    <row r="725" ht="14" customHeight="1" x14ac:dyDescent="0.15"/>
    <row r="726" ht="14" customHeight="1" x14ac:dyDescent="0.15"/>
    <row r="727" ht="14" customHeight="1" x14ac:dyDescent="0.15"/>
    <row r="728" ht="14" customHeight="1" x14ac:dyDescent="0.15"/>
    <row r="729" ht="14" customHeight="1" x14ac:dyDescent="0.15"/>
    <row r="730" ht="14" customHeight="1" x14ac:dyDescent="0.15"/>
    <row r="731" ht="14" customHeight="1" x14ac:dyDescent="0.15"/>
    <row r="732" ht="14" customHeight="1" x14ac:dyDescent="0.15"/>
    <row r="733" ht="14" customHeight="1" x14ac:dyDescent="0.15"/>
    <row r="734" ht="14" customHeight="1" x14ac:dyDescent="0.15"/>
    <row r="735" ht="14" customHeight="1" x14ac:dyDescent="0.15"/>
    <row r="736" ht="14" customHeight="1" x14ac:dyDescent="0.15"/>
    <row r="737" ht="14" customHeight="1" x14ac:dyDescent="0.15"/>
    <row r="738" ht="14" customHeight="1" x14ac:dyDescent="0.15"/>
    <row r="739" ht="14" customHeight="1" x14ac:dyDescent="0.15"/>
    <row r="740" ht="14" customHeight="1" x14ac:dyDescent="0.15"/>
    <row r="741" ht="14" customHeight="1" x14ac:dyDescent="0.15"/>
    <row r="742" ht="14" customHeight="1" x14ac:dyDescent="0.15"/>
    <row r="743" ht="14" customHeight="1" x14ac:dyDescent="0.15"/>
    <row r="744" ht="14" customHeight="1" x14ac:dyDescent="0.15"/>
    <row r="745" ht="14" customHeight="1" x14ac:dyDescent="0.15"/>
    <row r="746" ht="14" customHeight="1" x14ac:dyDescent="0.15"/>
    <row r="747" ht="14" customHeight="1" x14ac:dyDescent="0.15"/>
    <row r="748" ht="14" customHeight="1" x14ac:dyDescent="0.15"/>
    <row r="749" ht="14" customHeight="1" x14ac:dyDescent="0.15"/>
    <row r="750" ht="14" customHeight="1" x14ac:dyDescent="0.15"/>
    <row r="751" ht="14" customHeight="1" x14ac:dyDescent="0.15"/>
    <row r="752" ht="14" customHeight="1" x14ac:dyDescent="0.15"/>
    <row r="753" ht="14" customHeight="1" x14ac:dyDescent="0.15"/>
    <row r="754" ht="14" customHeight="1" x14ac:dyDescent="0.15"/>
    <row r="755" ht="14" customHeight="1" x14ac:dyDescent="0.15"/>
    <row r="756" ht="14" customHeight="1" x14ac:dyDescent="0.15"/>
    <row r="757" ht="14" customHeight="1" x14ac:dyDescent="0.15"/>
    <row r="758" ht="14" customHeight="1" x14ac:dyDescent="0.15"/>
    <row r="759" ht="14" customHeight="1" x14ac:dyDescent="0.15"/>
    <row r="760" ht="14" customHeight="1" x14ac:dyDescent="0.15"/>
    <row r="761" ht="14" customHeight="1" x14ac:dyDescent="0.15"/>
    <row r="762" ht="14" customHeight="1" x14ac:dyDescent="0.15"/>
    <row r="763" ht="14" customHeight="1" x14ac:dyDescent="0.15"/>
    <row r="764" ht="14" customHeight="1" x14ac:dyDescent="0.15"/>
    <row r="765" ht="14" customHeight="1" x14ac:dyDescent="0.15"/>
    <row r="766" ht="14" customHeight="1" x14ac:dyDescent="0.15"/>
    <row r="767" ht="14" customHeight="1" x14ac:dyDescent="0.15"/>
    <row r="768" ht="14" customHeight="1" x14ac:dyDescent="0.15"/>
    <row r="769" ht="14" customHeight="1" x14ac:dyDescent="0.15"/>
    <row r="770" ht="14" customHeight="1" x14ac:dyDescent="0.15"/>
    <row r="771" ht="14" customHeight="1" x14ac:dyDescent="0.15"/>
    <row r="772" ht="14" customHeight="1" x14ac:dyDescent="0.15"/>
    <row r="773" ht="14" customHeight="1" x14ac:dyDescent="0.15"/>
    <row r="774" ht="14" customHeight="1" x14ac:dyDescent="0.15"/>
    <row r="775" ht="14" customHeight="1" x14ac:dyDescent="0.15"/>
    <row r="776" ht="14" customHeight="1" x14ac:dyDescent="0.15"/>
    <row r="777" ht="14" customHeight="1" x14ac:dyDescent="0.15"/>
    <row r="778" ht="14" customHeight="1" x14ac:dyDescent="0.15"/>
    <row r="779" ht="14" customHeight="1" x14ac:dyDescent="0.15"/>
    <row r="780" ht="14" customHeight="1" x14ac:dyDescent="0.15"/>
    <row r="781" ht="14" customHeight="1" x14ac:dyDescent="0.15"/>
    <row r="782" ht="14" customHeight="1" x14ac:dyDescent="0.15"/>
    <row r="783" ht="14" customHeight="1" x14ac:dyDescent="0.15"/>
    <row r="784" ht="14" customHeight="1" x14ac:dyDescent="0.15"/>
    <row r="785" ht="14" customHeight="1" x14ac:dyDescent="0.15"/>
    <row r="786" ht="14" customHeight="1" x14ac:dyDescent="0.15"/>
    <row r="787" ht="14" customHeight="1" x14ac:dyDescent="0.15"/>
    <row r="788" ht="14" customHeight="1" x14ac:dyDescent="0.15"/>
    <row r="789" ht="14" customHeight="1" x14ac:dyDescent="0.15"/>
    <row r="790" ht="14" customHeight="1" x14ac:dyDescent="0.15"/>
    <row r="791" ht="14" customHeight="1" x14ac:dyDescent="0.15"/>
    <row r="792" ht="14" customHeight="1" x14ac:dyDescent="0.15"/>
    <row r="793" ht="14" customHeight="1" x14ac:dyDescent="0.15"/>
    <row r="794" ht="14" customHeight="1" x14ac:dyDescent="0.15"/>
    <row r="795" ht="14" customHeight="1" x14ac:dyDescent="0.15"/>
    <row r="796" ht="14" customHeight="1" x14ac:dyDescent="0.15"/>
    <row r="797" ht="14" customHeight="1" x14ac:dyDescent="0.15"/>
    <row r="798" ht="14" customHeight="1" x14ac:dyDescent="0.15"/>
    <row r="799" ht="14" customHeight="1" x14ac:dyDescent="0.15"/>
    <row r="800" ht="14" customHeight="1" x14ac:dyDescent="0.15"/>
    <row r="801" ht="14" customHeight="1" x14ac:dyDescent="0.15"/>
    <row r="802" ht="14" customHeight="1" x14ac:dyDescent="0.15"/>
    <row r="803" ht="14" customHeight="1" x14ac:dyDescent="0.15"/>
    <row r="804" ht="14" customHeight="1" x14ac:dyDescent="0.15"/>
    <row r="805" ht="14" customHeight="1" x14ac:dyDescent="0.15"/>
    <row r="806" ht="14" customHeight="1" x14ac:dyDescent="0.15"/>
    <row r="807" ht="14" customHeight="1" x14ac:dyDescent="0.15"/>
    <row r="808" ht="14" customHeight="1" x14ac:dyDescent="0.15"/>
    <row r="809" ht="14" customHeight="1" x14ac:dyDescent="0.15"/>
    <row r="810" ht="14" customHeight="1" x14ac:dyDescent="0.15"/>
    <row r="811" ht="14" customHeight="1" x14ac:dyDescent="0.15"/>
    <row r="812" ht="14" customHeight="1" x14ac:dyDescent="0.15"/>
    <row r="813" ht="14" customHeight="1" x14ac:dyDescent="0.15"/>
    <row r="814" ht="14" customHeight="1" x14ac:dyDescent="0.15"/>
    <row r="815" ht="14" customHeight="1" x14ac:dyDescent="0.15"/>
    <row r="816" ht="14" customHeight="1" x14ac:dyDescent="0.15"/>
    <row r="817" ht="14" customHeight="1" x14ac:dyDescent="0.15"/>
    <row r="818" ht="14" customHeight="1" x14ac:dyDescent="0.15"/>
    <row r="819" ht="14" customHeight="1" x14ac:dyDescent="0.15"/>
    <row r="820" ht="14" customHeight="1" x14ac:dyDescent="0.15"/>
    <row r="821" ht="14" customHeight="1" x14ac:dyDescent="0.15"/>
    <row r="822" ht="14" customHeight="1" x14ac:dyDescent="0.15"/>
    <row r="823" ht="14" customHeight="1" x14ac:dyDescent="0.15"/>
    <row r="824" ht="14" customHeight="1" x14ac:dyDescent="0.15"/>
    <row r="825" ht="14" customHeight="1" x14ac:dyDescent="0.15"/>
    <row r="826" ht="14" customHeight="1" x14ac:dyDescent="0.15"/>
    <row r="827" ht="14" customHeight="1" x14ac:dyDescent="0.15"/>
    <row r="828" ht="14" customHeight="1" x14ac:dyDescent="0.15"/>
    <row r="829" ht="14" customHeight="1" x14ac:dyDescent="0.15"/>
    <row r="830" ht="14" customHeight="1" x14ac:dyDescent="0.15"/>
    <row r="831" ht="14" customHeight="1" x14ac:dyDescent="0.15"/>
    <row r="832" ht="14" customHeight="1" x14ac:dyDescent="0.15"/>
    <row r="833" ht="14" customHeight="1" x14ac:dyDescent="0.15"/>
    <row r="834" ht="14" customHeight="1" x14ac:dyDescent="0.15"/>
    <row r="835" ht="14" customHeight="1" x14ac:dyDescent="0.15"/>
    <row r="836" ht="14" customHeight="1" x14ac:dyDescent="0.15"/>
    <row r="837" ht="14" customHeight="1" x14ac:dyDescent="0.15"/>
    <row r="838" ht="14" customHeight="1" x14ac:dyDescent="0.15"/>
    <row r="839" ht="14" customHeight="1" x14ac:dyDescent="0.15"/>
    <row r="840" ht="14" customHeight="1" x14ac:dyDescent="0.15"/>
    <row r="841" ht="14" customHeight="1" x14ac:dyDescent="0.15"/>
    <row r="842" ht="14" customHeight="1" x14ac:dyDescent="0.15"/>
    <row r="843" ht="14" customHeight="1" x14ac:dyDescent="0.15"/>
    <row r="844" ht="14" customHeight="1" x14ac:dyDescent="0.15"/>
    <row r="845" ht="14" customHeight="1" x14ac:dyDescent="0.15"/>
    <row r="846" ht="14" customHeight="1" x14ac:dyDescent="0.15"/>
    <row r="847" ht="14" customHeight="1" x14ac:dyDescent="0.15"/>
    <row r="848" ht="14" customHeight="1" x14ac:dyDescent="0.15"/>
    <row r="849" ht="14" customHeight="1" x14ac:dyDescent="0.15"/>
    <row r="850" ht="14" customHeight="1" x14ac:dyDescent="0.15"/>
    <row r="851" ht="14" customHeight="1" x14ac:dyDescent="0.15"/>
    <row r="852" ht="14" customHeight="1" x14ac:dyDescent="0.15"/>
    <row r="853" ht="14" customHeight="1" x14ac:dyDescent="0.15"/>
    <row r="854" ht="14" customHeight="1" x14ac:dyDescent="0.15"/>
    <row r="855" ht="14" customHeight="1" x14ac:dyDescent="0.15"/>
    <row r="856" ht="14" customHeight="1" x14ac:dyDescent="0.15"/>
    <row r="857" ht="14" customHeight="1" x14ac:dyDescent="0.15"/>
    <row r="858" ht="14" customHeight="1" x14ac:dyDescent="0.15"/>
    <row r="859" ht="14" customHeight="1" x14ac:dyDescent="0.15"/>
    <row r="860" ht="14" customHeight="1" x14ac:dyDescent="0.15"/>
    <row r="861" ht="14" customHeight="1" x14ac:dyDescent="0.15"/>
    <row r="862" ht="14" customHeight="1" x14ac:dyDescent="0.15"/>
    <row r="863" ht="14" customHeight="1" x14ac:dyDescent="0.15"/>
    <row r="864" ht="14" customHeight="1" x14ac:dyDescent="0.15"/>
    <row r="865" ht="14" customHeight="1" x14ac:dyDescent="0.15"/>
    <row r="866" ht="14" customHeight="1" x14ac:dyDescent="0.15"/>
    <row r="867" ht="14" customHeight="1" x14ac:dyDescent="0.15"/>
    <row r="868" ht="14" customHeight="1" x14ac:dyDescent="0.15"/>
    <row r="869" ht="14" customHeight="1" x14ac:dyDescent="0.15"/>
    <row r="870" ht="14" customHeight="1" x14ac:dyDescent="0.15"/>
    <row r="871" ht="14" customHeight="1" x14ac:dyDescent="0.15"/>
    <row r="872" ht="14" customHeight="1" x14ac:dyDescent="0.15"/>
    <row r="873" ht="14" customHeight="1" x14ac:dyDescent="0.15"/>
    <row r="874" ht="14" customHeight="1" x14ac:dyDescent="0.15"/>
    <row r="875" ht="14" customHeight="1" x14ac:dyDescent="0.15"/>
    <row r="876" ht="14" customHeight="1" x14ac:dyDescent="0.15"/>
    <row r="877" ht="14" customHeight="1" x14ac:dyDescent="0.15"/>
    <row r="878" ht="14" customHeight="1" x14ac:dyDescent="0.15"/>
    <row r="879" ht="14" customHeight="1" x14ac:dyDescent="0.15"/>
    <row r="880" ht="14" customHeight="1" x14ac:dyDescent="0.15"/>
    <row r="881" ht="14" customHeight="1" x14ac:dyDescent="0.15"/>
    <row r="882" ht="14" customHeight="1" x14ac:dyDescent="0.15"/>
    <row r="883" ht="14" customHeight="1" x14ac:dyDescent="0.15"/>
    <row r="884" ht="14" customHeight="1" x14ac:dyDescent="0.15"/>
    <row r="885" ht="14" customHeight="1" x14ac:dyDescent="0.15"/>
    <row r="886" ht="14" customHeight="1" x14ac:dyDescent="0.15"/>
    <row r="887" ht="14" customHeight="1" x14ac:dyDescent="0.15"/>
    <row r="888" ht="14" customHeight="1" x14ac:dyDescent="0.15"/>
    <row r="889" ht="14" customHeight="1" x14ac:dyDescent="0.15"/>
    <row r="890" ht="14" customHeight="1" x14ac:dyDescent="0.15"/>
    <row r="891" ht="14" customHeight="1" x14ac:dyDescent="0.15"/>
    <row r="892" ht="14" customHeight="1" x14ac:dyDescent="0.15"/>
    <row r="893" ht="14" customHeight="1" x14ac:dyDescent="0.15"/>
    <row r="894" ht="14" customHeight="1" x14ac:dyDescent="0.15"/>
    <row r="895" ht="14" customHeight="1" x14ac:dyDescent="0.15"/>
    <row r="896" ht="14" customHeight="1" x14ac:dyDescent="0.15"/>
    <row r="897" ht="14" customHeight="1" x14ac:dyDescent="0.15"/>
    <row r="898" ht="14" customHeight="1" x14ac:dyDescent="0.15"/>
    <row r="899" ht="14" customHeight="1" x14ac:dyDescent="0.15"/>
    <row r="900" ht="14" customHeight="1" x14ac:dyDescent="0.15"/>
    <row r="901" ht="14" customHeight="1" x14ac:dyDescent="0.15"/>
    <row r="902" ht="14" customHeight="1" x14ac:dyDescent="0.15"/>
    <row r="903" ht="14" customHeight="1" x14ac:dyDescent="0.15"/>
    <row r="904" ht="14" customHeight="1" x14ac:dyDescent="0.15"/>
    <row r="905" ht="14" customHeight="1" x14ac:dyDescent="0.15"/>
    <row r="906" ht="14" customHeight="1" x14ac:dyDescent="0.15"/>
    <row r="907" ht="14" customHeight="1" x14ac:dyDescent="0.15"/>
    <row r="908" ht="14" customHeight="1" x14ac:dyDescent="0.15"/>
    <row r="909" ht="14" customHeight="1" x14ac:dyDescent="0.15"/>
    <row r="910" ht="14" customHeight="1" x14ac:dyDescent="0.15"/>
    <row r="911" ht="14" customHeight="1" x14ac:dyDescent="0.15"/>
    <row r="912" ht="14" customHeight="1" x14ac:dyDescent="0.15"/>
    <row r="913" ht="14" customHeight="1" x14ac:dyDescent="0.15"/>
    <row r="914" ht="14" customHeight="1" x14ac:dyDescent="0.15"/>
    <row r="915" ht="14" customHeight="1" x14ac:dyDescent="0.15"/>
    <row r="916" ht="14" customHeight="1" x14ac:dyDescent="0.15"/>
    <row r="917" ht="14" customHeight="1" x14ac:dyDescent="0.15"/>
    <row r="918" ht="14" customHeight="1" x14ac:dyDescent="0.15"/>
    <row r="919" ht="14" customHeight="1" x14ac:dyDescent="0.15"/>
    <row r="920" ht="14" customHeight="1" x14ac:dyDescent="0.15"/>
    <row r="921" ht="14" customHeight="1" x14ac:dyDescent="0.15"/>
    <row r="922" ht="14" customHeight="1" x14ac:dyDescent="0.15"/>
    <row r="923" ht="14" customHeight="1" x14ac:dyDescent="0.15"/>
    <row r="924" ht="14" customHeight="1" x14ac:dyDescent="0.15"/>
    <row r="925" ht="14" customHeight="1" x14ac:dyDescent="0.15"/>
    <row r="926" ht="14" customHeight="1" x14ac:dyDescent="0.15"/>
    <row r="927" ht="14" customHeight="1" x14ac:dyDescent="0.15"/>
    <row r="928" ht="14" customHeight="1" x14ac:dyDescent="0.15"/>
    <row r="929" ht="14" customHeight="1" x14ac:dyDescent="0.15"/>
    <row r="930" ht="14" customHeight="1" x14ac:dyDescent="0.15"/>
    <row r="931" ht="14" customHeight="1" x14ac:dyDescent="0.15"/>
    <row r="932" ht="14" customHeight="1" x14ac:dyDescent="0.15"/>
    <row r="933" ht="14" customHeight="1" x14ac:dyDescent="0.15"/>
    <row r="934" ht="14" customHeight="1" x14ac:dyDescent="0.15"/>
    <row r="935" ht="14" customHeight="1" x14ac:dyDescent="0.15"/>
    <row r="936" ht="14" customHeight="1" x14ac:dyDescent="0.15"/>
    <row r="937" ht="14" customHeight="1" x14ac:dyDescent="0.15"/>
    <row r="938" ht="14" customHeight="1" x14ac:dyDescent="0.15"/>
    <row r="939" ht="14" customHeight="1" x14ac:dyDescent="0.15"/>
    <row r="940" ht="14" customHeight="1" x14ac:dyDescent="0.15"/>
    <row r="941" ht="14" customHeight="1" x14ac:dyDescent="0.15"/>
    <row r="942" ht="14" customHeight="1" x14ac:dyDescent="0.15"/>
    <row r="943" ht="14" customHeight="1" x14ac:dyDescent="0.15"/>
    <row r="944" ht="14" customHeight="1" x14ac:dyDescent="0.15"/>
    <row r="945" ht="14" customHeight="1" x14ac:dyDescent="0.15"/>
    <row r="946" ht="14" customHeight="1" x14ac:dyDescent="0.15"/>
    <row r="947" ht="14" customHeight="1" x14ac:dyDescent="0.15"/>
    <row r="948" ht="14" customHeight="1" x14ac:dyDescent="0.15"/>
    <row r="949" ht="14" customHeight="1" x14ac:dyDescent="0.15"/>
    <row r="950" ht="14" customHeight="1" x14ac:dyDescent="0.15"/>
    <row r="951" ht="14" customHeight="1" x14ac:dyDescent="0.15"/>
    <row r="952" ht="14" customHeight="1" x14ac:dyDescent="0.15"/>
    <row r="953" ht="14" customHeight="1" x14ac:dyDescent="0.15"/>
    <row r="954" ht="14" customHeight="1" x14ac:dyDescent="0.15"/>
    <row r="955" ht="14" customHeight="1" x14ac:dyDescent="0.15"/>
    <row r="956" ht="14" customHeight="1" x14ac:dyDescent="0.15"/>
    <row r="957" ht="14" customHeight="1" x14ac:dyDescent="0.15"/>
    <row r="958" ht="14" customHeight="1" x14ac:dyDescent="0.15"/>
    <row r="959" ht="14" customHeight="1" x14ac:dyDescent="0.15"/>
    <row r="960" ht="14" customHeight="1" x14ac:dyDescent="0.15"/>
    <row r="961" ht="14" customHeight="1" x14ac:dyDescent="0.15"/>
    <row r="962" ht="14" customHeight="1" x14ac:dyDescent="0.15"/>
    <row r="963" ht="14" customHeight="1" x14ac:dyDescent="0.15"/>
    <row r="964" ht="14" customHeight="1" x14ac:dyDescent="0.15"/>
    <row r="965" ht="14" customHeight="1" x14ac:dyDescent="0.15"/>
    <row r="966" ht="14" customHeight="1" x14ac:dyDescent="0.15"/>
    <row r="967" ht="14" customHeight="1" x14ac:dyDescent="0.15"/>
    <row r="968" ht="14" customHeight="1" x14ac:dyDescent="0.15"/>
    <row r="969" ht="14" customHeight="1" x14ac:dyDescent="0.15"/>
    <row r="970" ht="14" customHeight="1" x14ac:dyDescent="0.15"/>
    <row r="971" ht="14" customHeight="1" x14ac:dyDescent="0.15"/>
    <row r="972" ht="14" customHeight="1" x14ac:dyDescent="0.15"/>
    <row r="973" ht="14" customHeight="1" x14ac:dyDescent="0.15"/>
    <row r="974" ht="14" customHeight="1" x14ac:dyDescent="0.15"/>
    <row r="975" ht="14" customHeight="1" x14ac:dyDescent="0.15"/>
    <row r="976" ht="14" customHeight="1" x14ac:dyDescent="0.15"/>
    <row r="977" ht="14" customHeight="1" x14ac:dyDescent="0.15"/>
    <row r="978" ht="14" customHeight="1" x14ac:dyDescent="0.15"/>
    <row r="979" ht="14" customHeight="1" x14ac:dyDescent="0.15"/>
    <row r="980" ht="14" customHeight="1" x14ac:dyDescent="0.15"/>
    <row r="981" ht="14" customHeight="1" x14ac:dyDescent="0.15"/>
    <row r="982" ht="14" customHeight="1" x14ac:dyDescent="0.15"/>
    <row r="983" ht="14" customHeight="1" x14ac:dyDescent="0.15"/>
    <row r="984" ht="14" customHeight="1" x14ac:dyDescent="0.15"/>
    <row r="985" ht="14" customHeight="1" x14ac:dyDescent="0.15"/>
    <row r="986" ht="14" customHeight="1" x14ac:dyDescent="0.15"/>
    <row r="987" ht="14" customHeight="1" x14ac:dyDescent="0.15"/>
    <row r="988" ht="14" customHeight="1" x14ac:dyDescent="0.15"/>
    <row r="989" ht="14" customHeight="1" x14ac:dyDescent="0.15"/>
    <row r="990" ht="14" customHeight="1" x14ac:dyDescent="0.15"/>
    <row r="991" ht="14" customHeight="1" x14ac:dyDescent="0.15"/>
    <row r="992" ht="14" customHeight="1" x14ac:dyDescent="0.15"/>
    <row r="993" ht="14" customHeight="1" x14ac:dyDescent="0.15"/>
    <row r="994" ht="14" customHeight="1" x14ac:dyDescent="0.15"/>
    <row r="995" ht="14" customHeight="1" x14ac:dyDescent="0.15"/>
    <row r="996" ht="14" customHeight="1" x14ac:dyDescent="0.15"/>
    <row r="997" ht="14" customHeight="1" x14ac:dyDescent="0.15"/>
    <row r="998" ht="14" customHeight="1" x14ac:dyDescent="0.15"/>
    <row r="999" ht="14" customHeight="1" x14ac:dyDescent="0.15"/>
    <row r="1000" ht="14" customHeight="1" x14ac:dyDescent="0.15"/>
    <row r="1001" ht="14" customHeight="1" x14ac:dyDescent="0.15"/>
    <row r="1002" ht="14" customHeight="1" x14ac:dyDescent="0.15"/>
    <row r="1003" ht="14" customHeight="1" x14ac:dyDescent="0.15"/>
    <row r="1004" ht="14" customHeight="1" x14ac:dyDescent="0.15"/>
    <row r="1005" ht="14" customHeight="1" x14ac:dyDescent="0.15"/>
    <row r="1006" ht="14" customHeight="1" x14ac:dyDescent="0.15"/>
    <row r="1007" ht="14" customHeight="1" x14ac:dyDescent="0.15"/>
    <row r="1008" ht="14" customHeight="1" x14ac:dyDescent="0.15"/>
    <row r="1009" ht="14" customHeight="1" x14ac:dyDescent="0.15"/>
    <row r="1010" ht="14" customHeight="1" x14ac:dyDescent="0.15"/>
    <row r="1011" ht="14" customHeight="1" x14ac:dyDescent="0.15"/>
    <row r="1012" ht="14" customHeight="1" x14ac:dyDescent="0.15"/>
    <row r="1013" ht="14" customHeight="1" x14ac:dyDescent="0.15"/>
    <row r="1014" ht="14" customHeight="1" x14ac:dyDescent="0.15"/>
    <row r="1015" ht="14" customHeight="1" x14ac:dyDescent="0.15"/>
    <row r="1016" ht="14" customHeight="1" x14ac:dyDescent="0.15"/>
    <row r="1017" ht="14" customHeight="1" x14ac:dyDescent="0.15"/>
    <row r="1018" ht="14" customHeight="1" x14ac:dyDescent="0.15"/>
    <row r="1019" ht="14" customHeight="1" x14ac:dyDescent="0.15"/>
    <row r="1020" ht="14" customHeight="1" x14ac:dyDescent="0.15"/>
    <row r="1021" ht="14" customHeight="1" x14ac:dyDescent="0.15"/>
    <row r="1022" ht="14" customHeight="1" x14ac:dyDescent="0.15"/>
    <row r="1023" ht="14" customHeight="1" x14ac:dyDescent="0.15"/>
    <row r="1024" ht="14" customHeight="1" x14ac:dyDescent="0.15"/>
    <row r="1025" ht="14" customHeight="1" x14ac:dyDescent="0.15"/>
    <row r="1026" ht="14" customHeight="1" x14ac:dyDescent="0.15"/>
    <row r="1027" ht="14" customHeight="1" x14ac:dyDescent="0.15"/>
    <row r="1028" ht="14" customHeight="1" x14ac:dyDescent="0.15"/>
    <row r="1029" ht="14" customHeight="1" x14ac:dyDescent="0.15"/>
    <row r="1030" ht="14" customHeight="1" x14ac:dyDescent="0.15"/>
    <row r="1031" ht="14" customHeight="1" x14ac:dyDescent="0.15"/>
    <row r="1032" ht="14" customHeight="1" x14ac:dyDescent="0.15"/>
    <row r="1033" ht="14" customHeight="1" x14ac:dyDescent="0.15"/>
    <row r="1034" ht="14" customHeight="1" x14ac:dyDescent="0.15"/>
    <row r="1035" ht="14" customHeight="1" x14ac:dyDescent="0.15"/>
    <row r="1036" ht="14" customHeight="1" x14ac:dyDescent="0.15"/>
    <row r="1037" ht="14" customHeight="1" x14ac:dyDescent="0.15"/>
    <row r="1038" ht="14" customHeight="1" x14ac:dyDescent="0.15"/>
    <row r="1039" ht="14" customHeight="1" x14ac:dyDescent="0.15"/>
    <row r="1040" ht="14" customHeight="1" x14ac:dyDescent="0.15"/>
    <row r="1041" ht="14" customHeight="1" x14ac:dyDescent="0.15"/>
    <row r="1042" ht="14" customHeight="1" x14ac:dyDescent="0.15"/>
    <row r="1043" ht="14" customHeight="1" x14ac:dyDescent="0.15"/>
    <row r="1044" ht="14" customHeight="1" x14ac:dyDescent="0.15"/>
    <row r="1045" ht="14" customHeight="1" x14ac:dyDescent="0.15"/>
    <row r="1046" ht="14" customHeight="1" x14ac:dyDescent="0.15"/>
    <row r="1047" ht="14" customHeight="1" x14ac:dyDescent="0.15"/>
    <row r="1048" ht="14" customHeight="1" x14ac:dyDescent="0.15"/>
    <row r="1049" ht="14" customHeight="1" x14ac:dyDescent="0.15"/>
    <row r="1050" ht="14" customHeight="1" x14ac:dyDescent="0.15"/>
    <row r="1051" ht="14" customHeight="1" x14ac:dyDescent="0.15"/>
    <row r="1052" ht="14" customHeight="1" x14ac:dyDescent="0.15"/>
    <row r="1053" ht="14" customHeight="1" x14ac:dyDescent="0.15"/>
    <row r="1054" ht="14" customHeight="1" x14ac:dyDescent="0.15"/>
    <row r="1055" ht="14" customHeight="1" x14ac:dyDescent="0.15"/>
    <row r="1056" ht="14" customHeight="1" x14ac:dyDescent="0.15"/>
    <row r="1057" ht="14" customHeight="1" x14ac:dyDescent="0.15"/>
    <row r="1058" ht="14" customHeight="1" x14ac:dyDescent="0.15"/>
    <row r="1059" ht="14" customHeight="1" x14ac:dyDescent="0.15"/>
    <row r="1060" ht="14" customHeight="1" x14ac:dyDescent="0.15"/>
    <row r="1061" ht="14" customHeight="1" x14ac:dyDescent="0.15"/>
    <row r="1062" ht="14" customHeight="1" x14ac:dyDescent="0.15"/>
    <row r="1063" ht="14" customHeight="1" x14ac:dyDescent="0.15"/>
    <row r="1064" ht="14" customHeight="1" x14ac:dyDescent="0.15"/>
    <row r="1065" ht="14" customHeight="1" x14ac:dyDescent="0.15"/>
    <row r="1066" ht="14" customHeight="1" x14ac:dyDescent="0.15"/>
    <row r="1067" ht="14" customHeight="1" x14ac:dyDescent="0.15"/>
    <row r="1068" ht="14" customHeight="1" x14ac:dyDescent="0.15"/>
    <row r="1069" ht="14" customHeight="1" x14ac:dyDescent="0.15"/>
    <row r="1070" ht="14" customHeight="1" x14ac:dyDescent="0.15"/>
    <row r="1071" ht="14" customHeight="1" x14ac:dyDescent="0.15"/>
    <row r="1072" ht="14" customHeight="1" x14ac:dyDescent="0.15"/>
    <row r="1073" ht="14" customHeight="1" x14ac:dyDescent="0.15"/>
    <row r="1074" ht="14" customHeight="1" x14ac:dyDescent="0.15"/>
    <row r="1075" ht="14" customHeight="1" x14ac:dyDescent="0.15"/>
    <row r="1076" ht="14" customHeight="1" x14ac:dyDescent="0.15"/>
    <row r="1077" ht="14" customHeight="1" x14ac:dyDescent="0.15"/>
    <row r="1078" ht="14" customHeight="1" x14ac:dyDescent="0.15"/>
    <row r="1079" ht="14" customHeight="1" x14ac:dyDescent="0.15"/>
    <row r="1080" ht="14" customHeight="1" x14ac:dyDescent="0.15"/>
    <row r="1081" ht="14" customHeight="1" x14ac:dyDescent="0.15"/>
    <row r="1082" ht="14" customHeight="1" x14ac:dyDescent="0.15"/>
    <row r="1083" ht="14" customHeight="1" x14ac:dyDescent="0.15"/>
    <row r="1084" ht="14" customHeight="1" x14ac:dyDescent="0.15"/>
    <row r="1085" ht="14" customHeight="1" x14ac:dyDescent="0.15"/>
    <row r="1086" ht="14" customHeight="1" x14ac:dyDescent="0.15"/>
    <row r="1087" ht="14" customHeight="1" x14ac:dyDescent="0.15"/>
    <row r="1088" ht="14" customHeight="1" x14ac:dyDescent="0.15"/>
    <row r="1089" ht="14" customHeight="1" x14ac:dyDescent="0.15"/>
    <row r="1090" ht="14" customHeight="1" x14ac:dyDescent="0.15"/>
    <row r="1091" ht="14" customHeight="1" x14ac:dyDescent="0.15"/>
    <row r="1092" ht="14" customHeight="1" x14ac:dyDescent="0.15"/>
    <row r="1093" ht="14" customHeight="1" x14ac:dyDescent="0.15"/>
    <row r="1094" ht="14" customHeight="1" x14ac:dyDescent="0.15"/>
    <row r="1095" ht="14" customHeight="1" x14ac:dyDescent="0.15"/>
    <row r="1096" ht="14" customHeight="1" x14ac:dyDescent="0.15"/>
    <row r="1097" ht="14" customHeight="1" x14ac:dyDescent="0.15"/>
    <row r="1098" ht="14" customHeight="1" x14ac:dyDescent="0.15"/>
    <row r="1099" ht="14" customHeight="1" x14ac:dyDescent="0.15"/>
    <row r="1100" ht="14" customHeight="1" x14ac:dyDescent="0.15"/>
    <row r="1101" ht="14" customHeight="1" x14ac:dyDescent="0.15"/>
    <row r="1102" ht="14" customHeight="1" x14ac:dyDescent="0.15"/>
    <row r="1103" ht="14" customHeight="1" x14ac:dyDescent="0.15"/>
    <row r="1104" ht="14" customHeight="1" x14ac:dyDescent="0.15"/>
    <row r="1105" ht="14" customHeight="1" x14ac:dyDescent="0.15"/>
    <row r="1106" ht="14" customHeight="1" x14ac:dyDescent="0.15"/>
    <row r="1107" ht="14" customHeight="1" x14ac:dyDescent="0.15"/>
    <row r="1108" ht="14" customHeight="1" x14ac:dyDescent="0.15"/>
    <row r="1109" ht="14" customHeight="1" x14ac:dyDescent="0.15"/>
    <row r="1110" ht="14" customHeight="1" x14ac:dyDescent="0.15"/>
    <row r="1111" ht="14" customHeight="1" x14ac:dyDescent="0.15"/>
    <row r="1112" ht="14" customHeight="1" x14ac:dyDescent="0.15"/>
    <row r="1113" ht="14" customHeight="1" x14ac:dyDescent="0.15"/>
    <row r="1114" ht="14" customHeight="1" x14ac:dyDescent="0.15"/>
    <row r="1115" ht="14" customHeight="1" x14ac:dyDescent="0.15"/>
    <row r="1116" ht="14" customHeight="1" x14ac:dyDescent="0.15"/>
    <row r="1117" ht="14" customHeight="1" x14ac:dyDescent="0.15"/>
    <row r="1118" ht="14" customHeight="1" x14ac:dyDescent="0.15"/>
    <row r="1119" ht="14" customHeight="1" x14ac:dyDescent="0.15"/>
    <row r="1120" ht="14" customHeight="1" x14ac:dyDescent="0.15"/>
    <row r="1121" ht="14" customHeight="1" x14ac:dyDescent="0.15"/>
    <row r="1122" ht="14" customHeight="1" x14ac:dyDescent="0.15"/>
    <row r="1123" ht="14" customHeight="1" x14ac:dyDescent="0.15"/>
    <row r="1124" ht="14" customHeight="1" x14ac:dyDescent="0.15"/>
    <row r="1125" ht="14" customHeight="1" x14ac:dyDescent="0.15"/>
    <row r="1126" ht="14" customHeight="1" x14ac:dyDescent="0.15"/>
    <row r="1127" ht="14" customHeight="1" x14ac:dyDescent="0.15"/>
    <row r="1128" ht="14" customHeight="1" x14ac:dyDescent="0.15"/>
    <row r="1129" ht="14" customHeight="1" x14ac:dyDescent="0.15"/>
    <row r="1130" ht="14" customHeight="1" x14ac:dyDescent="0.15"/>
    <row r="1131" ht="14" customHeight="1" x14ac:dyDescent="0.15"/>
    <row r="1132" ht="14" customHeight="1" x14ac:dyDescent="0.15"/>
    <row r="1133" ht="14" customHeight="1" x14ac:dyDescent="0.15"/>
    <row r="1134" ht="14" customHeight="1" x14ac:dyDescent="0.15"/>
    <row r="1135" ht="14" customHeight="1" x14ac:dyDescent="0.15"/>
    <row r="1136" ht="14" customHeight="1" x14ac:dyDescent="0.15"/>
    <row r="1137" ht="14" customHeight="1" x14ac:dyDescent="0.15"/>
    <row r="1138" ht="14" customHeight="1" x14ac:dyDescent="0.15"/>
    <row r="1139" ht="14" customHeight="1" x14ac:dyDescent="0.15"/>
    <row r="1140" ht="14" customHeight="1" x14ac:dyDescent="0.15"/>
    <row r="1141" ht="14" customHeight="1" x14ac:dyDescent="0.15"/>
    <row r="1142" ht="14" customHeight="1" x14ac:dyDescent="0.15"/>
    <row r="1143" ht="14" customHeight="1" x14ac:dyDescent="0.15"/>
    <row r="1144" ht="14" customHeight="1" x14ac:dyDescent="0.15"/>
    <row r="1145" ht="14" customHeight="1" x14ac:dyDescent="0.15"/>
    <row r="1146" ht="14" customHeight="1" x14ac:dyDescent="0.15"/>
    <row r="1147" ht="14" customHeight="1" x14ac:dyDescent="0.15"/>
    <row r="1148" ht="14" customHeight="1" x14ac:dyDescent="0.15"/>
    <row r="1149" ht="14" customHeight="1" x14ac:dyDescent="0.15"/>
    <row r="1150" ht="14" customHeight="1" x14ac:dyDescent="0.15"/>
    <row r="1151" ht="14" customHeight="1" x14ac:dyDescent="0.15"/>
    <row r="1152" ht="14" customHeight="1" x14ac:dyDescent="0.15"/>
    <row r="1153" ht="14" customHeight="1" x14ac:dyDescent="0.15"/>
    <row r="1154" ht="14" customHeight="1" x14ac:dyDescent="0.15"/>
    <row r="1155" ht="14" customHeight="1" x14ac:dyDescent="0.15"/>
    <row r="1156" ht="14" customHeight="1" x14ac:dyDescent="0.15"/>
    <row r="1157" ht="14" customHeight="1" x14ac:dyDescent="0.15"/>
    <row r="1158" ht="14" customHeight="1" x14ac:dyDescent="0.15"/>
    <row r="1159" ht="14" customHeight="1" x14ac:dyDescent="0.15"/>
    <row r="1160" ht="14" customHeight="1" x14ac:dyDescent="0.15"/>
    <row r="1161" ht="14" customHeight="1" x14ac:dyDescent="0.15"/>
    <row r="1162" ht="14" customHeight="1" x14ac:dyDescent="0.15"/>
    <row r="1163" ht="14" customHeight="1" x14ac:dyDescent="0.15"/>
    <row r="1164" ht="14" customHeight="1" x14ac:dyDescent="0.15"/>
    <row r="1165" ht="14" customHeight="1" x14ac:dyDescent="0.15"/>
    <row r="1166" ht="14" customHeight="1" x14ac:dyDescent="0.15"/>
    <row r="1167" ht="14" customHeight="1" x14ac:dyDescent="0.15"/>
    <row r="1168" ht="14" customHeight="1" x14ac:dyDescent="0.15"/>
    <row r="1169" ht="14" customHeight="1" x14ac:dyDescent="0.15"/>
    <row r="1170" ht="14" customHeight="1" x14ac:dyDescent="0.15"/>
    <row r="1171" ht="14" customHeight="1" x14ac:dyDescent="0.15"/>
    <row r="1172" ht="14" customHeight="1" x14ac:dyDescent="0.15"/>
    <row r="1173" ht="14" customHeight="1" x14ac:dyDescent="0.15"/>
    <row r="1174" ht="14" customHeight="1" x14ac:dyDescent="0.15"/>
    <row r="1175" ht="14" customHeight="1" x14ac:dyDescent="0.15"/>
    <row r="1176" ht="14" customHeight="1" x14ac:dyDescent="0.15"/>
    <row r="1177" ht="14" customHeight="1" x14ac:dyDescent="0.15"/>
    <row r="1178" ht="14" customHeight="1" x14ac:dyDescent="0.15"/>
    <row r="1179" ht="14" customHeight="1" x14ac:dyDescent="0.15"/>
    <row r="1180" ht="14" customHeight="1" x14ac:dyDescent="0.15"/>
    <row r="1181" ht="14" customHeight="1" x14ac:dyDescent="0.15"/>
    <row r="1182" ht="14" customHeight="1" x14ac:dyDescent="0.15"/>
    <row r="1183" ht="14" customHeight="1" x14ac:dyDescent="0.15"/>
    <row r="1184" ht="14" customHeight="1" x14ac:dyDescent="0.15"/>
    <row r="1185" ht="14" customHeight="1" x14ac:dyDescent="0.15"/>
    <row r="1186" ht="14" customHeight="1" x14ac:dyDescent="0.15"/>
    <row r="1187" ht="14" customHeight="1" x14ac:dyDescent="0.15"/>
    <row r="1188" ht="14" customHeight="1" x14ac:dyDescent="0.15"/>
    <row r="1189" ht="14" customHeight="1" x14ac:dyDescent="0.15"/>
    <row r="1190" ht="14" customHeight="1" x14ac:dyDescent="0.15"/>
    <row r="1191" ht="14" customHeight="1" x14ac:dyDescent="0.15"/>
    <row r="1192" ht="14" customHeight="1" x14ac:dyDescent="0.15"/>
    <row r="1193" ht="14" customHeight="1" x14ac:dyDescent="0.15"/>
    <row r="1194" ht="14" customHeight="1" x14ac:dyDescent="0.15"/>
    <row r="1195" ht="14" customHeight="1" x14ac:dyDescent="0.15"/>
    <row r="1196" ht="14" customHeight="1" x14ac:dyDescent="0.15"/>
    <row r="1197" ht="14" customHeight="1" x14ac:dyDescent="0.15"/>
    <row r="1198" ht="14" customHeight="1" x14ac:dyDescent="0.15"/>
    <row r="1199" ht="14" customHeight="1" x14ac:dyDescent="0.15"/>
    <row r="1200" ht="14" customHeight="1" x14ac:dyDescent="0.15"/>
    <row r="1201" ht="14" customHeight="1" x14ac:dyDescent="0.15"/>
    <row r="1202" ht="14" customHeight="1" x14ac:dyDescent="0.15"/>
    <row r="1203" ht="14" customHeight="1" x14ac:dyDescent="0.15"/>
    <row r="1204" ht="14" customHeight="1" x14ac:dyDescent="0.15"/>
    <row r="1205" ht="14" customHeight="1" x14ac:dyDescent="0.15"/>
    <row r="1206" ht="14" customHeight="1" x14ac:dyDescent="0.15"/>
    <row r="1207" ht="14" customHeight="1" x14ac:dyDescent="0.15"/>
    <row r="1208" ht="14" customHeight="1" x14ac:dyDescent="0.15"/>
    <row r="1209" ht="14" customHeight="1" x14ac:dyDescent="0.15"/>
    <row r="1210" ht="14" customHeight="1" x14ac:dyDescent="0.15"/>
    <row r="1211" ht="14" customHeight="1" x14ac:dyDescent="0.15"/>
    <row r="1212" ht="14" customHeight="1" x14ac:dyDescent="0.15"/>
    <row r="1213" ht="14" customHeight="1" x14ac:dyDescent="0.15"/>
    <row r="1214" ht="14" customHeight="1" x14ac:dyDescent="0.15"/>
    <row r="1215" ht="14" customHeight="1" x14ac:dyDescent="0.15"/>
    <row r="1216" ht="14" customHeight="1" x14ac:dyDescent="0.15"/>
    <row r="1217" ht="14" customHeight="1" x14ac:dyDescent="0.15"/>
    <row r="1218" ht="14" customHeight="1" x14ac:dyDescent="0.15"/>
    <row r="1219" ht="14" customHeight="1" x14ac:dyDescent="0.15"/>
    <row r="1220" ht="14" customHeight="1" x14ac:dyDescent="0.15"/>
    <row r="1221" ht="14" customHeight="1" x14ac:dyDescent="0.15"/>
    <row r="1222" ht="14" customHeight="1" x14ac:dyDescent="0.15"/>
    <row r="1223" ht="14" customHeight="1" x14ac:dyDescent="0.15"/>
    <row r="1224" ht="14" customHeight="1" x14ac:dyDescent="0.15"/>
    <row r="1225" ht="14" customHeight="1" x14ac:dyDescent="0.15"/>
    <row r="1226" ht="14" customHeight="1" x14ac:dyDescent="0.15"/>
    <row r="1227" ht="14" customHeight="1" x14ac:dyDescent="0.15"/>
    <row r="1228" ht="14" customHeight="1" x14ac:dyDescent="0.15"/>
    <row r="1229" ht="14" customHeight="1" x14ac:dyDescent="0.15"/>
    <row r="1230" ht="14" customHeight="1" x14ac:dyDescent="0.15"/>
    <row r="1231" ht="14" customHeight="1" x14ac:dyDescent="0.15"/>
    <row r="1232" ht="14" customHeight="1" x14ac:dyDescent="0.15"/>
    <row r="1233" ht="14" customHeight="1" x14ac:dyDescent="0.15"/>
    <row r="1234" ht="14" customHeight="1" x14ac:dyDescent="0.15"/>
    <row r="1235" ht="14" customHeight="1" x14ac:dyDescent="0.15"/>
    <row r="1236" ht="14" customHeight="1" x14ac:dyDescent="0.15"/>
    <row r="1237" ht="14" customHeight="1" x14ac:dyDescent="0.15"/>
    <row r="1238" ht="14" customHeight="1" x14ac:dyDescent="0.15"/>
    <row r="1239" ht="14" customHeight="1" x14ac:dyDescent="0.15"/>
    <row r="1240" ht="14" customHeight="1" x14ac:dyDescent="0.15"/>
    <row r="1241" ht="14" customHeight="1" x14ac:dyDescent="0.15"/>
    <row r="1242" ht="14" customHeight="1" x14ac:dyDescent="0.15"/>
    <row r="1243" ht="14" customHeight="1" x14ac:dyDescent="0.15"/>
    <row r="1244" ht="14" customHeight="1" x14ac:dyDescent="0.15"/>
    <row r="1245" ht="14" customHeight="1" x14ac:dyDescent="0.15"/>
    <row r="1246" ht="14" customHeight="1" x14ac:dyDescent="0.15"/>
    <row r="1247" ht="14" customHeight="1" x14ac:dyDescent="0.15"/>
    <row r="1248" ht="14" customHeight="1" x14ac:dyDescent="0.15"/>
    <row r="1249" ht="14" customHeight="1" x14ac:dyDescent="0.15"/>
    <row r="1250" ht="14" customHeight="1" x14ac:dyDescent="0.15"/>
    <row r="1251" ht="14" customHeight="1" x14ac:dyDescent="0.15"/>
    <row r="1252" ht="14" customHeight="1" x14ac:dyDescent="0.15"/>
    <row r="1253" ht="14" customHeight="1" x14ac:dyDescent="0.15"/>
    <row r="1254" ht="14" customHeight="1" x14ac:dyDescent="0.15"/>
    <row r="1255" ht="14" customHeight="1" x14ac:dyDescent="0.15"/>
    <row r="1256" ht="14" customHeight="1" x14ac:dyDescent="0.15"/>
    <row r="1257" ht="14" customHeight="1" x14ac:dyDescent="0.15"/>
    <row r="1258" ht="14" customHeight="1" x14ac:dyDescent="0.15"/>
    <row r="1259" ht="14" customHeight="1" x14ac:dyDescent="0.15"/>
    <row r="1260" ht="14" customHeight="1" x14ac:dyDescent="0.15"/>
    <row r="1261" ht="14" customHeight="1" x14ac:dyDescent="0.15"/>
    <row r="1262" ht="14" customHeight="1" x14ac:dyDescent="0.15"/>
    <row r="1263" ht="14" customHeight="1" x14ac:dyDescent="0.15"/>
    <row r="1264" ht="14" customHeight="1" x14ac:dyDescent="0.15"/>
    <row r="1265" ht="14" customHeight="1" x14ac:dyDescent="0.15"/>
    <row r="1266" ht="14" customHeight="1" x14ac:dyDescent="0.15"/>
    <row r="1267" ht="14" customHeight="1" x14ac:dyDescent="0.15"/>
    <row r="1268" ht="14" customHeight="1" x14ac:dyDescent="0.15"/>
    <row r="1269" ht="14" customHeight="1" x14ac:dyDescent="0.15"/>
    <row r="1270" ht="14" customHeight="1" x14ac:dyDescent="0.15"/>
    <row r="1271" ht="14" customHeight="1" x14ac:dyDescent="0.15"/>
    <row r="1272" ht="14" customHeight="1" x14ac:dyDescent="0.15"/>
    <row r="1273" ht="14" customHeight="1" x14ac:dyDescent="0.15"/>
    <row r="1274" ht="14" customHeight="1" x14ac:dyDescent="0.15"/>
    <row r="1275" ht="14" customHeight="1" x14ac:dyDescent="0.15"/>
    <row r="1276" ht="14" customHeight="1" x14ac:dyDescent="0.15"/>
    <row r="1277" ht="14" customHeight="1" x14ac:dyDescent="0.15"/>
    <row r="1278" ht="14" customHeight="1" x14ac:dyDescent="0.15"/>
    <row r="1279" ht="14" customHeight="1" x14ac:dyDescent="0.15"/>
    <row r="1280" ht="14" customHeight="1" x14ac:dyDescent="0.15"/>
    <row r="1281" ht="14" customHeight="1" x14ac:dyDescent="0.15"/>
    <row r="1282" ht="14" customHeight="1" x14ac:dyDescent="0.15"/>
    <row r="1283" ht="14" customHeight="1" x14ac:dyDescent="0.15"/>
    <row r="1284" ht="14" customHeight="1" x14ac:dyDescent="0.15"/>
    <row r="1285" ht="14" customHeight="1" x14ac:dyDescent="0.15"/>
    <row r="1286" ht="14" customHeight="1" x14ac:dyDescent="0.15"/>
    <row r="1287" ht="14" customHeight="1" x14ac:dyDescent="0.15"/>
    <row r="1288" ht="14" customHeight="1" x14ac:dyDescent="0.15"/>
    <row r="1289" ht="14" customHeight="1" x14ac:dyDescent="0.15"/>
    <row r="1290" ht="14" customHeight="1" x14ac:dyDescent="0.15"/>
    <row r="1291" ht="14" customHeight="1" x14ac:dyDescent="0.15"/>
    <row r="1292" ht="14" customHeight="1" x14ac:dyDescent="0.15"/>
    <row r="1293" ht="14" customHeight="1" x14ac:dyDescent="0.15"/>
    <row r="1294" ht="14" customHeight="1" x14ac:dyDescent="0.15"/>
    <row r="1295" ht="14" customHeight="1" x14ac:dyDescent="0.15"/>
    <row r="1296" ht="14" customHeight="1" x14ac:dyDescent="0.15"/>
    <row r="1297" ht="14" customHeight="1" x14ac:dyDescent="0.15"/>
    <row r="1298" ht="14" customHeight="1" x14ac:dyDescent="0.15"/>
    <row r="1299" ht="14" customHeight="1" x14ac:dyDescent="0.15"/>
    <row r="1300" ht="14" customHeight="1" x14ac:dyDescent="0.15"/>
    <row r="1301" ht="14" customHeight="1" x14ac:dyDescent="0.15"/>
    <row r="1302" ht="14" customHeight="1" x14ac:dyDescent="0.15"/>
    <row r="1303" ht="14" customHeight="1" x14ac:dyDescent="0.15"/>
    <row r="1304" ht="14" customHeight="1" x14ac:dyDescent="0.15"/>
    <row r="1305" ht="14" customHeight="1" x14ac:dyDescent="0.15"/>
    <row r="1306" ht="14" customHeight="1" x14ac:dyDescent="0.15"/>
    <row r="1307" ht="14" customHeight="1" x14ac:dyDescent="0.15"/>
    <row r="1308" ht="14" customHeight="1" x14ac:dyDescent="0.15"/>
    <row r="1309" ht="14" customHeight="1" x14ac:dyDescent="0.15"/>
    <row r="1310" ht="14" customHeight="1" x14ac:dyDescent="0.15"/>
    <row r="1311" ht="14" customHeight="1" x14ac:dyDescent="0.15"/>
    <row r="1312" ht="14" customHeight="1" x14ac:dyDescent="0.15"/>
    <row r="1313" ht="14" customHeight="1" x14ac:dyDescent="0.15"/>
    <row r="1314" ht="14" customHeight="1" x14ac:dyDescent="0.15"/>
    <row r="1315" ht="14" customHeight="1" x14ac:dyDescent="0.15"/>
    <row r="1316" ht="14" customHeight="1" x14ac:dyDescent="0.15"/>
    <row r="1317" ht="14" customHeight="1" x14ac:dyDescent="0.15"/>
    <row r="1318" ht="14" customHeight="1" x14ac:dyDescent="0.15"/>
    <row r="1319" ht="14" customHeight="1" x14ac:dyDescent="0.15"/>
    <row r="1320" ht="14" customHeight="1" x14ac:dyDescent="0.15"/>
    <row r="1321" ht="14" customHeight="1" x14ac:dyDescent="0.15"/>
    <row r="1322" ht="14" customHeight="1" x14ac:dyDescent="0.15"/>
    <row r="1323" ht="14" customHeight="1" x14ac:dyDescent="0.15"/>
    <row r="1324" ht="14" customHeight="1" x14ac:dyDescent="0.15"/>
    <row r="1325" ht="14" customHeight="1" x14ac:dyDescent="0.15"/>
    <row r="1326" ht="14" customHeight="1" x14ac:dyDescent="0.15"/>
    <row r="1327" ht="14" customHeight="1" x14ac:dyDescent="0.15"/>
    <row r="1328" ht="14" customHeight="1" x14ac:dyDescent="0.15"/>
    <row r="1329" ht="14" customHeight="1" x14ac:dyDescent="0.15"/>
    <row r="1330" ht="14" customHeight="1" x14ac:dyDescent="0.15"/>
    <row r="1331" ht="14" customHeight="1" x14ac:dyDescent="0.15"/>
    <row r="1332" ht="14" customHeight="1" x14ac:dyDescent="0.15"/>
    <row r="1333" ht="14" customHeight="1" x14ac:dyDescent="0.15"/>
    <row r="1334" ht="14" customHeight="1" x14ac:dyDescent="0.15"/>
    <row r="1335" ht="14" customHeight="1" x14ac:dyDescent="0.15"/>
    <row r="1336" ht="14" customHeight="1" x14ac:dyDescent="0.15"/>
    <row r="1337" ht="14" customHeight="1" x14ac:dyDescent="0.15"/>
    <row r="1338" ht="14" customHeight="1" x14ac:dyDescent="0.15"/>
    <row r="1339" ht="14" customHeight="1" x14ac:dyDescent="0.15"/>
    <row r="1340" ht="14" customHeight="1" x14ac:dyDescent="0.15"/>
    <row r="1341" ht="14" customHeight="1" x14ac:dyDescent="0.15"/>
    <row r="1342" ht="14" customHeight="1" x14ac:dyDescent="0.15"/>
    <row r="1343" ht="14" customHeight="1" x14ac:dyDescent="0.15"/>
    <row r="1344" ht="14" customHeight="1" x14ac:dyDescent="0.15"/>
    <row r="1345" ht="14" customHeight="1" x14ac:dyDescent="0.15"/>
    <row r="1346" ht="14" customHeight="1" x14ac:dyDescent="0.15"/>
    <row r="1347" ht="14" customHeight="1" x14ac:dyDescent="0.15"/>
    <row r="1348" ht="14" customHeight="1" x14ac:dyDescent="0.15"/>
    <row r="1349" ht="14" customHeight="1" x14ac:dyDescent="0.15"/>
    <row r="1350" ht="14" customHeight="1" x14ac:dyDescent="0.15"/>
    <row r="1351" ht="14" customHeight="1" x14ac:dyDescent="0.15"/>
    <row r="1352" ht="14" customHeight="1" x14ac:dyDescent="0.15"/>
    <row r="1353" ht="14" customHeight="1" x14ac:dyDescent="0.15"/>
    <row r="1354" ht="14" customHeight="1" x14ac:dyDescent="0.15"/>
    <row r="1355" ht="14" customHeight="1" x14ac:dyDescent="0.15"/>
    <row r="1356" ht="14" customHeight="1" x14ac:dyDescent="0.15"/>
    <row r="1357" ht="14" customHeight="1" x14ac:dyDescent="0.15"/>
    <row r="1358" ht="14" customHeight="1" x14ac:dyDescent="0.15"/>
    <row r="1359" ht="14" customHeight="1" x14ac:dyDescent="0.15"/>
    <row r="1360" ht="14" customHeight="1" x14ac:dyDescent="0.15"/>
    <row r="1361" ht="14" customHeight="1" x14ac:dyDescent="0.15"/>
    <row r="1362" ht="14" customHeight="1" x14ac:dyDescent="0.15"/>
    <row r="1363" ht="14" customHeight="1" x14ac:dyDescent="0.15"/>
    <row r="1364" ht="14" customHeight="1" x14ac:dyDescent="0.15"/>
    <row r="1365" ht="14" customHeight="1" x14ac:dyDescent="0.15"/>
    <row r="1366" ht="14" customHeight="1" x14ac:dyDescent="0.15"/>
    <row r="1367" ht="14" customHeight="1" x14ac:dyDescent="0.15"/>
    <row r="1368" ht="14" customHeight="1" x14ac:dyDescent="0.15"/>
    <row r="1369" ht="14" customHeight="1" x14ac:dyDescent="0.15"/>
    <row r="1370" ht="14" customHeight="1" x14ac:dyDescent="0.15"/>
    <row r="1371" ht="14" customHeight="1" x14ac:dyDescent="0.15"/>
    <row r="1372" ht="14" customHeight="1" x14ac:dyDescent="0.15"/>
    <row r="1373" ht="14" customHeight="1" x14ac:dyDescent="0.15"/>
    <row r="1374" ht="14" customHeight="1" x14ac:dyDescent="0.15"/>
    <row r="1375" ht="14" customHeight="1" x14ac:dyDescent="0.15"/>
    <row r="1376" ht="14" customHeight="1" x14ac:dyDescent="0.15"/>
    <row r="1377" ht="14" customHeight="1" x14ac:dyDescent="0.15"/>
    <row r="1378" ht="14" customHeight="1" x14ac:dyDescent="0.15"/>
    <row r="1379" ht="14" customHeight="1" x14ac:dyDescent="0.15"/>
    <row r="1380" ht="14" customHeight="1" x14ac:dyDescent="0.15"/>
    <row r="1381" ht="14" customHeight="1" x14ac:dyDescent="0.15"/>
    <row r="1382" ht="14" customHeight="1" x14ac:dyDescent="0.15"/>
    <row r="1383" ht="14" customHeight="1" x14ac:dyDescent="0.15"/>
    <row r="1384" ht="14" customHeight="1" x14ac:dyDescent="0.15"/>
    <row r="1385" ht="14" customHeight="1" x14ac:dyDescent="0.15"/>
    <row r="1386" ht="14" customHeight="1" x14ac:dyDescent="0.15"/>
    <row r="1387" ht="14" customHeight="1" x14ac:dyDescent="0.15"/>
    <row r="1388" ht="14" customHeight="1" x14ac:dyDescent="0.15"/>
    <row r="1389" ht="14" customHeight="1" x14ac:dyDescent="0.15"/>
    <row r="1390" ht="14" customHeight="1" x14ac:dyDescent="0.15"/>
    <row r="1391" ht="14" customHeight="1" x14ac:dyDescent="0.15"/>
    <row r="1392" ht="14" customHeight="1" x14ac:dyDescent="0.15"/>
    <row r="1393" ht="14" customHeight="1" x14ac:dyDescent="0.15"/>
    <row r="1394" ht="14" customHeight="1" x14ac:dyDescent="0.15"/>
    <row r="1395" ht="14" customHeight="1" x14ac:dyDescent="0.15"/>
    <row r="1396" ht="14" customHeight="1" x14ac:dyDescent="0.15"/>
    <row r="1397" ht="14" customHeight="1" x14ac:dyDescent="0.15"/>
    <row r="1398" ht="14" customHeight="1" x14ac:dyDescent="0.15"/>
    <row r="1399" ht="14" customHeight="1" x14ac:dyDescent="0.15"/>
    <row r="1400" ht="14" customHeight="1" x14ac:dyDescent="0.15"/>
    <row r="1401" ht="14" customHeight="1" x14ac:dyDescent="0.15"/>
    <row r="1402" ht="14" customHeight="1" x14ac:dyDescent="0.15"/>
    <row r="1403" ht="14" customHeight="1" x14ac:dyDescent="0.15"/>
    <row r="1404" ht="14" customHeight="1" x14ac:dyDescent="0.15"/>
    <row r="1405" ht="14" customHeight="1" x14ac:dyDescent="0.15"/>
    <row r="1406" ht="14" customHeight="1" x14ac:dyDescent="0.15"/>
    <row r="1407" ht="14" customHeight="1" x14ac:dyDescent="0.15"/>
    <row r="1408" ht="14" customHeight="1" x14ac:dyDescent="0.15"/>
    <row r="1409" ht="14" customHeight="1" x14ac:dyDescent="0.15"/>
    <row r="1410" ht="14" customHeight="1" x14ac:dyDescent="0.15"/>
    <row r="1411" ht="14" customHeight="1" x14ac:dyDescent="0.15"/>
    <row r="1412" ht="14" customHeight="1" x14ac:dyDescent="0.15"/>
    <row r="1413" ht="14" customHeight="1" x14ac:dyDescent="0.15"/>
    <row r="1414" ht="14" customHeight="1" x14ac:dyDescent="0.15"/>
    <row r="1415" ht="14" customHeight="1" x14ac:dyDescent="0.15"/>
    <row r="1416" ht="14" customHeight="1" x14ac:dyDescent="0.15"/>
    <row r="1417" ht="14" customHeight="1" x14ac:dyDescent="0.15"/>
    <row r="1418" ht="14" customHeight="1" x14ac:dyDescent="0.15"/>
    <row r="1419" ht="14" customHeight="1" x14ac:dyDescent="0.15"/>
    <row r="1420" ht="14" customHeight="1" x14ac:dyDescent="0.15"/>
    <row r="1421" ht="14" customHeight="1" x14ac:dyDescent="0.15"/>
    <row r="1422" ht="14" customHeight="1" x14ac:dyDescent="0.15"/>
    <row r="1423" ht="14" customHeight="1" x14ac:dyDescent="0.15"/>
    <row r="1424" ht="14" customHeight="1" x14ac:dyDescent="0.15"/>
    <row r="1425" ht="14" customHeight="1" x14ac:dyDescent="0.15"/>
    <row r="1426" ht="14" customHeight="1" x14ac:dyDescent="0.15"/>
    <row r="1427" ht="14" customHeight="1" x14ac:dyDescent="0.15"/>
    <row r="1428" ht="14" customHeight="1" x14ac:dyDescent="0.15"/>
    <row r="1429" ht="14" customHeight="1" x14ac:dyDescent="0.15"/>
    <row r="1430" ht="14" customHeight="1" x14ac:dyDescent="0.15"/>
    <row r="1431" ht="14" customHeight="1" x14ac:dyDescent="0.15"/>
    <row r="1432" ht="14" customHeight="1" x14ac:dyDescent="0.15"/>
    <row r="1433" ht="14" customHeight="1" x14ac:dyDescent="0.15"/>
    <row r="1434" ht="14" customHeight="1" x14ac:dyDescent="0.15"/>
    <row r="1435" ht="14" customHeight="1" x14ac:dyDescent="0.15"/>
    <row r="1436" ht="14" customHeight="1" x14ac:dyDescent="0.15"/>
    <row r="1437" ht="14" customHeight="1" x14ac:dyDescent="0.15"/>
    <row r="1438" ht="14" customHeight="1" x14ac:dyDescent="0.15"/>
    <row r="1439" ht="14" customHeight="1" x14ac:dyDescent="0.15"/>
    <row r="1440" ht="14" customHeight="1" x14ac:dyDescent="0.15"/>
    <row r="1441" ht="14" customHeight="1" x14ac:dyDescent="0.15"/>
    <row r="1442" ht="14" customHeight="1" x14ac:dyDescent="0.15"/>
    <row r="1443" ht="14" customHeight="1" x14ac:dyDescent="0.15"/>
    <row r="1444" ht="14" customHeight="1" x14ac:dyDescent="0.15"/>
    <row r="1445" ht="14" customHeight="1" x14ac:dyDescent="0.15"/>
    <row r="1446" ht="14" customHeight="1" x14ac:dyDescent="0.15"/>
    <row r="1447" ht="14" customHeight="1" x14ac:dyDescent="0.15"/>
    <row r="1448" ht="14" customHeight="1" x14ac:dyDescent="0.15"/>
    <row r="1449" ht="14" customHeight="1" x14ac:dyDescent="0.15"/>
    <row r="1450" ht="14" customHeight="1" x14ac:dyDescent="0.15"/>
    <row r="1451" ht="14" customHeight="1" x14ac:dyDescent="0.15"/>
    <row r="1452" ht="14" customHeight="1" x14ac:dyDescent="0.15"/>
    <row r="1453" ht="14" customHeight="1" x14ac:dyDescent="0.15"/>
    <row r="1454" ht="14" customHeight="1" x14ac:dyDescent="0.15"/>
    <row r="1455" ht="14" customHeight="1" x14ac:dyDescent="0.15"/>
    <row r="1456" ht="14" customHeight="1" x14ac:dyDescent="0.15"/>
    <row r="1457" ht="14" customHeight="1" x14ac:dyDescent="0.15"/>
    <row r="1458" ht="14" customHeight="1" x14ac:dyDescent="0.15"/>
    <row r="1459" ht="14" customHeight="1" x14ac:dyDescent="0.15"/>
    <row r="1460" ht="14" customHeight="1" x14ac:dyDescent="0.15"/>
    <row r="1461" ht="14" customHeight="1" x14ac:dyDescent="0.15"/>
    <row r="1462" ht="14" customHeight="1" x14ac:dyDescent="0.15"/>
    <row r="1463" ht="14" customHeight="1" x14ac:dyDescent="0.15"/>
    <row r="1464" ht="14" customHeight="1" x14ac:dyDescent="0.15"/>
    <row r="1465" ht="14" customHeight="1" x14ac:dyDescent="0.15"/>
    <row r="1466" ht="14" customHeight="1" x14ac:dyDescent="0.15"/>
    <row r="1467" ht="14" customHeight="1" x14ac:dyDescent="0.15"/>
    <row r="1468" ht="14" customHeight="1" x14ac:dyDescent="0.15"/>
    <row r="1469" ht="14" customHeight="1" x14ac:dyDescent="0.15"/>
    <row r="1470" ht="14" customHeight="1" x14ac:dyDescent="0.15"/>
    <row r="1471" ht="14" customHeight="1" x14ac:dyDescent="0.15"/>
    <row r="1472" ht="14" customHeight="1" x14ac:dyDescent="0.15"/>
    <row r="1473" ht="14" customHeight="1" x14ac:dyDescent="0.15"/>
    <row r="1474" ht="14" customHeight="1" x14ac:dyDescent="0.15"/>
    <row r="1475" ht="14" customHeight="1" x14ac:dyDescent="0.15"/>
    <row r="1476" ht="14" customHeight="1" x14ac:dyDescent="0.15"/>
    <row r="1477" ht="14" customHeight="1" x14ac:dyDescent="0.15"/>
    <row r="1478" ht="14" customHeight="1" x14ac:dyDescent="0.15"/>
    <row r="1479" ht="14" customHeight="1" x14ac:dyDescent="0.15"/>
    <row r="1480" ht="14" customHeight="1" x14ac:dyDescent="0.15"/>
    <row r="1481" ht="14" customHeight="1" x14ac:dyDescent="0.15"/>
    <row r="1482" ht="14" customHeight="1" x14ac:dyDescent="0.15"/>
    <row r="1483" ht="14" customHeight="1" x14ac:dyDescent="0.15"/>
    <row r="1484" ht="14" customHeight="1" x14ac:dyDescent="0.15"/>
    <row r="1485" ht="14" customHeight="1" x14ac:dyDescent="0.15"/>
    <row r="1486" ht="14" customHeight="1" x14ac:dyDescent="0.15"/>
    <row r="1487" ht="14" customHeight="1" x14ac:dyDescent="0.15"/>
    <row r="1488" ht="14" customHeight="1" x14ac:dyDescent="0.15"/>
    <row r="1489" ht="14" customHeight="1" x14ac:dyDescent="0.15"/>
    <row r="1490" ht="14" customHeight="1" x14ac:dyDescent="0.15"/>
    <row r="1491" ht="14" customHeight="1" x14ac:dyDescent="0.15"/>
    <row r="1492" ht="14" customHeight="1" x14ac:dyDescent="0.15"/>
    <row r="1493" ht="14" customHeight="1" x14ac:dyDescent="0.15"/>
    <row r="1494" ht="14" customHeight="1" x14ac:dyDescent="0.15"/>
    <row r="1495" ht="14" customHeight="1" x14ac:dyDescent="0.15"/>
    <row r="1496" ht="14" customHeight="1" x14ac:dyDescent="0.15"/>
    <row r="1497" ht="14" customHeight="1" x14ac:dyDescent="0.15"/>
    <row r="1498" ht="14" customHeight="1" x14ac:dyDescent="0.15"/>
    <row r="1499" ht="14" customHeight="1" x14ac:dyDescent="0.15"/>
    <row r="1500" ht="14" customHeight="1" x14ac:dyDescent="0.15"/>
    <row r="1501" ht="14" customHeight="1" x14ac:dyDescent="0.15"/>
    <row r="1502" ht="14" customHeight="1" x14ac:dyDescent="0.15"/>
    <row r="1503" ht="14" customHeight="1" x14ac:dyDescent="0.15"/>
    <row r="1504" ht="14" customHeight="1" x14ac:dyDescent="0.15"/>
    <row r="1505" ht="14" customHeight="1" x14ac:dyDescent="0.15"/>
    <row r="1506" ht="14" customHeight="1" x14ac:dyDescent="0.15"/>
    <row r="1507" ht="14" customHeight="1" x14ac:dyDescent="0.15"/>
    <row r="1508" ht="14" customHeight="1" x14ac:dyDescent="0.15"/>
    <row r="1509" ht="14" customHeight="1" x14ac:dyDescent="0.15"/>
    <row r="1510" ht="14" customHeight="1" x14ac:dyDescent="0.15"/>
    <row r="1511" ht="14" customHeight="1" x14ac:dyDescent="0.15"/>
    <row r="1512" ht="14" customHeight="1" x14ac:dyDescent="0.15"/>
    <row r="1513" ht="14" customHeight="1" x14ac:dyDescent="0.15"/>
    <row r="1514" ht="14" customHeight="1" x14ac:dyDescent="0.15"/>
    <row r="1515" ht="14" customHeight="1" x14ac:dyDescent="0.15"/>
    <row r="1516" ht="14" customHeight="1" x14ac:dyDescent="0.15"/>
    <row r="1517" ht="14" customHeight="1" x14ac:dyDescent="0.15"/>
    <row r="1518" ht="14" customHeight="1" x14ac:dyDescent="0.15"/>
    <row r="1519" ht="14" customHeight="1" x14ac:dyDescent="0.15"/>
    <row r="1520" ht="14" customHeight="1" x14ac:dyDescent="0.15"/>
    <row r="1521" ht="14" customHeight="1" x14ac:dyDescent="0.15"/>
    <row r="1522" ht="14" customHeight="1" x14ac:dyDescent="0.15"/>
    <row r="1523" ht="14" customHeight="1" x14ac:dyDescent="0.15"/>
    <row r="1524" ht="14" customHeight="1" x14ac:dyDescent="0.15"/>
    <row r="1525" ht="14" customHeight="1" x14ac:dyDescent="0.15"/>
    <row r="1526" ht="14" customHeight="1" x14ac:dyDescent="0.15"/>
    <row r="1527" ht="14" customHeight="1" x14ac:dyDescent="0.15"/>
    <row r="1528" ht="14" customHeight="1" x14ac:dyDescent="0.15"/>
    <row r="1529" ht="14" customHeight="1" x14ac:dyDescent="0.15"/>
    <row r="1530" ht="14" customHeight="1" x14ac:dyDescent="0.15"/>
    <row r="1531" ht="14" customHeight="1" x14ac:dyDescent="0.15"/>
    <row r="1532" ht="14" customHeight="1" x14ac:dyDescent="0.15"/>
    <row r="1533" ht="14" customHeight="1" x14ac:dyDescent="0.15"/>
    <row r="1534" ht="14" customHeight="1" x14ac:dyDescent="0.15"/>
    <row r="1535" ht="14" customHeight="1" x14ac:dyDescent="0.15"/>
    <row r="1536" ht="14" customHeight="1" x14ac:dyDescent="0.15"/>
    <row r="1537" ht="14" customHeight="1" x14ac:dyDescent="0.15"/>
    <row r="1538" ht="14" customHeight="1" x14ac:dyDescent="0.15"/>
    <row r="1539" ht="14" customHeight="1" x14ac:dyDescent="0.15"/>
    <row r="1540" ht="14" customHeight="1" x14ac:dyDescent="0.15"/>
    <row r="1541" ht="14" customHeight="1" x14ac:dyDescent="0.15"/>
    <row r="1542" ht="14" customHeight="1" x14ac:dyDescent="0.15"/>
    <row r="1543" ht="14" customHeight="1" x14ac:dyDescent="0.15"/>
    <row r="1544" ht="14" customHeight="1" x14ac:dyDescent="0.15"/>
    <row r="1545" ht="14" customHeight="1" x14ac:dyDescent="0.15"/>
    <row r="1546" ht="14" customHeight="1" x14ac:dyDescent="0.15"/>
    <row r="1547" ht="14" customHeight="1" x14ac:dyDescent="0.15"/>
    <row r="1548" ht="14" customHeight="1" x14ac:dyDescent="0.15"/>
    <row r="1549" ht="14" customHeight="1" x14ac:dyDescent="0.15"/>
    <row r="1550" ht="14" customHeight="1" x14ac:dyDescent="0.15"/>
    <row r="1551" ht="14" customHeight="1" x14ac:dyDescent="0.15"/>
    <row r="1552" ht="14" customHeight="1" x14ac:dyDescent="0.15"/>
    <row r="1553" ht="14" customHeight="1" x14ac:dyDescent="0.15"/>
    <row r="1554" ht="14" customHeight="1" x14ac:dyDescent="0.15"/>
    <row r="1555" ht="14" customHeight="1" x14ac:dyDescent="0.15"/>
    <row r="1556" ht="14" customHeight="1" x14ac:dyDescent="0.15"/>
    <row r="1557" ht="14" customHeight="1" x14ac:dyDescent="0.15"/>
    <row r="1558" ht="14" customHeight="1" x14ac:dyDescent="0.15"/>
    <row r="1559" ht="14" customHeight="1" x14ac:dyDescent="0.15"/>
    <row r="1560" ht="14" customHeight="1" x14ac:dyDescent="0.15"/>
    <row r="1561" ht="14" customHeight="1" x14ac:dyDescent="0.15"/>
    <row r="1562" ht="14" customHeight="1" x14ac:dyDescent="0.15"/>
    <row r="1563" ht="14" customHeight="1" x14ac:dyDescent="0.15"/>
    <row r="1564" ht="14" customHeight="1" x14ac:dyDescent="0.15"/>
    <row r="1565" ht="14" customHeight="1" x14ac:dyDescent="0.15"/>
    <row r="1566" ht="14" customHeight="1" x14ac:dyDescent="0.15"/>
    <row r="1567" ht="14" customHeight="1" x14ac:dyDescent="0.15"/>
    <row r="1568" ht="14" customHeight="1" x14ac:dyDescent="0.15"/>
    <row r="1569" ht="14" customHeight="1" x14ac:dyDescent="0.15"/>
    <row r="1570" ht="14" customHeight="1" x14ac:dyDescent="0.15"/>
    <row r="1571" ht="14" customHeight="1" x14ac:dyDescent="0.15"/>
    <row r="1572" ht="14" customHeight="1" x14ac:dyDescent="0.15"/>
    <row r="1573" ht="14" customHeight="1" x14ac:dyDescent="0.15"/>
    <row r="1574" ht="14" customHeight="1" x14ac:dyDescent="0.15"/>
    <row r="1575" ht="14" customHeight="1" x14ac:dyDescent="0.15"/>
    <row r="1576" ht="14" customHeight="1" x14ac:dyDescent="0.15"/>
    <row r="1577" ht="14" customHeight="1" x14ac:dyDescent="0.15"/>
    <row r="1578" ht="14" customHeight="1" x14ac:dyDescent="0.15"/>
    <row r="1579" ht="14" customHeight="1" x14ac:dyDescent="0.15"/>
    <row r="1580" ht="14" customHeight="1" x14ac:dyDescent="0.15"/>
    <row r="1581" ht="14" customHeight="1" x14ac:dyDescent="0.15"/>
    <row r="1582" ht="14" customHeight="1" x14ac:dyDescent="0.15"/>
    <row r="1583" ht="14" customHeight="1" x14ac:dyDescent="0.15"/>
    <row r="1584" ht="14" customHeight="1" x14ac:dyDescent="0.15"/>
    <row r="1585" ht="14" customHeight="1" x14ac:dyDescent="0.15"/>
    <row r="1586" ht="14" customHeight="1" x14ac:dyDescent="0.15"/>
    <row r="1587" ht="14" customHeight="1" x14ac:dyDescent="0.15"/>
    <row r="1588" ht="14" customHeight="1" x14ac:dyDescent="0.15"/>
    <row r="1589" ht="14" customHeight="1" x14ac:dyDescent="0.15"/>
    <row r="1590" ht="14" customHeight="1" x14ac:dyDescent="0.15"/>
    <row r="1591" ht="14" customHeight="1" x14ac:dyDescent="0.15"/>
    <row r="1592" ht="14" customHeight="1" x14ac:dyDescent="0.15"/>
    <row r="1593" ht="14" customHeight="1" x14ac:dyDescent="0.15"/>
    <row r="1594" ht="14" customHeight="1" x14ac:dyDescent="0.15"/>
    <row r="1595" ht="14" customHeight="1" x14ac:dyDescent="0.15"/>
    <row r="1596" ht="14" customHeight="1" x14ac:dyDescent="0.15"/>
    <row r="1597" ht="14" customHeight="1" x14ac:dyDescent="0.15"/>
    <row r="1598" ht="14" customHeight="1" x14ac:dyDescent="0.15"/>
    <row r="1599" ht="14" customHeight="1" x14ac:dyDescent="0.15"/>
    <row r="1600" ht="14" customHeight="1" x14ac:dyDescent="0.15"/>
    <row r="1601" ht="14" customHeight="1" x14ac:dyDescent="0.15"/>
    <row r="1602" ht="14" customHeight="1" x14ac:dyDescent="0.15"/>
    <row r="1603" ht="14" customHeight="1" x14ac:dyDescent="0.15"/>
    <row r="1604" ht="14" customHeight="1" x14ac:dyDescent="0.15"/>
    <row r="1605" ht="14" customHeight="1" x14ac:dyDescent="0.15"/>
    <row r="1606" ht="14" customHeight="1" x14ac:dyDescent="0.15"/>
    <row r="1607" ht="14" customHeight="1" x14ac:dyDescent="0.15"/>
    <row r="1608" ht="14" customHeight="1" x14ac:dyDescent="0.15"/>
    <row r="1609" ht="14" customHeight="1" x14ac:dyDescent="0.15"/>
    <row r="1610" ht="14" customHeight="1" x14ac:dyDescent="0.15"/>
    <row r="1611" ht="14" customHeight="1" x14ac:dyDescent="0.15"/>
    <row r="1612" ht="14" customHeight="1" x14ac:dyDescent="0.15"/>
    <row r="1613" ht="14" customHeight="1" x14ac:dyDescent="0.15"/>
    <row r="1614" ht="14" customHeight="1" x14ac:dyDescent="0.15"/>
    <row r="1615" ht="14" customHeight="1" x14ac:dyDescent="0.15"/>
    <row r="1616" ht="14" customHeight="1" x14ac:dyDescent="0.15"/>
    <row r="1617" ht="14" customHeight="1" x14ac:dyDescent="0.15"/>
    <row r="1618" ht="14" customHeight="1" x14ac:dyDescent="0.15"/>
    <row r="1619" ht="14" customHeight="1" x14ac:dyDescent="0.15"/>
    <row r="1620" ht="14" customHeight="1" x14ac:dyDescent="0.15"/>
    <row r="1621" ht="14" customHeight="1" x14ac:dyDescent="0.15"/>
    <row r="1622" ht="14" customHeight="1" x14ac:dyDescent="0.15"/>
    <row r="1623" ht="14" customHeight="1" x14ac:dyDescent="0.15"/>
    <row r="1624" ht="14" customHeight="1" x14ac:dyDescent="0.15"/>
    <row r="1625" ht="14" customHeight="1" x14ac:dyDescent="0.15"/>
    <row r="1626" ht="14" customHeight="1" x14ac:dyDescent="0.15"/>
    <row r="1627" ht="14" customHeight="1" x14ac:dyDescent="0.15"/>
    <row r="1628" ht="14" customHeight="1" x14ac:dyDescent="0.15"/>
    <row r="1629" ht="14" customHeight="1" x14ac:dyDescent="0.15"/>
    <row r="1630" ht="14" customHeight="1" x14ac:dyDescent="0.15"/>
    <row r="1631" ht="14" customHeight="1" x14ac:dyDescent="0.15"/>
    <row r="1632" ht="14" customHeight="1" x14ac:dyDescent="0.15"/>
    <row r="1633" ht="14" customHeight="1" x14ac:dyDescent="0.15"/>
    <row r="1634" ht="14" customHeight="1" x14ac:dyDescent="0.15"/>
    <row r="1635" ht="14" customHeight="1" x14ac:dyDescent="0.15"/>
    <row r="1636" ht="14" customHeight="1" x14ac:dyDescent="0.15"/>
    <row r="1637" ht="14" customHeight="1" x14ac:dyDescent="0.15"/>
    <row r="1638" ht="14" customHeight="1" x14ac:dyDescent="0.15"/>
    <row r="1639" ht="14" customHeight="1" x14ac:dyDescent="0.15"/>
    <row r="1640" ht="14" customHeight="1" x14ac:dyDescent="0.15"/>
    <row r="1641" ht="14" customHeight="1" x14ac:dyDescent="0.15"/>
    <row r="1642" ht="14" customHeight="1" x14ac:dyDescent="0.15"/>
    <row r="1643" ht="14" customHeight="1" x14ac:dyDescent="0.15"/>
    <row r="1644" ht="14" customHeight="1" x14ac:dyDescent="0.15"/>
    <row r="1645" ht="14" customHeight="1" x14ac:dyDescent="0.15"/>
    <row r="1646" ht="14" customHeight="1" x14ac:dyDescent="0.15"/>
    <row r="1647" ht="14" customHeight="1" x14ac:dyDescent="0.15"/>
    <row r="1648" ht="14" customHeight="1" x14ac:dyDescent="0.15"/>
    <row r="1649" ht="14" customHeight="1" x14ac:dyDescent="0.15"/>
    <row r="1650" ht="14" customHeight="1" x14ac:dyDescent="0.15"/>
    <row r="1651" ht="14" customHeight="1" x14ac:dyDescent="0.15"/>
    <row r="1652" ht="14" customHeight="1" x14ac:dyDescent="0.15"/>
    <row r="1653" ht="14" customHeight="1" x14ac:dyDescent="0.15"/>
    <row r="1654" ht="14" customHeight="1" x14ac:dyDescent="0.15"/>
    <row r="1655" ht="14" customHeight="1" x14ac:dyDescent="0.15"/>
    <row r="1656" ht="14" customHeight="1" x14ac:dyDescent="0.15"/>
    <row r="1657" ht="14" customHeight="1" x14ac:dyDescent="0.15"/>
    <row r="1658" ht="14" customHeight="1" x14ac:dyDescent="0.15"/>
    <row r="1659" ht="14" customHeight="1" x14ac:dyDescent="0.15"/>
    <row r="1660" ht="14" customHeight="1" x14ac:dyDescent="0.15"/>
    <row r="1661" ht="14" customHeight="1" x14ac:dyDescent="0.15"/>
    <row r="1662" ht="14" customHeight="1" x14ac:dyDescent="0.15"/>
    <row r="1663" ht="14" customHeight="1" x14ac:dyDescent="0.15"/>
    <row r="1664" ht="14" customHeight="1" x14ac:dyDescent="0.15"/>
    <row r="1665" ht="14" customHeight="1" x14ac:dyDescent="0.15"/>
    <row r="1666" ht="14" customHeight="1" x14ac:dyDescent="0.15"/>
    <row r="1667" ht="14" customHeight="1" x14ac:dyDescent="0.15"/>
    <row r="1668" ht="14" customHeight="1" x14ac:dyDescent="0.15"/>
    <row r="1669" ht="14" customHeight="1" x14ac:dyDescent="0.15"/>
    <row r="1670" ht="14" customHeight="1" x14ac:dyDescent="0.15"/>
    <row r="1671" ht="14" customHeight="1" x14ac:dyDescent="0.15"/>
    <row r="1672" ht="14" customHeight="1" x14ac:dyDescent="0.15"/>
    <row r="1673" ht="14" customHeight="1" x14ac:dyDescent="0.15"/>
    <row r="1674" ht="14" customHeight="1" x14ac:dyDescent="0.15"/>
    <row r="1675" ht="14" customHeight="1" x14ac:dyDescent="0.15"/>
    <row r="1676" ht="14" customHeight="1" x14ac:dyDescent="0.15"/>
    <row r="1677" ht="14" customHeight="1" x14ac:dyDescent="0.15"/>
    <row r="1678" ht="14" customHeight="1" x14ac:dyDescent="0.15"/>
    <row r="1679" ht="14" customHeight="1" x14ac:dyDescent="0.15"/>
    <row r="1680" ht="14" customHeight="1" x14ac:dyDescent="0.15"/>
    <row r="1681" ht="14" customHeight="1" x14ac:dyDescent="0.15"/>
    <row r="1682" ht="14" customHeight="1" x14ac:dyDescent="0.15"/>
    <row r="1683" ht="14" customHeight="1" x14ac:dyDescent="0.15"/>
    <row r="1684" ht="14" customHeight="1" x14ac:dyDescent="0.15"/>
    <row r="1685" ht="14" customHeight="1" x14ac:dyDescent="0.15"/>
    <row r="1686" ht="14" customHeight="1" x14ac:dyDescent="0.15"/>
    <row r="1687" ht="14" customHeight="1" x14ac:dyDescent="0.15"/>
    <row r="1688" ht="14" customHeight="1" x14ac:dyDescent="0.15"/>
    <row r="1689" ht="14" customHeight="1" x14ac:dyDescent="0.15"/>
    <row r="1690" ht="14" customHeight="1" x14ac:dyDescent="0.15"/>
    <row r="1691" ht="14" customHeight="1" x14ac:dyDescent="0.15"/>
    <row r="1692" ht="14" customHeight="1" x14ac:dyDescent="0.15"/>
    <row r="1693" ht="14" customHeight="1" x14ac:dyDescent="0.15"/>
    <row r="1694" ht="14" customHeight="1" x14ac:dyDescent="0.15"/>
    <row r="1695" ht="14" customHeight="1" x14ac:dyDescent="0.15"/>
    <row r="1696" ht="14" customHeight="1" x14ac:dyDescent="0.15"/>
    <row r="1697" ht="14" customHeight="1" x14ac:dyDescent="0.15"/>
    <row r="1698" ht="14" customHeight="1" x14ac:dyDescent="0.15"/>
    <row r="1699" ht="14" customHeight="1" x14ac:dyDescent="0.15"/>
    <row r="1700" ht="14" customHeight="1" x14ac:dyDescent="0.15"/>
    <row r="1701" ht="14" customHeight="1" x14ac:dyDescent="0.15"/>
    <row r="1702" ht="14" customHeight="1" x14ac:dyDescent="0.15"/>
    <row r="1703" ht="14" customHeight="1" x14ac:dyDescent="0.15"/>
    <row r="1704" ht="14" customHeight="1" x14ac:dyDescent="0.15"/>
    <row r="1705" ht="14" customHeight="1" x14ac:dyDescent="0.15"/>
    <row r="1706" ht="14" customHeight="1" x14ac:dyDescent="0.15"/>
    <row r="1707" ht="14" customHeight="1" x14ac:dyDescent="0.15"/>
    <row r="1708" ht="14" customHeight="1" x14ac:dyDescent="0.15"/>
    <row r="1709" ht="14" customHeight="1" x14ac:dyDescent="0.15"/>
    <row r="1710" ht="14" customHeight="1" x14ac:dyDescent="0.15"/>
    <row r="1711" ht="14" customHeight="1" x14ac:dyDescent="0.15"/>
    <row r="1712" ht="14" customHeight="1" x14ac:dyDescent="0.15"/>
    <row r="1713" ht="14" customHeight="1" x14ac:dyDescent="0.15"/>
    <row r="1714" ht="14" customHeight="1" x14ac:dyDescent="0.15"/>
    <row r="1715" ht="14" customHeight="1" x14ac:dyDescent="0.15"/>
    <row r="1716" ht="14" customHeight="1" x14ac:dyDescent="0.15"/>
    <row r="1717" ht="14" customHeight="1" x14ac:dyDescent="0.15"/>
    <row r="1718" ht="14" customHeight="1" x14ac:dyDescent="0.15"/>
    <row r="1719" ht="14" customHeight="1" x14ac:dyDescent="0.15"/>
    <row r="1720" ht="14" customHeight="1" x14ac:dyDescent="0.15"/>
    <row r="1721" ht="14" customHeight="1" x14ac:dyDescent="0.15"/>
    <row r="1722" ht="14" customHeight="1" x14ac:dyDescent="0.15"/>
    <row r="1723" ht="14" customHeight="1" x14ac:dyDescent="0.15"/>
    <row r="1724" ht="14" customHeight="1" x14ac:dyDescent="0.15"/>
    <row r="1725" ht="14" customHeight="1" x14ac:dyDescent="0.15"/>
    <row r="1726" ht="14" customHeight="1" x14ac:dyDescent="0.15"/>
    <row r="1727" ht="14" customHeight="1" x14ac:dyDescent="0.15"/>
    <row r="1728" ht="14" customHeight="1" x14ac:dyDescent="0.15"/>
    <row r="1729" ht="14" customHeight="1" x14ac:dyDescent="0.15"/>
    <row r="1730" ht="14" customHeight="1" x14ac:dyDescent="0.15"/>
    <row r="1731" ht="14" customHeight="1" x14ac:dyDescent="0.15"/>
    <row r="1732" ht="14" customHeight="1" x14ac:dyDescent="0.15"/>
    <row r="1733" ht="14" customHeight="1" x14ac:dyDescent="0.15"/>
    <row r="1734" ht="14" customHeight="1" x14ac:dyDescent="0.15"/>
    <row r="1735" ht="14" customHeight="1" x14ac:dyDescent="0.15"/>
    <row r="1736" ht="14" customHeight="1" x14ac:dyDescent="0.15"/>
    <row r="1737" ht="14" customHeight="1" x14ac:dyDescent="0.15"/>
    <row r="1738" ht="14" customHeight="1" x14ac:dyDescent="0.15"/>
    <row r="1739" ht="14" customHeight="1" x14ac:dyDescent="0.15"/>
    <row r="1740" ht="14" customHeight="1" x14ac:dyDescent="0.15"/>
    <row r="1741" ht="14" customHeight="1" x14ac:dyDescent="0.15"/>
    <row r="1742" ht="14" customHeight="1" x14ac:dyDescent="0.15"/>
    <row r="1743" ht="14" customHeight="1" x14ac:dyDescent="0.15"/>
    <row r="1744" ht="14" customHeight="1" x14ac:dyDescent="0.15"/>
    <row r="1745" ht="14" customHeight="1" x14ac:dyDescent="0.15"/>
    <row r="1746" ht="14" customHeight="1" x14ac:dyDescent="0.15"/>
    <row r="1747" ht="14" customHeight="1" x14ac:dyDescent="0.15"/>
    <row r="1748" ht="14" customHeight="1" x14ac:dyDescent="0.15"/>
    <row r="1749" ht="14" customHeight="1" x14ac:dyDescent="0.15"/>
    <row r="1750" ht="14" customHeight="1" x14ac:dyDescent="0.15"/>
    <row r="1751" ht="14" customHeight="1" x14ac:dyDescent="0.15"/>
    <row r="1752" ht="14" customHeight="1" x14ac:dyDescent="0.15"/>
    <row r="1753" ht="14" customHeight="1" x14ac:dyDescent="0.15"/>
    <row r="1754" ht="14" customHeight="1" x14ac:dyDescent="0.15"/>
    <row r="1755" ht="14" customHeight="1" x14ac:dyDescent="0.15"/>
    <row r="1756" ht="14" customHeight="1" x14ac:dyDescent="0.15"/>
    <row r="1757" ht="14" customHeight="1" x14ac:dyDescent="0.15"/>
    <row r="1758" ht="14" customHeight="1" x14ac:dyDescent="0.15"/>
    <row r="1759" ht="14" customHeight="1" x14ac:dyDescent="0.15"/>
    <row r="1760" ht="14" customHeight="1" x14ac:dyDescent="0.15"/>
    <row r="1761" ht="14" customHeight="1" x14ac:dyDescent="0.15"/>
    <row r="1762" ht="14" customHeight="1" x14ac:dyDescent="0.15"/>
    <row r="1763" ht="14" customHeight="1" x14ac:dyDescent="0.15"/>
    <row r="1764" ht="14" customHeight="1" x14ac:dyDescent="0.15"/>
    <row r="1765" ht="14" customHeight="1" x14ac:dyDescent="0.15"/>
    <row r="1766" ht="14" customHeight="1" x14ac:dyDescent="0.15"/>
    <row r="1767" ht="14" customHeight="1" x14ac:dyDescent="0.15"/>
    <row r="1768" ht="14" customHeight="1" x14ac:dyDescent="0.15"/>
    <row r="1769" ht="14" customHeight="1" x14ac:dyDescent="0.15"/>
    <row r="1770" ht="14" customHeight="1" x14ac:dyDescent="0.15"/>
    <row r="1771" ht="14" customHeight="1" x14ac:dyDescent="0.15"/>
    <row r="1772" ht="14" customHeight="1" x14ac:dyDescent="0.15"/>
    <row r="1773" ht="14" customHeight="1" x14ac:dyDescent="0.15"/>
    <row r="1774" ht="14" customHeight="1" x14ac:dyDescent="0.15"/>
    <row r="1775" ht="14" customHeight="1" x14ac:dyDescent="0.15"/>
    <row r="1776" ht="14" customHeight="1" x14ac:dyDescent="0.15"/>
    <row r="1777" ht="14" customHeight="1" x14ac:dyDescent="0.15"/>
    <row r="1778" ht="14" customHeight="1" x14ac:dyDescent="0.15"/>
    <row r="1779" ht="14" customHeight="1" x14ac:dyDescent="0.15"/>
    <row r="1780" ht="14" customHeight="1" x14ac:dyDescent="0.15"/>
    <row r="1781" ht="14" customHeight="1" x14ac:dyDescent="0.15"/>
    <row r="1782" ht="14" customHeight="1" x14ac:dyDescent="0.15"/>
    <row r="1783" ht="14" customHeight="1" x14ac:dyDescent="0.15"/>
    <row r="1784" ht="14" customHeight="1" x14ac:dyDescent="0.15"/>
    <row r="1785" ht="14" customHeight="1" x14ac:dyDescent="0.15"/>
    <row r="1786" ht="14" customHeight="1" x14ac:dyDescent="0.15"/>
    <row r="1787" ht="14" customHeight="1" x14ac:dyDescent="0.15"/>
    <row r="1788" ht="14" customHeight="1" x14ac:dyDescent="0.15"/>
    <row r="1789" ht="14" customHeight="1" x14ac:dyDescent="0.15"/>
    <row r="1790" ht="14" customHeight="1" x14ac:dyDescent="0.15"/>
    <row r="1791" ht="14" customHeight="1" x14ac:dyDescent="0.15"/>
    <row r="1792" ht="14" customHeight="1" x14ac:dyDescent="0.15"/>
    <row r="1793" ht="14" customHeight="1" x14ac:dyDescent="0.15"/>
    <row r="1794" ht="14" customHeight="1" x14ac:dyDescent="0.15"/>
    <row r="1795" ht="14" customHeight="1" x14ac:dyDescent="0.15"/>
    <row r="1796" ht="14" customHeight="1" x14ac:dyDescent="0.15"/>
    <row r="1797" ht="14" customHeight="1" x14ac:dyDescent="0.15"/>
    <row r="1798" ht="14" customHeight="1" x14ac:dyDescent="0.15"/>
    <row r="1799" ht="14" customHeight="1" x14ac:dyDescent="0.15"/>
    <row r="1800" ht="14" customHeight="1" x14ac:dyDescent="0.15"/>
    <row r="1801" ht="14" customHeight="1" x14ac:dyDescent="0.15"/>
    <row r="1802" ht="14" customHeight="1" x14ac:dyDescent="0.15"/>
    <row r="1803" ht="14" customHeight="1" x14ac:dyDescent="0.15"/>
    <row r="1804" ht="14" customHeight="1" x14ac:dyDescent="0.15"/>
    <row r="1805" ht="14" customHeight="1" x14ac:dyDescent="0.15"/>
    <row r="1806" ht="14" customHeight="1" x14ac:dyDescent="0.15"/>
    <row r="1807" ht="14" customHeight="1" x14ac:dyDescent="0.15"/>
    <row r="1808" ht="14" customHeight="1" x14ac:dyDescent="0.15"/>
    <row r="1809" ht="14" customHeight="1" x14ac:dyDescent="0.15"/>
    <row r="1810" ht="14" customHeight="1" x14ac:dyDescent="0.15"/>
    <row r="1811" ht="14" customHeight="1" x14ac:dyDescent="0.15"/>
    <row r="1812" ht="14" customHeight="1" x14ac:dyDescent="0.15"/>
    <row r="1813" ht="14" customHeight="1" x14ac:dyDescent="0.15"/>
    <row r="1814" ht="14" customHeight="1" x14ac:dyDescent="0.15"/>
    <row r="1815" ht="14" customHeight="1" x14ac:dyDescent="0.15"/>
    <row r="1816" ht="14" customHeight="1" x14ac:dyDescent="0.15"/>
    <row r="1817" ht="14" customHeight="1" x14ac:dyDescent="0.15"/>
    <row r="1818" ht="14" customHeight="1" x14ac:dyDescent="0.15"/>
    <row r="1819" ht="14" customHeight="1" x14ac:dyDescent="0.15"/>
    <row r="1820" ht="14" customHeight="1" x14ac:dyDescent="0.15"/>
    <row r="1821" ht="14" customHeight="1" x14ac:dyDescent="0.15"/>
    <row r="1822" ht="14" customHeight="1" x14ac:dyDescent="0.15"/>
    <row r="1823" ht="14" customHeight="1" x14ac:dyDescent="0.15"/>
    <row r="1824" ht="14" customHeight="1" x14ac:dyDescent="0.15"/>
    <row r="1825" ht="14" customHeight="1" x14ac:dyDescent="0.15"/>
    <row r="1826" ht="14" customHeight="1" x14ac:dyDescent="0.15"/>
    <row r="1827" ht="14" customHeight="1" x14ac:dyDescent="0.15"/>
    <row r="1828" ht="14" customHeight="1" x14ac:dyDescent="0.15"/>
    <row r="1829" ht="14" customHeight="1" x14ac:dyDescent="0.15"/>
    <row r="1830" ht="14" customHeight="1" x14ac:dyDescent="0.15"/>
    <row r="1831" ht="14" customHeight="1" x14ac:dyDescent="0.15"/>
    <row r="1832" ht="14" customHeight="1" x14ac:dyDescent="0.15"/>
    <row r="1833" ht="14" customHeight="1" x14ac:dyDescent="0.15"/>
    <row r="1834" ht="14" customHeight="1" x14ac:dyDescent="0.15"/>
    <row r="1835" ht="14" customHeight="1" x14ac:dyDescent="0.15"/>
    <row r="1836" ht="14" customHeight="1" x14ac:dyDescent="0.15"/>
    <row r="1837" ht="14" customHeight="1" x14ac:dyDescent="0.15"/>
    <row r="1838" ht="14" customHeight="1" x14ac:dyDescent="0.15"/>
    <row r="1839" ht="14" customHeight="1" x14ac:dyDescent="0.15"/>
    <row r="1840" ht="14" customHeight="1" x14ac:dyDescent="0.15"/>
    <row r="1841" ht="14" customHeight="1" x14ac:dyDescent="0.15"/>
    <row r="1842" ht="14" customHeight="1" x14ac:dyDescent="0.15"/>
    <row r="1843" ht="14" customHeight="1" x14ac:dyDescent="0.15"/>
    <row r="1844" ht="14" customHeight="1" x14ac:dyDescent="0.15"/>
    <row r="1845" ht="14" customHeight="1" x14ac:dyDescent="0.15"/>
    <row r="1846" ht="14" customHeight="1" x14ac:dyDescent="0.15"/>
    <row r="1847" ht="14" customHeight="1" x14ac:dyDescent="0.15"/>
    <row r="1848" ht="14" customHeight="1" x14ac:dyDescent="0.15"/>
    <row r="1849" ht="14" customHeight="1" x14ac:dyDescent="0.15"/>
    <row r="1850" ht="14" customHeight="1" x14ac:dyDescent="0.15"/>
    <row r="1851" ht="14" customHeight="1" x14ac:dyDescent="0.15"/>
    <row r="1852" ht="14" customHeight="1" x14ac:dyDescent="0.15"/>
    <row r="1853" ht="14" customHeight="1" x14ac:dyDescent="0.15"/>
    <row r="1854" ht="14" customHeight="1" x14ac:dyDescent="0.15"/>
    <row r="1855" ht="14" customHeight="1" x14ac:dyDescent="0.15"/>
    <row r="1856" ht="14" customHeight="1" x14ac:dyDescent="0.15"/>
    <row r="1857" ht="14" customHeight="1" x14ac:dyDescent="0.15"/>
    <row r="1858" ht="14" customHeight="1" x14ac:dyDescent="0.15"/>
    <row r="1859" ht="14" customHeight="1" x14ac:dyDescent="0.15"/>
    <row r="1860" ht="14" customHeight="1" x14ac:dyDescent="0.15"/>
    <row r="1861" ht="14" customHeight="1" x14ac:dyDescent="0.15"/>
    <row r="1862" ht="14" customHeight="1" x14ac:dyDescent="0.15"/>
    <row r="1863" ht="14" customHeight="1" x14ac:dyDescent="0.15"/>
    <row r="1864" ht="14" customHeight="1" x14ac:dyDescent="0.15"/>
    <row r="1865" ht="14" customHeight="1" x14ac:dyDescent="0.15"/>
    <row r="1866" ht="14" customHeight="1" x14ac:dyDescent="0.15"/>
    <row r="1867" ht="14" customHeight="1" x14ac:dyDescent="0.15"/>
    <row r="1868" ht="14" customHeight="1" x14ac:dyDescent="0.15"/>
    <row r="1869" ht="14" customHeight="1" x14ac:dyDescent="0.15"/>
    <row r="1870" ht="14" customHeight="1" x14ac:dyDescent="0.15"/>
    <row r="1871" ht="14" customHeight="1" x14ac:dyDescent="0.15"/>
    <row r="1872" ht="14" customHeight="1" x14ac:dyDescent="0.15"/>
    <row r="1873" ht="14" customHeight="1" x14ac:dyDescent="0.15"/>
    <row r="1874" ht="14" customHeight="1" x14ac:dyDescent="0.15"/>
    <row r="1875" ht="14" customHeight="1" x14ac:dyDescent="0.15"/>
    <row r="1876" ht="14" customHeight="1" x14ac:dyDescent="0.15"/>
    <row r="1877" ht="14" customHeight="1" x14ac:dyDescent="0.15"/>
    <row r="1878" ht="14" customHeight="1" x14ac:dyDescent="0.15"/>
    <row r="1879" ht="14" customHeight="1" x14ac:dyDescent="0.15"/>
    <row r="1880" ht="14" customHeight="1" x14ac:dyDescent="0.15"/>
    <row r="1881" ht="14" customHeight="1" x14ac:dyDescent="0.15"/>
    <row r="1882" ht="14" customHeight="1" x14ac:dyDescent="0.15"/>
    <row r="1883" ht="14" customHeight="1" x14ac:dyDescent="0.15"/>
    <row r="1884" ht="14" customHeight="1" x14ac:dyDescent="0.15"/>
    <row r="1885" ht="14" customHeight="1" x14ac:dyDescent="0.15"/>
    <row r="1886" ht="14" customHeight="1" x14ac:dyDescent="0.15"/>
    <row r="1887" ht="14" customHeight="1" x14ac:dyDescent="0.15"/>
    <row r="1888" ht="14" customHeight="1" x14ac:dyDescent="0.15"/>
    <row r="1889" ht="14" customHeight="1" x14ac:dyDescent="0.15"/>
    <row r="1890" ht="14" customHeight="1" x14ac:dyDescent="0.15"/>
    <row r="1891" ht="14" customHeight="1" x14ac:dyDescent="0.15"/>
    <row r="1892" ht="14" customHeight="1" x14ac:dyDescent="0.15"/>
    <row r="1893" ht="14" customHeight="1" x14ac:dyDescent="0.15"/>
    <row r="1894" ht="14" customHeight="1" x14ac:dyDescent="0.15"/>
    <row r="1895" ht="14" customHeight="1" x14ac:dyDescent="0.15"/>
    <row r="1896" ht="14" customHeight="1" x14ac:dyDescent="0.15"/>
    <row r="1897" ht="14" customHeight="1" x14ac:dyDescent="0.15"/>
    <row r="1898" ht="14" customHeight="1" x14ac:dyDescent="0.15"/>
    <row r="1899" ht="14" customHeight="1" x14ac:dyDescent="0.15"/>
    <row r="1900" ht="14" customHeight="1" x14ac:dyDescent="0.15"/>
    <row r="1901" ht="14" customHeight="1" x14ac:dyDescent="0.15"/>
    <row r="1902" ht="14" customHeight="1" x14ac:dyDescent="0.15"/>
    <row r="1903" ht="14" customHeight="1" x14ac:dyDescent="0.15"/>
    <row r="1904" ht="14" customHeight="1" x14ac:dyDescent="0.15"/>
    <row r="1905" ht="14" customHeight="1" x14ac:dyDescent="0.15"/>
    <row r="1906" ht="14" customHeight="1" x14ac:dyDescent="0.15"/>
    <row r="1907" ht="14" customHeight="1" x14ac:dyDescent="0.15"/>
    <row r="1908" ht="14" customHeight="1" x14ac:dyDescent="0.15"/>
    <row r="1909" ht="14" customHeight="1" x14ac:dyDescent="0.15"/>
    <row r="1910" ht="14" customHeight="1" x14ac:dyDescent="0.15"/>
    <row r="1911" ht="14" customHeight="1" x14ac:dyDescent="0.15"/>
    <row r="1912" ht="14" customHeight="1" x14ac:dyDescent="0.15"/>
    <row r="1913" ht="14" customHeight="1" x14ac:dyDescent="0.15"/>
    <row r="1914" ht="14" customHeight="1" x14ac:dyDescent="0.15"/>
    <row r="1915" ht="14" customHeight="1" x14ac:dyDescent="0.15"/>
    <row r="1916" ht="14" customHeight="1" x14ac:dyDescent="0.15"/>
    <row r="1917" ht="14" customHeight="1" x14ac:dyDescent="0.15"/>
    <row r="1918" ht="14" customHeight="1" x14ac:dyDescent="0.15"/>
    <row r="1919" ht="14" customHeight="1" x14ac:dyDescent="0.15"/>
    <row r="1920" ht="14" customHeight="1" x14ac:dyDescent="0.15"/>
    <row r="1921" ht="14" customHeight="1" x14ac:dyDescent="0.15"/>
    <row r="1922" ht="14" customHeight="1" x14ac:dyDescent="0.15"/>
    <row r="1923" ht="14" customHeight="1" x14ac:dyDescent="0.15"/>
    <row r="1924" ht="14" customHeight="1" x14ac:dyDescent="0.15"/>
    <row r="1925" ht="14" customHeight="1" x14ac:dyDescent="0.15"/>
    <row r="1926" ht="14" customHeight="1" x14ac:dyDescent="0.15"/>
    <row r="1927" ht="14" customHeight="1" x14ac:dyDescent="0.15"/>
    <row r="1928" ht="14" customHeight="1" x14ac:dyDescent="0.15"/>
    <row r="1929" ht="14" customHeight="1" x14ac:dyDescent="0.15"/>
    <row r="1930" ht="14" customHeight="1" x14ac:dyDescent="0.15"/>
    <row r="1931" ht="14" customHeight="1" x14ac:dyDescent="0.15"/>
    <row r="1932" ht="14" customHeight="1" x14ac:dyDescent="0.15"/>
    <row r="1933" ht="14" customHeight="1" x14ac:dyDescent="0.15"/>
    <row r="1934" ht="14" customHeight="1" x14ac:dyDescent="0.15"/>
    <row r="1935" ht="14" customHeight="1" x14ac:dyDescent="0.15"/>
    <row r="1936" ht="14" customHeight="1" x14ac:dyDescent="0.15"/>
    <row r="1937" ht="14" customHeight="1" x14ac:dyDescent="0.15"/>
    <row r="1938" ht="14" customHeight="1" x14ac:dyDescent="0.15"/>
    <row r="1939" ht="14" customHeight="1" x14ac:dyDescent="0.15"/>
    <row r="1940" ht="14" customHeight="1" x14ac:dyDescent="0.15"/>
    <row r="1941" ht="14" customHeight="1" x14ac:dyDescent="0.15"/>
    <row r="1942" ht="14" customHeight="1" x14ac:dyDescent="0.15"/>
    <row r="1943" ht="14" customHeight="1" x14ac:dyDescent="0.15"/>
    <row r="1944" ht="14" customHeight="1" x14ac:dyDescent="0.15"/>
    <row r="1945" ht="14" customHeight="1" x14ac:dyDescent="0.15"/>
    <row r="1946" ht="14" customHeight="1" x14ac:dyDescent="0.15"/>
    <row r="1947" ht="14" customHeight="1" x14ac:dyDescent="0.15"/>
    <row r="1948" ht="14" customHeight="1" x14ac:dyDescent="0.15"/>
    <row r="1949" ht="14" customHeight="1" x14ac:dyDescent="0.15"/>
    <row r="1950" ht="14" customHeight="1" x14ac:dyDescent="0.15"/>
    <row r="1951" ht="14" customHeight="1" x14ac:dyDescent="0.15"/>
    <row r="1952" ht="14" customHeight="1" x14ac:dyDescent="0.15"/>
    <row r="1953" ht="14" customHeight="1" x14ac:dyDescent="0.15"/>
    <row r="1954" ht="14" customHeight="1" x14ac:dyDescent="0.15"/>
    <row r="1955" ht="14" customHeight="1" x14ac:dyDescent="0.15"/>
    <row r="1956" ht="14" customHeight="1" x14ac:dyDescent="0.15"/>
    <row r="1957" ht="14" customHeight="1" x14ac:dyDescent="0.15"/>
    <row r="1958" ht="14" customHeight="1" x14ac:dyDescent="0.15"/>
    <row r="1959" ht="14" customHeight="1" x14ac:dyDescent="0.15"/>
    <row r="1960" ht="14" customHeight="1" x14ac:dyDescent="0.15"/>
    <row r="1961" ht="14" customHeight="1" x14ac:dyDescent="0.15"/>
    <row r="1962" ht="14" customHeight="1" x14ac:dyDescent="0.15"/>
    <row r="1963" ht="14" customHeight="1" x14ac:dyDescent="0.15"/>
    <row r="1964" ht="14" customHeight="1" x14ac:dyDescent="0.15"/>
    <row r="1965" ht="14" customHeight="1" x14ac:dyDescent="0.15"/>
    <row r="1966" ht="14" customHeight="1" x14ac:dyDescent="0.15"/>
    <row r="1967" ht="14" customHeight="1" x14ac:dyDescent="0.15"/>
    <row r="1968" ht="14" customHeight="1" x14ac:dyDescent="0.15"/>
    <row r="1969" ht="14" customHeight="1" x14ac:dyDescent="0.15"/>
    <row r="1970" ht="14" customHeight="1" x14ac:dyDescent="0.15"/>
    <row r="1971" ht="14" customHeight="1" x14ac:dyDescent="0.15"/>
    <row r="1972" ht="14" customHeight="1" x14ac:dyDescent="0.15"/>
    <row r="1973" ht="14" customHeight="1" x14ac:dyDescent="0.15"/>
    <row r="1974" ht="14" customHeight="1" x14ac:dyDescent="0.15"/>
    <row r="1975" ht="14" customHeight="1" x14ac:dyDescent="0.15"/>
    <row r="1976" ht="14" customHeight="1" x14ac:dyDescent="0.15"/>
    <row r="1977" ht="14" customHeight="1" x14ac:dyDescent="0.15"/>
    <row r="1978" ht="14" customHeight="1" x14ac:dyDescent="0.15"/>
    <row r="1979" ht="14" customHeight="1" x14ac:dyDescent="0.15"/>
    <row r="1980" ht="14" customHeight="1" x14ac:dyDescent="0.15"/>
    <row r="1981" ht="14" customHeight="1" x14ac:dyDescent="0.15"/>
    <row r="1982" ht="14" customHeight="1" x14ac:dyDescent="0.15"/>
    <row r="1983" ht="14" customHeight="1" x14ac:dyDescent="0.15"/>
    <row r="1984" ht="14" customHeight="1" x14ac:dyDescent="0.15"/>
    <row r="1985" ht="14" customHeight="1" x14ac:dyDescent="0.15"/>
    <row r="1986" ht="14" customHeight="1" x14ac:dyDescent="0.15"/>
    <row r="1987" ht="14" customHeight="1" x14ac:dyDescent="0.15"/>
    <row r="1988" ht="14" customHeight="1" x14ac:dyDescent="0.15"/>
    <row r="1989" ht="14" customHeight="1" x14ac:dyDescent="0.15"/>
    <row r="1990" ht="14" customHeight="1" x14ac:dyDescent="0.15"/>
    <row r="1991" ht="14" customHeight="1" x14ac:dyDescent="0.15"/>
    <row r="1992" ht="14" customHeight="1" x14ac:dyDescent="0.15"/>
    <row r="1993" ht="14" customHeight="1" x14ac:dyDescent="0.15"/>
    <row r="1994" ht="14" customHeight="1" x14ac:dyDescent="0.15"/>
    <row r="1995" ht="14" customHeight="1" x14ac:dyDescent="0.15"/>
    <row r="1996" ht="14" customHeight="1" x14ac:dyDescent="0.15"/>
    <row r="1997" ht="14" customHeight="1" x14ac:dyDescent="0.15"/>
    <row r="1998" ht="14" customHeight="1" x14ac:dyDescent="0.15"/>
    <row r="1999" ht="14" customHeight="1" x14ac:dyDescent="0.15"/>
    <row r="2000" ht="14" customHeight="1" x14ac:dyDescent="0.15"/>
    <row r="2001" ht="14" customHeight="1" x14ac:dyDescent="0.15"/>
    <row r="2002" ht="14" customHeight="1" x14ac:dyDescent="0.15"/>
    <row r="2003" ht="14" customHeight="1" x14ac:dyDescent="0.15"/>
    <row r="2004" ht="14" customHeight="1" x14ac:dyDescent="0.15"/>
    <row r="2005" ht="14" customHeight="1" x14ac:dyDescent="0.15"/>
    <row r="2006" ht="14" customHeight="1" x14ac:dyDescent="0.15"/>
    <row r="2007" ht="14" customHeight="1" x14ac:dyDescent="0.15"/>
    <row r="2008" ht="14" customHeight="1" x14ac:dyDescent="0.15"/>
    <row r="2009" ht="14" customHeight="1" x14ac:dyDescent="0.15"/>
    <row r="2010" ht="14" customHeight="1" x14ac:dyDescent="0.15"/>
    <row r="2011" ht="14" customHeight="1" x14ac:dyDescent="0.15"/>
    <row r="2012" ht="14" customHeight="1" x14ac:dyDescent="0.15"/>
    <row r="2013" ht="14" customHeight="1" x14ac:dyDescent="0.15"/>
    <row r="2014" ht="14" customHeight="1" x14ac:dyDescent="0.15"/>
    <row r="2015" ht="14" customHeight="1" x14ac:dyDescent="0.15"/>
    <row r="2016" ht="14" customHeight="1" x14ac:dyDescent="0.15"/>
    <row r="2017" ht="14" customHeight="1" x14ac:dyDescent="0.15"/>
    <row r="2018" ht="14" customHeight="1" x14ac:dyDescent="0.15"/>
    <row r="2019" ht="14" customHeight="1" x14ac:dyDescent="0.15"/>
    <row r="2020" ht="14" customHeight="1" x14ac:dyDescent="0.15"/>
    <row r="2021" ht="14" customHeight="1" x14ac:dyDescent="0.15"/>
    <row r="2022" ht="14" customHeight="1" x14ac:dyDescent="0.15"/>
    <row r="2023" ht="14" customHeight="1" x14ac:dyDescent="0.15"/>
    <row r="2024" ht="14" customHeight="1" x14ac:dyDescent="0.15"/>
    <row r="2025" ht="14" customHeight="1" x14ac:dyDescent="0.15"/>
    <row r="2026" ht="14" customHeight="1" x14ac:dyDescent="0.15"/>
    <row r="2027" ht="14" customHeight="1" x14ac:dyDescent="0.15"/>
    <row r="2028" ht="14" customHeight="1" x14ac:dyDescent="0.15"/>
    <row r="2029" ht="14" customHeight="1" x14ac:dyDescent="0.15"/>
    <row r="2030" ht="14" customHeight="1" x14ac:dyDescent="0.15"/>
    <row r="2031" ht="14" customHeight="1" x14ac:dyDescent="0.15"/>
    <row r="2032" ht="14" customHeight="1" x14ac:dyDescent="0.15"/>
    <row r="2033" ht="14" customHeight="1" x14ac:dyDescent="0.15"/>
    <row r="2034" ht="14" customHeight="1" x14ac:dyDescent="0.15"/>
    <row r="2035" ht="14" customHeight="1" x14ac:dyDescent="0.15"/>
    <row r="2036" ht="14" customHeight="1" x14ac:dyDescent="0.15"/>
    <row r="2037" ht="14" customHeight="1" x14ac:dyDescent="0.15"/>
    <row r="2038" ht="14" customHeight="1" x14ac:dyDescent="0.15"/>
    <row r="2039" ht="14" customHeight="1" x14ac:dyDescent="0.15"/>
    <row r="2040" ht="14" customHeight="1" x14ac:dyDescent="0.15"/>
    <row r="2041" ht="14" customHeight="1" x14ac:dyDescent="0.15"/>
    <row r="2042" ht="14" customHeight="1" x14ac:dyDescent="0.15"/>
    <row r="2043" ht="14" customHeight="1" x14ac:dyDescent="0.15"/>
    <row r="2044" ht="14" customHeight="1" x14ac:dyDescent="0.15"/>
    <row r="2045" ht="14" customHeight="1" x14ac:dyDescent="0.15"/>
    <row r="2046" ht="14" customHeight="1" x14ac:dyDescent="0.15"/>
    <row r="2047" ht="14" customHeight="1" x14ac:dyDescent="0.15"/>
    <row r="2048" ht="14" customHeight="1" x14ac:dyDescent="0.15"/>
    <row r="2049" ht="14" customHeight="1" x14ac:dyDescent="0.15"/>
    <row r="2050" ht="14" customHeight="1" x14ac:dyDescent="0.15"/>
    <row r="2051" ht="14" customHeight="1" x14ac:dyDescent="0.15"/>
    <row r="2052" ht="14" customHeight="1" x14ac:dyDescent="0.15"/>
    <row r="2053" ht="14" customHeight="1" x14ac:dyDescent="0.15"/>
    <row r="2054" ht="14" customHeight="1" x14ac:dyDescent="0.15"/>
    <row r="2055" ht="14" customHeight="1" x14ac:dyDescent="0.15"/>
    <row r="2056" ht="14" customHeight="1" x14ac:dyDescent="0.15"/>
    <row r="2057" ht="14" customHeight="1" x14ac:dyDescent="0.15"/>
    <row r="2058" ht="14" customHeight="1" x14ac:dyDescent="0.15"/>
    <row r="2059" ht="14" customHeight="1" x14ac:dyDescent="0.15"/>
    <row r="2060" ht="14" customHeight="1" x14ac:dyDescent="0.15"/>
    <row r="2061" ht="14" customHeight="1" x14ac:dyDescent="0.15"/>
    <row r="2062" ht="14" customHeight="1" x14ac:dyDescent="0.15"/>
    <row r="2063" ht="14" customHeight="1" x14ac:dyDescent="0.15"/>
    <row r="2064" ht="14" customHeight="1" x14ac:dyDescent="0.15"/>
    <row r="2065" ht="14" customHeight="1" x14ac:dyDescent="0.15"/>
    <row r="2066" ht="14" customHeight="1" x14ac:dyDescent="0.15"/>
    <row r="2067" ht="14" customHeight="1" x14ac:dyDescent="0.15"/>
    <row r="2068" ht="14" customHeight="1" x14ac:dyDescent="0.15"/>
    <row r="2069" ht="14" customHeight="1" x14ac:dyDescent="0.15"/>
    <row r="2070" ht="14" customHeight="1" x14ac:dyDescent="0.15"/>
    <row r="2071" ht="14" customHeight="1" x14ac:dyDescent="0.15"/>
    <row r="2072" ht="14" customHeight="1" x14ac:dyDescent="0.15"/>
    <row r="2073" ht="14" customHeight="1" x14ac:dyDescent="0.15"/>
    <row r="2074" ht="14" customHeight="1" x14ac:dyDescent="0.15"/>
    <row r="2075" ht="14" customHeight="1" x14ac:dyDescent="0.15"/>
    <row r="2076" ht="14" customHeight="1" x14ac:dyDescent="0.15"/>
    <row r="2077" ht="14" customHeight="1" x14ac:dyDescent="0.15"/>
    <row r="2078" ht="14" customHeight="1" x14ac:dyDescent="0.15"/>
    <row r="2079" ht="14" customHeight="1" x14ac:dyDescent="0.15"/>
    <row r="2080" ht="14" customHeight="1" x14ac:dyDescent="0.15"/>
    <row r="2081" ht="14" customHeight="1" x14ac:dyDescent="0.15"/>
    <row r="2082" ht="14" customHeight="1" x14ac:dyDescent="0.15"/>
    <row r="2083" ht="14" customHeight="1" x14ac:dyDescent="0.15"/>
    <row r="2084" ht="14" customHeight="1" x14ac:dyDescent="0.15"/>
    <row r="2085" ht="14" customHeight="1" x14ac:dyDescent="0.15"/>
    <row r="2086" ht="14" customHeight="1" x14ac:dyDescent="0.15"/>
    <row r="2087" ht="14" customHeight="1" x14ac:dyDescent="0.15"/>
    <row r="2088" ht="14" customHeight="1" x14ac:dyDescent="0.15"/>
    <row r="2089" ht="14" customHeight="1" x14ac:dyDescent="0.15"/>
    <row r="2090" ht="14" customHeight="1" x14ac:dyDescent="0.15"/>
    <row r="2091" ht="14" customHeight="1" x14ac:dyDescent="0.15"/>
    <row r="2092" ht="14" customHeight="1" x14ac:dyDescent="0.15"/>
    <row r="2093" ht="14" customHeight="1" x14ac:dyDescent="0.15"/>
    <row r="2094" ht="14" customHeight="1" x14ac:dyDescent="0.15"/>
    <row r="2095" ht="14" customHeight="1" x14ac:dyDescent="0.15"/>
    <row r="2096" ht="14" customHeight="1" x14ac:dyDescent="0.15"/>
    <row r="2097" ht="14" customHeight="1" x14ac:dyDescent="0.15"/>
    <row r="2098" ht="14" customHeight="1" x14ac:dyDescent="0.15"/>
    <row r="2099" ht="14" customHeight="1" x14ac:dyDescent="0.15"/>
    <row r="2100" ht="14" customHeight="1" x14ac:dyDescent="0.15"/>
    <row r="2101" ht="14" customHeight="1" x14ac:dyDescent="0.15"/>
    <row r="2102" ht="14" customHeight="1" x14ac:dyDescent="0.15"/>
    <row r="2103" ht="14" customHeight="1" x14ac:dyDescent="0.15"/>
    <row r="2104" ht="14" customHeight="1" x14ac:dyDescent="0.15"/>
    <row r="2105" ht="14" customHeight="1" x14ac:dyDescent="0.15"/>
    <row r="2106" ht="14" customHeight="1" x14ac:dyDescent="0.15"/>
    <row r="2107" ht="14" customHeight="1" x14ac:dyDescent="0.15"/>
    <row r="2108" ht="14" customHeight="1" x14ac:dyDescent="0.15"/>
    <row r="2109" ht="14" customHeight="1" x14ac:dyDescent="0.15"/>
    <row r="2110" ht="14" customHeight="1" x14ac:dyDescent="0.15"/>
    <row r="2111" ht="14" customHeight="1" x14ac:dyDescent="0.15"/>
    <row r="2112" ht="14" customHeight="1" x14ac:dyDescent="0.15"/>
    <row r="2113" ht="14" customHeight="1" x14ac:dyDescent="0.15"/>
    <row r="2114" ht="14" customHeight="1" x14ac:dyDescent="0.15"/>
    <row r="2115" ht="14" customHeight="1" x14ac:dyDescent="0.15"/>
    <row r="2116" ht="14" customHeight="1" x14ac:dyDescent="0.15"/>
    <row r="2117" ht="14" customHeight="1" x14ac:dyDescent="0.15"/>
    <row r="2118" ht="14" customHeight="1" x14ac:dyDescent="0.15"/>
    <row r="2119" ht="14" customHeight="1" x14ac:dyDescent="0.15"/>
    <row r="2120" ht="14" customHeight="1" x14ac:dyDescent="0.15"/>
    <row r="2121" ht="14" customHeight="1" x14ac:dyDescent="0.15"/>
    <row r="2122" ht="14" customHeight="1" x14ac:dyDescent="0.15"/>
    <row r="2123" ht="14" customHeight="1" x14ac:dyDescent="0.15"/>
    <row r="2124" ht="14" customHeight="1" x14ac:dyDescent="0.15"/>
    <row r="2125" ht="14" customHeight="1" x14ac:dyDescent="0.15"/>
    <row r="2126" ht="14" customHeight="1" x14ac:dyDescent="0.15"/>
    <row r="2127" ht="14" customHeight="1" x14ac:dyDescent="0.15"/>
    <row r="2128" ht="14" customHeight="1" x14ac:dyDescent="0.15"/>
    <row r="2129" ht="14" customHeight="1" x14ac:dyDescent="0.15"/>
    <row r="2130" ht="14" customHeight="1" x14ac:dyDescent="0.15"/>
    <row r="2131" ht="14" customHeight="1" x14ac:dyDescent="0.15"/>
    <row r="2132" ht="14" customHeight="1" x14ac:dyDescent="0.15"/>
    <row r="2133" ht="14" customHeight="1" x14ac:dyDescent="0.15"/>
    <row r="2134" ht="14" customHeight="1" x14ac:dyDescent="0.15"/>
    <row r="2135" ht="14" customHeight="1" x14ac:dyDescent="0.15"/>
    <row r="2136" ht="14" customHeight="1" x14ac:dyDescent="0.15"/>
    <row r="2137" ht="14" customHeight="1" x14ac:dyDescent="0.15"/>
    <row r="2138" ht="14" customHeight="1" x14ac:dyDescent="0.15"/>
    <row r="2139" ht="14" customHeight="1" x14ac:dyDescent="0.15"/>
    <row r="2140" ht="14" customHeight="1" x14ac:dyDescent="0.15"/>
    <row r="2141" ht="14" customHeight="1" x14ac:dyDescent="0.15"/>
    <row r="2142" ht="14" customHeight="1" x14ac:dyDescent="0.15"/>
    <row r="2143" ht="14" customHeight="1" x14ac:dyDescent="0.15"/>
    <row r="2144" ht="14" customHeight="1" x14ac:dyDescent="0.15"/>
    <row r="2145" ht="14" customHeight="1" x14ac:dyDescent="0.15"/>
    <row r="2146" ht="14" customHeight="1" x14ac:dyDescent="0.15"/>
    <row r="2147" ht="14" customHeight="1" x14ac:dyDescent="0.15"/>
    <row r="2148" ht="14" customHeight="1" x14ac:dyDescent="0.15"/>
    <row r="2149" ht="14" customHeight="1" x14ac:dyDescent="0.15"/>
    <row r="2150" ht="14" customHeight="1" x14ac:dyDescent="0.15"/>
    <row r="2151" ht="14" customHeight="1" x14ac:dyDescent="0.15"/>
    <row r="2152" ht="14" customHeight="1" x14ac:dyDescent="0.15"/>
    <row r="2153" ht="14" customHeight="1" x14ac:dyDescent="0.15"/>
    <row r="2154" ht="14" customHeight="1" x14ac:dyDescent="0.15"/>
    <row r="2155" ht="14" customHeight="1" x14ac:dyDescent="0.15"/>
    <row r="2156" ht="14" customHeight="1" x14ac:dyDescent="0.15"/>
    <row r="2157" ht="14" customHeight="1" x14ac:dyDescent="0.15"/>
    <row r="2158" ht="14" customHeight="1" x14ac:dyDescent="0.15"/>
    <row r="2159" ht="14" customHeight="1" x14ac:dyDescent="0.15"/>
    <row r="2160" ht="14" customHeight="1" x14ac:dyDescent="0.15"/>
    <row r="2161" ht="14" customHeight="1" x14ac:dyDescent="0.15"/>
    <row r="2162" ht="14" customHeight="1" x14ac:dyDescent="0.15"/>
    <row r="2163" ht="14" customHeight="1" x14ac:dyDescent="0.15"/>
    <row r="2164" ht="14" customHeight="1" x14ac:dyDescent="0.15"/>
    <row r="2165" ht="14" customHeight="1" x14ac:dyDescent="0.15"/>
    <row r="2166" ht="14" customHeight="1" x14ac:dyDescent="0.15"/>
    <row r="2167" ht="14" customHeight="1" x14ac:dyDescent="0.15"/>
    <row r="2168" ht="14" customHeight="1" x14ac:dyDescent="0.15"/>
    <row r="2169" ht="14" customHeight="1" x14ac:dyDescent="0.15"/>
    <row r="2170" ht="14" customHeight="1" x14ac:dyDescent="0.15"/>
    <row r="2171" ht="14" customHeight="1" x14ac:dyDescent="0.15"/>
    <row r="2172" ht="14" customHeight="1" x14ac:dyDescent="0.15"/>
    <row r="2173" ht="14" customHeight="1" x14ac:dyDescent="0.15"/>
    <row r="2174" ht="14" customHeight="1" x14ac:dyDescent="0.15"/>
    <row r="2175" ht="14" customHeight="1" x14ac:dyDescent="0.15"/>
    <row r="2176" ht="14" customHeight="1" x14ac:dyDescent="0.15"/>
    <row r="2177" ht="14" customHeight="1" x14ac:dyDescent="0.15"/>
    <row r="2178" ht="14" customHeight="1" x14ac:dyDescent="0.15"/>
    <row r="2179" ht="14" customHeight="1" x14ac:dyDescent="0.15"/>
    <row r="2180" ht="14" customHeight="1" x14ac:dyDescent="0.15"/>
    <row r="2181" ht="14" customHeight="1" x14ac:dyDescent="0.15"/>
    <row r="2182" ht="14" customHeight="1" x14ac:dyDescent="0.15"/>
    <row r="2183" ht="14" customHeight="1" x14ac:dyDescent="0.15"/>
    <row r="2184" ht="14" customHeight="1" x14ac:dyDescent="0.15"/>
    <row r="2185" ht="14" customHeight="1" x14ac:dyDescent="0.15"/>
    <row r="2186" ht="14" customHeight="1" x14ac:dyDescent="0.15"/>
    <row r="2187" ht="14" customHeight="1" x14ac:dyDescent="0.15"/>
    <row r="2188" ht="14" customHeight="1" x14ac:dyDescent="0.15"/>
    <row r="2189" ht="14" customHeight="1" x14ac:dyDescent="0.15"/>
    <row r="2190" ht="14" customHeight="1" x14ac:dyDescent="0.15"/>
    <row r="2191" ht="14" customHeight="1" x14ac:dyDescent="0.15"/>
    <row r="2192" ht="14" customHeight="1" x14ac:dyDescent="0.15"/>
    <row r="2193" ht="14" customHeight="1" x14ac:dyDescent="0.15"/>
    <row r="2194" ht="14" customHeight="1" x14ac:dyDescent="0.15"/>
    <row r="2195" ht="14" customHeight="1" x14ac:dyDescent="0.15"/>
    <row r="2196" ht="14" customHeight="1" x14ac:dyDescent="0.15"/>
    <row r="2197" ht="14" customHeight="1" x14ac:dyDescent="0.15"/>
    <row r="2198" ht="14" customHeight="1" x14ac:dyDescent="0.15"/>
    <row r="2199" ht="14" customHeight="1" x14ac:dyDescent="0.15"/>
    <row r="2200" ht="14" customHeight="1" x14ac:dyDescent="0.15"/>
    <row r="2201" ht="14" customHeight="1" x14ac:dyDescent="0.15"/>
    <row r="2202" ht="14" customHeight="1" x14ac:dyDescent="0.15"/>
    <row r="2203" ht="14" customHeight="1" x14ac:dyDescent="0.15"/>
    <row r="2204" ht="14" customHeight="1" x14ac:dyDescent="0.15"/>
    <row r="2205" ht="14" customHeight="1" x14ac:dyDescent="0.15"/>
    <row r="2206" ht="14" customHeight="1" x14ac:dyDescent="0.15"/>
    <row r="2207" ht="14" customHeight="1" x14ac:dyDescent="0.15"/>
    <row r="2208" ht="14" customHeight="1" x14ac:dyDescent="0.15"/>
    <row r="2209" ht="14" customHeight="1" x14ac:dyDescent="0.15"/>
    <row r="2210" ht="14" customHeight="1" x14ac:dyDescent="0.15"/>
    <row r="2211" ht="14" customHeight="1" x14ac:dyDescent="0.15"/>
    <row r="2212" ht="14" customHeight="1" x14ac:dyDescent="0.15"/>
    <row r="2213" ht="14" customHeight="1" x14ac:dyDescent="0.15"/>
    <row r="2214" ht="14" customHeight="1" x14ac:dyDescent="0.15"/>
    <row r="2215" ht="14" customHeight="1" x14ac:dyDescent="0.15"/>
    <row r="2216" ht="14" customHeight="1" x14ac:dyDescent="0.15"/>
    <row r="2217" ht="14" customHeight="1" x14ac:dyDescent="0.15"/>
    <row r="2218" ht="14" customHeight="1" x14ac:dyDescent="0.15"/>
    <row r="2219" ht="14" customHeight="1" x14ac:dyDescent="0.15"/>
    <row r="2220" ht="14" customHeight="1" x14ac:dyDescent="0.15"/>
    <row r="2221" ht="14" customHeight="1" x14ac:dyDescent="0.15"/>
    <row r="2222" ht="14" customHeight="1" x14ac:dyDescent="0.15"/>
    <row r="2223" ht="14" customHeight="1" x14ac:dyDescent="0.15"/>
    <row r="2224" ht="14" customHeight="1" x14ac:dyDescent="0.15"/>
    <row r="2225" ht="14" customHeight="1" x14ac:dyDescent="0.15"/>
    <row r="2226" ht="14" customHeight="1" x14ac:dyDescent="0.15"/>
    <row r="2227" ht="14" customHeight="1" x14ac:dyDescent="0.15"/>
    <row r="2228" ht="14" customHeight="1" x14ac:dyDescent="0.15"/>
    <row r="2229" ht="14" customHeight="1" x14ac:dyDescent="0.15"/>
    <row r="2230" ht="14" customHeight="1" x14ac:dyDescent="0.15"/>
    <row r="2231" ht="14" customHeight="1" x14ac:dyDescent="0.15"/>
    <row r="2232" ht="14" customHeight="1" x14ac:dyDescent="0.15"/>
    <row r="2233" ht="14" customHeight="1" x14ac:dyDescent="0.15"/>
    <row r="2234" ht="14" customHeight="1" x14ac:dyDescent="0.15"/>
    <row r="2235" ht="14" customHeight="1" x14ac:dyDescent="0.15"/>
    <row r="2236" ht="14" customHeight="1" x14ac:dyDescent="0.15"/>
    <row r="2237" ht="14" customHeight="1" x14ac:dyDescent="0.15"/>
    <row r="2238" ht="14" customHeight="1" x14ac:dyDescent="0.15"/>
    <row r="2239" ht="14" customHeight="1" x14ac:dyDescent="0.15"/>
    <row r="2240" ht="14" customHeight="1" x14ac:dyDescent="0.15"/>
    <row r="2241" ht="14" customHeight="1" x14ac:dyDescent="0.15"/>
    <row r="2242" ht="14" customHeight="1" x14ac:dyDescent="0.15"/>
    <row r="2243" ht="14" customHeight="1" x14ac:dyDescent="0.15"/>
    <row r="2244" ht="14" customHeight="1" x14ac:dyDescent="0.15"/>
    <row r="2245" ht="14" customHeight="1" x14ac:dyDescent="0.15"/>
    <row r="2246" ht="14" customHeight="1" x14ac:dyDescent="0.15"/>
    <row r="2247" ht="14" customHeight="1" x14ac:dyDescent="0.15"/>
    <row r="2248" ht="14" customHeight="1" x14ac:dyDescent="0.15"/>
    <row r="2249" ht="14" customHeight="1" x14ac:dyDescent="0.15"/>
    <row r="2250" ht="14" customHeight="1" x14ac:dyDescent="0.15"/>
    <row r="2251" ht="14" customHeight="1" x14ac:dyDescent="0.15"/>
    <row r="2252" ht="14" customHeight="1" x14ac:dyDescent="0.15"/>
    <row r="2253" ht="14" customHeight="1" x14ac:dyDescent="0.15"/>
    <row r="2254" ht="14" customHeight="1" x14ac:dyDescent="0.15"/>
    <row r="2255" ht="14" customHeight="1" x14ac:dyDescent="0.15"/>
    <row r="2256" ht="14" customHeight="1" x14ac:dyDescent="0.15"/>
    <row r="2257" ht="14" customHeight="1" x14ac:dyDescent="0.15"/>
    <row r="2258" ht="14" customHeight="1" x14ac:dyDescent="0.15"/>
    <row r="2259" ht="14" customHeight="1" x14ac:dyDescent="0.15"/>
    <row r="2260" ht="14" customHeight="1" x14ac:dyDescent="0.15"/>
    <row r="2261" ht="14" customHeight="1" x14ac:dyDescent="0.15"/>
    <row r="2262" ht="14" customHeight="1" x14ac:dyDescent="0.15"/>
    <row r="2263" ht="14" customHeight="1" x14ac:dyDescent="0.15"/>
    <row r="2264" ht="14" customHeight="1" x14ac:dyDescent="0.15"/>
    <row r="2265" ht="14" customHeight="1" x14ac:dyDescent="0.15"/>
    <row r="2266" ht="14" customHeight="1" x14ac:dyDescent="0.15"/>
    <row r="2267" ht="14" customHeight="1" x14ac:dyDescent="0.15"/>
    <row r="2268" ht="14" customHeight="1" x14ac:dyDescent="0.15"/>
    <row r="2269" ht="14" customHeight="1" x14ac:dyDescent="0.15"/>
    <row r="2270" ht="14" customHeight="1" x14ac:dyDescent="0.15"/>
    <row r="2271" ht="14" customHeight="1" x14ac:dyDescent="0.15"/>
    <row r="2272" ht="14" customHeight="1" x14ac:dyDescent="0.15"/>
    <row r="2273" ht="14" customHeight="1" x14ac:dyDescent="0.15"/>
    <row r="2274" ht="14" customHeight="1" x14ac:dyDescent="0.15"/>
    <row r="2275" ht="14" customHeight="1" x14ac:dyDescent="0.15"/>
    <row r="2276" ht="14" customHeight="1" x14ac:dyDescent="0.15"/>
    <row r="2277" ht="14" customHeight="1" x14ac:dyDescent="0.15"/>
    <row r="2278" ht="14" customHeight="1" x14ac:dyDescent="0.15"/>
    <row r="2279" ht="14" customHeight="1" x14ac:dyDescent="0.15"/>
    <row r="2280" ht="14" customHeight="1" x14ac:dyDescent="0.15"/>
    <row r="2281" ht="14" customHeight="1" x14ac:dyDescent="0.15"/>
  </sheetData>
  <mergeCells count="5">
    <mergeCell ref="J8:T8"/>
    <mergeCell ref="C8:I8"/>
    <mergeCell ref="A1:I1"/>
    <mergeCell ref="A3:I3"/>
    <mergeCell ref="A5:I5"/>
  </mergeCells>
  <pageMargins left="0.75" right="0.75" top="0.5" bottom="1" header="0.5" footer="0.5"/>
  <pageSetup scale="96" firstPageNumber="113" pageOrder="overThenDown" orientation="portrait" useFirstPageNumber="1" r:id="rId1"/>
  <headerFooter differentOddEven="1" alignWithMargins="0">
    <oddFooter>&amp;C&amp;"Verdana,Bold"&amp;9&amp;P</oddFooter>
    <evenHeader xml:space="preserve">&amp;R&amp;"Verdana,Bold"&amp;9TABLE 19&amp;"Times New Roman,Regular"&amp;11
</evenHeader>
    <evenFooter>&amp;C&amp;"Verdana,Bold"&amp;9&amp;P</evenFooter>
  </headerFooter>
  <colBreaks count="1" manualBreakCount="1">
    <brk id="10" max="53" man="1"/>
  </colBreaks>
  <customProperties>
    <customPr name="OrphanNamesChecke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39997558519241921"/>
  </sheetPr>
  <dimension ref="A1:X81"/>
  <sheetViews>
    <sheetView view="pageBreakPreview" zoomScaleNormal="100" zoomScaleSheetLayoutView="100" workbookViewId="0">
      <pane ySplit="10" topLeftCell="A18" activePane="bottomLeft" state="frozen"/>
      <selection activeCell="A61" sqref="A61"/>
      <selection pane="bottomLeft" activeCell="Y80" sqref="Y80"/>
    </sheetView>
  </sheetViews>
  <sheetFormatPr baseColWidth="10" defaultColWidth="15.6640625" defaultRowHeight="12" x14ac:dyDescent="0.15"/>
  <cols>
    <col min="1" max="1" width="29.6640625" style="2" customWidth="1"/>
    <col min="2" max="2" width="1" style="2" customWidth="1"/>
    <col min="3" max="3" width="5.5" style="2" customWidth="1"/>
    <col min="4" max="4" width="13.6640625" style="2" hidden="1" customWidth="1"/>
    <col min="5" max="5" width="1.6640625" style="2" hidden="1" customWidth="1"/>
    <col min="6" max="6" width="13.6640625" style="2" customWidth="1"/>
    <col min="7" max="7" width="1.6640625" style="2" customWidth="1"/>
    <col min="8" max="8" width="13.6640625" style="2" customWidth="1"/>
    <col min="9" max="9" width="2.6640625" style="2" hidden="1" customWidth="1"/>
    <col min="10" max="10" width="1.33203125" style="2" customWidth="1"/>
    <col min="11" max="12" width="13.6640625" style="2" customWidth="1"/>
    <col min="13" max="13" width="1.6640625" style="2" customWidth="1"/>
    <col min="14" max="14" width="13.6640625" style="2" customWidth="1"/>
    <col min="15" max="15" width="1.6640625" style="2" customWidth="1"/>
    <col min="16" max="16" width="13.6640625" style="2" customWidth="1"/>
    <col min="17" max="17" width="1.6640625" style="2" customWidth="1"/>
    <col min="18" max="18" width="13.6640625" style="2" customWidth="1"/>
    <col min="19" max="19" width="1.6640625" style="2" customWidth="1"/>
    <col min="20" max="20" width="13.6640625" style="2" customWidth="1"/>
    <col min="21" max="21" width="1.6640625" style="2" customWidth="1"/>
    <col min="22" max="22" width="13.6640625" style="2" customWidth="1"/>
    <col min="23" max="23" width="1.6640625" style="2" customWidth="1"/>
    <col min="24" max="24" width="13.6640625" style="2" customWidth="1"/>
    <col min="25" max="16384" width="15.6640625" style="2"/>
  </cols>
  <sheetData>
    <row r="1" spans="1:24" x14ac:dyDescent="0.15">
      <c r="A1" s="176" t="s">
        <v>0</v>
      </c>
      <c r="B1" s="176"/>
      <c r="C1" s="176"/>
      <c r="D1" s="176"/>
      <c r="E1" s="176"/>
      <c r="F1" s="176"/>
      <c r="G1" s="176"/>
      <c r="H1" s="176"/>
      <c r="I1" s="176"/>
      <c r="J1" s="176"/>
      <c r="K1" s="176"/>
    </row>
    <row r="3" spans="1:24" x14ac:dyDescent="0.15">
      <c r="A3" s="177" t="s">
        <v>365</v>
      </c>
      <c r="B3" s="177"/>
      <c r="C3" s="177"/>
      <c r="D3" s="177"/>
      <c r="E3" s="177"/>
      <c r="F3" s="177"/>
      <c r="G3" s="177"/>
      <c r="H3" s="177"/>
      <c r="I3" s="177"/>
      <c r="J3" s="177"/>
      <c r="K3" s="177"/>
    </row>
    <row r="5" spans="1:24" x14ac:dyDescent="0.15">
      <c r="A5" s="177" t="s">
        <v>2</v>
      </c>
      <c r="B5" s="177"/>
      <c r="C5" s="177"/>
      <c r="D5" s="177"/>
      <c r="E5" s="177"/>
      <c r="F5" s="177"/>
      <c r="G5" s="177"/>
      <c r="H5" s="177"/>
      <c r="I5" s="177"/>
      <c r="J5" s="177"/>
      <c r="K5" s="177"/>
    </row>
    <row r="9" spans="1:24" ht="15" customHeight="1" x14ac:dyDescent="0.15">
      <c r="A9" s="27"/>
      <c r="B9" s="27"/>
      <c r="C9" s="117"/>
      <c r="D9" s="186" t="s">
        <v>152</v>
      </c>
      <c r="E9" s="186"/>
      <c r="F9" s="186"/>
      <c r="G9" s="186"/>
      <c r="H9" s="186"/>
      <c r="I9" s="186"/>
      <c r="J9" s="186"/>
      <c r="K9" s="186"/>
      <c r="L9" s="186" t="s">
        <v>152</v>
      </c>
      <c r="M9" s="186"/>
      <c r="N9" s="186"/>
      <c r="O9" s="186"/>
      <c r="P9" s="186"/>
      <c r="Q9" s="186"/>
      <c r="R9" s="186"/>
      <c r="S9" s="186"/>
      <c r="T9" s="186"/>
      <c r="U9" s="186"/>
      <c r="V9" s="186"/>
      <c r="W9" s="174"/>
      <c r="X9" s="174"/>
    </row>
    <row r="10" spans="1:24" ht="12" customHeight="1" x14ac:dyDescent="0.15">
      <c r="A10" s="116" t="s">
        <v>321</v>
      </c>
      <c r="B10" s="118"/>
      <c r="C10" s="27"/>
      <c r="D10" s="174">
        <v>2014</v>
      </c>
      <c r="E10" s="27"/>
      <c r="F10" s="174">
        <v>2015</v>
      </c>
      <c r="G10" s="27"/>
      <c r="H10" s="174">
        <v>2016</v>
      </c>
      <c r="I10" s="27"/>
      <c r="J10" s="27"/>
      <c r="K10" s="174">
        <v>2017</v>
      </c>
      <c r="L10" s="174">
        <v>2018</v>
      </c>
      <c r="N10" s="172">
        <v>2019</v>
      </c>
      <c r="P10" s="172">
        <v>2020</v>
      </c>
      <c r="R10" s="172">
        <v>2021</v>
      </c>
      <c r="T10" s="172">
        <v>2022</v>
      </c>
      <c r="V10" s="172">
        <v>2023</v>
      </c>
      <c r="X10" s="172">
        <v>2024</v>
      </c>
    </row>
    <row r="11" spans="1:24" ht="12" customHeight="1" x14ac:dyDescent="0.15">
      <c r="A11" s="150" t="s">
        <v>322</v>
      </c>
      <c r="B11" s="149"/>
      <c r="C11" s="27"/>
      <c r="E11" s="27"/>
      <c r="G11" s="27"/>
      <c r="I11" s="27"/>
      <c r="J11" s="27"/>
      <c r="M11" s="27"/>
    </row>
    <row r="12" spans="1:24" ht="12" customHeight="1" x14ac:dyDescent="0.15">
      <c r="A12" s="160" t="s">
        <v>366</v>
      </c>
      <c r="B12" s="149"/>
      <c r="C12" s="27"/>
      <c r="D12" s="39">
        <v>2869</v>
      </c>
      <c r="E12" s="27"/>
      <c r="F12" s="39">
        <v>3087</v>
      </c>
      <c r="G12" s="158"/>
      <c r="H12" s="39">
        <v>5919</v>
      </c>
      <c r="I12" s="27"/>
      <c r="J12" s="27"/>
      <c r="K12" s="39">
        <v>4800</v>
      </c>
      <c r="L12" s="39">
        <v>5251</v>
      </c>
      <c r="N12" s="39">
        <v>4748</v>
      </c>
      <c r="P12" s="39">
        <v>2993</v>
      </c>
      <c r="R12" s="39">
        <v>4474</v>
      </c>
      <c r="T12" s="39">
        <v>4000</v>
      </c>
      <c r="V12" s="39">
        <v>3500</v>
      </c>
      <c r="X12" s="39">
        <v>4000</v>
      </c>
    </row>
    <row r="13" spans="1:24" ht="12" customHeight="1" x14ac:dyDescent="0.15">
      <c r="A13" s="149" t="s">
        <v>367</v>
      </c>
      <c r="B13" s="149"/>
      <c r="C13" s="27"/>
      <c r="D13" s="39">
        <v>82</v>
      </c>
      <c r="E13" s="27"/>
      <c r="F13" s="39">
        <v>135</v>
      </c>
      <c r="G13" s="158"/>
      <c r="H13" s="39">
        <v>145</v>
      </c>
      <c r="I13" s="27"/>
      <c r="J13" s="27"/>
      <c r="K13" s="39">
        <v>201</v>
      </c>
      <c r="L13" s="39">
        <v>181</v>
      </c>
      <c r="N13" s="39">
        <v>55</v>
      </c>
      <c r="P13" s="39">
        <v>189</v>
      </c>
      <c r="R13" s="39">
        <v>159</v>
      </c>
      <c r="T13" s="39">
        <v>173</v>
      </c>
      <c r="V13" s="39">
        <v>172</v>
      </c>
      <c r="X13" s="39">
        <v>189</v>
      </c>
    </row>
    <row r="14" spans="1:24" ht="12" customHeight="1" x14ac:dyDescent="0.15">
      <c r="A14" s="149" t="s">
        <v>368</v>
      </c>
      <c r="B14" s="149"/>
      <c r="C14" s="27"/>
      <c r="D14" s="2">
        <v>218</v>
      </c>
      <c r="E14" s="27"/>
      <c r="F14" s="2">
        <v>136</v>
      </c>
      <c r="G14" s="158"/>
      <c r="H14" s="2">
        <v>153</v>
      </c>
      <c r="I14" s="27"/>
      <c r="J14" s="27"/>
      <c r="K14" s="2">
        <v>133</v>
      </c>
      <c r="L14" s="2">
        <v>211</v>
      </c>
      <c r="N14" s="2">
        <v>96</v>
      </c>
      <c r="P14" s="2">
        <v>209</v>
      </c>
      <c r="R14" s="2">
        <v>192</v>
      </c>
      <c r="T14" s="2">
        <v>142</v>
      </c>
      <c r="V14" s="2">
        <v>146</v>
      </c>
      <c r="X14" s="2">
        <v>237</v>
      </c>
    </row>
    <row r="15" spans="1:24" ht="12" customHeight="1" x14ac:dyDescent="0.15">
      <c r="A15" s="149" t="s">
        <v>369</v>
      </c>
      <c r="B15" s="149"/>
      <c r="C15" s="27"/>
      <c r="D15" s="2">
        <v>16</v>
      </c>
      <c r="E15" s="27"/>
      <c r="F15" s="2">
        <v>22</v>
      </c>
      <c r="G15" s="158"/>
      <c r="H15" s="2">
        <v>21</v>
      </c>
      <c r="I15" s="27"/>
      <c r="J15" s="27"/>
      <c r="K15" s="2">
        <v>21</v>
      </c>
      <c r="L15" s="2">
        <v>18</v>
      </c>
      <c r="N15" s="2">
        <v>8</v>
      </c>
      <c r="P15" s="2">
        <v>10</v>
      </c>
      <c r="R15" s="2">
        <v>11</v>
      </c>
      <c r="T15" s="2">
        <v>5</v>
      </c>
      <c r="V15" s="2">
        <v>9</v>
      </c>
      <c r="X15" s="2">
        <v>0</v>
      </c>
    </row>
    <row r="16" spans="1:24" ht="12" customHeight="1" x14ac:dyDescent="0.15">
      <c r="A16" s="149"/>
      <c r="B16" s="149"/>
      <c r="C16" s="27"/>
      <c r="D16" s="39"/>
      <c r="E16" s="27"/>
      <c r="F16" s="39"/>
      <c r="G16" s="158"/>
      <c r="H16" s="39"/>
      <c r="I16" s="27"/>
      <c r="J16" s="27"/>
      <c r="K16" s="39"/>
      <c r="L16" s="39"/>
      <c r="N16" s="39"/>
      <c r="P16" s="39"/>
      <c r="R16" s="39"/>
      <c r="T16" s="39"/>
      <c r="V16" s="39"/>
      <c r="X16" s="39"/>
    </row>
    <row r="17" spans="1:24" ht="12" customHeight="1" x14ac:dyDescent="0.15">
      <c r="A17" s="152" t="s">
        <v>370</v>
      </c>
      <c r="B17" s="149"/>
      <c r="C17" s="27"/>
      <c r="D17" s="39"/>
      <c r="E17" s="27"/>
      <c r="F17" s="39"/>
      <c r="G17" s="158"/>
      <c r="H17" s="39"/>
      <c r="I17" s="27"/>
      <c r="J17" s="27"/>
      <c r="K17" s="39"/>
      <c r="L17" s="39"/>
      <c r="N17" s="39"/>
      <c r="P17" s="39"/>
      <c r="R17" s="39"/>
      <c r="T17" s="39"/>
      <c r="V17" s="39"/>
      <c r="X17" s="39"/>
    </row>
    <row r="18" spans="1:24" ht="12" customHeight="1" x14ac:dyDescent="0.15">
      <c r="A18" s="151" t="s">
        <v>371</v>
      </c>
      <c r="B18" s="149"/>
      <c r="C18" s="27"/>
      <c r="D18" s="39">
        <v>180000</v>
      </c>
      <c r="E18" s="39"/>
      <c r="F18" s="39">
        <v>180000</v>
      </c>
      <c r="G18" s="39"/>
      <c r="H18" s="39">
        <v>180000</v>
      </c>
      <c r="I18" s="39"/>
      <c r="J18" s="39"/>
      <c r="K18" s="39">
        <v>180000</v>
      </c>
      <c r="L18" s="39">
        <v>180000</v>
      </c>
      <c r="M18" s="39"/>
      <c r="N18" s="39">
        <v>180000</v>
      </c>
      <c r="O18" s="39"/>
      <c r="P18" s="39">
        <v>187500</v>
      </c>
      <c r="Q18" s="39"/>
      <c r="R18" s="39">
        <v>189700</v>
      </c>
      <c r="S18" s="39"/>
      <c r="T18" s="39">
        <v>191700</v>
      </c>
      <c r="U18" s="39"/>
      <c r="V18" s="39">
        <v>192000</v>
      </c>
      <c r="W18" s="39"/>
      <c r="X18" s="39">
        <v>192000</v>
      </c>
    </row>
    <row r="19" spans="1:24" ht="12" customHeight="1" x14ac:dyDescent="0.15">
      <c r="A19" s="149"/>
      <c r="B19" s="149"/>
      <c r="C19" s="27"/>
      <c r="D19" s="39"/>
      <c r="E19" s="39"/>
      <c r="F19" s="39"/>
      <c r="G19" s="39"/>
      <c r="H19" s="39"/>
      <c r="I19" s="39"/>
      <c r="J19" s="39"/>
      <c r="K19" s="39"/>
      <c r="L19" s="39"/>
      <c r="M19" s="39"/>
      <c r="N19" s="39"/>
      <c r="O19" s="39"/>
      <c r="P19" s="39"/>
      <c r="Q19" s="39"/>
      <c r="R19" s="39"/>
      <c r="S19" s="39"/>
      <c r="T19" s="39"/>
      <c r="U19" s="39"/>
      <c r="V19" s="39"/>
      <c r="W19" s="39"/>
      <c r="X19" s="39"/>
    </row>
    <row r="20" spans="1:24" ht="12" customHeight="1" x14ac:dyDescent="0.15">
      <c r="A20" s="150" t="s">
        <v>372</v>
      </c>
      <c r="B20" s="149"/>
      <c r="C20" s="27"/>
      <c r="D20" s="39"/>
      <c r="E20" s="39"/>
      <c r="F20" s="39"/>
      <c r="G20" s="39"/>
      <c r="H20" s="39"/>
      <c r="I20" s="39"/>
      <c r="J20" s="39"/>
      <c r="K20" s="39"/>
      <c r="L20" s="39"/>
      <c r="M20" s="39"/>
      <c r="N20" s="39"/>
      <c r="O20" s="39"/>
      <c r="P20" s="39"/>
      <c r="Q20" s="39"/>
      <c r="R20" s="39"/>
      <c r="S20" s="39"/>
      <c r="T20" s="39"/>
      <c r="U20" s="39"/>
      <c r="V20" s="39"/>
      <c r="W20" s="39"/>
      <c r="X20" s="39"/>
    </row>
    <row r="21" spans="1:24" ht="12" customHeight="1" x14ac:dyDescent="0.15">
      <c r="A21" s="153" t="s">
        <v>373</v>
      </c>
      <c r="B21" s="153"/>
      <c r="C21" s="27"/>
      <c r="D21" s="39">
        <v>19067</v>
      </c>
      <c r="E21" s="39"/>
      <c r="F21" s="39">
        <v>36138</v>
      </c>
      <c r="G21" s="39"/>
      <c r="H21" s="39">
        <v>39064</v>
      </c>
      <c r="I21" s="39"/>
      <c r="J21" s="39"/>
      <c r="K21" s="39">
        <v>34428</v>
      </c>
      <c r="L21" s="39">
        <v>45190</v>
      </c>
      <c r="M21" s="39"/>
      <c r="N21" s="39">
        <v>41327</v>
      </c>
      <c r="O21" s="39"/>
      <c r="P21" s="39">
        <v>57149</v>
      </c>
      <c r="Q21" s="39"/>
      <c r="R21" s="39">
        <v>29007</v>
      </c>
      <c r="S21" s="39"/>
      <c r="T21" s="39">
        <v>32170</v>
      </c>
      <c r="U21" s="39"/>
      <c r="V21" s="39">
        <v>30667</v>
      </c>
      <c r="W21" s="39"/>
      <c r="X21" s="39">
        <v>32622</v>
      </c>
    </row>
    <row r="22" spans="1:24" ht="12" customHeight="1" x14ac:dyDescent="0.15">
      <c r="A22" s="149" t="s">
        <v>374</v>
      </c>
      <c r="B22" s="149"/>
      <c r="C22" s="27"/>
      <c r="D22" s="39">
        <v>686</v>
      </c>
      <c r="E22" s="39"/>
      <c r="F22" s="39">
        <v>595</v>
      </c>
      <c r="G22" s="39"/>
      <c r="H22" s="39">
        <v>603</v>
      </c>
      <c r="I22" s="39"/>
      <c r="J22" s="39"/>
      <c r="K22" s="39">
        <v>423</v>
      </c>
      <c r="L22" s="39">
        <v>624</v>
      </c>
      <c r="M22" s="39"/>
      <c r="N22" s="39">
        <v>603</v>
      </c>
      <c r="O22" s="39"/>
      <c r="P22" s="39">
        <v>527</v>
      </c>
      <c r="Q22" s="39"/>
      <c r="R22" s="39">
        <v>416</v>
      </c>
      <c r="S22" s="39"/>
      <c r="T22" s="39">
        <v>326</v>
      </c>
      <c r="U22" s="39"/>
      <c r="V22" s="39">
        <v>355</v>
      </c>
      <c r="W22" s="39"/>
      <c r="X22" s="39">
        <v>456</v>
      </c>
    </row>
    <row r="23" spans="1:24" ht="12" customHeight="1" x14ac:dyDescent="0.15">
      <c r="A23" s="149" t="s">
        <v>375</v>
      </c>
      <c r="B23" s="149"/>
      <c r="C23" s="27"/>
      <c r="D23" s="39">
        <v>15077</v>
      </c>
      <c r="E23" s="39"/>
      <c r="F23" s="39">
        <v>12306</v>
      </c>
      <c r="G23" s="39"/>
      <c r="H23" s="39">
        <v>8960</v>
      </c>
      <c r="I23" s="39"/>
      <c r="J23" s="39"/>
      <c r="K23" s="39">
        <v>8001</v>
      </c>
      <c r="L23" s="39">
        <v>11359</v>
      </c>
      <c r="M23" s="39"/>
      <c r="N23" s="39">
        <v>12541</v>
      </c>
      <c r="O23" s="39"/>
      <c r="P23" s="39">
        <v>8326</v>
      </c>
      <c r="Q23" s="39"/>
      <c r="R23" s="39">
        <v>6980</v>
      </c>
      <c r="S23" s="39"/>
      <c r="T23" s="39">
        <v>6504</v>
      </c>
      <c r="U23" s="39"/>
      <c r="V23" s="39">
        <v>5924</v>
      </c>
      <c r="W23" s="39"/>
      <c r="X23" s="39">
        <v>5159</v>
      </c>
    </row>
    <row r="24" spans="1:24" ht="12" customHeight="1" x14ac:dyDescent="0.15">
      <c r="A24" s="149" t="s">
        <v>376</v>
      </c>
      <c r="B24" s="149"/>
      <c r="C24" s="27"/>
      <c r="D24" s="39">
        <v>1823</v>
      </c>
      <c r="E24" s="39"/>
      <c r="F24" s="39">
        <v>2040</v>
      </c>
      <c r="G24" s="39"/>
      <c r="H24" s="39">
        <v>2119</v>
      </c>
      <c r="I24" s="39"/>
      <c r="J24" s="39"/>
      <c r="K24" s="39">
        <v>2057</v>
      </c>
      <c r="L24" s="39">
        <v>2244</v>
      </c>
      <c r="M24" s="39"/>
      <c r="N24" s="39">
        <v>2304</v>
      </c>
      <c r="O24" s="39"/>
      <c r="P24" s="39">
        <v>1752</v>
      </c>
      <c r="Q24" s="39"/>
      <c r="R24" s="39">
        <v>2076</v>
      </c>
      <c r="S24" s="39"/>
      <c r="T24" s="39">
        <v>2341</v>
      </c>
      <c r="U24" s="39"/>
      <c r="V24" s="39">
        <v>2085</v>
      </c>
      <c r="W24" s="39"/>
      <c r="X24" s="39">
        <v>2143</v>
      </c>
    </row>
    <row r="25" spans="1:24" ht="12" customHeight="1" x14ac:dyDescent="0.15">
      <c r="A25" s="149"/>
      <c r="B25" s="149"/>
      <c r="C25" s="27"/>
      <c r="D25" s="39"/>
      <c r="E25" s="39"/>
      <c r="F25" s="39"/>
      <c r="G25" s="39"/>
      <c r="H25" s="39"/>
      <c r="I25" s="39"/>
      <c r="J25" s="39"/>
      <c r="K25" s="39"/>
      <c r="L25" s="39"/>
      <c r="M25" s="39"/>
      <c r="N25" s="39"/>
      <c r="O25" s="39"/>
      <c r="P25" s="39"/>
      <c r="Q25" s="39"/>
      <c r="R25" s="39"/>
      <c r="S25" s="39"/>
      <c r="T25" s="39"/>
      <c r="U25" s="39"/>
      <c r="V25" s="39"/>
      <c r="W25" s="39"/>
      <c r="X25" s="39"/>
    </row>
    <row r="26" spans="1:24" ht="12" customHeight="1" x14ac:dyDescent="0.15">
      <c r="A26" s="150" t="s">
        <v>377</v>
      </c>
      <c r="B26" s="149"/>
      <c r="C26" s="27"/>
      <c r="D26" s="39"/>
      <c r="E26" s="39"/>
      <c r="F26" s="39"/>
      <c r="G26" s="39"/>
      <c r="H26" s="39"/>
      <c r="I26" s="39"/>
      <c r="J26" s="39"/>
      <c r="K26" s="39"/>
      <c r="L26" s="39"/>
      <c r="M26" s="39"/>
      <c r="N26" s="39"/>
      <c r="O26" s="39"/>
      <c r="P26" s="39"/>
      <c r="Q26" s="39"/>
      <c r="R26" s="39"/>
      <c r="S26" s="39"/>
      <c r="T26" s="39"/>
      <c r="U26" s="39"/>
      <c r="V26" s="39"/>
      <c r="W26" s="39"/>
      <c r="X26" s="39"/>
    </row>
    <row r="27" spans="1:24" ht="12" customHeight="1" x14ac:dyDescent="0.15">
      <c r="A27" s="149" t="s">
        <v>378</v>
      </c>
      <c r="B27" s="149"/>
      <c r="C27" s="27"/>
      <c r="D27" s="39">
        <v>1759</v>
      </c>
      <c r="E27" s="39"/>
      <c r="F27" s="39">
        <v>2167</v>
      </c>
      <c r="G27" s="39"/>
      <c r="H27" s="39">
        <v>2327</v>
      </c>
      <c r="I27" s="39"/>
      <c r="J27" s="39"/>
      <c r="K27" s="39">
        <v>2758</v>
      </c>
      <c r="L27" s="39">
        <v>3055</v>
      </c>
      <c r="M27" s="39"/>
      <c r="N27" s="39">
        <v>3804</v>
      </c>
      <c r="O27" s="39"/>
      <c r="P27" s="39">
        <v>3953</v>
      </c>
      <c r="Q27" s="39"/>
      <c r="R27" s="39">
        <v>4837</v>
      </c>
      <c r="S27" s="39"/>
      <c r="T27" s="39">
        <v>4895</v>
      </c>
      <c r="U27" s="39"/>
      <c r="V27" s="39">
        <v>4994</v>
      </c>
      <c r="W27" s="39"/>
      <c r="X27" s="39">
        <v>5296</v>
      </c>
    </row>
    <row r="28" spans="1:24" ht="12" customHeight="1" x14ac:dyDescent="0.15">
      <c r="A28" s="149" t="s">
        <v>379</v>
      </c>
      <c r="B28" s="149"/>
      <c r="C28" s="27"/>
      <c r="D28" s="39">
        <v>110</v>
      </c>
      <c r="E28" s="39"/>
      <c r="F28" s="39">
        <v>99</v>
      </c>
      <c r="G28" s="39"/>
      <c r="H28" s="39">
        <v>67</v>
      </c>
      <c r="I28" s="39"/>
      <c r="J28" s="39"/>
      <c r="K28" s="39">
        <v>86</v>
      </c>
      <c r="L28" s="39">
        <v>161</v>
      </c>
      <c r="M28" s="39"/>
      <c r="N28" s="39">
        <v>100</v>
      </c>
      <c r="O28" s="39"/>
      <c r="P28" s="39">
        <v>108</v>
      </c>
      <c r="Q28" s="39"/>
      <c r="R28" s="39">
        <v>205</v>
      </c>
      <c r="S28" s="39"/>
      <c r="T28" s="39">
        <v>232</v>
      </c>
      <c r="U28" s="39"/>
      <c r="V28" s="39">
        <v>182</v>
      </c>
      <c r="W28" s="39"/>
      <c r="X28" s="39">
        <v>234</v>
      </c>
    </row>
    <row r="29" spans="1:24" ht="12" customHeight="1" x14ac:dyDescent="0.15">
      <c r="A29" s="149" t="s">
        <v>380</v>
      </c>
      <c r="B29" s="149"/>
      <c r="C29" s="27"/>
      <c r="D29" s="39">
        <v>252</v>
      </c>
      <c r="E29" s="39"/>
      <c r="F29" s="39">
        <v>698</v>
      </c>
      <c r="G29" s="39"/>
      <c r="H29" s="39">
        <v>440</v>
      </c>
      <c r="I29" s="39"/>
      <c r="J29" s="39"/>
      <c r="K29" s="39">
        <v>519</v>
      </c>
      <c r="L29" s="39">
        <v>562</v>
      </c>
      <c r="M29" s="39"/>
      <c r="N29" s="39">
        <v>528</v>
      </c>
      <c r="O29" s="39"/>
      <c r="P29" s="39">
        <v>500</v>
      </c>
      <c r="Q29" s="39"/>
      <c r="R29" s="39">
        <v>548</v>
      </c>
      <c r="S29" s="39"/>
      <c r="T29" s="39">
        <v>547</v>
      </c>
      <c r="U29" s="39"/>
      <c r="V29" s="39">
        <v>674</v>
      </c>
      <c r="W29" s="39"/>
      <c r="X29" s="39">
        <v>599</v>
      </c>
    </row>
    <row r="30" spans="1:24" ht="12" customHeight="1" x14ac:dyDescent="0.15">
      <c r="A30" s="149" t="s">
        <v>381</v>
      </c>
      <c r="B30" s="149"/>
      <c r="C30" s="27"/>
      <c r="D30" s="39">
        <v>125</v>
      </c>
      <c r="E30" s="39"/>
      <c r="F30" s="39">
        <v>150</v>
      </c>
      <c r="G30" s="39"/>
      <c r="H30" s="39">
        <v>460</v>
      </c>
      <c r="I30" s="39"/>
      <c r="J30" s="39"/>
      <c r="K30" s="39">
        <v>340</v>
      </c>
      <c r="L30" s="39">
        <v>600</v>
      </c>
      <c r="M30" s="39"/>
      <c r="N30" s="39">
        <v>804</v>
      </c>
      <c r="O30" s="39"/>
      <c r="P30" s="39">
        <v>763</v>
      </c>
      <c r="Q30" s="39"/>
      <c r="R30" s="39">
        <v>770</v>
      </c>
      <c r="S30" s="39"/>
      <c r="T30" s="39">
        <v>632</v>
      </c>
      <c r="U30" s="39"/>
      <c r="V30" s="39">
        <v>1032</v>
      </c>
      <c r="W30" s="39"/>
      <c r="X30" s="39">
        <v>698</v>
      </c>
    </row>
    <row r="31" spans="1:24" ht="12" customHeight="1" x14ac:dyDescent="0.15">
      <c r="A31" s="149" t="s">
        <v>382</v>
      </c>
      <c r="B31" s="149"/>
      <c r="C31" s="27"/>
      <c r="D31" s="39">
        <v>735</v>
      </c>
      <c r="E31" s="39"/>
      <c r="F31" s="39">
        <v>980</v>
      </c>
      <c r="G31" s="39"/>
      <c r="H31" s="39">
        <v>867</v>
      </c>
      <c r="I31" s="39"/>
      <c r="J31" s="39"/>
      <c r="K31" s="39">
        <v>922</v>
      </c>
      <c r="L31" s="39">
        <v>788</v>
      </c>
      <c r="M31" s="39"/>
      <c r="N31" s="39">
        <v>865</v>
      </c>
      <c r="O31" s="39"/>
      <c r="P31" s="39">
        <v>814</v>
      </c>
      <c r="Q31" s="39"/>
      <c r="R31" s="39">
        <v>848</v>
      </c>
      <c r="S31" s="39"/>
      <c r="T31" s="39">
        <v>324</v>
      </c>
      <c r="U31" s="39"/>
      <c r="V31" s="39">
        <v>320</v>
      </c>
      <c r="W31" s="39"/>
      <c r="X31" s="39">
        <v>1007</v>
      </c>
    </row>
    <row r="32" spans="1:24" ht="12" customHeight="1" x14ac:dyDescent="0.15">
      <c r="A32" s="149"/>
      <c r="B32" s="149"/>
      <c r="C32" s="27"/>
      <c r="D32" s="39"/>
      <c r="E32" s="39"/>
      <c r="F32" s="39"/>
      <c r="G32" s="39"/>
      <c r="H32" s="39"/>
      <c r="I32" s="39"/>
      <c r="J32" s="39"/>
      <c r="K32" s="39"/>
      <c r="L32" s="39"/>
      <c r="M32" s="39"/>
      <c r="N32" s="39"/>
      <c r="O32" s="39"/>
      <c r="P32" s="39"/>
      <c r="Q32" s="39"/>
      <c r="R32" s="39"/>
      <c r="S32" s="39"/>
      <c r="T32" s="39"/>
      <c r="U32" s="39"/>
      <c r="V32" s="39"/>
      <c r="W32" s="39"/>
      <c r="X32" s="39"/>
    </row>
    <row r="33" spans="1:24" ht="12" customHeight="1" x14ac:dyDescent="0.15">
      <c r="A33" s="150" t="s">
        <v>361</v>
      </c>
      <c r="B33" s="149"/>
      <c r="C33" s="27"/>
      <c r="D33" s="39"/>
      <c r="E33" s="39"/>
      <c r="F33" s="39"/>
      <c r="G33" s="39"/>
      <c r="H33" s="39"/>
      <c r="I33" s="39"/>
      <c r="J33" s="39"/>
      <c r="K33" s="39"/>
      <c r="L33" s="39"/>
      <c r="M33" s="39"/>
      <c r="N33" s="39"/>
      <c r="O33" s="39"/>
      <c r="P33" s="39"/>
      <c r="Q33" s="39"/>
      <c r="R33" s="39"/>
      <c r="S33" s="39"/>
      <c r="T33" s="39"/>
      <c r="U33" s="39"/>
      <c r="V33" s="39"/>
      <c r="W33" s="39"/>
      <c r="X33" s="39"/>
    </row>
    <row r="34" spans="1:24" ht="12" customHeight="1" x14ac:dyDescent="0.15">
      <c r="A34" s="153" t="s">
        <v>383</v>
      </c>
      <c r="B34" s="153"/>
      <c r="C34" s="27"/>
      <c r="D34" s="39">
        <v>8840</v>
      </c>
      <c r="E34" s="39"/>
      <c r="F34" s="39">
        <v>9286</v>
      </c>
      <c r="G34" s="39"/>
      <c r="H34" s="39">
        <v>9723</v>
      </c>
      <c r="I34" s="39"/>
      <c r="J34" s="39"/>
      <c r="K34" s="39">
        <v>9956</v>
      </c>
      <c r="L34" s="39">
        <v>10059</v>
      </c>
      <c r="M34" s="39"/>
      <c r="N34" s="39">
        <v>10759</v>
      </c>
      <c r="O34" s="39"/>
      <c r="P34" s="39">
        <v>10713</v>
      </c>
      <c r="Q34" s="39"/>
      <c r="R34" s="39">
        <v>12251</v>
      </c>
      <c r="S34" s="39"/>
      <c r="T34" s="39">
        <v>13520</v>
      </c>
      <c r="U34" s="39"/>
      <c r="V34" s="39">
        <v>14495</v>
      </c>
      <c r="W34" s="39"/>
      <c r="X34" s="39">
        <v>14997</v>
      </c>
    </row>
    <row r="35" spans="1:24" ht="12" customHeight="1" x14ac:dyDescent="0.15">
      <c r="A35" s="149" t="s">
        <v>384</v>
      </c>
      <c r="B35" s="149"/>
      <c r="C35" s="27"/>
      <c r="D35" s="39">
        <v>5713</v>
      </c>
      <c r="E35" s="39"/>
      <c r="F35" s="39">
        <v>6118</v>
      </c>
      <c r="G35" s="39"/>
      <c r="H35" s="39">
        <v>6123</v>
      </c>
      <c r="I35" s="39"/>
      <c r="J35" s="39"/>
      <c r="K35" s="39">
        <v>6201</v>
      </c>
      <c r="L35" s="39">
        <v>6165</v>
      </c>
      <c r="M35" s="39"/>
      <c r="N35" s="39">
        <v>6738</v>
      </c>
      <c r="O35" s="39"/>
      <c r="P35" s="39">
        <v>6549</v>
      </c>
      <c r="Q35" s="39"/>
      <c r="R35" s="39">
        <v>7444</v>
      </c>
      <c r="S35" s="39"/>
      <c r="T35" s="39">
        <v>8332</v>
      </c>
      <c r="U35" s="39"/>
      <c r="V35" s="39">
        <v>9154</v>
      </c>
      <c r="W35" s="39"/>
      <c r="X35" s="39">
        <v>9612</v>
      </c>
    </row>
    <row r="36" spans="1:24" ht="12" customHeight="1" x14ac:dyDescent="0.15">
      <c r="A36" s="149" t="s">
        <v>385</v>
      </c>
      <c r="B36" s="149"/>
      <c r="C36" s="27"/>
      <c r="D36" s="39">
        <v>87</v>
      </c>
      <c r="E36" s="39"/>
      <c r="F36" s="39">
        <v>84</v>
      </c>
      <c r="G36" s="39"/>
      <c r="H36" s="39">
        <v>89</v>
      </c>
      <c r="I36" s="39"/>
      <c r="J36" s="39"/>
      <c r="K36" s="39">
        <v>90</v>
      </c>
      <c r="L36" s="39">
        <v>90</v>
      </c>
      <c r="M36" s="39"/>
      <c r="N36" s="39">
        <v>90</v>
      </c>
      <c r="O36" s="39"/>
      <c r="P36" s="39">
        <v>84</v>
      </c>
      <c r="Q36" s="39"/>
      <c r="R36" s="39">
        <v>123</v>
      </c>
      <c r="S36" s="39"/>
      <c r="T36" s="39">
        <v>154</v>
      </c>
      <c r="U36" s="39"/>
      <c r="V36" s="39">
        <v>136</v>
      </c>
      <c r="W36" s="39"/>
      <c r="X36" s="39">
        <v>141</v>
      </c>
    </row>
    <row r="37" spans="1:24" ht="12" customHeight="1" x14ac:dyDescent="0.15">
      <c r="A37" s="149"/>
      <c r="B37" s="149"/>
      <c r="C37" s="27"/>
      <c r="D37" s="39"/>
      <c r="E37" s="39"/>
      <c r="F37" s="39"/>
      <c r="G37" s="39"/>
      <c r="H37" s="39"/>
      <c r="I37" s="39"/>
      <c r="J37" s="39"/>
      <c r="K37" s="39"/>
      <c r="L37" s="39"/>
      <c r="M37" s="39"/>
      <c r="N37" s="39"/>
      <c r="O37" s="39"/>
      <c r="P37" s="39"/>
      <c r="Q37" s="39"/>
      <c r="R37" s="39"/>
      <c r="S37" s="39"/>
      <c r="T37" s="39"/>
      <c r="U37" s="39"/>
      <c r="V37" s="39"/>
      <c r="W37" s="39"/>
      <c r="X37" s="39"/>
    </row>
    <row r="38" spans="1:24" ht="12" customHeight="1" x14ac:dyDescent="0.15">
      <c r="A38" s="150" t="s">
        <v>386</v>
      </c>
      <c r="B38" s="149"/>
      <c r="C38" s="27"/>
      <c r="D38" s="39"/>
      <c r="E38" s="39"/>
      <c r="F38" s="39"/>
      <c r="G38" s="39"/>
      <c r="H38" s="39"/>
      <c r="I38" s="39"/>
      <c r="J38" s="39"/>
      <c r="K38" s="39"/>
      <c r="L38" s="39"/>
      <c r="M38" s="39"/>
      <c r="N38" s="39"/>
      <c r="O38" s="39"/>
      <c r="P38" s="39"/>
      <c r="Q38" s="39"/>
      <c r="R38" s="39"/>
      <c r="S38" s="39"/>
      <c r="T38" s="39"/>
      <c r="U38" s="39"/>
      <c r="V38" s="39"/>
      <c r="W38" s="39"/>
      <c r="X38" s="39"/>
    </row>
    <row r="39" spans="1:24" ht="12" customHeight="1" x14ac:dyDescent="0.15">
      <c r="A39" s="149" t="s">
        <v>387</v>
      </c>
      <c r="B39" s="149"/>
      <c r="C39" s="27"/>
      <c r="D39" s="39">
        <v>2354</v>
      </c>
      <c r="E39" s="39"/>
      <c r="F39" s="39">
        <v>3798</v>
      </c>
      <c r="G39" s="39"/>
      <c r="H39" s="39">
        <v>2587</v>
      </c>
      <c r="I39" s="39"/>
      <c r="J39" s="39"/>
      <c r="K39" s="39">
        <v>2816</v>
      </c>
      <c r="L39" s="39">
        <v>1598</v>
      </c>
      <c r="M39" s="39"/>
      <c r="N39" s="39">
        <v>2036</v>
      </c>
      <c r="O39" s="39"/>
      <c r="P39" s="39">
        <v>1738</v>
      </c>
      <c r="Q39" s="39"/>
      <c r="R39" s="39">
        <v>2095</v>
      </c>
      <c r="S39" s="39"/>
      <c r="T39" s="39">
        <v>1708</v>
      </c>
      <c r="U39" s="39"/>
      <c r="V39" s="39">
        <v>1083</v>
      </c>
      <c r="W39" s="39"/>
      <c r="X39" s="39">
        <v>810</v>
      </c>
    </row>
    <row r="40" spans="1:24" ht="12" customHeight="1" x14ac:dyDescent="0.15">
      <c r="A40" s="149" t="s">
        <v>388</v>
      </c>
      <c r="B40" s="149"/>
      <c r="C40" s="27"/>
      <c r="D40" s="39">
        <v>3781</v>
      </c>
      <c r="E40" s="39"/>
      <c r="F40" s="39">
        <v>3691</v>
      </c>
      <c r="G40" s="39"/>
      <c r="H40" s="39">
        <v>3492</v>
      </c>
      <c r="I40" s="39"/>
      <c r="J40" s="39"/>
      <c r="K40" s="39">
        <v>2822</v>
      </c>
      <c r="L40" s="39">
        <v>2022</v>
      </c>
      <c r="M40" s="39"/>
      <c r="N40" s="39">
        <v>1834</v>
      </c>
      <c r="O40" s="39"/>
      <c r="P40" s="39">
        <v>664</v>
      </c>
      <c r="Q40" s="39"/>
      <c r="R40" s="39">
        <v>1451</v>
      </c>
      <c r="S40" s="39"/>
      <c r="T40" s="39">
        <v>1373</v>
      </c>
      <c r="U40" s="39"/>
      <c r="V40" s="39">
        <v>4243</v>
      </c>
      <c r="W40" s="39"/>
      <c r="X40" s="39">
        <v>877</v>
      </c>
    </row>
    <row r="41" spans="1:24" ht="12" customHeight="1" x14ac:dyDescent="0.15">
      <c r="A41" s="149"/>
      <c r="B41" s="149"/>
      <c r="C41" s="27"/>
      <c r="D41" s="39"/>
      <c r="E41" s="39"/>
      <c r="F41" s="39"/>
      <c r="G41" s="39"/>
      <c r="H41" s="39"/>
      <c r="I41" s="39"/>
      <c r="J41" s="39"/>
      <c r="K41" s="39"/>
      <c r="L41" s="39"/>
      <c r="M41" s="39"/>
      <c r="N41" s="39"/>
      <c r="O41" s="39"/>
      <c r="P41" s="39"/>
      <c r="Q41" s="39"/>
      <c r="R41" s="39"/>
      <c r="S41" s="39"/>
      <c r="T41" s="39"/>
      <c r="U41" s="39"/>
      <c r="V41" s="39"/>
      <c r="W41" s="39"/>
      <c r="X41" s="39"/>
    </row>
    <row r="42" spans="1:24" ht="12" customHeight="1" x14ac:dyDescent="0.15">
      <c r="A42" s="150" t="s">
        <v>389</v>
      </c>
      <c r="B42" s="149"/>
      <c r="C42" s="27"/>
      <c r="D42" s="39"/>
      <c r="E42" s="39"/>
      <c r="F42" s="39"/>
      <c r="G42" s="39"/>
      <c r="H42" s="39"/>
      <c r="I42" s="39"/>
      <c r="J42" s="39"/>
      <c r="K42" s="39"/>
      <c r="L42" s="39"/>
      <c r="M42" s="39"/>
      <c r="N42" s="39"/>
      <c r="O42" s="39"/>
      <c r="P42" s="39"/>
      <c r="Q42" s="39"/>
      <c r="R42" s="39"/>
      <c r="S42" s="39"/>
      <c r="T42" s="39"/>
      <c r="U42" s="39"/>
      <c r="V42" s="39"/>
      <c r="W42" s="39"/>
      <c r="X42" s="39"/>
    </row>
    <row r="43" spans="1:24" ht="12" customHeight="1" x14ac:dyDescent="0.15">
      <c r="A43" s="149" t="s">
        <v>390</v>
      </c>
      <c r="B43" s="149"/>
      <c r="C43" s="27"/>
      <c r="D43" s="39">
        <v>301</v>
      </c>
      <c r="E43" s="39"/>
      <c r="F43" s="39">
        <v>275</v>
      </c>
      <c r="G43" s="39"/>
      <c r="H43" s="39">
        <v>240</v>
      </c>
      <c r="I43" s="39"/>
      <c r="J43" s="39"/>
      <c r="K43" s="39">
        <v>251</v>
      </c>
      <c r="L43" s="39">
        <v>248</v>
      </c>
      <c r="M43" s="39"/>
      <c r="N43" s="39">
        <v>241</v>
      </c>
      <c r="O43" s="39"/>
      <c r="P43" s="39">
        <v>75</v>
      </c>
      <c r="Q43" s="39"/>
      <c r="R43" s="39">
        <v>237</v>
      </c>
      <c r="S43" s="39"/>
      <c r="T43" s="39">
        <v>294</v>
      </c>
      <c r="U43" s="39"/>
      <c r="V43" s="39">
        <v>334</v>
      </c>
      <c r="W43" s="39"/>
      <c r="X43" s="39">
        <v>441</v>
      </c>
    </row>
    <row r="44" spans="1:24" ht="12" customHeight="1" x14ac:dyDescent="0.15">
      <c r="A44" s="149"/>
      <c r="B44" s="149"/>
      <c r="C44" s="27"/>
      <c r="D44" s="39"/>
      <c r="E44" s="39"/>
      <c r="F44" s="39"/>
      <c r="G44" s="39"/>
      <c r="H44" s="39"/>
      <c r="I44" s="39"/>
      <c r="J44" s="39"/>
      <c r="K44" s="39"/>
      <c r="L44" s="39"/>
      <c r="M44" s="39"/>
      <c r="N44" s="39"/>
      <c r="O44" s="39"/>
      <c r="P44" s="39"/>
      <c r="Q44" s="39"/>
      <c r="R44" s="39"/>
      <c r="S44" s="39"/>
      <c r="T44" s="39"/>
      <c r="U44" s="39"/>
      <c r="V44" s="39"/>
      <c r="W44" s="39"/>
      <c r="X44" s="39"/>
    </row>
    <row r="45" spans="1:24" ht="12" customHeight="1" x14ac:dyDescent="0.15">
      <c r="A45" s="150" t="s">
        <v>391</v>
      </c>
      <c r="B45" s="87"/>
      <c r="C45" s="27"/>
      <c r="D45" s="39"/>
      <c r="E45" s="39"/>
      <c r="F45" s="39"/>
      <c r="G45" s="39"/>
      <c r="H45" s="39"/>
      <c r="I45" s="39"/>
      <c r="J45" s="39"/>
      <c r="K45" s="39"/>
      <c r="L45" s="39"/>
      <c r="M45" s="39"/>
      <c r="N45" s="39"/>
      <c r="O45" s="39"/>
      <c r="P45" s="39"/>
      <c r="Q45" s="39"/>
      <c r="R45" s="39"/>
      <c r="S45" s="39"/>
      <c r="T45" s="39"/>
      <c r="U45" s="39"/>
      <c r="V45" s="39"/>
      <c r="W45" s="39"/>
      <c r="X45" s="39"/>
    </row>
    <row r="46" spans="1:24" ht="12" customHeight="1" x14ac:dyDescent="0.15">
      <c r="A46" s="149" t="s">
        <v>392</v>
      </c>
      <c r="B46" s="149"/>
      <c r="C46" s="27"/>
      <c r="D46" s="39">
        <v>458</v>
      </c>
      <c r="E46" s="39"/>
      <c r="F46" s="39">
        <v>478</v>
      </c>
      <c r="G46" s="39"/>
      <c r="H46" s="39">
        <v>483</v>
      </c>
      <c r="I46" s="39"/>
      <c r="J46" s="39"/>
      <c r="K46" s="39">
        <v>590</v>
      </c>
      <c r="L46" s="39">
        <v>516</v>
      </c>
      <c r="M46" s="39"/>
      <c r="N46" s="39">
        <v>441</v>
      </c>
      <c r="O46" s="39"/>
      <c r="P46" s="39">
        <v>293</v>
      </c>
      <c r="Q46" s="39"/>
      <c r="R46" s="39">
        <v>353</v>
      </c>
      <c r="S46" s="39"/>
      <c r="T46" s="39">
        <v>354</v>
      </c>
      <c r="U46" s="39"/>
      <c r="V46" s="39">
        <v>416</v>
      </c>
      <c r="W46" s="39"/>
      <c r="X46" s="39">
        <v>430</v>
      </c>
    </row>
    <row r="47" spans="1:24" ht="12" customHeight="1" x14ac:dyDescent="0.15">
      <c r="A47" s="149" t="s">
        <v>393</v>
      </c>
      <c r="B47" s="149"/>
      <c r="C47" s="27"/>
      <c r="D47" s="39">
        <v>437</v>
      </c>
      <c r="E47" s="39"/>
      <c r="F47" s="39">
        <v>455</v>
      </c>
      <c r="G47" s="39"/>
      <c r="H47" s="39">
        <v>370</v>
      </c>
      <c r="I47" s="39"/>
      <c r="J47" s="39"/>
      <c r="K47" s="39">
        <v>455</v>
      </c>
      <c r="L47" s="39">
        <v>381</v>
      </c>
      <c r="M47" s="39"/>
      <c r="N47" s="39">
        <v>326</v>
      </c>
      <c r="O47" s="39"/>
      <c r="P47" s="39">
        <v>193</v>
      </c>
      <c r="Q47" s="39"/>
      <c r="R47" s="39">
        <v>291</v>
      </c>
      <c r="S47" s="39"/>
      <c r="T47" s="39">
        <v>299</v>
      </c>
      <c r="U47" s="39"/>
      <c r="V47" s="39">
        <v>276</v>
      </c>
      <c r="W47" s="39"/>
      <c r="X47" s="39">
        <v>299</v>
      </c>
    </row>
    <row r="48" spans="1:24" ht="12" customHeight="1" x14ac:dyDescent="0.15">
      <c r="A48" s="149" t="s">
        <v>394</v>
      </c>
      <c r="B48" s="149"/>
      <c r="C48" s="27"/>
      <c r="D48" s="39">
        <v>244</v>
      </c>
      <c r="E48" s="39"/>
      <c r="F48" s="39">
        <v>209</v>
      </c>
      <c r="G48" s="39"/>
      <c r="H48" s="39">
        <v>185</v>
      </c>
      <c r="I48" s="39"/>
      <c r="J48" s="39"/>
      <c r="K48" s="39">
        <v>230</v>
      </c>
      <c r="L48" s="39">
        <v>235</v>
      </c>
      <c r="M48" s="39"/>
      <c r="N48" s="39">
        <v>188</v>
      </c>
      <c r="O48" s="39"/>
      <c r="P48" s="39">
        <v>92</v>
      </c>
      <c r="Q48" s="39"/>
      <c r="R48" s="39">
        <v>153</v>
      </c>
      <c r="S48" s="39"/>
      <c r="T48" s="39">
        <v>197</v>
      </c>
      <c r="U48" s="39"/>
      <c r="V48" s="39">
        <v>196</v>
      </c>
      <c r="W48" s="39"/>
      <c r="X48" s="39">
        <v>199</v>
      </c>
    </row>
    <row r="49" spans="1:24" ht="12" customHeight="1" x14ac:dyDescent="0.15">
      <c r="A49" s="149"/>
      <c r="B49" s="149"/>
      <c r="C49" s="27"/>
      <c r="D49" s="39"/>
      <c r="E49" s="39"/>
      <c r="F49" s="39"/>
      <c r="G49" s="39"/>
      <c r="H49" s="39"/>
      <c r="I49" s="39"/>
      <c r="J49" s="39"/>
      <c r="K49" s="39"/>
      <c r="L49" s="39"/>
      <c r="M49" s="39"/>
      <c r="N49" s="39"/>
      <c r="O49" s="39"/>
      <c r="P49" s="39"/>
      <c r="Q49" s="39"/>
      <c r="R49" s="39"/>
      <c r="S49" s="39"/>
      <c r="T49" s="39"/>
      <c r="U49" s="39"/>
      <c r="V49" s="39"/>
      <c r="W49" s="39"/>
      <c r="X49" s="39"/>
    </row>
    <row r="50" spans="1:24" ht="12" customHeight="1" x14ac:dyDescent="0.15">
      <c r="A50" s="150" t="s">
        <v>395</v>
      </c>
      <c r="B50" s="149"/>
      <c r="C50" s="27"/>
      <c r="D50" s="39"/>
      <c r="E50" s="39"/>
      <c r="F50" s="39"/>
      <c r="G50" s="39"/>
      <c r="H50" s="39"/>
      <c r="I50" s="39"/>
      <c r="J50" s="39"/>
      <c r="K50" s="39"/>
      <c r="L50" s="39"/>
      <c r="M50" s="39"/>
      <c r="N50" s="39"/>
      <c r="O50" s="39"/>
      <c r="P50" s="39"/>
      <c r="Q50" s="39"/>
      <c r="R50" s="39"/>
      <c r="S50" s="39"/>
      <c r="T50" s="39"/>
      <c r="U50" s="39"/>
      <c r="V50" s="39"/>
      <c r="W50" s="39"/>
      <c r="X50" s="39"/>
    </row>
    <row r="51" spans="1:24" ht="12" customHeight="1" x14ac:dyDescent="0.15">
      <c r="A51" s="149" t="s">
        <v>396</v>
      </c>
      <c r="B51" s="154"/>
      <c r="C51" s="27"/>
      <c r="D51" s="39">
        <v>1218</v>
      </c>
      <c r="E51" s="39"/>
      <c r="F51" s="39">
        <v>1304</v>
      </c>
      <c r="G51" s="39"/>
      <c r="H51" s="39">
        <v>1313</v>
      </c>
      <c r="I51" s="39"/>
      <c r="J51" s="39"/>
      <c r="K51" s="39">
        <v>1283</v>
      </c>
      <c r="L51" s="39">
        <v>926</v>
      </c>
      <c r="M51" s="39"/>
      <c r="N51" s="39">
        <v>1157</v>
      </c>
      <c r="O51" s="39"/>
      <c r="P51" s="39">
        <v>1015</v>
      </c>
      <c r="Q51" s="39"/>
      <c r="R51" s="39">
        <v>1070</v>
      </c>
      <c r="S51" s="39"/>
      <c r="T51" s="39">
        <v>1125</v>
      </c>
      <c r="U51" s="39"/>
      <c r="V51" s="39">
        <v>1217</v>
      </c>
      <c r="W51" s="39"/>
      <c r="X51" s="39">
        <v>1275</v>
      </c>
    </row>
    <row r="52" spans="1:24" ht="12" customHeight="1" x14ac:dyDescent="0.15">
      <c r="A52" s="149" t="s">
        <v>397</v>
      </c>
      <c r="B52" s="154"/>
      <c r="C52" s="27"/>
      <c r="D52" s="39">
        <v>309</v>
      </c>
      <c r="E52" s="39"/>
      <c r="F52" s="39">
        <v>357</v>
      </c>
      <c r="G52" s="39"/>
      <c r="H52" s="39">
        <v>410</v>
      </c>
      <c r="I52" s="39"/>
      <c r="J52" s="39"/>
      <c r="K52" s="39">
        <v>348</v>
      </c>
      <c r="L52" s="39">
        <v>319</v>
      </c>
      <c r="M52" s="39"/>
      <c r="N52" s="39">
        <v>366</v>
      </c>
      <c r="O52" s="39"/>
      <c r="P52" s="39">
        <v>450</v>
      </c>
      <c r="Q52" s="39"/>
      <c r="R52" s="39">
        <v>329</v>
      </c>
      <c r="S52" s="39"/>
      <c r="T52" s="39">
        <v>371</v>
      </c>
      <c r="U52" s="39"/>
      <c r="V52" s="39">
        <v>419</v>
      </c>
      <c r="W52" s="39"/>
      <c r="X52" s="39">
        <v>377</v>
      </c>
    </row>
    <row r="53" spans="1:24" ht="12" customHeight="1" x14ac:dyDescent="0.15">
      <c r="A53" s="149" t="s">
        <v>398</v>
      </c>
      <c r="B53" s="154"/>
      <c r="C53" s="27"/>
      <c r="D53" s="39">
        <v>222</v>
      </c>
      <c r="E53" s="39"/>
      <c r="F53" s="39">
        <v>213</v>
      </c>
      <c r="G53" s="39"/>
      <c r="H53" s="39">
        <v>205</v>
      </c>
      <c r="I53" s="39"/>
      <c r="J53" s="39"/>
      <c r="K53" s="39">
        <v>228</v>
      </c>
      <c r="L53" s="39">
        <v>218</v>
      </c>
      <c r="M53" s="39"/>
      <c r="N53" s="39">
        <v>233</v>
      </c>
      <c r="O53" s="39"/>
      <c r="P53" s="39">
        <v>335</v>
      </c>
      <c r="Q53" s="39"/>
      <c r="R53" s="39">
        <v>284</v>
      </c>
      <c r="S53" s="39"/>
      <c r="T53" s="39">
        <v>252</v>
      </c>
      <c r="U53" s="39"/>
      <c r="V53" s="39">
        <v>279</v>
      </c>
      <c r="W53" s="39"/>
      <c r="X53" s="39">
        <v>228</v>
      </c>
    </row>
    <row r="54" spans="1:24" ht="12" customHeight="1" x14ac:dyDescent="0.15">
      <c r="A54" s="149" t="s">
        <v>399</v>
      </c>
      <c r="B54" s="154"/>
      <c r="C54" s="27"/>
      <c r="D54" s="39">
        <v>316</v>
      </c>
      <c r="E54" s="39"/>
      <c r="F54" s="39">
        <v>296</v>
      </c>
      <c r="G54" s="39"/>
      <c r="H54" s="39">
        <v>316</v>
      </c>
      <c r="I54" s="39"/>
      <c r="J54" s="39"/>
      <c r="K54" s="39">
        <v>326</v>
      </c>
      <c r="L54" s="39">
        <v>297</v>
      </c>
      <c r="M54" s="39"/>
      <c r="N54" s="39">
        <v>227</v>
      </c>
      <c r="O54" s="39"/>
      <c r="P54" s="39">
        <v>188</v>
      </c>
      <c r="Q54" s="39"/>
      <c r="R54" s="39">
        <v>152</v>
      </c>
      <c r="S54" s="39"/>
      <c r="T54" s="39">
        <v>205</v>
      </c>
      <c r="U54" s="39"/>
      <c r="V54" s="39">
        <v>202</v>
      </c>
      <c r="W54" s="39"/>
      <c r="X54" s="39">
        <v>317</v>
      </c>
    </row>
    <row r="55" spans="1:24" ht="12" customHeight="1" x14ac:dyDescent="0.15">
      <c r="A55" s="149"/>
      <c r="B55" s="149"/>
      <c r="C55" s="27"/>
      <c r="D55" s="39"/>
      <c r="E55" s="39"/>
      <c r="F55" s="39"/>
      <c r="G55" s="39"/>
      <c r="H55" s="39"/>
      <c r="I55" s="39"/>
      <c r="J55" s="39"/>
      <c r="K55" s="39"/>
      <c r="L55" s="39"/>
      <c r="M55" s="39"/>
      <c r="N55" s="39"/>
      <c r="O55" s="39"/>
      <c r="P55" s="39"/>
      <c r="Q55" s="39"/>
      <c r="R55" s="39"/>
      <c r="S55" s="39"/>
      <c r="T55" s="39"/>
      <c r="U55" s="39"/>
      <c r="V55" s="39"/>
      <c r="W55" s="39"/>
      <c r="X55" s="39"/>
    </row>
    <row r="56" spans="1:24" x14ac:dyDescent="0.15">
      <c r="A56" s="150" t="s">
        <v>400</v>
      </c>
      <c r="B56" s="149"/>
      <c r="D56" s="39"/>
      <c r="E56" s="39"/>
      <c r="F56" s="39"/>
      <c r="G56" s="39"/>
      <c r="H56" s="39"/>
      <c r="I56" s="39"/>
      <c r="J56" s="39"/>
      <c r="K56" s="39"/>
      <c r="L56" s="39"/>
      <c r="M56" s="39"/>
      <c r="N56" s="39"/>
      <c r="O56" s="39"/>
      <c r="P56" s="39"/>
      <c r="Q56" s="39"/>
      <c r="R56" s="39"/>
      <c r="S56" s="39"/>
      <c r="T56" s="39"/>
      <c r="U56" s="39"/>
      <c r="V56" s="39"/>
      <c r="W56" s="39"/>
      <c r="X56" s="39"/>
    </row>
    <row r="57" spans="1:24" ht="13" customHeight="1" x14ac:dyDescent="0.15">
      <c r="A57" s="149" t="s">
        <v>401</v>
      </c>
      <c r="B57" s="149"/>
      <c r="D57" s="39">
        <v>395998</v>
      </c>
      <c r="E57" s="39"/>
      <c r="F57" s="39">
        <v>394766</v>
      </c>
      <c r="G57" s="39"/>
      <c r="H57" s="39">
        <v>399622</v>
      </c>
      <c r="I57" s="39"/>
      <c r="J57" s="39"/>
      <c r="K57" s="39">
        <v>385206</v>
      </c>
      <c r="L57" s="39">
        <v>414790</v>
      </c>
      <c r="M57" s="39"/>
      <c r="N57" s="39">
        <v>447379</v>
      </c>
      <c r="O57" s="39"/>
      <c r="P57" s="39">
        <v>254643</v>
      </c>
      <c r="Q57" s="39"/>
      <c r="R57" s="39">
        <v>281659</v>
      </c>
      <c r="S57" s="39"/>
      <c r="T57" s="39">
        <v>359272</v>
      </c>
      <c r="U57" s="39"/>
      <c r="V57" s="39">
        <v>397156</v>
      </c>
      <c r="W57" s="39"/>
      <c r="X57" s="39">
        <v>411073</v>
      </c>
    </row>
    <row r="58" spans="1:24" ht="12" customHeight="1" x14ac:dyDescent="0.15">
      <c r="A58" s="149" t="s">
        <v>402</v>
      </c>
      <c r="B58" s="149"/>
      <c r="C58" s="27"/>
      <c r="D58" s="39">
        <v>253237</v>
      </c>
      <c r="E58" s="39"/>
      <c r="F58" s="39">
        <v>259413</v>
      </c>
      <c r="G58" s="39"/>
      <c r="H58" s="39">
        <v>255109</v>
      </c>
      <c r="I58" s="39"/>
      <c r="J58" s="39"/>
      <c r="K58" s="39">
        <v>235428</v>
      </c>
      <c r="L58" s="39">
        <v>258695</v>
      </c>
      <c r="M58" s="39"/>
      <c r="N58" s="39">
        <v>237821</v>
      </c>
      <c r="O58" s="39"/>
      <c r="P58" s="39">
        <v>102297</v>
      </c>
      <c r="Q58" s="39"/>
      <c r="R58" s="39">
        <v>91291</v>
      </c>
      <c r="S58" s="39"/>
      <c r="T58" s="39">
        <v>157428</v>
      </c>
      <c r="U58" s="39"/>
      <c r="V58" s="39">
        <v>194260</v>
      </c>
      <c r="W58" s="39"/>
      <c r="X58" s="39">
        <v>223391</v>
      </c>
    </row>
    <row r="59" spans="1:24" ht="12" customHeight="1" x14ac:dyDescent="0.15">
      <c r="A59" s="149" t="s">
        <v>403</v>
      </c>
      <c r="B59" s="149"/>
      <c r="D59" s="39">
        <v>15048</v>
      </c>
      <c r="E59" s="39"/>
      <c r="F59" s="39">
        <v>13825</v>
      </c>
      <c r="G59" s="39"/>
      <c r="H59" s="39">
        <v>15282</v>
      </c>
      <c r="I59" s="39"/>
      <c r="J59" s="39"/>
      <c r="K59" s="39">
        <v>16814</v>
      </c>
      <c r="L59" s="39">
        <v>16945</v>
      </c>
      <c r="M59" s="39"/>
      <c r="N59" s="39">
        <v>18412</v>
      </c>
      <c r="O59" s="39"/>
      <c r="P59" s="39">
        <v>6524</v>
      </c>
      <c r="Q59" s="39"/>
      <c r="R59" s="39">
        <v>2541</v>
      </c>
      <c r="S59" s="39"/>
      <c r="T59" s="39">
        <v>11357</v>
      </c>
      <c r="U59" s="39"/>
      <c r="V59" s="39">
        <v>14700</v>
      </c>
      <c r="W59" s="39"/>
      <c r="X59" s="39">
        <v>19686</v>
      </c>
    </row>
    <row r="60" spans="1:24" ht="13" customHeight="1" x14ac:dyDescent="0.15">
      <c r="A60" s="149" t="s">
        <v>404</v>
      </c>
      <c r="B60" s="149"/>
      <c r="D60" s="39">
        <v>30759</v>
      </c>
      <c r="E60" s="39"/>
      <c r="F60" s="39">
        <v>31138</v>
      </c>
      <c r="G60" s="39"/>
      <c r="H60" s="39">
        <v>30702</v>
      </c>
      <c r="I60" s="39"/>
      <c r="J60" s="39"/>
      <c r="K60" s="39">
        <v>31432</v>
      </c>
      <c r="L60" s="39">
        <v>30806</v>
      </c>
      <c r="M60" s="39"/>
      <c r="N60" s="39">
        <v>33104</v>
      </c>
      <c r="O60" s="39"/>
      <c r="P60" s="39">
        <v>31296</v>
      </c>
      <c r="Q60" s="39"/>
      <c r="R60" s="39">
        <v>30291</v>
      </c>
      <c r="S60" s="39"/>
      <c r="T60" s="39">
        <v>29612</v>
      </c>
      <c r="U60" s="39"/>
      <c r="V60" s="39">
        <v>28734</v>
      </c>
      <c r="W60" s="39"/>
      <c r="X60" s="39">
        <v>30788</v>
      </c>
    </row>
    <row r="61" spans="1:24" ht="13" customHeight="1" x14ac:dyDescent="0.15">
      <c r="A61" s="149"/>
      <c r="B61" s="149"/>
      <c r="D61" s="39"/>
      <c r="E61" s="39"/>
      <c r="F61" s="39"/>
      <c r="G61" s="39"/>
      <c r="H61" s="39"/>
      <c r="I61" s="39"/>
      <c r="J61" s="39"/>
      <c r="K61" s="39"/>
      <c r="L61" s="39"/>
      <c r="M61" s="39"/>
      <c r="N61" s="39"/>
      <c r="O61" s="39"/>
      <c r="P61" s="39"/>
      <c r="Q61" s="39"/>
      <c r="R61" s="39"/>
      <c r="S61" s="39"/>
      <c r="T61" s="39"/>
      <c r="U61" s="39"/>
      <c r="V61" s="39"/>
      <c r="W61" s="39"/>
      <c r="X61" s="39"/>
    </row>
    <row r="62" spans="1:24" ht="13" customHeight="1" x14ac:dyDescent="0.15">
      <c r="A62" s="150" t="s">
        <v>405</v>
      </c>
      <c r="B62" s="149"/>
      <c r="D62" s="39"/>
      <c r="E62" s="39"/>
      <c r="F62" s="39"/>
      <c r="G62" s="39"/>
      <c r="H62" s="39"/>
      <c r="I62" s="39"/>
      <c r="J62" s="39"/>
      <c r="K62" s="39"/>
      <c r="L62" s="39"/>
      <c r="M62" s="39"/>
      <c r="N62" s="39"/>
      <c r="O62" s="39"/>
      <c r="P62" s="39"/>
      <c r="Q62" s="39"/>
      <c r="R62" s="39"/>
      <c r="S62" s="39"/>
      <c r="T62" s="39"/>
      <c r="U62" s="39"/>
      <c r="V62" s="39"/>
      <c r="W62" s="39"/>
      <c r="X62" s="39"/>
    </row>
    <row r="63" spans="1:24" ht="13" customHeight="1" x14ac:dyDescent="0.15">
      <c r="A63" s="149" t="s">
        <v>406</v>
      </c>
      <c r="B63" s="149"/>
      <c r="D63" s="39">
        <v>235</v>
      </c>
      <c r="E63" s="39"/>
      <c r="F63" s="39">
        <v>369</v>
      </c>
      <c r="G63" s="39"/>
      <c r="H63" s="39">
        <v>213</v>
      </c>
      <c r="I63" s="39"/>
      <c r="J63" s="39"/>
      <c r="K63" s="39">
        <v>303</v>
      </c>
      <c r="L63" s="39">
        <v>235</v>
      </c>
      <c r="M63" s="39"/>
      <c r="N63" s="39">
        <v>300</v>
      </c>
      <c r="O63" s="39"/>
      <c r="P63" s="39">
        <v>357</v>
      </c>
      <c r="Q63" s="39"/>
      <c r="R63" s="39">
        <v>342</v>
      </c>
      <c r="S63" s="39"/>
      <c r="T63" s="39">
        <v>291</v>
      </c>
      <c r="U63" s="39"/>
      <c r="V63" s="39">
        <v>460</v>
      </c>
      <c r="W63" s="39"/>
      <c r="X63" s="39">
        <v>257</v>
      </c>
    </row>
    <row r="64" spans="1:24" ht="13" customHeight="1" x14ac:dyDescent="0.15">
      <c r="A64" s="149" t="s">
        <v>407</v>
      </c>
      <c r="B64" s="149"/>
      <c r="D64" s="39">
        <v>45</v>
      </c>
      <c r="E64" s="39"/>
      <c r="F64" s="39">
        <v>45</v>
      </c>
      <c r="G64" s="39"/>
      <c r="H64" s="39">
        <v>45</v>
      </c>
      <c r="I64" s="39"/>
      <c r="J64" s="39"/>
      <c r="K64" s="39">
        <v>45</v>
      </c>
      <c r="L64" s="39">
        <v>50</v>
      </c>
      <c r="M64" s="39"/>
      <c r="N64" s="39">
        <v>52</v>
      </c>
      <c r="O64" s="39"/>
      <c r="P64" s="39">
        <v>65</v>
      </c>
      <c r="Q64" s="39"/>
      <c r="R64" s="39">
        <v>38</v>
      </c>
      <c r="S64" s="39"/>
      <c r="T64" s="39">
        <v>64</v>
      </c>
      <c r="U64" s="39"/>
      <c r="V64" s="39"/>
      <c r="W64" s="39"/>
      <c r="X64" s="39">
        <v>63</v>
      </c>
    </row>
    <row r="65" spans="1:24" ht="13" customHeight="1" x14ac:dyDescent="0.15">
      <c r="A65" s="149" t="s">
        <v>408</v>
      </c>
      <c r="B65" s="149"/>
      <c r="D65" s="39">
        <v>15497071</v>
      </c>
      <c r="E65" s="39"/>
      <c r="F65" s="39">
        <v>14757134</v>
      </c>
      <c r="G65" s="39"/>
      <c r="H65" s="39">
        <v>16097931</v>
      </c>
      <c r="I65" s="39"/>
      <c r="J65" s="39"/>
      <c r="K65" s="39">
        <v>15222373</v>
      </c>
      <c r="L65" s="39">
        <v>15833124</v>
      </c>
      <c r="M65" s="39"/>
      <c r="N65" s="39">
        <v>17602330</v>
      </c>
      <c r="O65" s="39"/>
      <c r="P65" s="39">
        <v>19766870</v>
      </c>
      <c r="Q65" s="39"/>
      <c r="R65" s="39">
        <v>16171200</v>
      </c>
      <c r="S65" s="39"/>
      <c r="T65" s="39">
        <v>21606589</v>
      </c>
      <c r="U65" s="39"/>
      <c r="V65" s="39">
        <v>23637420</v>
      </c>
      <c r="W65" s="39"/>
      <c r="X65" s="39">
        <v>19724748</v>
      </c>
    </row>
    <row r="66" spans="1:24" x14ac:dyDescent="0.15">
      <c r="A66" s="149" t="s">
        <v>409</v>
      </c>
      <c r="B66" s="149"/>
      <c r="D66" s="39"/>
      <c r="E66" s="39"/>
      <c r="F66" s="39"/>
      <c r="G66" s="39"/>
      <c r="H66" s="39"/>
      <c r="I66" s="39"/>
      <c r="J66" s="39"/>
      <c r="K66" s="39"/>
      <c r="L66" s="39"/>
      <c r="M66" s="39"/>
      <c r="N66" s="39"/>
      <c r="O66" s="39"/>
      <c r="P66" s="39"/>
      <c r="Q66" s="39"/>
      <c r="R66" s="39"/>
      <c r="S66" s="39"/>
      <c r="T66" s="39"/>
      <c r="U66" s="39"/>
      <c r="V66" s="39"/>
      <c r="W66" s="39"/>
      <c r="X66" s="39"/>
    </row>
    <row r="67" spans="1:24" x14ac:dyDescent="0.15">
      <c r="A67" s="149" t="s">
        <v>410</v>
      </c>
      <c r="B67" s="149"/>
      <c r="D67" s="39">
        <v>42458</v>
      </c>
      <c r="E67" s="39"/>
      <c r="F67" s="39">
        <v>40431</v>
      </c>
      <c r="G67" s="39"/>
      <c r="H67" s="39">
        <v>43942</v>
      </c>
      <c r="I67" s="39"/>
      <c r="J67" s="39"/>
      <c r="K67" s="39">
        <v>41705</v>
      </c>
      <c r="L67" s="39">
        <v>43378</v>
      </c>
      <c r="M67" s="39"/>
      <c r="N67" s="39">
        <v>48225</v>
      </c>
      <c r="O67" s="39"/>
      <c r="P67" s="39">
        <v>54155</v>
      </c>
      <c r="Q67" s="39"/>
      <c r="R67" s="39">
        <v>59377</v>
      </c>
      <c r="S67" s="39"/>
      <c r="T67" s="39">
        <v>59190</v>
      </c>
      <c r="U67" s="39"/>
      <c r="V67" s="39">
        <v>64760.054794520547</v>
      </c>
      <c r="W67" s="39"/>
      <c r="X67" s="39">
        <v>54040</v>
      </c>
    </row>
    <row r="68" spans="1:24" x14ac:dyDescent="0.15">
      <c r="A68" s="149" t="s">
        <v>411</v>
      </c>
      <c r="B68" s="149"/>
      <c r="D68" s="39"/>
      <c r="E68" s="39"/>
      <c r="F68" s="39"/>
      <c r="G68" s="39"/>
      <c r="H68" s="39"/>
      <c r="I68" s="39"/>
      <c r="J68" s="39"/>
      <c r="K68" s="39"/>
      <c r="L68" s="39"/>
      <c r="M68" s="39"/>
      <c r="N68" s="39"/>
      <c r="O68" s="39"/>
      <c r="P68" s="39"/>
      <c r="Q68" s="39"/>
      <c r="R68" s="39"/>
      <c r="S68" s="39"/>
      <c r="T68" s="39"/>
      <c r="U68" s="39"/>
      <c r="V68" s="39"/>
      <c r="W68" s="39"/>
      <c r="X68" s="39"/>
    </row>
    <row r="69" spans="1:24" x14ac:dyDescent="0.15">
      <c r="A69" s="149" t="s">
        <v>410</v>
      </c>
      <c r="B69" s="149"/>
      <c r="D69" s="39">
        <v>10089</v>
      </c>
      <c r="E69" s="39"/>
      <c r="F69" s="39">
        <v>8385</v>
      </c>
      <c r="G69" s="39"/>
      <c r="H69" s="39">
        <v>10985</v>
      </c>
      <c r="I69" s="39"/>
      <c r="J69" s="39"/>
      <c r="K69" s="39">
        <v>11000</v>
      </c>
      <c r="L69" s="39">
        <v>9083</v>
      </c>
      <c r="M69" s="39"/>
      <c r="N69" s="39">
        <v>11094</v>
      </c>
      <c r="O69" s="39"/>
      <c r="P69" s="39">
        <v>14011</v>
      </c>
      <c r="Q69" s="39"/>
      <c r="R69" s="39">
        <v>9160</v>
      </c>
      <c r="S69" s="39"/>
      <c r="T69" s="39">
        <v>8429</v>
      </c>
      <c r="U69" s="39"/>
      <c r="V69" s="39">
        <v>14309</v>
      </c>
      <c r="W69" s="39"/>
      <c r="X69" s="39">
        <v>10730</v>
      </c>
    </row>
    <row r="70" spans="1:24" x14ac:dyDescent="0.15">
      <c r="A70" s="149" t="s">
        <v>412</v>
      </c>
      <c r="B70" s="149"/>
      <c r="D70" s="39">
        <v>13324</v>
      </c>
      <c r="E70" s="39"/>
      <c r="F70" s="39">
        <v>13570</v>
      </c>
      <c r="G70" s="39"/>
      <c r="H70" s="39">
        <v>13877</v>
      </c>
      <c r="I70" s="39"/>
      <c r="J70" s="39"/>
      <c r="K70" s="39">
        <v>14124</v>
      </c>
      <c r="L70" s="39">
        <v>14678</v>
      </c>
      <c r="M70" s="39"/>
      <c r="N70" s="39">
        <v>16434</v>
      </c>
      <c r="O70" s="39"/>
      <c r="P70" s="39">
        <v>13683</v>
      </c>
      <c r="Q70" s="39"/>
      <c r="R70" s="39">
        <v>15524</v>
      </c>
      <c r="S70" s="39"/>
      <c r="T70" s="39">
        <v>15719</v>
      </c>
      <c r="U70" s="39"/>
      <c r="V70" s="39">
        <v>15869</v>
      </c>
      <c r="W70" s="39"/>
      <c r="X70" s="39">
        <v>16504</v>
      </c>
    </row>
    <row r="71" spans="1:24" x14ac:dyDescent="0.15">
      <c r="A71" s="155" t="s">
        <v>413</v>
      </c>
      <c r="B71" s="149"/>
      <c r="D71" s="39">
        <v>5467</v>
      </c>
      <c r="E71" s="39"/>
      <c r="F71" s="39">
        <v>5135</v>
      </c>
      <c r="G71" s="39"/>
      <c r="H71" s="39">
        <v>5352</v>
      </c>
      <c r="I71" s="39"/>
      <c r="J71" s="39"/>
      <c r="K71" s="39">
        <v>5244</v>
      </c>
      <c r="L71" s="39">
        <v>5294</v>
      </c>
      <c r="M71" s="39"/>
      <c r="N71" s="39">
        <v>4587</v>
      </c>
      <c r="O71" s="39"/>
      <c r="P71" s="39">
        <v>5600</v>
      </c>
      <c r="Q71" s="39"/>
      <c r="R71" s="39">
        <v>101955</v>
      </c>
      <c r="S71" s="39"/>
      <c r="T71" s="39">
        <v>133143</v>
      </c>
      <c r="U71" s="39"/>
      <c r="V71" s="39">
        <v>5156</v>
      </c>
      <c r="W71" s="39"/>
      <c r="X71" s="39">
        <v>1195</v>
      </c>
    </row>
    <row r="72" spans="1:24" x14ac:dyDescent="0.15">
      <c r="A72" s="149"/>
      <c r="B72" s="149"/>
      <c r="D72" s="39"/>
      <c r="E72" s="39"/>
      <c r="F72" s="39"/>
      <c r="G72" s="39"/>
      <c r="H72" s="39"/>
      <c r="I72" s="39"/>
      <c r="J72" s="39"/>
      <c r="K72" s="39"/>
      <c r="L72" s="39"/>
      <c r="M72" s="39"/>
      <c r="N72" s="39"/>
      <c r="O72" s="39"/>
      <c r="P72" s="39"/>
      <c r="Q72" s="39"/>
      <c r="R72" s="39"/>
      <c r="S72" s="39"/>
      <c r="T72" s="39"/>
      <c r="U72" s="39"/>
      <c r="V72" s="39"/>
      <c r="W72" s="39"/>
      <c r="X72" s="39"/>
    </row>
    <row r="73" spans="1:24" x14ac:dyDescent="0.15">
      <c r="A73" s="150" t="s">
        <v>10</v>
      </c>
      <c r="B73" s="149"/>
      <c r="D73" s="39"/>
      <c r="E73" s="39"/>
      <c r="F73" s="39"/>
      <c r="G73" s="39"/>
      <c r="H73" s="39"/>
      <c r="I73" s="39"/>
      <c r="J73" s="39"/>
      <c r="K73" s="39"/>
      <c r="L73" s="39"/>
      <c r="M73" s="39"/>
      <c r="N73" s="39"/>
      <c r="O73" s="39"/>
      <c r="P73" s="39"/>
      <c r="Q73" s="39"/>
      <c r="R73" s="39"/>
      <c r="S73" s="39"/>
      <c r="T73" s="39"/>
      <c r="U73" s="39"/>
      <c r="V73" s="39"/>
      <c r="W73" s="39"/>
      <c r="X73" s="39"/>
    </row>
    <row r="74" spans="1:24" x14ac:dyDescent="0.15">
      <c r="A74" s="149" t="s">
        <v>412</v>
      </c>
      <c r="B74" s="149"/>
      <c r="D74" s="39">
        <v>11748</v>
      </c>
      <c r="E74" s="39"/>
      <c r="F74" s="39">
        <v>12058</v>
      </c>
      <c r="G74" s="39"/>
      <c r="H74" s="39">
        <v>12282</v>
      </c>
      <c r="I74" s="39"/>
      <c r="J74" s="39"/>
      <c r="K74" s="39">
        <v>12398</v>
      </c>
      <c r="L74" s="39">
        <v>12866</v>
      </c>
      <c r="M74" s="39"/>
      <c r="N74" s="39">
        <v>12853</v>
      </c>
      <c r="O74" s="39"/>
      <c r="P74" s="39">
        <v>13112</v>
      </c>
      <c r="Q74" s="39"/>
      <c r="R74" s="39">
        <v>10879</v>
      </c>
      <c r="S74" s="39"/>
      <c r="T74" s="39">
        <v>11954</v>
      </c>
      <c r="U74" s="39"/>
      <c r="V74" s="39">
        <v>13016</v>
      </c>
      <c r="W74" s="39"/>
      <c r="X74" s="39">
        <v>14181</v>
      </c>
    </row>
    <row r="75" spans="1:24" x14ac:dyDescent="0.15">
      <c r="A75" s="149"/>
      <c r="B75" s="149"/>
      <c r="D75" s="39"/>
      <c r="E75" s="39"/>
      <c r="F75" s="39"/>
      <c r="G75" s="39"/>
      <c r="H75" s="39"/>
      <c r="I75" s="39"/>
      <c r="J75" s="39"/>
      <c r="K75" s="39"/>
      <c r="L75" s="39"/>
      <c r="M75" s="39"/>
      <c r="N75" s="39"/>
      <c r="O75" s="39"/>
      <c r="P75" s="39"/>
      <c r="Q75" s="39"/>
      <c r="R75" s="39"/>
      <c r="S75" s="39"/>
      <c r="T75" s="39"/>
      <c r="U75" s="39"/>
      <c r="V75" s="39"/>
      <c r="W75" s="39"/>
      <c r="X75" s="39"/>
    </row>
    <row r="76" spans="1:24" x14ac:dyDescent="0.15">
      <c r="A76" s="150" t="s">
        <v>414</v>
      </c>
      <c r="B76" s="149"/>
      <c r="D76" s="39"/>
      <c r="E76" s="39"/>
      <c r="F76" s="39"/>
      <c r="G76" s="39"/>
      <c r="H76" s="39"/>
      <c r="I76" s="39"/>
      <c r="J76" s="39"/>
      <c r="K76" s="39"/>
      <c r="L76" s="39"/>
      <c r="M76" s="39"/>
      <c r="N76" s="39"/>
      <c r="O76" s="39"/>
      <c r="P76" s="39"/>
      <c r="Q76" s="39"/>
      <c r="R76" s="39"/>
      <c r="S76" s="39"/>
      <c r="T76" s="39"/>
      <c r="U76" s="39"/>
      <c r="V76" s="39"/>
      <c r="W76" s="39"/>
      <c r="X76" s="39"/>
    </row>
    <row r="77" spans="1:24" x14ac:dyDescent="0.15">
      <c r="A77" s="149" t="s">
        <v>415</v>
      </c>
      <c r="B77" s="149"/>
      <c r="D77" s="39">
        <v>19</v>
      </c>
      <c r="E77" s="39"/>
      <c r="F77" s="39">
        <v>21</v>
      </c>
      <c r="G77" s="39"/>
      <c r="H77" s="39">
        <v>21</v>
      </c>
      <c r="I77" s="39"/>
      <c r="J77" s="39"/>
      <c r="K77" s="39">
        <v>21</v>
      </c>
      <c r="L77" s="39">
        <v>25</v>
      </c>
      <c r="M77" s="39"/>
      <c r="N77" s="39">
        <v>26</v>
      </c>
      <c r="O77" s="39"/>
      <c r="P77" s="39">
        <v>27</v>
      </c>
      <c r="Q77" s="39"/>
      <c r="R77" s="39">
        <v>26</v>
      </c>
      <c r="S77" s="39"/>
      <c r="T77" s="39">
        <v>28</v>
      </c>
      <c r="U77" s="39"/>
      <c r="V77" s="39">
        <v>24</v>
      </c>
      <c r="W77" s="39"/>
      <c r="X77" s="39">
        <v>24</v>
      </c>
    </row>
    <row r="78" spans="1:24" x14ac:dyDescent="0.15">
      <c r="A78" s="149" t="s">
        <v>416</v>
      </c>
      <c r="B78" s="149"/>
      <c r="D78" s="39">
        <v>166591</v>
      </c>
      <c r="E78" s="39"/>
      <c r="F78" s="39">
        <v>234202</v>
      </c>
      <c r="G78" s="39"/>
      <c r="H78" s="39">
        <v>234202</v>
      </c>
      <c r="I78" s="39"/>
      <c r="J78" s="39"/>
      <c r="K78" s="39">
        <v>234202</v>
      </c>
      <c r="L78" s="39">
        <v>245218</v>
      </c>
      <c r="M78" s="39"/>
      <c r="N78" s="39">
        <v>257218</v>
      </c>
      <c r="O78" s="39"/>
      <c r="P78" s="39">
        <v>257218</v>
      </c>
      <c r="Q78" s="39"/>
      <c r="R78" s="39">
        <v>257218</v>
      </c>
      <c r="S78" s="39"/>
      <c r="T78" s="39">
        <v>257218</v>
      </c>
      <c r="U78" s="39"/>
      <c r="V78" s="39">
        <v>273970</v>
      </c>
      <c r="W78" s="39"/>
      <c r="X78" s="39">
        <v>273970</v>
      </c>
    </row>
    <row r="79" spans="1:24" x14ac:dyDescent="0.15">
      <c r="A79" s="149"/>
      <c r="B79" s="149"/>
      <c r="D79" s="39"/>
      <c r="E79" s="39"/>
      <c r="F79" s="39"/>
      <c r="G79" s="39"/>
      <c r="H79" s="39"/>
      <c r="I79" s="39"/>
      <c r="J79" s="39"/>
      <c r="K79" s="39"/>
      <c r="L79" s="39"/>
      <c r="M79" s="39"/>
      <c r="N79" s="39"/>
      <c r="O79" s="39"/>
      <c r="P79" s="39"/>
      <c r="Q79" s="39"/>
      <c r="R79" s="39"/>
      <c r="S79" s="39"/>
      <c r="T79" s="39"/>
      <c r="U79" s="39"/>
      <c r="V79" s="39"/>
      <c r="W79" s="39"/>
      <c r="X79" s="39"/>
    </row>
    <row r="80" spans="1:24" x14ac:dyDescent="0.15">
      <c r="A80" s="149" t="s">
        <v>417</v>
      </c>
      <c r="B80" s="149"/>
      <c r="D80" s="39"/>
      <c r="E80" s="39"/>
      <c r="F80" s="39"/>
      <c r="G80" s="39"/>
      <c r="H80" s="39"/>
      <c r="I80" s="39"/>
      <c r="J80" s="39"/>
      <c r="K80" s="39"/>
      <c r="L80" s="39"/>
      <c r="M80" s="39"/>
      <c r="N80" s="39"/>
      <c r="O80" s="39"/>
      <c r="P80" s="39"/>
      <c r="Q80" s="39"/>
      <c r="R80" s="39"/>
      <c r="S80" s="39"/>
      <c r="T80" s="39"/>
      <c r="U80" s="39"/>
      <c r="V80" s="39"/>
      <c r="W80" s="39"/>
      <c r="X80" s="39"/>
    </row>
    <row r="81" spans="24:24" x14ac:dyDescent="0.15">
      <c r="X81" s="2" t="s">
        <v>308</v>
      </c>
    </row>
  </sheetData>
  <mergeCells count="5">
    <mergeCell ref="A1:K1"/>
    <mergeCell ref="A3:K3"/>
    <mergeCell ref="A5:K5"/>
    <mergeCell ref="D9:K9"/>
    <mergeCell ref="L9:V9"/>
  </mergeCells>
  <pageMargins left="0.75" right="0.75" top="0.5" bottom="1" header="0.5" footer="0.5"/>
  <pageSetup scale="81" firstPageNumber="115" pageOrder="overThenDown" orientation="portrait" useFirstPageNumber="1" r:id="rId1"/>
  <headerFooter differentOddEven="1" alignWithMargins="0">
    <oddFooter>&amp;C&amp;"Verdana,Bold"&amp;9&amp;P</oddFooter>
    <evenHeader>&amp;R&amp;"Verdana,Bold"&amp;9TABLE 20</evenHeader>
    <evenFooter>&amp;C&amp;"Verdana,Bold"&amp;9&amp;P</evenFooter>
  </headerFooter>
  <rowBreaks count="1" manualBreakCount="1">
    <brk id="61" max="16383" man="1"/>
  </rowBreaks>
  <colBreaks count="1" manualBreakCount="1">
    <brk id="15" max="79" man="1"/>
  </colBreaks>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3E79-48FF-48CD-95AC-8B0875DFD692}">
  <sheetPr>
    <tabColor theme="4" tint="0.59999389629810485"/>
  </sheetPr>
  <dimension ref="A1:AB67"/>
  <sheetViews>
    <sheetView view="pageBreakPreview" zoomScale="80" zoomScaleNormal="100" zoomScaleSheetLayoutView="80" workbookViewId="0">
      <pane xSplit="1" ySplit="1" topLeftCell="B2" activePane="bottomRight" state="frozen"/>
      <selection pane="topRight" activeCell="U25" sqref="U25"/>
      <selection pane="bottomLeft" activeCell="U25" sqref="U25"/>
      <selection pane="bottomRight" activeCell="X57" sqref="X57"/>
    </sheetView>
  </sheetViews>
  <sheetFormatPr baseColWidth="10" defaultColWidth="15.6640625" defaultRowHeight="12" x14ac:dyDescent="0.15"/>
  <cols>
    <col min="1" max="1" width="29.6640625" style="2" customWidth="1"/>
    <col min="2" max="2" width="1" style="2" customWidth="1"/>
    <col min="3" max="3" width="13.6640625" style="2" hidden="1" customWidth="1"/>
    <col min="4" max="4" width="5.83203125" style="2" customWidth="1"/>
    <col min="5" max="5" width="13.6640625" style="2" hidden="1" customWidth="1"/>
    <col min="6" max="6" width="1.6640625" style="2" hidden="1" customWidth="1"/>
    <col min="7" max="7" width="13.6640625" style="2" customWidth="1"/>
    <col min="8" max="8" width="1.6640625" style="2" customWidth="1"/>
    <col min="9" max="9" width="13.6640625" style="2" customWidth="1"/>
    <col min="10" max="10" width="1" style="2" customWidth="1"/>
    <col min="11" max="12" width="13.6640625" style="2" customWidth="1"/>
    <col min="13" max="13" width="1.6640625" style="2" customWidth="1"/>
    <col min="14" max="14" width="13.6640625" style="2" customWidth="1"/>
    <col min="15" max="15" width="1.6640625" style="2" customWidth="1"/>
    <col min="16" max="16" width="13.6640625" style="2" customWidth="1"/>
    <col min="17" max="17" width="1.6640625" style="2" customWidth="1"/>
    <col min="18" max="18" width="13.6640625" style="2" customWidth="1"/>
    <col min="19" max="19" width="1.6640625" style="2" customWidth="1"/>
    <col min="20" max="20" width="13.6640625" style="2" customWidth="1"/>
    <col min="21" max="21" width="1.6640625" style="2" customWidth="1"/>
    <col min="22" max="22" width="13.6640625" style="2" customWidth="1"/>
    <col min="23" max="23" width="1.6640625" style="2" customWidth="1"/>
    <col min="24" max="24" width="13.6640625" style="2" customWidth="1"/>
    <col min="25" max="25" width="10.6640625" style="2" customWidth="1"/>
    <col min="26" max="26" width="1.6640625" style="2" customWidth="1"/>
    <col min="27" max="16384" width="15.6640625" style="2"/>
  </cols>
  <sheetData>
    <row r="1" spans="1:24" x14ac:dyDescent="0.15">
      <c r="A1" s="176" t="s">
        <v>0</v>
      </c>
      <c r="B1" s="176"/>
      <c r="C1" s="176"/>
      <c r="D1" s="176"/>
      <c r="E1" s="176"/>
      <c r="F1" s="176"/>
      <c r="G1" s="176"/>
      <c r="H1" s="176"/>
      <c r="I1" s="176"/>
      <c r="J1" s="176"/>
      <c r="K1" s="176"/>
    </row>
    <row r="3" spans="1:24" x14ac:dyDescent="0.15">
      <c r="A3" s="177" t="s">
        <v>418</v>
      </c>
      <c r="B3" s="177"/>
      <c r="C3" s="177"/>
      <c r="D3" s="177"/>
      <c r="E3" s="177"/>
      <c r="F3" s="177"/>
      <c r="G3" s="177"/>
      <c r="H3" s="177"/>
      <c r="I3" s="177"/>
      <c r="J3" s="177"/>
      <c r="K3" s="177"/>
    </row>
    <row r="5" spans="1:24" x14ac:dyDescent="0.15">
      <c r="A5" s="177" t="s">
        <v>2</v>
      </c>
      <c r="B5" s="177"/>
      <c r="C5" s="177"/>
      <c r="D5" s="177"/>
      <c r="E5" s="177"/>
      <c r="F5" s="177"/>
      <c r="G5" s="177"/>
      <c r="H5" s="177"/>
      <c r="I5" s="177"/>
      <c r="J5" s="177"/>
      <c r="K5" s="177"/>
    </row>
    <row r="9" spans="1:24" ht="15" customHeight="1" x14ac:dyDescent="0.15">
      <c r="A9" s="27"/>
      <c r="B9" s="27"/>
      <c r="C9" s="116" t="s">
        <v>152</v>
      </c>
      <c r="D9" s="117"/>
      <c r="E9" s="186" t="s">
        <v>152</v>
      </c>
      <c r="F9" s="186"/>
      <c r="G9" s="186"/>
      <c r="H9" s="186"/>
      <c r="I9" s="186"/>
      <c r="J9" s="186"/>
      <c r="K9" s="186"/>
      <c r="L9" s="186" t="s">
        <v>152</v>
      </c>
      <c r="M9" s="186"/>
      <c r="N9" s="186"/>
      <c r="O9" s="186"/>
      <c r="P9" s="186"/>
      <c r="Q9" s="186"/>
      <c r="R9" s="186"/>
      <c r="S9" s="186"/>
      <c r="T9" s="186"/>
      <c r="U9" s="186"/>
      <c r="V9" s="186"/>
      <c r="W9" s="174"/>
      <c r="X9" s="174"/>
    </row>
    <row r="10" spans="1:24" ht="12" customHeight="1" x14ac:dyDescent="0.15">
      <c r="A10" s="116" t="s">
        <v>321</v>
      </c>
      <c r="B10" s="118"/>
      <c r="C10" s="174">
        <v>2011</v>
      </c>
      <c r="D10" s="27"/>
      <c r="E10" s="174">
        <v>2014</v>
      </c>
      <c r="F10" s="27"/>
      <c r="G10" s="174">
        <v>2015</v>
      </c>
      <c r="H10" s="27"/>
      <c r="I10" s="174">
        <v>2016</v>
      </c>
      <c r="J10" s="27"/>
      <c r="K10" s="174">
        <v>2017</v>
      </c>
      <c r="L10" s="174">
        <v>2018</v>
      </c>
      <c r="M10" s="27"/>
      <c r="N10" s="172">
        <v>2019</v>
      </c>
      <c r="P10" s="172">
        <v>2020</v>
      </c>
      <c r="R10" s="172">
        <v>2021</v>
      </c>
      <c r="T10" s="172">
        <v>2022</v>
      </c>
      <c r="V10" s="172">
        <v>2023</v>
      </c>
      <c r="X10" s="172">
        <v>2024</v>
      </c>
    </row>
    <row r="11" spans="1:24" ht="12" customHeight="1" x14ac:dyDescent="0.15">
      <c r="A11" s="161" t="s">
        <v>372</v>
      </c>
      <c r="B11" s="156"/>
      <c r="D11" s="27"/>
      <c r="F11" s="27"/>
      <c r="H11" s="27"/>
      <c r="J11" s="27"/>
      <c r="M11" s="27"/>
    </row>
    <row r="12" spans="1:24" ht="12" customHeight="1" x14ac:dyDescent="0.15">
      <c r="A12" s="156" t="s">
        <v>419</v>
      </c>
      <c r="B12" s="156"/>
      <c r="C12" s="28">
        <v>1</v>
      </c>
      <c r="D12" s="27"/>
      <c r="E12" s="28">
        <v>1</v>
      </c>
      <c r="F12" s="27"/>
      <c r="G12" s="28">
        <v>1</v>
      </c>
      <c r="H12" s="27"/>
      <c r="I12" s="28">
        <v>1</v>
      </c>
      <c r="J12" s="27"/>
      <c r="K12" s="28">
        <v>1</v>
      </c>
      <c r="L12" s="28">
        <v>1</v>
      </c>
      <c r="M12" s="27"/>
      <c r="N12" s="28">
        <v>1</v>
      </c>
      <c r="P12" s="28">
        <v>1</v>
      </c>
      <c r="R12" s="28">
        <v>1</v>
      </c>
      <c r="T12" s="28">
        <v>1</v>
      </c>
      <c r="V12" s="28">
        <v>1</v>
      </c>
      <c r="X12" s="28">
        <v>1</v>
      </c>
    </row>
    <row r="13" spans="1:24" ht="12" customHeight="1" x14ac:dyDescent="0.15">
      <c r="A13" s="156" t="s">
        <v>420</v>
      </c>
      <c r="B13" s="156"/>
      <c r="C13" s="28">
        <v>42</v>
      </c>
      <c r="D13" s="27"/>
      <c r="E13" s="28">
        <v>42</v>
      </c>
      <c r="F13" s="27"/>
      <c r="G13" s="28">
        <v>48</v>
      </c>
      <c r="H13" s="27"/>
      <c r="I13" s="28">
        <v>50</v>
      </c>
      <c r="J13" s="27"/>
      <c r="K13" s="28">
        <v>64</v>
      </c>
      <c r="L13" s="28">
        <v>69</v>
      </c>
      <c r="M13" s="27"/>
      <c r="N13" s="28">
        <v>68</v>
      </c>
      <c r="P13" s="28">
        <v>72</v>
      </c>
      <c r="R13" s="28">
        <v>66</v>
      </c>
      <c r="T13" s="28">
        <v>76</v>
      </c>
      <c r="V13" s="28">
        <v>90</v>
      </c>
      <c r="X13" s="28">
        <v>97</v>
      </c>
    </row>
    <row r="14" spans="1:24" ht="5" customHeight="1" x14ac:dyDescent="0.15">
      <c r="A14" s="156"/>
      <c r="B14" s="156"/>
      <c r="C14" s="28"/>
      <c r="D14" s="27"/>
      <c r="E14" s="28"/>
      <c r="F14" s="27"/>
      <c r="G14" s="28"/>
      <c r="H14" s="27"/>
      <c r="I14" s="28"/>
      <c r="J14" s="27"/>
      <c r="K14" s="28"/>
      <c r="L14" s="28"/>
      <c r="M14" s="27"/>
      <c r="N14" s="28"/>
      <c r="P14" s="28"/>
      <c r="R14" s="28"/>
      <c r="T14" s="28"/>
      <c r="V14" s="28"/>
      <c r="X14" s="28"/>
    </row>
    <row r="15" spans="1:24" ht="12" customHeight="1" x14ac:dyDescent="0.15">
      <c r="A15" s="161" t="s">
        <v>377</v>
      </c>
      <c r="B15" s="156"/>
      <c r="C15" s="28"/>
      <c r="D15" s="27"/>
      <c r="E15" s="28"/>
      <c r="F15" s="27"/>
      <c r="G15" s="28"/>
      <c r="H15" s="27"/>
      <c r="I15" s="28"/>
      <c r="J15" s="27"/>
      <c r="K15" s="28"/>
      <c r="L15" s="28"/>
      <c r="M15" s="27"/>
      <c r="N15" s="28"/>
      <c r="P15" s="28"/>
      <c r="R15" s="28"/>
      <c r="T15" s="28"/>
      <c r="V15" s="28"/>
      <c r="X15" s="28"/>
    </row>
    <row r="16" spans="1:24" ht="12" customHeight="1" x14ac:dyDescent="0.15">
      <c r="A16" s="156" t="s">
        <v>419</v>
      </c>
      <c r="B16" s="156"/>
      <c r="C16" s="28">
        <v>2</v>
      </c>
      <c r="D16" s="27"/>
      <c r="E16" s="28">
        <v>2</v>
      </c>
      <c r="F16" s="27"/>
      <c r="G16" s="28">
        <v>2</v>
      </c>
      <c r="H16" s="27"/>
      <c r="I16" s="28">
        <v>2</v>
      </c>
      <c r="J16" s="27"/>
      <c r="K16" s="28">
        <v>2</v>
      </c>
      <c r="L16" s="28">
        <v>3</v>
      </c>
      <c r="M16" s="27"/>
      <c r="N16" s="28">
        <v>3</v>
      </c>
      <c r="P16" s="28">
        <v>3</v>
      </c>
      <c r="R16" s="28">
        <v>3</v>
      </c>
      <c r="T16" s="28">
        <v>3</v>
      </c>
      <c r="V16" s="28">
        <v>3</v>
      </c>
      <c r="X16" s="28">
        <v>3</v>
      </c>
    </row>
    <row r="17" spans="1:28" ht="12" customHeight="1" x14ac:dyDescent="0.15">
      <c r="A17" s="156" t="s">
        <v>421</v>
      </c>
      <c r="B17" s="156"/>
      <c r="C17" s="28">
        <v>13</v>
      </c>
      <c r="D17" s="27"/>
      <c r="E17" s="28">
        <v>0</v>
      </c>
      <c r="F17" s="27"/>
      <c r="G17" s="28">
        <v>0</v>
      </c>
      <c r="H17" s="27"/>
      <c r="I17" s="28">
        <v>0</v>
      </c>
      <c r="J17" s="27"/>
      <c r="K17" s="28">
        <v>0</v>
      </c>
      <c r="L17" s="28">
        <v>0</v>
      </c>
      <c r="M17" s="27"/>
      <c r="N17" s="28">
        <v>0</v>
      </c>
      <c r="P17" s="28">
        <v>0</v>
      </c>
      <c r="R17" s="28">
        <v>0</v>
      </c>
      <c r="T17" s="28">
        <v>0</v>
      </c>
      <c r="V17" s="28">
        <v>0</v>
      </c>
      <c r="X17" s="28">
        <v>0</v>
      </c>
      <c r="AB17" s="162"/>
    </row>
    <row r="18" spans="1:28" ht="12" customHeight="1" x14ac:dyDescent="0.15">
      <c r="A18" s="156" t="s">
        <v>422</v>
      </c>
      <c r="B18" s="156"/>
      <c r="C18" s="28"/>
      <c r="D18" s="27"/>
      <c r="E18" s="28">
        <v>15</v>
      </c>
      <c r="F18" s="27"/>
      <c r="G18" s="28">
        <v>16</v>
      </c>
      <c r="H18" s="27"/>
      <c r="I18" s="28">
        <v>16</v>
      </c>
      <c r="J18" s="27"/>
      <c r="K18" s="28">
        <v>16</v>
      </c>
      <c r="L18" s="28">
        <v>18</v>
      </c>
      <c r="M18" s="27"/>
      <c r="N18" s="28">
        <v>19</v>
      </c>
      <c r="P18" s="28">
        <v>20</v>
      </c>
      <c r="R18" s="28">
        <v>20</v>
      </c>
      <c r="T18" s="28">
        <v>24</v>
      </c>
      <c r="V18" s="28">
        <v>24</v>
      </c>
      <c r="X18" s="28">
        <v>25</v>
      </c>
    </row>
    <row r="19" spans="1:28" ht="5" customHeight="1" x14ac:dyDescent="0.15">
      <c r="A19" s="156"/>
      <c r="B19" s="156"/>
      <c r="C19" s="28"/>
      <c r="D19" s="27"/>
      <c r="E19" s="28"/>
      <c r="F19" s="27"/>
      <c r="G19" s="28"/>
      <c r="H19" s="27"/>
      <c r="I19" s="28"/>
      <c r="J19" s="27"/>
      <c r="K19" s="28"/>
      <c r="L19" s="28"/>
      <c r="M19" s="27"/>
      <c r="N19" s="28"/>
      <c r="P19" s="28"/>
      <c r="R19" s="28"/>
      <c r="T19" s="28"/>
      <c r="V19" s="28"/>
      <c r="X19" s="28"/>
    </row>
    <row r="20" spans="1:28" ht="12" customHeight="1" x14ac:dyDescent="0.15">
      <c r="A20" s="161" t="s">
        <v>361</v>
      </c>
      <c r="B20" s="156"/>
      <c r="C20" s="28">
        <v>6</v>
      </c>
      <c r="D20" s="27"/>
      <c r="E20" s="28"/>
      <c r="F20" s="27"/>
      <c r="G20" s="28"/>
      <c r="H20" s="27"/>
      <c r="I20" s="28"/>
      <c r="J20" s="27"/>
      <c r="K20" s="28"/>
      <c r="L20" s="28"/>
      <c r="M20" s="27"/>
      <c r="N20" s="28"/>
      <c r="P20" s="28"/>
      <c r="R20" s="28"/>
      <c r="T20" s="28"/>
      <c r="V20" s="28"/>
      <c r="X20" s="28"/>
    </row>
    <row r="21" spans="1:28" ht="12" customHeight="1" x14ac:dyDescent="0.15">
      <c r="A21" s="156" t="s">
        <v>423</v>
      </c>
      <c r="B21" s="156"/>
      <c r="C21" s="28"/>
      <c r="D21" s="27"/>
      <c r="E21" s="28">
        <v>7</v>
      </c>
      <c r="F21" s="27"/>
      <c r="G21" s="28">
        <v>9</v>
      </c>
      <c r="H21" s="27"/>
      <c r="I21" s="28">
        <v>9</v>
      </c>
      <c r="J21" s="27"/>
      <c r="K21" s="28">
        <v>8</v>
      </c>
      <c r="L21" s="28">
        <v>8</v>
      </c>
      <c r="M21" s="27"/>
      <c r="N21" s="28">
        <v>9</v>
      </c>
      <c r="P21" s="28">
        <v>9</v>
      </c>
      <c r="R21" s="28">
        <v>10</v>
      </c>
      <c r="T21" s="28">
        <v>11</v>
      </c>
      <c r="V21" s="28">
        <v>12</v>
      </c>
      <c r="X21" s="28">
        <v>13</v>
      </c>
    </row>
    <row r="22" spans="1:28" ht="5" customHeight="1" x14ac:dyDescent="0.15">
      <c r="A22" s="156"/>
      <c r="B22" s="156"/>
      <c r="C22" s="28"/>
      <c r="D22" s="27"/>
      <c r="E22" s="28"/>
      <c r="F22" s="27"/>
      <c r="G22" s="28"/>
      <c r="H22" s="27"/>
      <c r="I22" s="28"/>
      <c r="J22" s="27"/>
      <c r="K22" s="28"/>
      <c r="L22" s="28"/>
      <c r="M22" s="27"/>
      <c r="N22" s="28"/>
      <c r="P22" s="28"/>
      <c r="R22" s="28"/>
      <c r="T22" s="28"/>
      <c r="V22" s="28"/>
      <c r="X22" s="28"/>
    </row>
    <row r="23" spans="1:28" ht="12" customHeight="1" x14ac:dyDescent="0.15">
      <c r="A23" s="161" t="s">
        <v>386</v>
      </c>
      <c r="B23" s="156"/>
      <c r="C23" s="28">
        <v>8</v>
      </c>
      <c r="D23" s="27"/>
      <c r="E23" s="28"/>
      <c r="F23" s="27"/>
      <c r="G23" s="28"/>
      <c r="H23" s="27"/>
      <c r="I23" s="28"/>
      <c r="J23" s="27"/>
      <c r="K23" s="28"/>
      <c r="L23" s="28"/>
      <c r="M23" s="27"/>
      <c r="N23" s="28"/>
      <c r="P23" s="28"/>
      <c r="R23" s="28"/>
      <c r="T23" s="28"/>
      <c r="V23" s="28"/>
      <c r="X23" s="28"/>
    </row>
    <row r="24" spans="1:28" ht="12" customHeight="1" x14ac:dyDescent="0.15">
      <c r="A24" s="156" t="s">
        <v>424</v>
      </c>
      <c r="B24" s="156"/>
      <c r="C24" s="28"/>
      <c r="D24" s="27"/>
      <c r="E24" s="28">
        <v>7</v>
      </c>
      <c r="F24" s="27"/>
      <c r="G24" s="28">
        <v>7</v>
      </c>
      <c r="H24" s="27"/>
      <c r="I24" s="28">
        <v>7</v>
      </c>
      <c r="J24" s="27"/>
      <c r="K24" s="28">
        <v>7</v>
      </c>
      <c r="L24" s="28">
        <v>7</v>
      </c>
      <c r="M24" s="27"/>
      <c r="N24" s="28">
        <v>7</v>
      </c>
      <c r="P24" s="28">
        <v>7</v>
      </c>
      <c r="R24" s="28">
        <v>7</v>
      </c>
      <c r="T24" s="28">
        <v>3</v>
      </c>
      <c r="V24" s="157" t="s">
        <v>425</v>
      </c>
      <c r="X24" s="157" t="s">
        <v>425</v>
      </c>
    </row>
    <row r="25" spans="1:28" ht="5" customHeight="1" x14ac:dyDescent="0.15">
      <c r="A25" s="156"/>
      <c r="B25" s="156"/>
      <c r="C25" s="28"/>
      <c r="D25" s="27"/>
      <c r="E25" s="28"/>
      <c r="F25" s="27"/>
      <c r="G25" s="28"/>
      <c r="H25" s="27"/>
      <c r="I25" s="28"/>
      <c r="J25" s="27"/>
      <c r="K25" s="28"/>
      <c r="L25" s="28"/>
      <c r="M25" s="27"/>
      <c r="N25" s="28"/>
      <c r="P25" s="28"/>
      <c r="R25" s="28"/>
      <c r="T25" s="28"/>
      <c r="V25" s="28"/>
      <c r="X25" s="28"/>
    </row>
    <row r="26" spans="1:28" ht="12" customHeight="1" x14ac:dyDescent="0.15">
      <c r="A26" s="161" t="s">
        <v>426</v>
      </c>
      <c r="B26" s="156"/>
      <c r="C26" s="28">
        <v>132</v>
      </c>
      <c r="D26" s="27"/>
      <c r="E26" s="28"/>
      <c r="F26" s="27"/>
      <c r="G26" s="28"/>
      <c r="H26" s="27"/>
      <c r="I26" s="28"/>
      <c r="J26" s="27"/>
      <c r="K26" s="28"/>
      <c r="L26" s="28"/>
      <c r="M26" s="27"/>
      <c r="N26" s="28"/>
      <c r="P26" s="28"/>
      <c r="R26" s="28"/>
      <c r="T26" s="28"/>
      <c r="V26" s="28"/>
      <c r="X26" s="28"/>
    </row>
    <row r="27" spans="1:28" ht="12" customHeight="1" x14ac:dyDescent="0.15">
      <c r="A27" s="156" t="s">
        <v>427</v>
      </c>
      <c r="B27" s="156"/>
      <c r="C27" s="28">
        <v>5</v>
      </c>
      <c r="D27" s="27"/>
      <c r="E27" s="28">
        <v>141</v>
      </c>
      <c r="F27" s="27"/>
      <c r="G27" s="28">
        <v>149.34200000000001</v>
      </c>
      <c r="H27" s="27"/>
      <c r="I27" s="28">
        <v>153</v>
      </c>
      <c r="J27" s="27"/>
      <c r="K27" s="28">
        <v>159</v>
      </c>
      <c r="L27" s="28">
        <v>152.6</v>
      </c>
      <c r="M27" s="27"/>
      <c r="N27" s="28">
        <v>165.4</v>
      </c>
      <c r="P27" s="28">
        <v>165</v>
      </c>
      <c r="R27" s="28">
        <v>167.5</v>
      </c>
      <c r="T27" s="28">
        <v>172.2</v>
      </c>
      <c r="V27" s="28">
        <v>180</v>
      </c>
      <c r="X27" s="28">
        <v>182</v>
      </c>
    </row>
    <row r="28" spans="1:28" ht="12" customHeight="1" x14ac:dyDescent="0.15">
      <c r="A28" s="156" t="s">
        <v>428</v>
      </c>
      <c r="B28" s="156"/>
      <c r="C28" s="28"/>
      <c r="D28" s="27"/>
      <c r="E28" s="28">
        <v>5</v>
      </c>
      <c r="F28" s="27"/>
      <c r="G28" s="28">
        <v>5</v>
      </c>
      <c r="H28" s="27"/>
      <c r="I28" s="28">
        <v>5</v>
      </c>
      <c r="J28" s="27"/>
      <c r="K28" s="28">
        <v>5</v>
      </c>
      <c r="L28" s="28">
        <v>5</v>
      </c>
      <c r="M28" s="27"/>
      <c r="N28" s="28">
        <v>5</v>
      </c>
      <c r="P28" s="28">
        <v>5</v>
      </c>
      <c r="R28" s="28">
        <v>5</v>
      </c>
      <c r="T28" s="28">
        <v>5</v>
      </c>
      <c r="V28" s="28">
        <v>5</v>
      </c>
      <c r="X28" s="28">
        <v>5</v>
      </c>
    </row>
    <row r="29" spans="1:28" ht="12" customHeight="1" x14ac:dyDescent="0.15">
      <c r="A29" s="156" t="s">
        <v>429</v>
      </c>
      <c r="B29" s="156"/>
      <c r="C29" s="28"/>
      <c r="D29" s="27"/>
      <c r="E29" s="28"/>
      <c r="F29" s="27"/>
      <c r="G29" s="28"/>
      <c r="H29" s="27"/>
      <c r="I29" s="28"/>
      <c r="J29" s="27"/>
      <c r="K29" s="28"/>
      <c r="L29" s="28"/>
      <c r="M29" s="27"/>
      <c r="N29" s="28"/>
      <c r="P29" s="28"/>
      <c r="R29" s="28"/>
      <c r="T29" s="28"/>
      <c r="V29" s="28"/>
      <c r="X29" s="28"/>
    </row>
    <row r="30" spans="1:28" ht="5" customHeight="1" x14ac:dyDescent="0.15">
      <c r="A30" s="156"/>
      <c r="B30" s="156"/>
      <c r="C30" s="28">
        <v>17</v>
      </c>
      <c r="D30" s="27"/>
      <c r="E30" s="28"/>
      <c r="F30" s="27"/>
      <c r="G30" s="28"/>
      <c r="H30" s="27"/>
      <c r="I30" s="28"/>
      <c r="J30" s="27"/>
      <c r="K30" s="28"/>
      <c r="L30" s="28"/>
      <c r="M30" s="27"/>
      <c r="N30" s="28"/>
      <c r="P30" s="28"/>
      <c r="R30" s="28"/>
      <c r="T30" s="28"/>
      <c r="V30" s="28"/>
      <c r="X30" s="28"/>
    </row>
    <row r="31" spans="1:28" ht="12" customHeight="1" x14ac:dyDescent="0.15">
      <c r="A31" s="161" t="s">
        <v>430</v>
      </c>
      <c r="B31" s="156"/>
      <c r="C31" s="28">
        <v>4</v>
      </c>
      <c r="D31" s="27"/>
      <c r="E31" s="28"/>
      <c r="F31" s="27"/>
      <c r="G31" s="28"/>
      <c r="H31" s="27"/>
      <c r="I31" s="28"/>
      <c r="J31" s="27"/>
      <c r="K31" s="28"/>
      <c r="L31" s="28"/>
      <c r="M31" s="27"/>
      <c r="N31" s="28"/>
      <c r="P31" s="28"/>
      <c r="R31" s="28"/>
      <c r="T31" s="28"/>
      <c r="V31" s="28"/>
      <c r="X31" s="28"/>
    </row>
    <row r="32" spans="1:28" ht="12" customHeight="1" x14ac:dyDescent="0.15">
      <c r="A32" s="74" t="s">
        <v>431</v>
      </c>
      <c r="B32" s="156"/>
      <c r="C32" s="28">
        <v>15</v>
      </c>
      <c r="D32" s="27"/>
      <c r="E32" s="28">
        <v>13</v>
      </c>
      <c r="F32" s="27"/>
      <c r="G32" s="28">
        <v>14</v>
      </c>
      <c r="H32" s="27"/>
      <c r="I32" s="28">
        <v>15</v>
      </c>
      <c r="J32" s="27"/>
      <c r="K32" s="28">
        <v>20</v>
      </c>
      <c r="L32" s="28">
        <v>21</v>
      </c>
      <c r="M32" s="27"/>
      <c r="N32" s="28">
        <v>21</v>
      </c>
      <c r="P32" s="28">
        <v>21</v>
      </c>
      <c r="R32" s="28">
        <v>21</v>
      </c>
      <c r="T32" s="28">
        <v>21</v>
      </c>
      <c r="V32" s="28">
        <v>21</v>
      </c>
      <c r="X32" s="28">
        <v>21</v>
      </c>
    </row>
    <row r="33" spans="1:24" ht="12" customHeight="1" x14ac:dyDescent="0.15">
      <c r="A33" s="74" t="s">
        <v>432</v>
      </c>
      <c r="B33" s="156"/>
      <c r="C33" s="28">
        <v>2</v>
      </c>
      <c r="D33" s="27"/>
      <c r="E33" s="28">
        <v>8</v>
      </c>
      <c r="F33" s="27"/>
      <c r="G33" s="28">
        <v>9</v>
      </c>
      <c r="H33" s="27"/>
      <c r="I33" s="28">
        <v>10</v>
      </c>
      <c r="J33" s="27"/>
      <c r="K33" s="28">
        <v>4</v>
      </c>
      <c r="L33" s="28">
        <v>4</v>
      </c>
      <c r="M33" s="27"/>
      <c r="N33" s="28">
        <v>4</v>
      </c>
      <c r="P33" s="28">
        <v>4</v>
      </c>
      <c r="R33" s="28">
        <v>5</v>
      </c>
      <c r="T33" s="28">
        <v>5</v>
      </c>
      <c r="V33" s="28">
        <v>5</v>
      </c>
      <c r="X33" s="28">
        <v>5</v>
      </c>
    </row>
    <row r="34" spans="1:24" ht="12" customHeight="1" x14ac:dyDescent="0.15">
      <c r="A34" s="156" t="s">
        <v>433</v>
      </c>
      <c r="B34" s="156"/>
      <c r="C34" s="28">
        <v>2</v>
      </c>
      <c r="D34" s="27"/>
      <c r="E34" s="28">
        <v>16</v>
      </c>
      <c r="F34" s="27"/>
      <c r="G34" s="28">
        <v>18</v>
      </c>
      <c r="H34" s="27"/>
      <c r="I34" s="28">
        <v>19</v>
      </c>
      <c r="J34" s="27"/>
      <c r="K34" s="28">
        <v>19</v>
      </c>
      <c r="L34" s="28">
        <v>19</v>
      </c>
      <c r="M34" s="27"/>
      <c r="N34" s="28">
        <v>20</v>
      </c>
      <c r="P34" s="28">
        <v>21</v>
      </c>
      <c r="R34" s="28">
        <v>21</v>
      </c>
      <c r="T34" s="28">
        <v>36</v>
      </c>
      <c r="V34" s="28">
        <v>36</v>
      </c>
      <c r="X34" s="28">
        <v>36</v>
      </c>
    </row>
    <row r="35" spans="1:24" ht="12" customHeight="1" x14ac:dyDescent="0.15">
      <c r="A35" s="156" t="s">
        <v>434</v>
      </c>
      <c r="B35" s="156"/>
      <c r="C35" s="28">
        <v>9</v>
      </c>
      <c r="D35" s="27"/>
      <c r="E35" s="28">
        <v>2</v>
      </c>
      <c r="F35" s="27"/>
      <c r="G35" s="28">
        <v>2</v>
      </c>
      <c r="H35" s="27"/>
      <c r="I35" s="28">
        <v>2</v>
      </c>
      <c r="J35" s="27"/>
      <c r="K35" s="28">
        <v>4</v>
      </c>
      <c r="L35" s="28">
        <v>4</v>
      </c>
      <c r="M35" s="27"/>
      <c r="N35" s="28">
        <v>4</v>
      </c>
      <c r="P35" s="28">
        <v>4</v>
      </c>
      <c r="R35" s="28">
        <v>4</v>
      </c>
      <c r="T35" s="28">
        <v>3</v>
      </c>
      <c r="V35" s="28">
        <v>3</v>
      </c>
      <c r="X35" s="28">
        <v>3</v>
      </c>
    </row>
    <row r="36" spans="1:24" ht="12" customHeight="1" x14ac:dyDescent="0.15">
      <c r="A36" s="156" t="s">
        <v>435</v>
      </c>
      <c r="B36" s="156"/>
      <c r="C36" s="28">
        <v>12</v>
      </c>
      <c r="D36" s="27"/>
      <c r="E36" s="28">
        <v>2</v>
      </c>
      <c r="F36" s="27"/>
      <c r="G36" s="28">
        <v>2</v>
      </c>
      <c r="H36" s="27"/>
      <c r="I36" s="28">
        <v>2</v>
      </c>
      <c r="J36" s="27"/>
      <c r="K36" s="28">
        <v>2</v>
      </c>
      <c r="L36" s="28">
        <v>2</v>
      </c>
      <c r="M36" s="27"/>
      <c r="N36" s="28">
        <v>2</v>
      </c>
      <c r="P36" s="28">
        <v>2</v>
      </c>
      <c r="R36" s="28">
        <v>2</v>
      </c>
      <c r="T36" s="28">
        <v>1</v>
      </c>
      <c r="V36" s="28">
        <v>1</v>
      </c>
      <c r="X36" s="28">
        <v>1</v>
      </c>
    </row>
    <row r="37" spans="1:24" ht="12" customHeight="1" x14ac:dyDescent="0.15">
      <c r="A37" s="156" t="s">
        <v>436</v>
      </c>
      <c r="B37" s="156"/>
      <c r="C37" s="28">
        <v>4</v>
      </c>
      <c r="D37" s="27"/>
      <c r="E37" s="28">
        <v>12</v>
      </c>
      <c r="F37" s="27"/>
      <c r="G37" s="28">
        <v>15</v>
      </c>
      <c r="H37" s="27"/>
      <c r="I37" s="28">
        <v>15</v>
      </c>
      <c r="J37" s="27"/>
      <c r="K37" s="28">
        <v>15</v>
      </c>
      <c r="L37" s="28">
        <v>15</v>
      </c>
      <c r="M37" s="27"/>
      <c r="N37" s="28">
        <v>15</v>
      </c>
      <c r="P37" s="28">
        <v>15</v>
      </c>
      <c r="R37" s="28">
        <v>15</v>
      </c>
      <c r="T37" s="28">
        <v>15</v>
      </c>
      <c r="V37" s="28">
        <v>15</v>
      </c>
      <c r="X37" s="28">
        <v>15</v>
      </c>
    </row>
    <row r="38" spans="1:24" ht="12" customHeight="1" x14ac:dyDescent="0.15">
      <c r="A38" s="156" t="s">
        <v>437</v>
      </c>
      <c r="B38" s="156"/>
      <c r="C38" s="119"/>
      <c r="D38" s="27"/>
      <c r="E38" s="28">
        <v>12</v>
      </c>
      <c r="F38" s="27"/>
      <c r="G38" s="28">
        <v>12</v>
      </c>
      <c r="H38" s="27"/>
      <c r="I38" s="28">
        <v>12</v>
      </c>
      <c r="J38" s="27"/>
      <c r="K38" s="28">
        <v>12</v>
      </c>
      <c r="L38" s="28">
        <v>12</v>
      </c>
      <c r="M38" s="27"/>
      <c r="N38" s="28">
        <v>12</v>
      </c>
      <c r="P38" s="28">
        <v>12</v>
      </c>
      <c r="R38" s="28">
        <v>12</v>
      </c>
      <c r="T38" s="28">
        <v>12</v>
      </c>
      <c r="V38" s="28">
        <v>12</v>
      </c>
      <c r="X38" s="28">
        <v>12</v>
      </c>
    </row>
    <row r="39" spans="1:24" ht="12" customHeight="1" x14ac:dyDescent="0.15">
      <c r="A39" s="156" t="s">
        <v>438</v>
      </c>
      <c r="B39" s="156"/>
      <c r="C39" s="28"/>
      <c r="D39" s="27"/>
      <c r="E39" s="28">
        <v>4</v>
      </c>
      <c r="F39" s="27"/>
      <c r="G39" s="28">
        <v>4</v>
      </c>
      <c r="H39" s="27"/>
      <c r="I39" s="28">
        <v>4</v>
      </c>
      <c r="J39" s="27"/>
      <c r="K39" s="28">
        <v>4</v>
      </c>
      <c r="L39" s="28">
        <v>4</v>
      </c>
      <c r="M39" s="27"/>
      <c r="N39" s="28">
        <v>4</v>
      </c>
      <c r="P39" s="28">
        <v>4</v>
      </c>
      <c r="R39" s="28">
        <v>4</v>
      </c>
      <c r="T39" s="28">
        <v>4</v>
      </c>
      <c r="V39" s="28">
        <v>4</v>
      </c>
      <c r="X39" s="28">
        <v>4</v>
      </c>
    </row>
    <row r="40" spans="1:24" ht="12" customHeight="1" x14ac:dyDescent="0.15">
      <c r="A40" s="159" t="s">
        <v>439</v>
      </c>
      <c r="C40" s="28">
        <v>3</v>
      </c>
      <c r="D40" s="27"/>
      <c r="E40" s="28"/>
      <c r="F40" s="27"/>
      <c r="G40" s="28"/>
      <c r="H40" s="27"/>
      <c r="I40" s="28"/>
      <c r="J40" s="27"/>
      <c r="K40" s="28"/>
      <c r="L40" s="28"/>
      <c r="M40" s="27"/>
      <c r="N40" s="28"/>
      <c r="P40" s="28"/>
      <c r="R40" s="28"/>
      <c r="T40" s="28"/>
      <c r="V40" s="28">
        <v>2</v>
      </c>
      <c r="X40" s="28">
        <v>2</v>
      </c>
    </row>
    <row r="41" spans="1:24" ht="5" customHeight="1" x14ac:dyDescent="0.15">
      <c r="A41" s="156"/>
      <c r="B41" s="156"/>
      <c r="C41" s="28"/>
      <c r="D41" s="27"/>
      <c r="E41" s="28"/>
      <c r="F41" s="27"/>
      <c r="G41" s="28"/>
      <c r="H41" s="27"/>
      <c r="I41" s="28"/>
      <c r="J41" s="27"/>
      <c r="K41" s="28"/>
      <c r="L41" s="28"/>
      <c r="M41" s="27"/>
      <c r="N41" s="28"/>
      <c r="P41" s="28"/>
      <c r="R41" s="28"/>
      <c r="T41" s="28"/>
      <c r="V41" s="28"/>
      <c r="X41" s="28"/>
    </row>
    <row r="42" spans="1:24" ht="12" customHeight="1" x14ac:dyDescent="0.15">
      <c r="A42" s="161" t="s">
        <v>395</v>
      </c>
      <c r="B42" s="156"/>
      <c r="C42" s="28"/>
      <c r="D42" s="27"/>
      <c r="E42" s="28"/>
      <c r="F42" s="27"/>
      <c r="G42" s="28"/>
      <c r="H42" s="27"/>
      <c r="I42" s="28"/>
      <c r="J42" s="27"/>
      <c r="K42" s="28"/>
      <c r="L42" s="28"/>
      <c r="M42" s="27"/>
      <c r="N42" s="28"/>
      <c r="P42" s="28"/>
      <c r="R42" s="28"/>
      <c r="T42" s="28"/>
      <c r="V42" s="28"/>
      <c r="X42" s="28"/>
    </row>
    <row r="43" spans="1:24" ht="12" customHeight="1" x14ac:dyDescent="0.15">
      <c r="A43" s="156" t="s">
        <v>440</v>
      </c>
      <c r="B43" s="156"/>
      <c r="C43" s="28">
        <v>1</v>
      </c>
      <c r="D43" s="27"/>
      <c r="E43" s="28">
        <v>3</v>
      </c>
      <c r="F43" s="27"/>
      <c r="G43" s="28">
        <v>3</v>
      </c>
      <c r="H43" s="27"/>
      <c r="I43" s="28">
        <v>4</v>
      </c>
      <c r="J43" s="27"/>
      <c r="K43" s="28">
        <v>3</v>
      </c>
      <c r="L43" s="28">
        <v>4</v>
      </c>
      <c r="M43" s="27"/>
      <c r="N43" s="28">
        <v>4</v>
      </c>
      <c r="P43" s="28">
        <v>6</v>
      </c>
      <c r="R43" s="28">
        <v>6</v>
      </c>
      <c r="T43" s="28">
        <v>8</v>
      </c>
      <c r="V43" s="28">
        <v>8</v>
      </c>
      <c r="X43" s="28">
        <v>8</v>
      </c>
    </row>
    <row r="44" spans="1:24" ht="5" customHeight="1" x14ac:dyDescent="0.15">
      <c r="A44" s="156"/>
      <c r="B44" s="156"/>
      <c r="C44" s="28">
        <v>73904</v>
      </c>
      <c r="D44" s="27"/>
      <c r="E44" s="28"/>
      <c r="F44" s="27"/>
      <c r="G44" s="28"/>
      <c r="H44" s="27"/>
      <c r="I44" s="28"/>
      <c r="J44" s="27"/>
      <c r="K44" s="28"/>
      <c r="L44" s="28"/>
      <c r="M44" s="27"/>
      <c r="N44" s="28"/>
      <c r="P44" s="28"/>
      <c r="R44" s="28"/>
      <c r="T44" s="28"/>
      <c r="V44" s="28"/>
      <c r="X44" s="28"/>
    </row>
    <row r="45" spans="1:24" ht="12" customHeight="1" x14ac:dyDescent="0.15">
      <c r="A45" s="161" t="s">
        <v>400</v>
      </c>
      <c r="B45" s="156"/>
      <c r="C45" s="119"/>
      <c r="D45" s="27"/>
      <c r="E45" s="28"/>
      <c r="F45" s="27"/>
      <c r="G45" s="28"/>
      <c r="H45" s="27"/>
      <c r="I45" s="28"/>
      <c r="J45" s="27"/>
      <c r="K45" s="28"/>
      <c r="L45" s="28"/>
      <c r="M45" s="27"/>
      <c r="N45" s="28"/>
      <c r="P45" s="28"/>
      <c r="R45" s="28"/>
      <c r="T45" s="28"/>
      <c r="V45" s="28"/>
      <c r="X45" s="28"/>
    </row>
    <row r="46" spans="1:24" ht="12" customHeight="1" x14ac:dyDescent="0.15">
      <c r="A46" s="156" t="s">
        <v>441</v>
      </c>
      <c r="B46" s="156"/>
      <c r="C46" s="28"/>
      <c r="D46" s="27"/>
      <c r="E46" s="28">
        <v>1</v>
      </c>
      <c r="F46" s="27"/>
      <c r="G46" s="28">
        <v>1</v>
      </c>
      <c r="H46" s="27"/>
      <c r="I46" s="28">
        <v>1</v>
      </c>
      <c r="J46" s="27"/>
      <c r="K46" s="28">
        <v>1</v>
      </c>
      <c r="L46" s="28">
        <v>1</v>
      </c>
      <c r="M46" s="27"/>
      <c r="N46" s="28">
        <v>1</v>
      </c>
      <c r="P46" s="28">
        <v>1</v>
      </c>
      <c r="R46" s="28">
        <v>1</v>
      </c>
      <c r="T46" s="28">
        <v>1</v>
      </c>
      <c r="V46" s="28">
        <v>1</v>
      </c>
      <c r="X46" s="28">
        <v>1</v>
      </c>
    </row>
    <row r="47" spans="1:24" ht="12" customHeight="1" x14ac:dyDescent="0.15">
      <c r="A47" s="156" t="s">
        <v>442</v>
      </c>
      <c r="B47" s="156"/>
      <c r="C47" s="28">
        <v>5</v>
      </c>
      <c r="D47" s="27"/>
      <c r="E47" s="28">
        <v>100478</v>
      </c>
      <c r="F47" s="27"/>
      <c r="G47" s="28">
        <v>113085</v>
      </c>
      <c r="H47" s="27"/>
      <c r="I47" s="28">
        <v>97412</v>
      </c>
      <c r="J47" s="27"/>
      <c r="K47" s="28">
        <v>107382</v>
      </c>
      <c r="L47" s="28">
        <v>110266</v>
      </c>
      <c r="M47" s="27"/>
      <c r="N47" s="28">
        <v>150972</v>
      </c>
      <c r="P47" s="28">
        <v>139447</v>
      </c>
      <c r="R47" s="28">
        <v>149965</v>
      </c>
      <c r="T47" s="28">
        <v>155715</v>
      </c>
      <c r="V47" s="28">
        <v>160533</v>
      </c>
      <c r="X47" s="28">
        <v>170265</v>
      </c>
    </row>
    <row r="48" spans="1:24" ht="5" customHeight="1" x14ac:dyDescent="0.15">
      <c r="A48" s="156"/>
      <c r="B48" s="156"/>
      <c r="C48" s="28">
        <v>192</v>
      </c>
      <c r="D48" s="27"/>
      <c r="E48" s="28"/>
      <c r="F48" s="27"/>
      <c r="G48" s="28"/>
      <c r="H48" s="27"/>
      <c r="I48" s="28"/>
      <c r="J48" s="27"/>
      <c r="K48" s="28"/>
      <c r="L48" s="28"/>
      <c r="M48" s="27"/>
      <c r="N48" s="28"/>
      <c r="P48" s="28"/>
      <c r="R48" s="28"/>
      <c r="T48" s="28"/>
      <c r="V48" s="28"/>
      <c r="X48" s="28"/>
    </row>
    <row r="49" spans="1:24" ht="12" customHeight="1" x14ac:dyDescent="0.15">
      <c r="A49" s="161" t="s">
        <v>405</v>
      </c>
      <c r="B49" s="156"/>
      <c r="C49" s="28"/>
      <c r="D49" s="27"/>
      <c r="E49" s="28"/>
      <c r="F49" s="27"/>
      <c r="G49" s="28"/>
      <c r="H49" s="27"/>
      <c r="I49" s="28"/>
      <c r="J49" s="27"/>
      <c r="K49" s="28"/>
      <c r="L49" s="28"/>
      <c r="M49" s="27"/>
      <c r="N49" s="28"/>
      <c r="P49" s="28"/>
      <c r="R49" s="28"/>
      <c r="T49" s="28"/>
      <c r="V49" s="28"/>
      <c r="X49" s="28"/>
    </row>
    <row r="50" spans="1:24" ht="12" customHeight="1" x14ac:dyDescent="0.15">
      <c r="A50" s="156" t="s">
        <v>443</v>
      </c>
      <c r="B50" s="156"/>
      <c r="C50" s="28"/>
      <c r="D50" s="27"/>
      <c r="E50" s="28">
        <v>0</v>
      </c>
      <c r="F50" s="27"/>
      <c r="G50" s="28">
        <v>0</v>
      </c>
      <c r="H50" s="27"/>
      <c r="I50" s="28">
        <v>0</v>
      </c>
      <c r="J50" s="27"/>
      <c r="K50" s="28">
        <v>0</v>
      </c>
      <c r="L50" s="28">
        <v>0</v>
      </c>
      <c r="M50" s="27"/>
      <c r="N50" s="28">
        <v>0</v>
      </c>
      <c r="P50" s="28">
        <v>0</v>
      </c>
      <c r="R50" s="28">
        <v>0</v>
      </c>
      <c r="T50" s="28">
        <v>0</v>
      </c>
      <c r="V50" s="28">
        <v>0</v>
      </c>
      <c r="X50" s="28">
        <v>0</v>
      </c>
    </row>
    <row r="51" spans="1:24" ht="12" customHeight="1" x14ac:dyDescent="0.15">
      <c r="A51" s="156" t="s">
        <v>444</v>
      </c>
      <c r="B51" s="156"/>
      <c r="C51" s="28">
        <v>84</v>
      </c>
      <c r="D51" s="27"/>
      <c r="E51" s="28">
        <v>5</v>
      </c>
      <c r="F51" s="27"/>
      <c r="G51" s="28">
        <v>5</v>
      </c>
      <c r="H51" s="27"/>
      <c r="I51" s="28">
        <v>5</v>
      </c>
      <c r="J51" s="27"/>
      <c r="K51" s="28">
        <v>5</v>
      </c>
      <c r="L51" s="28">
        <v>5</v>
      </c>
      <c r="M51" s="27"/>
      <c r="N51" s="28">
        <v>5</v>
      </c>
      <c r="P51" s="28">
        <v>6</v>
      </c>
      <c r="R51" s="28">
        <v>7</v>
      </c>
      <c r="T51" s="28">
        <v>6</v>
      </c>
      <c r="V51" s="28">
        <v>6</v>
      </c>
      <c r="X51" s="28">
        <v>6</v>
      </c>
    </row>
    <row r="52" spans="1:24" ht="12" customHeight="1" x14ac:dyDescent="0.15">
      <c r="A52" s="156" t="s">
        <v>445</v>
      </c>
      <c r="B52" s="156"/>
      <c r="C52" s="28">
        <v>10</v>
      </c>
      <c r="D52" s="27"/>
      <c r="E52" s="28">
        <v>199</v>
      </c>
      <c r="F52" s="27"/>
      <c r="G52" s="28">
        <v>209.565</v>
      </c>
      <c r="H52" s="27"/>
      <c r="I52" s="28">
        <v>213</v>
      </c>
      <c r="J52" s="27"/>
      <c r="K52" s="28">
        <v>221</v>
      </c>
      <c r="L52" s="28">
        <v>225</v>
      </c>
      <c r="M52" s="27"/>
      <c r="N52" s="28">
        <v>228</v>
      </c>
      <c r="P52" s="28">
        <v>228.5</v>
      </c>
      <c r="R52" s="28">
        <v>231.4</v>
      </c>
      <c r="T52" s="28">
        <v>236.3</v>
      </c>
      <c r="V52" s="28">
        <v>246</v>
      </c>
      <c r="X52" s="28">
        <v>251</v>
      </c>
    </row>
    <row r="53" spans="1:24" ht="5" customHeight="1" x14ac:dyDescent="0.15">
      <c r="A53" s="156"/>
      <c r="B53" s="156"/>
      <c r="C53" s="27"/>
      <c r="D53" s="27"/>
      <c r="E53" s="28"/>
      <c r="F53" s="27"/>
      <c r="G53" s="28"/>
      <c r="H53" s="27"/>
      <c r="I53" s="28"/>
      <c r="J53" s="27"/>
      <c r="K53" s="28"/>
      <c r="L53" s="28"/>
      <c r="M53" s="27"/>
      <c r="N53" s="28"/>
      <c r="P53" s="28"/>
      <c r="R53" s="28"/>
      <c r="T53" s="28"/>
      <c r="V53" s="28"/>
      <c r="X53" s="28"/>
    </row>
    <row r="54" spans="1:24" ht="12" customHeight="1" x14ac:dyDescent="0.15">
      <c r="A54" s="161" t="s">
        <v>10</v>
      </c>
      <c r="B54" s="156"/>
      <c r="C54" s="28"/>
      <c r="D54" s="27"/>
      <c r="E54" s="28"/>
      <c r="F54" s="27"/>
      <c r="G54" s="28"/>
      <c r="H54" s="27"/>
      <c r="I54" s="28"/>
      <c r="J54" s="27"/>
      <c r="K54" s="28"/>
      <c r="L54" s="28"/>
      <c r="M54" s="27"/>
      <c r="N54" s="28"/>
      <c r="P54" s="28"/>
      <c r="R54" s="28"/>
      <c r="T54" s="28"/>
      <c r="V54" s="28"/>
      <c r="X54" s="28"/>
    </row>
    <row r="55" spans="1:24" ht="12" customHeight="1" x14ac:dyDescent="0.15">
      <c r="A55" s="156" t="s">
        <v>446</v>
      </c>
      <c r="B55" s="156"/>
      <c r="C55" s="28">
        <v>5</v>
      </c>
      <c r="D55" s="27"/>
      <c r="E55" s="28">
        <v>90</v>
      </c>
      <c r="F55" s="27"/>
      <c r="G55" s="28">
        <v>95.852000000000004</v>
      </c>
      <c r="H55" s="27"/>
      <c r="I55" s="28">
        <v>98</v>
      </c>
      <c r="J55" s="27"/>
      <c r="K55" s="28">
        <v>110</v>
      </c>
      <c r="L55" s="28">
        <v>113</v>
      </c>
      <c r="M55" s="27"/>
      <c r="N55" s="28">
        <v>116</v>
      </c>
      <c r="P55" s="28">
        <v>116.2</v>
      </c>
      <c r="R55" s="28">
        <v>119.5</v>
      </c>
      <c r="T55" s="28">
        <v>124.3</v>
      </c>
      <c r="V55" s="28">
        <v>133</v>
      </c>
      <c r="X55" s="28">
        <v>142</v>
      </c>
    </row>
    <row r="56" spans="1:24" x14ac:dyDescent="0.15">
      <c r="A56" s="156" t="s">
        <v>447</v>
      </c>
      <c r="B56" s="156"/>
      <c r="E56" s="28">
        <v>11</v>
      </c>
      <c r="G56" s="28">
        <v>11.621</v>
      </c>
      <c r="I56" s="28">
        <v>12</v>
      </c>
      <c r="K56" s="28">
        <v>12</v>
      </c>
      <c r="L56" s="28">
        <v>13.6</v>
      </c>
      <c r="N56" s="28">
        <v>13.8</v>
      </c>
      <c r="P56" s="28">
        <v>13.8</v>
      </c>
      <c r="R56" s="28">
        <v>14.7</v>
      </c>
      <c r="T56" s="28">
        <v>15.8</v>
      </c>
      <c r="V56" s="28">
        <v>17</v>
      </c>
      <c r="X56" s="28">
        <v>18</v>
      </c>
    </row>
    <row r="57" spans="1:24" ht="5" customHeight="1" x14ac:dyDescent="0.15">
      <c r="A57" s="156"/>
      <c r="B57" s="156"/>
      <c r="E57" s="28"/>
      <c r="G57" s="28"/>
      <c r="I57" s="28"/>
      <c r="K57" s="28"/>
      <c r="L57" s="28"/>
      <c r="N57" s="28"/>
      <c r="P57" s="28"/>
      <c r="R57" s="28"/>
      <c r="T57" s="28"/>
      <c r="V57" s="28"/>
      <c r="X57" s="28"/>
    </row>
    <row r="58" spans="1:24" ht="12" customHeight="1" x14ac:dyDescent="0.15">
      <c r="A58" s="161" t="s">
        <v>448</v>
      </c>
      <c r="B58" s="156"/>
      <c r="C58" s="28">
        <v>3</v>
      </c>
      <c r="D58" s="27"/>
      <c r="E58" s="28"/>
      <c r="F58" s="27"/>
      <c r="G58" s="28"/>
      <c r="H58" s="27"/>
      <c r="I58" s="28"/>
      <c r="J58" s="27"/>
      <c r="K58" s="28"/>
      <c r="L58" s="28"/>
      <c r="M58" s="27"/>
      <c r="N58" s="28"/>
      <c r="P58" s="28"/>
      <c r="R58" s="28"/>
      <c r="T58" s="28"/>
      <c r="V58" s="28"/>
      <c r="X58" s="28"/>
    </row>
    <row r="59" spans="1:24" ht="12" customHeight="1" x14ac:dyDescent="0.15">
      <c r="A59" s="156" t="s">
        <v>424</v>
      </c>
      <c r="B59" s="156"/>
      <c r="E59" s="28">
        <v>5</v>
      </c>
      <c r="G59" s="28">
        <v>6</v>
      </c>
      <c r="I59" s="28">
        <v>6</v>
      </c>
      <c r="K59" s="28">
        <v>6</v>
      </c>
      <c r="L59" s="28">
        <v>11</v>
      </c>
      <c r="N59" s="28">
        <v>11</v>
      </c>
      <c r="P59" s="28">
        <v>10</v>
      </c>
      <c r="R59" s="28">
        <v>8</v>
      </c>
      <c r="T59" s="28">
        <v>10</v>
      </c>
      <c r="V59" s="28">
        <v>9</v>
      </c>
      <c r="X59" s="28">
        <v>10</v>
      </c>
    </row>
    <row r="60" spans="1:24" ht="5" customHeight="1" x14ac:dyDescent="0.15">
      <c r="A60" s="156"/>
      <c r="B60" s="156"/>
      <c r="E60" s="28"/>
      <c r="G60" s="28"/>
      <c r="I60" s="28"/>
      <c r="K60" s="28"/>
      <c r="L60" s="28"/>
      <c r="N60" s="28"/>
      <c r="P60" s="28"/>
      <c r="R60" s="28"/>
      <c r="T60" s="28"/>
      <c r="V60" s="28"/>
      <c r="X60" s="28"/>
    </row>
    <row r="61" spans="1:24" ht="13" customHeight="1" x14ac:dyDescent="0.15">
      <c r="A61" s="161" t="s">
        <v>449</v>
      </c>
      <c r="B61" s="156"/>
      <c r="E61" s="28"/>
      <c r="G61" s="28"/>
      <c r="I61" s="28"/>
      <c r="K61" s="28"/>
      <c r="L61" s="28"/>
      <c r="N61" s="28"/>
      <c r="P61" s="28"/>
      <c r="R61" s="28"/>
      <c r="T61" s="28"/>
      <c r="V61" s="28"/>
      <c r="X61" s="28"/>
    </row>
    <row r="62" spans="1:24" ht="13" customHeight="1" x14ac:dyDescent="0.15">
      <c r="A62" s="156" t="s">
        <v>450</v>
      </c>
      <c r="B62" s="156"/>
      <c r="E62" s="28">
        <v>3</v>
      </c>
      <c r="G62" s="28">
        <v>4</v>
      </c>
      <c r="I62" s="28">
        <v>4</v>
      </c>
      <c r="K62" s="28">
        <v>4</v>
      </c>
      <c r="L62" s="28">
        <v>7</v>
      </c>
      <c r="N62" s="28">
        <v>10</v>
      </c>
      <c r="P62" s="28">
        <v>7</v>
      </c>
      <c r="R62" s="28">
        <v>8</v>
      </c>
      <c r="T62" s="28">
        <v>11</v>
      </c>
      <c r="V62" s="28">
        <v>11</v>
      </c>
      <c r="X62" s="28">
        <v>13</v>
      </c>
    </row>
    <row r="63" spans="1:24" ht="13" customHeight="1" x14ac:dyDescent="0.15">
      <c r="A63" s="156" t="s">
        <v>451</v>
      </c>
      <c r="B63" s="156"/>
      <c r="E63" s="157" t="s">
        <v>425</v>
      </c>
      <c r="G63" s="157" t="s">
        <v>425</v>
      </c>
      <c r="I63" s="157" t="s">
        <v>425</v>
      </c>
      <c r="K63" s="157" t="s">
        <v>425</v>
      </c>
      <c r="L63" s="28">
        <v>384</v>
      </c>
      <c r="N63" s="28">
        <v>352</v>
      </c>
      <c r="P63" s="28">
        <v>341</v>
      </c>
      <c r="R63" s="28">
        <v>376</v>
      </c>
      <c r="T63" s="28">
        <v>373</v>
      </c>
      <c r="V63" s="28">
        <v>420</v>
      </c>
      <c r="X63" s="28">
        <v>428</v>
      </c>
    </row>
    <row r="64" spans="1:24" ht="13" customHeight="1" x14ac:dyDescent="0.15"/>
    <row r="65" spans="1:1" ht="13" customHeight="1" x14ac:dyDescent="0.15"/>
    <row r="66" spans="1:1" x14ac:dyDescent="0.15">
      <c r="A66" s="74" t="s">
        <v>417</v>
      </c>
    </row>
    <row r="67" spans="1:1" x14ac:dyDescent="0.15">
      <c r="A67" s="74" t="s">
        <v>452</v>
      </c>
    </row>
  </sheetData>
  <mergeCells count="5">
    <mergeCell ref="A1:K1"/>
    <mergeCell ref="A3:K3"/>
    <mergeCell ref="A5:K5"/>
    <mergeCell ref="E9:K9"/>
    <mergeCell ref="L9:V9"/>
  </mergeCells>
  <pageMargins left="0.75" right="0.75" top="0.5" bottom="1" header="0.5" footer="0.5"/>
  <pageSetup scale="83" firstPageNumber="119" pageOrder="overThenDown" orientation="portrait" r:id="rId1"/>
  <headerFooter differentOddEven="1" alignWithMargins="0">
    <oddFooter>&amp;C&amp;"Verdana,Bold"&amp;9&amp;P</oddFooter>
    <evenHeader>&amp;R&amp;"Verdana,Bold"&amp;9TABLE 21</evenHeader>
    <evenFooter>&amp;C&amp;"Verdana,Bold"&amp;9&amp;P</evenFooter>
  </headerFooter>
  <colBreaks count="1" manualBreakCount="1">
    <brk id="14" max="67" man="1"/>
  </colBreaks>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scalYearMontNo_x002e_ xmlns="cb24bb1f-d79b-413b-b3f4-1e52aa309cd0" xsi:nil="true"/>
    <DisposalDate xmlns="cb24bb1f-d79b-413b-b3f4-1e52aa309cd0" xsi:nil="true"/>
    <lcf76f155ced4ddcb4097134ff3c332f xmlns="cb24bb1f-d79b-413b-b3f4-1e52aa309cd0">
      <Terms xmlns="http://schemas.microsoft.com/office/infopath/2007/PartnerControls"/>
    </lcf76f155ced4ddcb4097134ff3c332f>
    <TaxCatchAll xmlns="aad6ae79-9494-42f2-b8dc-67ded19754c8" xsi:nil="true"/>
    <_ApprovalAssignedTo xmlns="cb24bb1f-d79b-413b-b3f4-1e52aa309cd0">
      <UserInfo>
        <DisplayName/>
        <AccountId xsi:nil="true"/>
        <AccountType/>
      </UserInfo>
    </_ApprovalAssignedTo>
    <MediaLengthInSeconds xmlns="cb24bb1f-d79b-413b-b3f4-1e52aa309cd0" xsi:nil="true"/>
    <_ApprovalStatus xmlns="cb24bb1f-d79b-413b-b3f4-1e52aa309cd0">0</_ApprovalStatus>
    <_ApprovalRespondedBy xmlns="cb24bb1f-d79b-413b-b3f4-1e52aa309cd0">
      <UserInfo>
        <DisplayName/>
        <AccountId xsi:nil="true"/>
        <AccountType/>
      </UserInfo>
    </_ApprovalRespondedBy>
    <_ApprovalSentBy xmlns="cb24bb1f-d79b-413b-b3f4-1e52aa309cd0">
      <UserInfo>
        <DisplayName/>
        <AccountId xsi:nil="true"/>
        <AccountType/>
      </UserInfo>
    </_ApprovalSentBy>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7FE8B37D9D5C43985731145059E341" ma:contentTypeVersion="22" ma:contentTypeDescription="Create a new document." ma:contentTypeScope="" ma:versionID="53520b350d5434af8ef36ee21f4ceba5">
  <xsd:schema xmlns:xsd="http://www.w3.org/2001/XMLSchema" xmlns:xs="http://www.w3.org/2001/XMLSchema" xmlns:p="http://schemas.microsoft.com/office/2006/metadata/properties" xmlns:ns2="aad6ae79-9494-42f2-b8dc-67ded19754c8" xmlns:ns3="cb24bb1f-d79b-413b-b3f4-1e52aa309cd0" targetNamespace="http://schemas.microsoft.com/office/2006/metadata/properties" ma:root="true" ma:fieldsID="325b4e3e47423dc8a2c0caecbf0fe2cc" ns2:_="" ns3:_="">
    <xsd:import namespace="aad6ae79-9494-42f2-b8dc-67ded19754c8"/>
    <xsd:import namespace="cb24bb1f-d79b-413b-b3f4-1e52aa309cd0"/>
    <xsd:element name="properties">
      <xsd:complexType>
        <xsd:sequence>
          <xsd:element name="documentManagement">
            <xsd:complexType>
              <xsd:all>
                <xsd:element ref="ns2:SharedWithUsers" minOccurs="0"/>
                <xsd:element ref="ns3:MediaServiceMetadata" minOccurs="0"/>
                <xsd:element ref="ns3:MediaServiceFastMetadata" minOccurs="0"/>
                <xsd:element ref="ns3:MediaServiceDateTaken" minOccurs="0"/>
                <xsd:element ref="ns2:SharedWithDetails" minOccurs="0"/>
                <xsd:element ref="ns3:MediaServiceAutoTags" minOccurs="0"/>
                <xsd:element ref="ns3:MediaServiceOCR" minOccurs="0"/>
                <xsd:element ref="ns3:MediaLengthInSeconds" minOccurs="0"/>
                <xsd:element ref="ns3:MediaServiceObjectDetectorVersions" minOccurs="0"/>
                <xsd:element ref="ns3:lcf76f155ced4ddcb4097134ff3c332f" minOccurs="0"/>
                <xsd:element ref="ns2:TaxCatchAll" minOccurs="0"/>
                <xsd:element ref="ns3:MediaServiceGenerationTime" minOccurs="0"/>
                <xsd:element ref="ns3:MediaServiceEventHashCode" minOccurs="0"/>
                <xsd:element ref="ns3:FiscalYearMontNo_x002e_" minOccurs="0"/>
                <xsd:element ref="ns3:DisposalDate" minOccurs="0"/>
                <xsd:element ref="ns3:MediaServiceLocation" minOccurs="0"/>
                <xsd:element ref="ns3:MediaServiceSearchProperties" minOccurs="0"/>
                <xsd:element ref="ns3:_ApprovalAssignedTo" minOccurs="0"/>
                <xsd:element ref="ns3:_ApprovalRespondedBy" minOccurs="0"/>
                <xsd:element ref="ns3:_ApprovalSentBy" minOccurs="0"/>
                <xsd:element ref="ns3: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d6ae79-9494-42f2-b8dc-67ded19754c8"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74b408-8874-416e-8ab8-993603788a3e}" ma:internalName="TaxCatchAll" ma:showField="CatchAllData" ma:web="aad6ae79-9494-42f2-b8dc-67ded19754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24bb1f-d79b-413b-b3f4-1e52aa309cd0" elementFormDefault="qualified">
    <xsd:import namespace="http://schemas.microsoft.com/office/2006/documentManagement/types"/>
    <xsd:import namespace="http://schemas.microsoft.com/office/infopath/2007/PartnerControls"/>
    <xsd:element name="MediaServiceMetadata" ma:index="9" nillable="true" ma:displayName="MediaServiceMetadata" ma:description="" ma:hidden="true" ma:internalName="MediaServiceMetadata" ma:readOnly="true">
      <xsd:simpleType>
        <xsd:restriction base="dms:Note"/>
      </xsd:simpleType>
    </xsd:element>
    <xsd:element name="MediaServiceFastMetadata" ma:index="10" nillable="true" ma:displayName="MediaServiceFastMetadata" ma:description="" ma:hidden="true" ma:internalName="MediaServiceFastMetadata" ma:readOnly="true">
      <xsd:simpleType>
        <xsd:restriction base="dms:Note"/>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ObjectDetectorVersions" ma:index="16"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8537f8e-cb45-407b-b872-2619c2e5d6f4"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FiscalYearMontNo_x002e_" ma:index="22" nillable="true" ma:displayName="Fiscal Year Mont No." ma:decimals="0" ma:format="Dropdown" ma:internalName="FiscalYearMontNo_x002e_" ma:percentage="FALSE">
      <xsd:simpleType>
        <xsd:restriction base="dms:Number">
          <xsd:maxInclusive value="12"/>
          <xsd:minInclusive value="1"/>
        </xsd:restriction>
      </xsd:simpleType>
    </xsd:element>
    <xsd:element name="DisposalDate" ma:index="23" nillable="true" ma:displayName="Disposal Date" ma:format="Dropdown" ma:internalName="DisposalDate">
      <xsd:simpleType>
        <xsd:restriction base="dms:Text">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ApprovalAssignedTo" ma:index="26"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7"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8"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9" nillable="true" ma:displayName="Approval status" ma:internalName="_ApprovalStatu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3AC1B4-453E-4DD6-927B-591D64B28327}">
  <ds:schemaRefs>
    <ds:schemaRef ds:uri="http://schemas.microsoft.com/sharepoint/v3/contenttype/forms"/>
  </ds:schemaRefs>
</ds:datastoreItem>
</file>

<file path=customXml/itemProps2.xml><?xml version="1.0" encoding="utf-8"?>
<ds:datastoreItem xmlns:ds="http://schemas.openxmlformats.org/officeDocument/2006/customXml" ds:itemID="{0A26CFC4-9B30-4DCF-842C-DCD6526DF0DE}">
  <ds:schemaRefs>
    <ds:schemaRef ds:uri="http://schemas.microsoft.com/office/2006/metadata/properties"/>
    <ds:schemaRef ds:uri="http://schemas.microsoft.com/office/infopath/2007/PartnerControls"/>
    <ds:schemaRef ds:uri="cb24bb1f-d79b-413b-b3f4-1e52aa309cd0"/>
    <ds:schemaRef ds:uri="aad6ae79-9494-42f2-b8dc-67ded19754c8"/>
  </ds:schemaRefs>
</ds:datastoreItem>
</file>

<file path=customXml/itemProps3.xml><?xml version="1.0" encoding="utf-8"?>
<ds:datastoreItem xmlns:ds="http://schemas.openxmlformats.org/officeDocument/2006/customXml" ds:itemID="{CEF3C68C-4841-4E44-A271-1530206E2F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d6ae79-9494-42f2-b8dc-67ded19754c8"/>
    <ds:schemaRef ds:uri="cb24bb1f-d79b-413b-b3f4-1e52aa309c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20'!Print_Area</vt:lpstr>
      <vt:lpstr>'Table 21'!Print_Area</vt:lpstr>
      <vt:lpstr>'Table 6#'!Print_Area</vt:lpstr>
      <vt:lpstr>'Table 7'!Print_Area</vt:lpstr>
      <vt:lpstr>'Table 8'!Print_Area</vt:lpstr>
      <vt:lpstr>'Table 9'!Print_Area</vt:lpstr>
      <vt:lpstr>'Table 20'!Print_Titles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Rosie Hernandez</dc:creator>
  <cp:keywords/>
  <dc:description/>
  <cp:lastModifiedBy>D S</cp:lastModifiedBy>
  <cp:revision/>
  <dcterms:created xsi:type="dcterms:W3CDTF">2019-08-27T19:40:30Z</dcterms:created>
  <dcterms:modified xsi:type="dcterms:W3CDTF">2026-02-14T17:20:51Z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i4>20</vt:i4>
  </property>
  <property fmtid="{D5CDD505-2E9C-101B-9397-08002B2CF9AE}" pid="3" name="ContentTypeId">
    <vt:lpwstr>0x010100677FE8B37D9D5C43985731145059E341</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
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645601B9-1909-B14E-B67F-6DF057C8F188}" xr6:coauthVersionLast="47" xr6:coauthVersionMax="47" xr10:uidLastSave="{00000000-0000-0000-0000-000000000000}"/>
  <bookViews>
    <workbookView xWindow="7660" yWindow="4020" windowWidth="26840" windowHeight="15940" xr2:uid="{EB8EB718-E437-1D41-9239-AB838A1A0555}"/>
  </bookViews>
  <sheets>
    <sheet name="Debt Margin Info" sheetId="1" r:id="rId1"/>
  </sheets>
  <externalReferences>
    <externalReference r:id="rId2"/>
  </externalReferences>
  <definedNames>
    <definedName name="_xlnm.Print_Area" localSheetId="0">'Debt Margin Info'!$A$1:$G$47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7" i="1" s="1"/>
  <c r="E45" i="1"/>
  <c r="E47" i="1" s="1"/>
  <c r="C45" i="1"/>
  <c r="C47" i="1" s="1"/>
  <c r="G38" i="1"/>
  <c r="G40" i="1" s="1"/>
  <c r="E38" i="1"/>
  <c r="E40" i="1" s="1"/>
  <c r="C38" i="1"/>
  <c r="C40" i="1" s="1"/>
  <c r="I33" i="1"/>
  <c r="G31" i="1"/>
  <c r="G33" i="1" s="1"/>
  <c r="E31" i="1"/>
  <c r="E33" i="1" s="1"/>
  <c r="C31" i="1"/>
  <c r="C33" i="1" s="1"/>
  <c r="E20" i="1"/>
  <c r="E19" i="1"/>
  <c r="G20" i="1" s="1"/>
  <c r="G10" i="1"/>
  <c r="G12" i="1" s="1"/>
  <c r="G22" i="1" s="1"/>
  <c r="A10" i="1"/>
  <c r="G25" i="1" l="1"/>
</calcChain>
</file>

<file path=xl/sharedStrings.xml><?xml version="1.0" encoding="utf-8"?>
<sst xmlns="http://schemas.openxmlformats.org/spreadsheetml/2006/main" count="25" uniqueCount="17">
  <si>
    <t>CITY OF SCHERTZ, TEXAS</t>
  </si>
  <si>
    <t>DEBT MARGIN INFORMATION</t>
  </si>
  <si>
    <t>LAST TEN FISCAL YEARS</t>
  </si>
  <si>
    <t>Assessed Value,</t>
  </si>
  <si>
    <t>Tax Roll</t>
  </si>
  <si>
    <t xml:space="preserve">Debt Limit - Texas statues do not provide a legal debt limit for cities; however, through accepted practice a practical "economic" debt limit is considered to be 10% of the assessed value. </t>
  </si>
  <si>
    <t>Amount of Applicable Debt:</t>
  </si>
  <si>
    <t>General Bonded Debt</t>
  </si>
  <si>
    <t>Less Debt Service Net Position</t>
  </si>
  <si>
    <t>DEBT MARGIN</t>
  </si>
  <si>
    <t>Total Net Debt as a Percentage</t>
  </si>
  <si>
    <t xml:space="preserve">  of Debt Margin</t>
  </si>
  <si>
    <t>Fiscal Year</t>
  </si>
  <si>
    <t>Assessed Value</t>
  </si>
  <si>
    <t>Debt Limit</t>
  </si>
  <si>
    <t>Total Net Debt Applicable to Limit</t>
  </si>
  <si>
    <t>Total Debt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</si>
</sst>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_(* #,##0_);&quot;$&quot;\(* #,##0\);&quot;$&quot;_(* &quot;-&quot;???_);_(@_)"/>
    <numFmt numFmtId="165" formatCode="_(* #,##0_);_(* \(#,##0\);_(* &quot;-&quot;??_);_(@_)"/>
    <numFmt numFmtId="166" formatCode="_(&quot;$&quot;* #,##0_);_(&quot;$&quot;* \(#,##0\);_(&quot;$&quot;* &quot;-&quot;??_);_(@_)"/>
    <numFmt numFmtId="167" formatCode="_$_(* #,##0_);_$\(* #,##0\);_$_(* &quot;-&quot;???_);_$_(@_)"/>
  </numFmts>
  <fonts count="6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u val="singleAccounting"/>
      <sz val="9"/>
      <name val="Verdana"/>
      <family val="2"/>
    </font>
    <font>
      <sz val="10"/>
      <name val="Arial"/>
      <family val="2"/>
    </font>
    <font>
      <u val="doubleAccounting"/>
      <sz val="9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64" fontId="3" fillId="0" borderId="0" xfId="0" applyNumberFormat="1" applyFont="1"/>
    <xf numFmtId="41" fontId="2" fillId="0" borderId="0" xfId="0" applyNumberFormat="1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164" fontId="2" fillId="0" borderId="0" xfId="0" applyNumberFormat="1" applyFont="1"/>
    <xf numFmtId="42" fontId="2" fillId="0" borderId="0" xfId="0" applyNumberFormat="1" applyFont="1" applyAlignment="1">
      <alignment vertical="center"/>
    </xf>
    <xf numFmtId="165" fontId="2" fillId="0" borderId="0" xfId="1" applyNumberFormat="1" applyFont="1"/>
    <xf numFmtId="41" fontId="3" fillId="0" borderId="0" xfId="0" applyNumberFormat="1" applyFont="1" applyAlignment="1">
      <alignment vertical="center"/>
    </xf>
    <xf numFmtId="164" fontId="5" fillId="0" borderId="0" xfId="0" applyNumberFormat="1" applyFont="1"/>
    <xf numFmtId="10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/>
    <xf numFmtId="42" fontId="2" fillId="0" borderId="0" xfId="0" applyNumberFormat="1" applyFont="1"/>
    <xf numFmtId="42" fontId="2" fillId="0" borderId="0" xfId="0" applyNumberFormat="1" applyFont="1" applyAlignment="1">
      <alignment horizontal="center" vertical="center"/>
    </xf>
    <xf numFmtId="165" fontId="2" fillId="0" borderId="0" xfId="1" applyNumberFormat="1" applyFont="1" applyFill="1" applyAlignment="1">
      <alignment vertical="center"/>
    </xf>
    <xf numFmtId="167" fontId="2" fillId="0" borderId="0" xfId="2" applyNumberFormat="1" applyFont="1" applyFill="1" applyAlignment="1">
      <alignment vertical="center"/>
    </xf>
    <xf numFmtId="167" fontId="3" fillId="0" borderId="0" xfId="2" applyNumberFormat="1" applyFont="1" applyFill="1" applyAlignment="1">
      <alignment vertical="center"/>
    </xf>
    <xf numFmtId="166" fontId="5" fillId="0" borderId="0" xfId="0" applyNumberFormat="1" applyFont="1"/>
  </cellXfs>
  <cellStyles count="3">
    <cellStyle name="Comma" xfId="1" builtinId="3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/R%20Working%20Directory/Schertz%20Compensation%20Review/ACFR%20FY23/FY24%20City%20of%20Schertz%20Stat%20Tables%20(2)-MODIFIED.xlsx" TargetMode="External"/><Relationship Id="rId1" Type="http://schemas.openxmlformats.org/officeDocument/2006/relationships/externalLinkPath" Target="FY24%20City%20of%20Schertz%20Stat%20Tables%20(2)-MODIFI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&amp;S Consumption"/>
      <sheetName val="W&amp;S Concumers"/>
      <sheetName val="Prop Tax Rates"/>
      <sheetName val="Prop Tax Payers"/>
      <sheetName val="Tax Levies &amp; Collections"/>
      <sheetName val="Table 11#-MOD XmR "/>
      <sheetName val="Table 11#-MOD XmR  Trended"/>
      <sheetName val="Taxable Assessed Values"/>
      <sheetName val="Debt Ratios by Type"/>
      <sheetName val="OS Bond Debt Ratios"/>
      <sheetName val="Gov Activity Debt "/>
      <sheetName val="Debt Margin Info"/>
      <sheetName val="Pledged Rev Coverage"/>
      <sheetName val="Demographics Last 10"/>
      <sheetName val="Top 10 Employers"/>
      <sheetName val="FTE by Function"/>
      <sheetName val="Op Metrics by Function XmR 19"/>
      <sheetName val="Sheet38"/>
      <sheetName val="Op Metrics by Function XmR "/>
      <sheetName val="Op Metrics by Function"/>
      <sheetName val="Assets by Fun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H13">
            <v>6740344392</v>
          </cell>
        </row>
      </sheetData>
      <sheetData sheetId="8"/>
      <sheetData sheetId="9">
        <row r="16">
          <cell r="G16">
            <v>-867965</v>
          </cell>
        </row>
      </sheetData>
      <sheetData sheetId="10">
        <row r="26">
          <cell r="G26">
            <v>94527708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286E-2664-8045-A5D6-14DDD4944C9D}">
  <sheetPr>
    <tabColor rgb="FF92D050"/>
  </sheetPr>
  <dimension ref="A1:T47"/>
  <sheetViews>
    <sheetView tabSelected="1" zoomScale="115" zoomScaleNormal="115" workbookViewId="0">
      <selection activeCell="O11" sqref="O11"/>
    </sheetView>
  </sheetViews>
  <sheetFormatPr baseColWidth="10" defaultColWidth="9.1640625" defaultRowHeight="14" customHeight="1" x14ac:dyDescent="0.15"/>
  <cols>
    <col min="1" max="1" width="32.5" style="2" customWidth="1"/>
    <col min="2" max="2" width="1.6640625" style="2" customWidth="1"/>
    <col min="3" max="3" width="19.5" style="2" bestFit="1" customWidth="1"/>
    <col min="4" max="4" width="1.6640625" style="2" customWidth="1"/>
    <col min="5" max="5" width="15.6640625" style="3" customWidth="1"/>
    <col min="6" max="6" width="1.6640625" style="2" customWidth="1"/>
    <col min="7" max="7" width="16.83203125" style="2" bestFit="1" customWidth="1"/>
    <col min="8" max="8" width="1.6640625" style="2" customWidth="1"/>
    <col min="9" max="9" width="16.83203125" style="2" bestFit="1" customWidth="1"/>
    <col min="10" max="10" width="1.6640625" style="2" customWidth="1"/>
    <col min="11" max="11" width="13.5" style="2" customWidth="1"/>
    <col min="12" max="12" width="1.6640625" style="2" customWidth="1"/>
    <col min="13" max="13" width="13.83203125" style="2" customWidth="1"/>
    <col min="14" max="14" width="1.6640625" style="2" customWidth="1"/>
    <col min="15" max="15" width="13.83203125" style="2" customWidth="1"/>
    <col min="16" max="16" width="1.6640625" style="2" customWidth="1"/>
    <col min="17" max="17" width="13.83203125" style="2" customWidth="1"/>
    <col min="18" max="18" width="1.6640625" style="2" customWidth="1"/>
    <col min="19" max="19" width="13.83203125" style="2" customWidth="1"/>
    <col min="20" max="16384" width="9.1640625" style="2"/>
  </cols>
  <sheetData>
    <row r="1" spans="1:20" ht="12" customHeight="1" x14ac:dyDescent="0.15">
      <c r="A1" s="1" t="s">
        <v>0</v>
      </c>
      <c r="B1" s="1"/>
      <c r="C1" s="1"/>
      <c r="D1" s="1"/>
      <c r="E1" s="1"/>
      <c r="F1" s="1"/>
      <c r="G1" s="1"/>
    </row>
    <row r="2" spans="1:20" ht="12" customHeight="1" x14ac:dyDescent="0.15"/>
    <row r="3" spans="1:20" ht="12" customHeight="1" x14ac:dyDescent="0.15">
      <c r="A3" s="4" t="s">
        <v>1</v>
      </c>
      <c r="B3" s="4"/>
      <c r="C3" s="4"/>
      <c r="D3" s="4"/>
      <c r="E3" s="4"/>
      <c r="F3" s="4"/>
      <c r="G3" s="4"/>
    </row>
    <row r="4" spans="1:20" ht="12" customHeight="1" x14ac:dyDescent="0.15"/>
    <row r="5" spans="1:20" ht="12" customHeight="1" x14ac:dyDescent="0.15">
      <c r="A5" s="4" t="s">
        <v>2</v>
      </c>
      <c r="B5" s="4"/>
      <c r="C5" s="4"/>
      <c r="D5" s="4"/>
      <c r="E5" s="4"/>
      <c r="F5" s="4"/>
      <c r="G5" s="4"/>
    </row>
    <row r="6" spans="1:20" ht="12" customHeight="1" x14ac:dyDescent="0.15"/>
    <row r="7" spans="1:20" ht="12" customHeight="1" x14ac:dyDescent="0.15"/>
    <row r="8" spans="1:20" ht="12" customHeight="1" x14ac:dyDescent="0.15"/>
    <row r="9" spans="1:20" ht="12" customHeight="1" x14ac:dyDescent="0.15"/>
    <row r="10" spans="1:20" ht="14" customHeight="1" x14ac:dyDescent="0.3">
      <c r="A10" s="5" t="str">
        <f>CONCATENATE(M10," ",O10," ",Q10)</f>
        <v>Assessed Value, 2023 Tax Roll</v>
      </c>
      <c r="B10" s="5"/>
      <c r="C10" s="5"/>
      <c r="D10" s="5"/>
      <c r="E10" s="5"/>
      <c r="F10" s="5"/>
      <c r="G10" s="6">
        <f>'[1]Taxable Assessed Values'!H13</f>
        <v>6740344392</v>
      </c>
      <c r="J10" s="5"/>
      <c r="K10" s="5"/>
      <c r="L10" s="5"/>
      <c r="M10" s="5" t="s">
        <v>3</v>
      </c>
      <c r="N10" s="5"/>
      <c r="O10" s="5">
        <v>2023</v>
      </c>
      <c r="P10" s="5"/>
      <c r="Q10" s="5" t="s">
        <v>4</v>
      </c>
      <c r="R10" s="5"/>
      <c r="S10" s="5"/>
      <c r="T10" s="5"/>
    </row>
    <row r="11" spans="1:20" ht="14" customHeight="1" x14ac:dyDescent="0.15">
      <c r="A11" s="5"/>
      <c r="B11" s="5"/>
      <c r="C11" s="5"/>
      <c r="D11" s="5"/>
      <c r="E11" s="5"/>
      <c r="F11" s="5"/>
      <c r="G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76.5" customHeight="1" x14ac:dyDescent="0.15">
      <c r="A12" s="8" t="s">
        <v>5</v>
      </c>
      <c r="B12" s="5"/>
      <c r="C12" s="5"/>
      <c r="D12" s="5"/>
      <c r="E12" s="5"/>
      <c r="F12" s="5"/>
      <c r="G12" s="9">
        <f>(G10*0.1)</f>
        <v>674034439.20000005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4" hidden="1" customHeight="1" x14ac:dyDescent="0.15">
      <c r="A13" s="5"/>
      <c r="B13" s="5"/>
      <c r="C13" s="5"/>
      <c r="D13" s="5"/>
      <c r="E13" s="5"/>
      <c r="F13" s="5"/>
      <c r="G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4" hidden="1" customHeight="1" x14ac:dyDescent="0.15">
      <c r="A14" s="5"/>
      <c r="B14" s="5"/>
      <c r="C14" s="5"/>
      <c r="D14" s="5"/>
      <c r="E14" s="5"/>
      <c r="F14" s="5"/>
      <c r="G14" s="1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4" hidden="1" customHeight="1" x14ac:dyDescent="0.15">
      <c r="A15" s="5"/>
      <c r="B15" s="5"/>
      <c r="C15" s="5"/>
      <c r="D15" s="5"/>
      <c r="E15" s="5"/>
      <c r="F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4" customHeight="1" x14ac:dyDescent="0.15">
      <c r="A16" s="5"/>
      <c r="B16" s="5"/>
      <c r="C16" s="5"/>
      <c r="D16" s="5"/>
      <c r="E16" s="10"/>
      <c r="F16" s="5"/>
      <c r="G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4" customHeight="1" x14ac:dyDescent="0.15">
      <c r="A17" s="5" t="s">
        <v>6</v>
      </c>
      <c r="B17" s="5"/>
      <c r="C17" s="5"/>
      <c r="D17" s="5"/>
      <c r="E17" s="10"/>
      <c r="F17" s="5"/>
      <c r="G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4" customHeight="1" x14ac:dyDescent="0.15">
      <c r="A18" s="5"/>
      <c r="B18" s="5"/>
      <c r="C18" s="5"/>
      <c r="D18" s="5"/>
      <c r="E18" s="7"/>
      <c r="F18" s="5"/>
      <c r="G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4" customHeight="1" x14ac:dyDescent="0.15">
      <c r="A19" s="5" t="s">
        <v>7</v>
      </c>
      <c r="B19" s="5"/>
      <c r="C19" s="5"/>
      <c r="D19" s="5"/>
      <c r="E19" s="10">
        <f>'[1]Gov Activity Debt '!G26</f>
        <v>94527708</v>
      </c>
      <c r="F19" s="5"/>
      <c r="G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" customHeight="1" x14ac:dyDescent="0.15">
      <c r="A20" s="5" t="s">
        <v>8</v>
      </c>
      <c r="B20" s="5"/>
      <c r="C20" s="5"/>
      <c r="D20" s="5"/>
      <c r="E20" s="11">
        <f>'[1]OS Bond Debt Ratios'!G16</f>
        <v>-867965</v>
      </c>
      <c r="F20" s="5"/>
      <c r="G20" s="12">
        <f>SUM(E19:E20)</f>
        <v>93659743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4" customHeight="1" x14ac:dyDescent="0.15">
      <c r="A21" s="5"/>
      <c r="B21" s="5"/>
      <c r="C21" s="5"/>
      <c r="D21" s="5"/>
      <c r="E21" s="5"/>
      <c r="F21" s="5"/>
      <c r="G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4" customHeight="1" x14ac:dyDescent="0.3">
      <c r="A22" s="5" t="s">
        <v>9</v>
      </c>
      <c r="B22" s="5"/>
      <c r="C22" s="5"/>
      <c r="D22" s="5"/>
      <c r="E22" s="5"/>
      <c r="F22" s="5"/>
      <c r="G22" s="13">
        <f>G12-G20</f>
        <v>580374696.20000005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4" customHeight="1" x14ac:dyDescent="0.15">
      <c r="A23" s="5"/>
      <c r="B23" s="5"/>
      <c r="C23" s="5"/>
      <c r="D23" s="5"/>
      <c r="E23" s="5"/>
      <c r="F23" s="5"/>
      <c r="G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4" customHeight="1" x14ac:dyDescent="0.15">
      <c r="A24" s="5" t="s">
        <v>10</v>
      </c>
      <c r="B24" s="5"/>
      <c r="C24" s="5"/>
      <c r="D24" s="5"/>
      <c r="E24" s="7"/>
      <c r="F24" s="5"/>
      <c r="G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4" customHeight="1" x14ac:dyDescent="0.15">
      <c r="A25" s="5" t="s">
        <v>11</v>
      </c>
      <c r="B25" s="5"/>
      <c r="C25" s="5"/>
      <c r="D25" s="5"/>
      <c r="E25" s="7"/>
      <c r="F25" s="5"/>
      <c r="G25" s="14">
        <f>SUM(G20/G22)</f>
        <v>0.16137806078251968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4" customHeight="1" x14ac:dyDescent="0.15">
      <c r="A26" s="5"/>
      <c r="B26" s="5"/>
      <c r="C26" s="5"/>
      <c r="D26" s="5"/>
      <c r="E26" s="7"/>
      <c r="F26" s="5"/>
      <c r="G26" s="5"/>
      <c r="H26" s="5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4" customHeight="1" x14ac:dyDescent="0.15">
      <c r="A27" s="5"/>
      <c r="B27" s="5"/>
      <c r="C27" s="15" t="s">
        <v>12</v>
      </c>
      <c r="D27" s="15"/>
      <c r="E27" s="15"/>
      <c r="F27" s="15"/>
      <c r="G27" s="1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" customHeight="1" x14ac:dyDescent="0.15">
      <c r="A28" s="5"/>
      <c r="B28" s="5"/>
      <c r="C28" s="16">
        <v>2019</v>
      </c>
      <c r="E28" s="16">
        <v>2020</v>
      </c>
      <c r="G28" s="16">
        <v>2021</v>
      </c>
      <c r="H28" s="5"/>
      <c r="I28" s="17">
        <v>2022</v>
      </c>
      <c r="J28" s="5"/>
      <c r="K28" s="18"/>
      <c r="L28" s="5"/>
      <c r="M28" s="18"/>
      <c r="N28" s="5"/>
      <c r="O28" s="18"/>
      <c r="P28" s="5"/>
      <c r="Q28" s="18"/>
      <c r="S28" s="18"/>
    </row>
    <row r="29" spans="1:20" ht="14" customHeight="1" x14ac:dyDescent="0.15">
      <c r="A29" s="5" t="s">
        <v>13</v>
      </c>
      <c r="B29" s="10"/>
      <c r="C29" s="19">
        <v>3900769022</v>
      </c>
      <c r="D29" s="20"/>
      <c r="E29" s="19">
        <v>4152459607</v>
      </c>
      <c r="F29" s="20"/>
      <c r="G29" s="19">
        <v>4070815340</v>
      </c>
      <c r="H29" s="5"/>
      <c r="I29" s="10">
        <v>6740344392</v>
      </c>
      <c r="J29" s="5"/>
      <c r="K29" s="21"/>
      <c r="L29" s="5"/>
      <c r="M29" s="21"/>
      <c r="N29" s="5"/>
      <c r="O29" s="21"/>
      <c r="P29" s="5"/>
      <c r="Q29" s="21"/>
      <c r="S29" s="21"/>
    </row>
    <row r="30" spans="1:20" ht="14" customHeight="1" x14ac:dyDescent="0.15">
      <c r="A30" s="5"/>
      <c r="B30" s="5"/>
      <c r="C30" s="18"/>
      <c r="E30" s="18"/>
      <c r="G30" s="18"/>
      <c r="H30" s="5"/>
      <c r="I30" s="18"/>
      <c r="J30" s="5"/>
      <c r="K30" s="18"/>
      <c r="L30" s="5"/>
      <c r="M30" s="18"/>
      <c r="N30" s="5"/>
      <c r="O30" s="18"/>
      <c r="P30" s="5"/>
      <c r="Q30" s="18"/>
      <c r="S30" s="18"/>
    </row>
    <row r="31" spans="1:20" ht="14" customHeight="1" x14ac:dyDescent="0.15">
      <c r="A31" s="5" t="s">
        <v>14</v>
      </c>
      <c r="B31" s="5"/>
      <c r="C31" s="22">
        <f>C29/10</f>
        <v>390076902.19999999</v>
      </c>
      <c r="D31" s="23"/>
      <c r="E31" s="22">
        <f>E29/10</f>
        <v>415245960.69999999</v>
      </c>
      <c r="F31" s="23"/>
      <c r="G31" s="22">
        <f>G29/10</f>
        <v>407081534</v>
      </c>
      <c r="H31" s="5"/>
      <c r="I31" s="10">
        <v>674034439</v>
      </c>
      <c r="J31" s="5"/>
      <c r="K31" s="10"/>
      <c r="L31" s="5"/>
      <c r="M31" s="10"/>
      <c r="N31" s="5"/>
      <c r="O31" s="10"/>
      <c r="P31" s="5"/>
      <c r="Q31" s="10"/>
      <c r="S31" s="10"/>
    </row>
    <row r="32" spans="1:20" ht="14" customHeight="1" x14ac:dyDescent="0.15">
      <c r="A32" s="5" t="s">
        <v>15</v>
      </c>
      <c r="B32" s="5"/>
      <c r="C32" s="24">
        <v>66019954</v>
      </c>
      <c r="D32" s="24"/>
      <c r="E32" s="24">
        <v>61318507</v>
      </c>
      <c r="F32" s="24"/>
      <c r="G32" s="24">
        <v>53946636</v>
      </c>
      <c r="H32" s="5"/>
      <c r="I32" s="7">
        <v>74600814</v>
      </c>
      <c r="J32" s="5"/>
      <c r="K32" s="7"/>
      <c r="L32" s="5"/>
      <c r="M32" s="7"/>
      <c r="N32" s="5"/>
      <c r="O32" s="7"/>
      <c r="P32" s="5"/>
      <c r="Q32" s="7"/>
      <c r="S32" s="7"/>
    </row>
    <row r="33" spans="1:19" ht="14" customHeight="1" x14ac:dyDescent="0.3">
      <c r="A33" s="5" t="s">
        <v>16</v>
      </c>
      <c r="B33" s="5"/>
      <c r="C33" s="25">
        <f>SUM(C31-C32)</f>
        <v>324056948.19999999</v>
      </c>
      <c r="D33" s="13"/>
      <c r="E33" s="25">
        <f>SUM(E31-E32)</f>
        <v>353927453.69999999</v>
      </c>
      <c r="F33" s="13"/>
      <c r="G33" s="25">
        <f>SUM(G31-G32)</f>
        <v>353134898</v>
      </c>
      <c r="H33" s="5"/>
      <c r="I33" s="25">
        <f>SUM(I31-I32)</f>
        <v>599433625</v>
      </c>
      <c r="J33" s="5"/>
      <c r="K33" s="10"/>
      <c r="L33" s="5"/>
      <c r="M33" s="10"/>
      <c r="N33" s="5"/>
      <c r="O33" s="10"/>
      <c r="P33" s="5"/>
      <c r="Q33" s="10"/>
      <c r="S33" s="10"/>
    </row>
    <row r="34" spans="1:19" ht="14" customHeight="1" x14ac:dyDescent="0.15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  <c r="R34" s="5"/>
      <c r="S34" s="7"/>
    </row>
    <row r="35" spans="1:19" ht="14" customHeight="1" x14ac:dyDescent="0.15">
      <c r="A35" s="5"/>
      <c r="B35" s="5"/>
      <c r="C35" s="16">
        <v>2016</v>
      </c>
      <c r="E35" s="16">
        <v>2017</v>
      </c>
      <c r="G35" s="16">
        <v>2018</v>
      </c>
      <c r="H35" s="5"/>
      <c r="I35" s="5"/>
      <c r="J35" s="5"/>
      <c r="K35" s="5"/>
      <c r="L35" s="5"/>
      <c r="M35" s="5"/>
      <c r="N35" s="5"/>
      <c r="O35" s="5"/>
      <c r="P35" s="5"/>
      <c r="Q35" s="7"/>
      <c r="R35" s="5"/>
      <c r="S35" s="5"/>
    </row>
    <row r="36" spans="1:19" ht="14" customHeight="1" x14ac:dyDescent="0.15">
      <c r="A36" s="5" t="s">
        <v>13</v>
      </c>
      <c r="C36" s="19">
        <v>3375850131</v>
      </c>
      <c r="D36" s="20"/>
      <c r="E36" s="19">
        <v>3647504903</v>
      </c>
      <c r="F36" s="20"/>
      <c r="G36" s="19">
        <v>3783027833</v>
      </c>
    </row>
    <row r="37" spans="1:19" ht="14" customHeight="1" x14ac:dyDescent="0.15">
      <c r="A37" s="5"/>
      <c r="C37" s="18"/>
      <c r="E37" s="18"/>
      <c r="G37" s="18"/>
    </row>
    <row r="38" spans="1:19" ht="14" customHeight="1" x14ac:dyDescent="0.15">
      <c r="A38" s="5" t="s">
        <v>14</v>
      </c>
      <c r="C38" s="22">
        <f>C36/10</f>
        <v>337585013.10000002</v>
      </c>
      <c r="D38" s="23"/>
      <c r="E38" s="22">
        <f>E36/10</f>
        <v>364750490.30000001</v>
      </c>
      <c r="F38" s="23"/>
      <c r="G38" s="22">
        <f>G36/10</f>
        <v>378302783.30000001</v>
      </c>
    </row>
    <row r="39" spans="1:19" ht="14" customHeight="1" x14ac:dyDescent="0.15">
      <c r="A39" s="5" t="s">
        <v>15</v>
      </c>
      <c r="C39" s="24">
        <v>61181169</v>
      </c>
      <c r="D39" s="24"/>
      <c r="E39" s="24">
        <v>65792916</v>
      </c>
      <c r="F39" s="24"/>
      <c r="G39" s="24">
        <v>66329699</v>
      </c>
    </row>
    <row r="40" spans="1:19" ht="14" customHeight="1" x14ac:dyDescent="0.3">
      <c r="A40" s="5" t="s">
        <v>16</v>
      </c>
      <c r="C40" s="25">
        <f>SUM(C38-C39)</f>
        <v>276403844.10000002</v>
      </c>
      <c r="D40" s="13"/>
      <c r="E40" s="25">
        <f>SUM(E38-E39)</f>
        <v>298957574.30000001</v>
      </c>
      <c r="F40" s="13"/>
      <c r="G40" s="25">
        <f>SUM(G38-G39)</f>
        <v>311973084.30000001</v>
      </c>
    </row>
    <row r="41" spans="1:19" ht="14" customHeight="1" x14ac:dyDescent="0.15">
      <c r="D41" s="5"/>
      <c r="E41" s="5"/>
      <c r="F41" s="5"/>
      <c r="G41" s="5"/>
    </row>
    <row r="42" spans="1:19" ht="14" customHeight="1" x14ac:dyDescent="0.15">
      <c r="C42" s="16">
        <v>2013</v>
      </c>
      <c r="E42" s="16">
        <v>2014</v>
      </c>
      <c r="G42" s="16">
        <v>2015</v>
      </c>
    </row>
    <row r="43" spans="1:19" ht="14" customHeight="1" x14ac:dyDescent="0.15">
      <c r="A43" s="5" t="s">
        <v>13</v>
      </c>
      <c r="C43" s="19">
        <v>2600365551</v>
      </c>
      <c r="D43" s="20"/>
      <c r="E43" s="19">
        <v>2752562574</v>
      </c>
      <c r="F43" s="20"/>
      <c r="G43" s="19">
        <v>3037267611</v>
      </c>
    </row>
    <row r="44" spans="1:19" ht="14" customHeight="1" x14ac:dyDescent="0.15">
      <c r="A44" s="5"/>
      <c r="C44" s="18"/>
      <c r="E44" s="18"/>
      <c r="G44" s="18"/>
    </row>
    <row r="45" spans="1:19" ht="14" customHeight="1" x14ac:dyDescent="0.15">
      <c r="A45" s="5" t="s">
        <v>14</v>
      </c>
      <c r="C45" s="22">
        <f>C43/10</f>
        <v>260036555.09999999</v>
      </c>
      <c r="D45" s="23"/>
      <c r="E45" s="22">
        <f>E43/10</f>
        <v>275256257.39999998</v>
      </c>
      <c r="F45" s="23"/>
      <c r="G45" s="22">
        <f>G43/10</f>
        <v>303726761.10000002</v>
      </c>
    </row>
    <row r="46" spans="1:19" ht="14" customHeight="1" x14ac:dyDescent="0.15">
      <c r="A46" s="5" t="s">
        <v>15</v>
      </c>
      <c r="C46" s="24">
        <v>60499568</v>
      </c>
      <c r="D46" s="24"/>
      <c r="E46" s="24">
        <v>56803499</v>
      </c>
      <c r="F46" s="24"/>
      <c r="G46" s="24">
        <v>53424303</v>
      </c>
    </row>
    <row r="47" spans="1:19" ht="14" customHeight="1" x14ac:dyDescent="0.3">
      <c r="A47" s="5" t="s">
        <v>16</v>
      </c>
      <c r="C47" s="25">
        <f>SUM(C45-C46)</f>
        <v>199536987.09999999</v>
      </c>
      <c r="D47" s="13"/>
      <c r="E47" s="25">
        <f>SUM(E45-E46)</f>
        <v>218452758.39999998</v>
      </c>
      <c r="F47" s="13"/>
      <c r="G47" s="25">
        <f>SUM(G45-G46)</f>
        <v>250302458.10000002</v>
      </c>
    </row>
  </sheetData>
  <mergeCells count="4">
    <mergeCell ref="A1:G1"/>
    <mergeCell ref="A3:G3"/>
    <mergeCell ref="A5:G5"/>
    <mergeCell ref="C27:G27"/>
  </mergeCells>
  <pageMargins left="0.75" right="0.75" top="0.5" bottom="1" header="0.5" footer="0.5"/>
  <pageSetup firstPageNumber="109" orientation="portrait" useFirstPageNumber="1" r:id="rId1"/>
  <headerFooter alignWithMargins="0">
    <oddHeader>&amp;R&amp;"Verdana,Bold"&amp;9TABLE 15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Debt Margin Info</vt:lpstr>
      <vt:lpstr>'Debt Margin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2026-02-15T20:34:22Z</dcterms:created>
  <dcterms:modified xsi:type="dcterms:W3CDTF">2026-02-15T20:34:46Z</dcterms:modified>
</cp:coreProperties>
</file>
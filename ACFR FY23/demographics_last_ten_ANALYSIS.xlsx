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D/R Working Directory/Schertz Compensation Review/ACFR FY23/"/>
    </mc:Choice>
  </mc:AlternateContent>
  <xr:revisionPtr revIDLastSave="0" documentId="8_{A06FDE50-5F7F-7441-8A17-10B9EDD201E8}" xr6:coauthVersionLast="47" xr6:coauthVersionMax="47" xr10:uidLastSave="{00000000-0000-0000-0000-000000000000}"/>
  <bookViews>
    <workbookView xWindow="7660" yWindow="4020" windowWidth="26840" windowHeight="15940" xr2:uid="{E3CE3728-F1B6-954D-AACE-A546D484163C}"/>
  </bookViews>
  <sheets>
    <sheet name="Demographics Last 10" sheetId="1" r:id="rId1"/>
  </sheets>
  <definedNames>
    <definedName name="_xlnm.Print_Area" localSheetId="0">'Demographics Last 10'!$A$1:$O$34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10" i="1"/>
</calcChain>
</file>

<file path=xl/sharedStrings.xml><?xml version="1.0" encoding="utf-8"?>
<sst xmlns="http://schemas.openxmlformats.org/spreadsheetml/2006/main" count="13" uniqueCount="13">
  <si>
    <t>CITY OF SCHERTZ, TEXAS</t>
  </si>
  <si>
    <t>DEMOGRAPHIC AND ECONOMIC STATISTICS</t>
  </si>
  <si>
    <t>LAST TEN FISCAL YEARS</t>
  </si>
  <si>
    <t>Fiscal Year</t>
  </si>
  <si>
    <t>Population</t>
  </si>
  <si>
    <t>Personal
Income</t>
  </si>
  <si>
    <t>Per Capita Personal
Income</t>
  </si>
  <si>
    <t>Median
Age</t>
  </si>
  <si>
    <t>Education
Level in
Years of
Schooling</t>
  </si>
  <si>
    <t>School
Enrollment</t>
  </si>
  <si>
    <t>Unemployment
Rate</t>
  </si>
  <si>
    <t>Sources:</t>
  </si>
  <si>
    <t xml:space="preserve">Population, personal income, median age and education level informaiton provided by City Economic Development Corporation. School enrollment provided by Schertz-Cibolo-Universal City Independent School District. Unemployment data provided by Texas Workforce Commission.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</si>
</sst>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164" formatCode="0.0000"/>
    <numFmt numFmtId="165" formatCode="&quot;$&quot;_(* #,##0_);&quot;$&quot;\(* #,##0\);&quot;$&quot;_(* &quot;-&quot;???_);_(@_)"/>
    <numFmt numFmtId="166" formatCode="_(* #,##0.0_);_(* \(#,##0.0\);_(* &quot;-&quot;?_);_(@_)"/>
    <numFmt numFmtId="167" formatCode="0.0%"/>
  </numFmts>
  <fonts count="6" x14ac:knownFonts="1">
    <font>
      <sz val="11"/>
      <name val="Times New Roman"/>
      <family val="1"/>
    </font>
    <font>
      <sz val="11"/>
      <name val="Times New Roman"/>
      <family val="1"/>
    </font>
    <font>
      <b/>
      <sz val="9"/>
      <name val="Verdana"/>
      <family val="2"/>
    </font>
    <font>
      <sz val="9"/>
      <name val="Verdana"/>
      <family val="2"/>
    </font>
    <font>
      <sz val="10"/>
      <name val="Arial"/>
      <family val="2"/>
    </font>
    <font>
      <i/>
      <sz val="9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 wrapText="1"/>
    </xf>
    <xf numFmtId="41" fontId="3" fillId="0" borderId="0" xfId="2" applyNumberFormat="1" applyFont="1"/>
    <xf numFmtId="41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167" fontId="3" fillId="0" borderId="0" xfId="0" applyNumberFormat="1" applyFont="1" applyAlignment="1">
      <alignment horizontal="center"/>
    </xf>
    <xf numFmtId="0" fontId="3" fillId="0" borderId="0" xfId="2" applyFont="1"/>
    <xf numFmtId="166" fontId="3" fillId="0" borderId="0" xfId="2" applyNumberFormat="1" applyFont="1"/>
    <xf numFmtId="167" fontId="3" fillId="0" borderId="0" xfId="2" applyNumberFormat="1" applyFont="1" applyAlignment="1">
      <alignment horizontal="center"/>
    </xf>
    <xf numFmtId="9" fontId="3" fillId="0" borderId="0" xfId="1" applyFont="1" applyFill="1"/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justify" vertical="top" wrapText="1"/>
    </xf>
    <xf numFmtId="0" fontId="5" fillId="0" borderId="0" xfId="0" applyFont="1"/>
    <xf numFmtId="9" fontId="3" fillId="0" borderId="0" xfId="1" applyFont="1"/>
    <xf numFmtId="164" fontId="3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vertical="top"/>
    </xf>
  </cellXfs>
  <cellStyles count="3">
    <cellStyle name="Normal" xfId="0" builtinId="0"/>
    <cellStyle name="Normal 2 2" xfId="2" xr:uid="{E2EDCB0A-1706-404C-817A-C610116E1CDD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6FBC7-41CE-2A41-B3B8-C8E60F1024FA}">
  <sheetPr>
    <tabColor rgb="FF92D050"/>
  </sheetPr>
  <dimension ref="A1:T38"/>
  <sheetViews>
    <sheetView tabSelected="1" zoomScaleNormal="100" workbookViewId="0">
      <selection activeCell="T8" sqref="T8"/>
    </sheetView>
  </sheetViews>
  <sheetFormatPr baseColWidth="10" defaultColWidth="15.6640625" defaultRowHeight="14" customHeight="1" x14ac:dyDescent="0.15"/>
  <cols>
    <col min="1" max="1" width="7.6640625" style="2" customWidth="1"/>
    <col min="2" max="2" width="0.83203125" style="2" customWidth="1"/>
    <col min="3" max="3" width="8.6640625" style="2" customWidth="1"/>
    <col min="4" max="4" width="0.83203125" style="2" customWidth="1"/>
    <col min="5" max="5" width="16.83203125" style="2" bestFit="1" customWidth="1"/>
    <col min="6" max="6" width="0.83203125" style="2" customWidth="1"/>
    <col min="7" max="7" width="9.5" style="2" customWidth="1"/>
    <col min="8" max="8" width="0.83203125" style="2" customWidth="1"/>
    <col min="9" max="9" width="7.6640625" style="2" customWidth="1"/>
    <col min="10" max="10" width="0.83203125" style="2" customWidth="1"/>
    <col min="11" max="11" width="9.83203125" style="2" bestFit="1" customWidth="1"/>
    <col min="12" max="12" width="0.83203125" style="2" customWidth="1"/>
    <col min="13" max="13" width="10.6640625" style="2" customWidth="1"/>
    <col min="14" max="14" width="0.83203125" style="2" customWidth="1"/>
    <col min="15" max="15" width="13.1640625" style="2" customWidth="1"/>
    <col min="16" max="16" width="10.6640625" style="2" customWidth="1"/>
    <col min="17" max="17" width="10.1640625" style="2" customWidth="1"/>
    <col min="18" max="18" width="10.5" style="2" customWidth="1"/>
    <col min="19" max="19" width="11.1640625" style="2" customWidth="1"/>
    <col min="20" max="21" width="11.33203125" style="2" customWidth="1"/>
    <col min="22" max="23" width="11" style="2" customWidth="1"/>
    <col min="24" max="24" width="10.83203125" style="2" customWidth="1"/>
    <col min="25" max="25" width="1.6640625" style="2" customWidth="1"/>
    <col min="26" max="26" width="10.6640625" style="2" customWidth="1"/>
    <col min="27" max="27" width="1.6640625" style="2" customWidth="1"/>
    <col min="28" max="16384" width="15.6640625" style="2"/>
  </cols>
  <sheetData>
    <row r="1" spans="1:15" ht="12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" customHeight="1" x14ac:dyDescent="0.15"/>
    <row r="3" spans="1:15" ht="12" customHeight="1" x14ac:dyDescent="0.1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12" customHeight="1" x14ac:dyDescent="0.15"/>
    <row r="5" spans="1:15" ht="12" customHeight="1" x14ac:dyDescent="0.15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12" customHeight="1" x14ac:dyDescent="0.15"/>
    <row r="7" spans="1:15" ht="53.25" customHeight="1" x14ac:dyDescent="0.15">
      <c r="A7" s="4" t="s">
        <v>3</v>
      </c>
      <c r="B7" s="5"/>
      <c r="C7" s="6" t="s">
        <v>4</v>
      </c>
      <c r="D7" s="6"/>
      <c r="E7" s="7" t="s">
        <v>5</v>
      </c>
      <c r="F7" s="7"/>
      <c r="G7" s="7" t="s">
        <v>6</v>
      </c>
      <c r="H7" s="7"/>
      <c r="I7" s="4" t="s">
        <v>7</v>
      </c>
      <c r="J7" s="4"/>
      <c r="K7" s="4" t="s">
        <v>8</v>
      </c>
      <c r="L7" s="4"/>
      <c r="M7" s="4" t="s">
        <v>9</v>
      </c>
      <c r="N7" s="4"/>
      <c r="O7" s="4" t="s">
        <v>10</v>
      </c>
    </row>
    <row r="8" spans="1:15" ht="14" customHeight="1" x14ac:dyDescent="0.15">
      <c r="A8" s="2">
        <v>2024</v>
      </c>
      <c r="C8" s="8">
        <v>43239</v>
      </c>
      <c r="D8" s="9"/>
      <c r="E8" s="10">
        <v>1790872902</v>
      </c>
      <c r="F8" s="10"/>
      <c r="G8" s="10">
        <v>41418</v>
      </c>
      <c r="H8" s="9"/>
      <c r="I8" s="11">
        <v>42</v>
      </c>
      <c r="J8" s="11"/>
      <c r="K8" s="11">
        <v>16</v>
      </c>
      <c r="L8" s="11"/>
      <c r="M8" s="9">
        <v>15758</v>
      </c>
      <c r="N8" s="9"/>
      <c r="O8" s="12">
        <v>3.2000000000000001E-2</v>
      </c>
    </row>
    <row r="9" spans="1:15" ht="14" customHeight="1" x14ac:dyDescent="0.15">
      <c r="A9" s="2">
        <v>2023</v>
      </c>
      <c r="C9" s="8">
        <v>43010</v>
      </c>
      <c r="D9" s="9"/>
      <c r="E9" s="10">
        <v>1734335240</v>
      </c>
      <c r="F9" s="10"/>
      <c r="G9" s="10">
        <v>40324</v>
      </c>
      <c r="H9" s="9"/>
      <c r="I9" s="11">
        <v>39</v>
      </c>
      <c r="J9" s="11"/>
      <c r="K9" s="11">
        <v>15.9</v>
      </c>
      <c r="L9" s="11"/>
      <c r="M9" s="9">
        <v>15573</v>
      </c>
      <c r="N9" s="9"/>
      <c r="O9" s="12">
        <v>3.5999999999999997E-2</v>
      </c>
    </row>
    <row r="10" spans="1:15" ht="14" customHeight="1" x14ac:dyDescent="0.15">
      <c r="A10" s="2">
        <v>2022</v>
      </c>
      <c r="C10" s="8">
        <f>(43010-42000)/3+C11</f>
        <v>42673.333333333328</v>
      </c>
      <c r="D10" s="9"/>
      <c r="E10" s="10">
        <v>1656664146.6666665</v>
      </c>
      <c r="F10" s="10"/>
      <c r="G10" s="10">
        <v>38822</v>
      </c>
      <c r="H10" s="9"/>
      <c r="I10" s="11">
        <v>37.9</v>
      </c>
      <c r="J10" s="11"/>
      <c r="K10" s="11">
        <v>15.9</v>
      </c>
      <c r="L10" s="11"/>
      <c r="M10" s="9">
        <v>15877</v>
      </c>
      <c r="N10" s="9"/>
      <c r="O10" s="12">
        <v>3.3000000000000002E-2</v>
      </c>
    </row>
    <row r="11" spans="1:15" ht="14" customHeight="1" x14ac:dyDescent="0.15">
      <c r="A11" s="2">
        <v>2021</v>
      </c>
      <c r="C11" s="8">
        <f>(43010-42000)/3+C12</f>
        <v>42336.666666666664</v>
      </c>
      <c r="E11" s="9">
        <v>1611714563.3333333</v>
      </c>
      <c r="F11" s="9"/>
      <c r="G11" s="9">
        <v>38069</v>
      </c>
      <c r="I11" s="11">
        <v>37.6</v>
      </c>
      <c r="K11" s="11">
        <v>16.152301875024364</v>
      </c>
      <c r="L11" s="11"/>
      <c r="M11" s="9">
        <v>15887</v>
      </c>
      <c r="N11" s="9"/>
      <c r="O11" s="12">
        <v>3.9E-2</v>
      </c>
    </row>
    <row r="12" spans="1:15" ht="14" customHeight="1" x14ac:dyDescent="0.15">
      <c r="A12" s="2">
        <v>2020</v>
      </c>
      <c r="C12" s="8">
        <v>42000</v>
      </c>
      <c r="E12" s="9">
        <v>1651272000</v>
      </c>
      <c r="F12" s="9"/>
      <c r="G12" s="9">
        <v>39316</v>
      </c>
      <c r="I12" s="11">
        <v>37.4</v>
      </c>
      <c r="K12" s="11">
        <v>16.2</v>
      </c>
      <c r="L12" s="11"/>
      <c r="M12" s="9">
        <v>15675</v>
      </c>
      <c r="N12" s="9"/>
      <c r="O12" s="12">
        <v>5.0999999999999997E-2</v>
      </c>
    </row>
    <row r="13" spans="1:15" ht="14" customHeight="1" x14ac:dyDescent="0.15">
      <c r="A13" s="2">
        <v>2019</v>
      </c>
      <c r="C13" s="9">
        <v>41948</v>
      </c>
      <c r="D13" s="9"/>
      <c r="E13" s="9">
        <v>1473255708</v>
      </c>
      <c r="F13" s="9"/>
      <c r="G13" s="9">
        <v>35121</v>
      </c>
      <c r="H13" s="9"/>
      <c r="I13" s="11">
        <v>38</v>
      </c>
      <c r="J13" s="11"/>
      <c r="K13" s="11">
        <v>16.2</v>
      </c>
      <c r="L13" s="11"/>
      <c r="M13" s="9">
        <v>15925</v>
      </c>
      <c r="N13" s="9"/>
      <c r="O13" s="12">
        <v>2.7E-2</v>
      </c>
    </row>
    <row r="14" spans="1:15" ht="14" customHeight="1" x14ac:dyDescent="0.15">
      <c r="A14" s="13">
        <v>2018</v>
      </c>
      <c r="B14" s="13"/>
      <c r="C14" s="8">
        <v>41182</v>
      </c>
      <c r="D14" s="8"/>
      <c r="E14" s="8">
        <v>1396481620</v>
      </c>
      <c r="F14" s="8"/>
      <c r="G14" s="8">
        <v>33910</v>
      </c>
      <c r="H14" s="8"/>
      <c r="I14" s="14">
        <v>37.299999999999997</v>
      </c>
      <c r="J14" s="14"/>
      <c r="K14" s="14">
        <v>15.9</v>
      </c>
      <c r="L14" s="14"/>
      <c r="M14" s="8">
        <v>15817</v>
      </c>
      <c r="N14" s="8"/>
      <c r="O14" s="15">
        <v>3.2000000000000001E-2</v>
      </c>
    </row>
    <row r="15" spans="1:15" ht="14" customHeight="1" x14ac:dyDescent="0.15">
      <c r="A15" s="13">
        <v>2017</v>
      </c>
      <c r="B15" s="13"/>
      <c r="C15" s="8">
        <v>39453</v>
      </c>
      <c r="D15" s="8"/>
      <c r="E15" s="8">
        <v>1266046770</v>
      </c>
      <c r="F15" s="8"/>
      <c r="G15" s="8">
        <v>32090</v>
      </c>
      <c r="H15" s="8"/>
      <c r="I15" s="14">
        <v>37.200000000000003</v>
      </c>
      <c r="J15" s="14"/>
      <c r="K15" s="14">
        <v>15.9</v>
      </c>
      <c r="L15" s="14"/>
      <c r="M15" s="8">
        <v>15497</v>
      </c>
      <c r="N15" s="8"/>
      <c r="O15" s="15">
        <v>3.7999999999999999E-2</v>
      </c>
    </row>
    <row r="16" spans="1:15" ht="14" customHeight="1" x14ac:dyDescent="0.15">
      <c r="A16" s="13">
        <v>2016</v>
      </c>
      <c r="B16" s="13"/>
      <c r="C16" s="8">
        <v>37938</v>
      </c>
      <c r="D16" s="8"/>
      <c r="E16" s="8">
        <v>1175319240</v>
      </c>
      <c r="F16" s="8"/>
      <c r="G16" s="8">
        <v>30980</v>
      </c>
      <c r="H16" s="8"/>
      <c r="I16" s="14">
        <v>36.9</v>
      </c>
      <c r="J16" s="14"/>
      <c r="K16" s="14">
        <v>15.8</v>
      </c>
      <c r="L16" s="14"/>
      <c r="M16" s="8">
        <v>15460</v>
      </c>
      <c r="N16" s="8"/>
      <c r="O16" s="15">
        <v>3.4000000000000002E-2</v>
      </c>
    </row>
    <row r="17" spans="1:20" ht="14" customHeight="1" x14ac:dyDescent="0.15">
      <c r="A17" s="13">
        <v>2015</v>
      </c>
      <c r="B17" s="13"/>
      <c r="C17" s="8">
        <v>37865</v>
      </c>
      <c r="D17" s="8"/>
      <c r="E17" s="8">
        <v>1157835970</v>
      </c>
      <c r="F17" s="8"/>
      <c r="G17" s="8">
        <v>30578</v>
      </c>
      <c r="H17" s="8"/>
      <c r="I17" s="14">
        <v>36.1</v>
      </c>
      <c r="J17" s="14"/>
      <c r="K17" s="14">
        <v>15.6</v>
      </c>
      <c r="L17" s="14"/>
      <c r="M17" s="8">
        <v>15009</v>
      </c>
      <c r="N17" s="8"/>
      <c r="O17" s="15">
        <v>3.2000000000000001E-2</v>
      </c>
    </row>
    <row r="18" spans="1:20" ht="14" customHeight="1" x14ac:dyDescent="0.15">
      <c r="A18" s="13">
        <v>2014</v>
      </c>
      <c r="B18" s="13"/>
      <c r="C18" s="8">
        <v>36477</v>
      </c>
      <c r="D18" s="8"/>
      <c r="E18" s="8">
        <v>1144465875</v>
      </c>
      <c r="F18" s="8"/>
      <c r="G18" s="8">
        <v>31375</v>
      </c>
      <c r="H18" s="8"/>
      <c r="I18" s="14">
        <v>36.9</v>
      </c>
      <c r="J18" s="14"/>
      <c r="K18" s="14">
        <v>15.4</v>
      </c>
      <c r="L18" s="14"/>
      <c r="M18" s="8">
        <v>14515</v>
      </c>
      <c r="N18" s="8"/>
      <c r="O18" s="15">
        <v>5.0999999999999997E-2</v>
      </c>
    </row>
    <row r="19" spans="1:20" ht="14" customHeight="1" x14ac:dyDescent="0.15">
      <c r="A19" s="13">
        <v>2013</v>
      </c>
      <c r="B19" s="13"/>
      <c r="C19" s="8">
        <v>35929</v>
      </c>
      <c r="D19" s="8"/>
      <c r="E19" s="8">
        <v>1095331494</v>
      </c>
      <c r="F19" s="8"/>
      <c r="G19" s="8">
        <v>30486</v>
      </c>
      <c r="H19" s="8"/>
      <c r="I19" s="14">
        <v>37.1</v>
      </c>
      <c r="J19" s="14"/>
      <c r="K19" s="14">
        <v>15.4</v>
      </c>
      <c r="L19" s="14"/>
      <c r="M19" s="8">
        <v>14058</v>
      </c>
      <c r="N19" s="8"/>
      <c r="O19" s="15">
        <v>5.5E-2</v>
      </c>
    </row>
    <row r="20" spans="1:20" ht="14" customHeight="1" x14ac:dyDescent="0.15">
      <c r="A20" s="13"/>
      <c r="B20" s="13"/>
      <c r="C20" s="8"/>
      <c r="D20" s="8"/>
      <c r="E20" s="8"/>
      <c r="F20" s="8"/>
      <c r="G20" s="8"/>
      <c r="H20" s="8"/>
      <c r="I20" s="14"/>
      <c r="J20" s="14"/>
      <c r="K20" s="14"/>
      <c r="L20" s="14"/>
      <c r="M20" s="8"/>
      <c r="N20" s="8"/>
      <c r="O20" s="15"/>
      <c r="T20" s="16"/>
    </row>
    <row r="21" spans="1:20" ht="14" customHeight="1" x14ac:dyDescent="0.15">
      <c r="A21" s="13"/>
      <c r="C21" s="9"/>
      <c r="D21" s="9"/>
      <c r="E21" s="9"/>
      <c r="F21" s="9"/>
      <c r="G21" s="9"/>
      <c r="H21" s="9"/>
      <c r="I21" s="11"/>
      <c r="J21" s="11"/>
      <c r="K21" s="11"/>
      <c r="L21" s="11"/>
      <c r="M21" s="9"/>
      <c r="N21" s="9"/>
      <c r="O21" s="12"/>
      <c r="T21" s="16"/>
    </row>
    <row r="22" spans="1:20" ht="14" customHeight="1" x14ac:dyDescent="0.15">
      <c r="A22" s="17" t="s">
        <v>11</v>
      </c>
      <c r="B22" s="18" t="s">
        <v>12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T22" s="16"/>
    </row>
    <row r="23" spans="1:20" ht="14" customHeight="1" x14ac:dyDescent="0.15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T23" s="16"/>
    </row>
    <row r="24" spans="1:20" ht="14" customHeight="1" x14ac:dyDescent="0.15">
      <c r="A24" s="13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T24" s="16"/>
    </row>
    <row r="25" spans="1:20" ht="14" customHeight="1" x14ac:dyDescent="0.15">
      <c r="A25" s="13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T25" s="16"/>
    </row>
    <row r="26" spans="1:20" ht="14" hidden="1" customHeight="1" x14ac:dyDescent="0.15">
      <c r="A26" s="13">
        <v>2005</v>
      </c>
      <c r="C26" s="9">
        <v>18694</v>
      </c>
      <c r="D26" s="9"/>
      <c r="E26" s="9">
        <v>593870992</v>
      </c>
      <c r="F26" s="9"/>
      <c r="G26" s="9">
        <v>31768</v>
      </c>
      <c r="H26" s="9"/>
      <c r="I26" s="11">
        <v>35.1</v>
      </c>
      <c r="J26" s="11"/>
      <c r="K26" s="11">
        <v>14.6</v>
      </c>
      <c r="L26" s="11"/>
      <c r="M26" s="9">
        <v>6186</v>
      </c>
      <c r="N26" s="9"/>
      <c r="O26" s="12">
        <v>3.9E-2</v>
      </c>
      <c r="T26" s="16"/>
    </row>
    <row r="27" spans="1:20" ht="14" customHeight="1" x14ac:dyDescent="0.15">
      <c r="A27" s="13"/>
      <c r="C27" s="9"/>
      <c r="D27" s="9"/>
      <c r="E27" s="9"/>
      <c r="F27" s="9"/>
      <c r="G27" s="9"/>
      <c r="H27" s="9"/>
      <c r="I27" s="11"/>
      <c r="J27" s="11"/>
      <c r="K27" s="11"/>
      <c r="L27" s="11"/>
      <c r="M27" s="9"/>
      <c r="N27" s="9"/>
      <c r="O27" s="12"/>
      <c r="T27" s="16"/>
    </row>
    <row r="28" spans="1:20" ht="14" customHeight="1" x14ac:dyDescent="0.15">
      <c r="A28" s="13"/>
      <c r="C28" s="9"/>
      <c r="D28" s="9"/>
      <c r="E28" s="9"/>
      <c r="F28" s="9"/>
      <c r="G28" s="9"/>
      <c r="H28" s="9"/>
      <c r="I28" s="11"/>
      <c r="J28" s="11"/>
      <c r="K28" s="11"/>
      <c r="L28" s="11"/>
      <c r="M28" s="9"/>
      <c r="N28" s="9"/>
      <c r="O28" s="12"/>
    </row>
    <row r="29" spans="1:20" ht="14" customHeight="1" x14ac:dyDescent="0.15">
      <c r="A29" s="13"/>
      <c r="C29" s="9"/>
      <c r="D29" s="9"/>
      <c r="E29" s="9"/>
      <c r="F29" s="9"/>
      <c r="G29" s="9"/>
      <c r="H29" s="9"/>
      <c r="I29" s="11"/>
      <c r="J29" s="11"/>
      <c r="K29" s="11"/>
      <c r="L29" s="11"/>
      <c r="M29" s="9"/>
      <c r="N29" s="9"/>
      <c r="O29" s="12"/>
      <c r="P29" s="19"/>
    </row>
    <row r="30" spans="1:20" ht="14" customHeight="1" x14ac:dyDescent="0.15">
      <c r="A30" s="13"/>
      <c r="C30" s="9"/>
      <c r="D30" s="9"/>
      <c r="E30" s="9"/>
      <c r="F30" s="9"/>
      <c r="G30" s="9"/>
      <c r="H30" s="9"/>
      <c r="I30" s="11"/>
      <c r="J30" s="11"/>
      <c r="K30" s="11"/>
      <c r="L30" s="11"/>
      <c r="M30" s="9"/>
      <c r="N30" s="9"/>
      <c r="O30" s="12"/>
    </row>
    <row r="31" spans="1:20" ht="14" customHeight="1" x14ac:dyDescent="0.15">
      <c r="A31" s="13"/>
      <c r="C31" s="9"/>
      <c r="D31" s="9"/>
      <c r="E31" s="9"/>
      <c r="F31" s="9"/>
      <c r="G31" s="9"/>
      <c r="H31" s="9"/>
      <c r="I31" s="11"/>
      <c r="J31" s="11"/>
      <c r="K31" s="11"/>
      <c r="L31" s="11"/>
      <c r="M31" s="9"/>
      <c r="N31" s="9"/>
      <c r="O31" s="12"/>
      <c r="T31" s="20"/>
    </row>
    <row r="32" spans="1:20" ht="14" customHeight="1" x14ac:dyDescent="0.15">
      <c r="A32" s="13"/>
      <c r="C32" s="21"/>
      <c r="D32" s="21"/>
      <c r="E32" s="21"/>
      <c r="F32" s="21"/>
      <c r="G32" s="21"/>
      <c r="H32" s="21"/>
    </row>
    <row r="33" spans="1:15" ht="14" customHeight="1" x14ac:dyDescent="0.1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</row>
    <row r="34" spans="1:15" ht="45" customHeight="1" x14ac:dyDescent="0.15">
      <c r="A34" s="23"/>
      <c r="B34" s="19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</row>
    <row r="35" spans="1:15" ht="14" customHeight="1" x14ac:dyDescent="0.1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</row>
    <row r="36" spans="1:15" ht="14" customHeight="1" x14ac:dyDescent="0.15">
      <c r="C36" s="21"/>
      <c r="D36" s="21"/>
      <c r="E36" s="21"/>
      <c r="F36" s="21"/>
      <c r="G36" s="21"/>
      <c r="H36" s="21"/>
    </row>
    <row r="37" spans="1:15" ht="14" customHeight="1" x14ac:dyDescent="0.15">
      <c r="C37" s="21"/>
      <c r="D37" s="21"/>
      <c r="E37" s="21"/>
      <c r="F37" s="21"/>
      <c r="G37" s="21"/>
      <c r="H37" s="21"/>
    </row>
    <row r="38" spans="1:15" ht="14" customHeight="1" x14ac:dyDescent="0.15">
      <c r="C38" s="21"/>
      <c r="D38" s="21"/>
      <c r="E38" s="21"/>
      <c r="F38" s="21"/>
      <c r="G38" s="21"/>
      <c r="H38" s="21"/>
    </row>
  </sheetData>
  <mergeCells count="7">
    <mergeCell ref="C34:O34"/>
    <mergeCell ref="A1:O1"/>
    <mergeCell ref="A3:O3"/>
    <mergeCell ref="A5:O5"/>
    <mergeCell ref="A22:A23"/>
    <mergeCell ref="B22:O25"/>
    <mergeCell ref="A33:O33"/>
  </mergeCells>
  <pageMargins left="0.75" right="0.75" top="0.5" bottom="1" header="0.5" footer="0.5"/>
  <pageSetup firstPageNumber="132" pageOrder="overThenDown" orientation="portrait" r:id="rId1"/>
  <headerFooter alignWithMargins="0">
    <oddHeader>&amp;R&amp;"Verdana,Bold"&amp;9TABLE 17</oddHeader>
    <oddFooter>&amp;C&amp;"Verdana,Bold"&amp;9&amp;P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Demographics Last 10</vt:lpstr>
      <vt:lpstr>'Demographics Last 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S</dc:creator>
  <cp:lastModifiedBy>D S</cp:lastModifiedBy>
  <dcterms:created xsi:type="dcterms:W3CDTF">2026-02-15T20:36:06Z</dcterms:created>
  <dcterms:modified xsi:type="dcterms:W3CDTF">2026-02-15T20:37:06Z</dcterms:modified>
</cp:coreProperties>
</file>
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713F32E5-8F6D-1E46-9B1C-F5C327A8C0B5}" xr6:coauthVersionLast="47" xr6:coauthVersionMax="47" xr10:uidLastSave="{00000000-0000-0000-0000-000000000000}"/>
  <bookViews>
    <workbookView xWindow="7260" yWindow="3520" windowWidth="27240" windowHeight="16440" xr2:uid="{9AC8F170-1C2C-4643-93C3-83338F02B710}"/>
  </bookViews>
  <sheets>
    <sheet name="Taxable Assessed Values" sheetId="1" r:id="rId1"/>
  </sheets>
  <definedNames>
    <definedName name="_xlnm.Print_Area" localSheetId="0">'Taxable Assessed Values'!$A$1:$I$70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6" i="1" l="1"/>
  <c r="Z135" i="1"/>
  <c r="X135" i="1"/>
  <c r="W135" i="1"/>
  <c r="Z134" i="1"/>
  <c r="X134" i="1"/>
  <c r="W134" i="1"/>
  <c r="Z133" i="1"/>
  <c r="Z136" i="1" s="1"/>
  <c r="G12" i="1" s="1"/>
  <c r="Y133" i="1"/>
  <c r="Y136" i="1" s="1"/>
  <c r="F12" i="1" s="1"/>
  <c r="X133" i="1"/>
  <c r="X136" i="1" s="1"/>
  <c r="E12" i="1" s="1"/>
  <c r="W133" i="1"/>
  <c r="W136" i="1" s="1"/>
  <c r="D12" i="1" s="1"/>
  <c r="AA128" i="1"/>
  <c r="Z127" i="1"/>
  <c r="Y127" i="1"/>
  <c r="X127" i="1"/>
  <c r="W127" i="1"/>
  <c r="Z126" i="1"/>
  <c r="Y126" i="1"/>
  <c r="X126" i="1"/>
  <c r="W126" i="1"/>
  <c r="Z125" i="1"/>
  <c r="Z128" i="1" s="1"/>
  <c r="G13" i="1" s="1"/>
  <c r="Y125" i="1"/>
  <c r="Y128" i="1" s="1"/>
  <c r="F13" i="1" s="1"/>
  <c r="X125" i="1"/>
  <c r="X128" i="1" s="1"/>
  <c r="E13" i="1" s="1"/>
  <c r="W125" i="1"/>
  <c r="W128" i="1" s="1"/>
  <c r="D13" i="1" s="1"/>
  <c r="T124" i="1"/>
  <c r="R123" i="1"/>
  <c r="R124" i="1" s="1"/>
  <c r="N123" i="1"/>
  <c r="L123" i="1"/>
  <c r="P123" i="1" s="1"/>
  <c r="N122" i="1"/>
  <c r="L122" i="1"/>
  <c r="P122" i="1" s="1"/>
  <c r="N121" i="1"/>
  <c r="N124" i="1" s="1"/>
  <c r="L121" i="1"/>
  <c r="T114" i="1"/>
  <c r="T115" i="1" s="1"/>
  <c r="R114" i="1"/>
  <c r="R115" i="1" s="1"/>
  <c r="N114" i="1"/>
  <c r="L114" i="1"/>
  <c r="P114" i="1" s="1"/>
  <c r="N113" i="1"/>
  <c r="L113" i="1"/>
  <c r="P113" i="1" s="1"/>
  <c r="N112" i="1"/>
  <c r="N115" i="1" s="1"/>
  <c r="L112" i="1"/>
  <c r="AA110" i="1"/>
  <c r="Z109" i="1"/>
  <c r="X109" i="1"/>
  <c r="W109" i="1"/>
  <c r="Y109" i="1" s="1"/>
  <c r="Z108" i="1"/>
  <c r="X108" i="1"/>
  <c r="W108" i="1"/>
  <c r="Y108" i="1" s="1"/>
  <c r="Z107" i="1"/>
  <c r="Z110" i="1" s="1"/>
  <c r="X107" i="1"/>
  <c r="X110" i="1" s="1"/>
  <c r="W107" i="1"/>
  <c r="T107" i="1"/>
  <c r="R107" i="1"/>
  <c r="N106" i="1"/>
  <c r="L106" i="1"/>
  <c r="P106" i="1" s="1"/>
  <c r="N105" i="1"/>
  <c r="L105" i="1"/>
  <c r="P105" i="1" s="1"/>
  <c r="N104" i="1"/>
  <c r="N107" i="1" s="1"/>
  <c r="L104" i="1"/>
  <c r="AA101" i="1"/>
  <c r="Z101" i="1"/>
  <c r="X101" i="1"/>
  <c r="W101" i="1"/>
  <c r="Y100" i="1"/>
  <c r="Y99" i="1"/>
  <c r="Y98" i="1"/>
  <c r="Y101" i="1" s="1"/>
  <c r="T98" i="1"/>
  <c r="R98" i="1"/>
  <c r="N97" i="1"/>
  <c r="L97" i="1"/>
  <c r="P97" i="1" s="1"/>
  <c r="N96" i="1"/>
  <c r="L96" i="1"/>
  <c r="P96" i="1" s="1"/>
  <c r="N95" i="1"/>
  <c r="N98" i="1" s="1"/>
  <c r="L95" i="1"/>
  <c r="AA92" i="1"/>
  <c r="Z92" i="1"/>
  <c r="X91" i="1"/>
  <c r="W91" i="1"/>
  <c r="Y91" i="1" s="1"/>
  <c r="X90" i="1"/>
  <c r="W90" i="1"/>
  <c r="Y90" i="1" s="1"/>
  <c r="X89" i="1"/>
  <c r="X92" i="1" s="1"/>
  <c r="W89" i="1"/>
  <c r="T89" i="1"/>
  <c r="R89" i="1"/>
  <c r="N88" i="1"/>
  <c r="L88" i="1"/>
  <c r="P88" i="1" s="1"/>
  <c r="N87" i="1"/>
  <c r="L87" i="1"/>
  <c r="P87" i="1" s="1"/>
  <c r="N86" i="1"/>
  <c r="N89" i="1" s="1"/>
  <c r="L86" i="1"/>
  <c r="AA83" i="1"/>
  <c r="Z83" i="1"/>
  <c r="X82" i="1"/>
  <c r="W82" i="1"/>
  <c r="Y82" i="1" s="1"/>
  <c r="X81" i="1"/>
  <c r="W81" i="1"/>
  <c r="Y81" i="1" s="1"/>
  <c r="T81" i="1"/>
  <c r="R81" i="1"/>
  <c r="X80" i="1"/>
  <c r="X83" i="1" s="1"/>
  <c r="W80" i="1"/>
  <c r="N80" i="1"/>
  <c r="L80" i="1"/>
  <c r="P80" i="1" s="1"/>
  <c r="N79" i="1"/>
  <c r="L79" i="1"/>
  <c r="P79" i="1" s="1"/>
  <c r="N78" i="1"/>
  <c r="N81" i="1" s="1"/>
  <c r="L78" i="1"/>
  <c r="AA75" i="1"/>
  <c r="Z75" i="1"/>
  <c r="X74" i="1"/>
  <c r="W74" i="1"/>
  <c r="Y74" i="1" s="1"/>
  <c r="X73" i="1"/>
  <c r="X75" i="1" s="1"/>
  <c r="W73" i="1"/>
  <c r="T73" i="1"/>
  <c r="R73" i="1"/>
  <c r="N73" i="1"/>
  <c r="L73" i="1"/>
  <c r="X72" i="1"/>
  <c r="W72" i="1"/>
  <c r="Y72" i="1" s="1"/>
  <c r="N72" i="1"/>
  <c r="L72" i="1"/>
  <c r="P72" i="1" s="1"/>
  <c r="N71" i="1"/>
  <c r="L71" i="1"/>
  <c r="P71" i="1" s="1"/>
  <c r="N70" i="1"/>
  <c r="L70" i="1"/>
  <c r="P70" i="1" s="1"/>
  <c r="P73" i="1" s="1"/>
  <c r="AA27" i="1"/>
  <c r="Z27" i="1"/>
  <c r="T27" i="1"/>
  <c r="R27" i="1"/>
  <c r="X26" i="1"/>
  <c r="W26" i="1"/>
  <c r="Y26" i="1" s="1"/>
  <c r="N26" i="1"/>
  <c r="L26" i="1"/>
  <c r="P26" i="1" s="1"/>
  <c r="X25" i="1"/>
  <c r="W25" i="1"/>
  <c r="Y25" i="1" s="1"/>
  <c r="N25" i="1"/>
  <c r="L25" i="1"/>
  <c r="P25" i="1" s="1"/>
  <c r="X24" i="1"/>
  <c r="X27" i="1" s="1"/>
  <c r="W24" i="1"/>
  <c r="N24" i="1"/>
  <c r="N27" i="1" s="1"/>
  <c r="L24" i="1"/>
  <c r="H23" i="1"/>
  <c r="H22" i="1"/>
  <c r="H21" i="1"/>
  <c r="H20" i="1"/>
  <c r="AA19" i="1"/>
  <c r="Z19" i="1"/>
  <c r="T19" i="1"/>
  <c r="R19" i="1"/>
  <c r="H19" i="1"/>
  <c r="X18" i="1"/>
  <c r="W18" i="1"/>
  <c r="Y18" i="1" s="1"/>
  <c r="N18" i="1"/>
  <c r="L18" i="1"/>
  <c r="P18" i="1" s="1"/>
  <c r="H18" i="1"/>
  <c r="X17" i="1"/>
  <c r="W17" i="1"/>
  <c r="Y17" i="1" s="1"/>
  <c r="N17" i="1"/>
  <c r="L17" i="1"/>
  <c r="P17" i="1" s="1"/>
  <c r="H17" i="1"/>
  <c r="X16" i="1"/>
  <c r="X19" i="1" s="1"/>
  <c r="W16" i="1"/>
  <c r="N16" i="1"/>
  <c r="N19" i="1" s="1"/>
  <c r="L16" i="1"/>
  <c r="H16" i="1"/>
  <c r="H15" i="1"/>
  <c r="H14" i="1"/>
  <c r="H13" i="1"/>
  <c r="H12" i="1"/>
  <c r="L124" i="1" l="1"/>
  <c r="P121" i="1"/>
  <c r="P124" i="1" s="1"/>
  <c r="L115" i="1"/>
  <c r="P112" i="1"/>
  <c r="P115" i="1" s="1"/>
  <c r="W110" i="1"/>
  <c r="Y107" i="1"/>
  <c r="Y110" i="1" s="1"/>
  <c r="L107" i="1"/>
  <c r="P104" i="1"/>
  <c r="P107" i="1" s="1"/>
  <c r="L98" i="1"/>
  <c r="P95" i="1"/>
  <c r="P98" i="1" s="1"/>
  <c r="W92" i="1"/>
  <c r="Y89" i="1"/>
  <c r="Y92" i="1" s="1"/>
  <c r="L89" i="1"/>
  <c r="P86" i="1"/>
  <c r="P89" i="1" s="1"/>
  <c r="W83" i="1"/>
  <c r="Y80" i="1"/>
  <c r="Y83" i="1" s="1"/>
  <c r="L81" i="1"/>
  <c r="P78" i="1"/>
  <c r="P81" i="1" s="1"/>
  <c r="W75" i="1"/>
  <c r="Y73" i="1"/>
  <c r="Y75" i="1" s="1"/>
  <c r="W27" i="1"/>
  <c r="Y24" i="1"/>
  <c r="Y27" i="1" s="1"/>
  <c r="L27" i="1"/>
  <c r="P24" i="1"/>
  <c r="P27" i="1" s="1"/>
  <c r="W19" i="1"/>
  <c r="Y16" i="1"/>
  <c r="Y19" i="1" s="1"/>
  <c r="L19" i="1"/>
  <c r="P16" i="1"/>
  <c r="P19" i="1" s="1"/>
</calcChain>
</file>

<file path=xl/sharedStrings.xml><?xml version="1.0" encoding="utf-8"?>
<sst xmlns="http://schemas.openxmlformats.org/spreadsheetml/2006/main" count="311" uniqueCount="48">
  <si>
    <t>CITY OF SCHERTZ, TEXAS</t>
  </si>
  <si>
    <t>TAXABLE ASSESSED VALUE</t>
  </si>
  <si>
    <t>LAST TEN FISCAL YEARS - DECENDING ORDER</t>
  </si>
  <si>
    <t>(UNAUDITED)</t>
  </si>
  <si>
    <t>Fiscal</t>
  </si>
  <si>
    <t>Fiscal(Tax)</t>
  </si>
  <si>
    <t>Year</t>
  </si>
  <si>
    <t>Taxable</t>
  </si>
  <si>
    <t>Total Taxable</t>
  </si>
  <si>
    <t>Total</t>
  </si>
  <si>
    <t>Ended</t>
  </si>
  <si>
    <t>Value</t>
  </si>
  <si>
    <t xml:space="preserve">Residential </t>
  </si>
  <si>
    <t xml:space="preserve">Commercial </t>
  </si>
  <si>
    <t>Tax-Exempt</t>
  </si>
  <si>
    <t>Other</t>
  </si>
  <si>
    <t>Assessed</t>
  </si>
  <si>
    <t>Direct</t>
  </si>
  <si>
    <t>2012 (2011)</t>
  </si>
  <si>
    <t>2014 (2013)</t>
  </si>
  <si>
    <t>September 30,</t>
  </si>
  <si>
    <t>January 1,</t>
  </si>
  <si>
    <t>Property</t>
  </si>
  <si>
    <t>Value*</t>
  </si>
  <si>
    <t>Tax Rate</t>
  </si>
  <si>
    <t>Guad</t>
  </si>
  <si>
    <t>Comal</t>
  </si>
  <si>
    <t>Bexar</t>
  </si>
  <si>
    <t>2011 (2010)</t>
  </si>
  <si>
    <t>2015 (2014)</t>
  </si>
  <si>
    <t>*Taxable Assessed Value is before any applicable freeze adjustments.</t>
  </si>
  <si>
    <t xml:space="preserve">Source: Bexar, Comal and Guadalupe County Appraisal Districts. </t>
  </si>
  <si>
    <t>2010 (2009)</t>
  </si>
  <si>
    <t>2016 (2015)</t>
  </si>
  <si>
    <t>TAXABLE ASSESSED VALUE - ASCENDING ORDER</t>
  </si>
  <si>
    <t>2009 (2008)</t>
  </si>
  <si>
    <t>2017 (2016)</t>
  </si>
  <si>
    <t>2008 (2007)</t>
  </si>
  <si>
    <t>2018(2017)</t>
  </si>
  <si>
    <t>2007 (2006)</t>
  </si>
  <si>
    <t>2019(2018)</t>
  </si>
  <si>
    <t>2006 (2005)</t>
  </si>
  <si>
    <t>2021(2020)</t>
  </si>
  <si>
    <t>2005 (2004)</t>
  </si>
  <si>
    <t>2022(2021)</t>
  </si>
  <si>
    <t>2004 (2003)</t>
  </si>
  <si>
    <t>2023(2022)</t>
  </si>
  <si>
    <t>2024(2023)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</si>
</sst>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000_);_(&quot;$&quot;* \(#,##0.0000\);_(&quot;$&quot;* &quot;-&quot;??_);_(@_)"/>
    <numFmt numFmtId="166" formatCode="_(* #,##0.0000_);_(* \(#,##0.0000\);_(* &quot;-&quot;????_);_(@_)"/>
  </numFmts>
  <fonts count="4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" fontId="2" fillId="0" borderId="1" xfId="0" quotePrefix="1" applyNumberFormat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/>
    </xf>
    <xf numFmtId="41" fontId="2" fillId="0" borderId="0" xfId="0" applyNumberFormat="1" applyFont="1" applyAlignment="1">
      <alignment horizontal="center"/>
    </xf>
    <xf numFmtId="41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  <xf numFmtId="41" fontId="2" fillId="0" borderId="0" xfId="1" applyNumberFormat="1" applyFont="1" applyFill="1"/>
    <xf numFmtId="16" fontId="2" fillId="0" borderId="0" xfId="0" applyNumberFormat="1" applyFont="1" applyAlignment="1">
      <alignment horizontal="center"/>
    </xf>
    <xf numFmtId="0" fontId="2" fillId="0" borderId="0" xfId="1" applyNumberFormat="1" applyFont="1" applyFill="1"/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3" fillId="0" borderId="0" xfId="2"/>
    <xf numFmtId="0" fontId="2" fillId="0" borderId="0" xfId="2" applyFont="1"/>
    <xf numFmtId="0" fontId="2" fillId="0" borderId="0" xfId="2" applyFont="1" applyAlignment="1">
      <alignment horizontal="center"/>
    </xf>
    <xf numFmtId="0" fontId="2" fillId="0" borderId="1" xfId="2" applyFont="1" applyBorder="1" applyAlignment="1">
      <alignment horizontal="center"/>
    </xf>
    <xf numFmtId="164" fontId="2" fillId="0" borderId="0" xfId="2" applyNumberFormat="1" applyFont="1"/>
  </cellXfs>
  <cellStyles count="3">
    <cellStyle name="Comma 2" xfId="1" xr:uid="{121544FE-E300-FD48-8E56-96B23213A4B5}"/>
    <cellStyle name="Normal" xfId="0" builtinId="0"/>
    <cellStyle name="Normal 6" xfId="2" xr:uid="{2D59BB4C-7A91-9046-9649-12B5E0FD5B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354F-B3A8-C842-AC6B-BBA39BFA499B}">
  <sheetPr>
    <tabColor rgb="FF00FF00"/>
  </sheetPr>
  <dimension ref="A1:AA136"/>
  <sheetViews>
    <sheetView tabSelected="1" topLeftCell="A21" zoomScale="90" zoomScaleNormal="90" zoomScaleSheetLayoutView="100" workbookViewId="0">
      <selection activeCell="F32" sqref="F32"/>
    </sheetView>
  </sheetViews>
  <sheetFormatPr baseColWidth="10" defaultColWidth="9.1640625" defaultRowHeight="14" customHeight="1" x14ac:dyDescent="0.15"/>
  <cols>
    <col min="1" max="1" width="1.83203125" style="3" customWidth="1"/>
    <col min="2" max="2" width="20.33203125" style="3" customWidth="1"/>
    <col min="3" max="3" width="16.83203125" style="3" customWidth="1"/>
    <col min="4" max="4" width="22.1640625" style="3" customWidth="1"/>
    <col min="5" max="5" width="21.5" style="3" customWidth="1"/>
    <col min="6" max="9" width="20.33203125" style="3" customWidth="1"/>
    <col min="10" max="10" width="14.6640625" style="3" customWidth="1"/>
    <col min="11" max="11" width="0" style="3" hidden="1" customWidth="1"/>
    <col min="12" max="12" width="17.5" style="3" hidden="1" customWidth="1"/>
    <col min="13" max="13" width="2.33203125" style="3" hidden="1" customWidth="1"/>
    <col min="14" max="14" width="17.5" style="3" hidden="1" customWidth="1"/>
    <col min="15" max="15" width="2.33203125" style="3" hidden="1" customWidth="1"/>
    <col min="16" max="16" width="16.6640625" style="3" hidden="1" customWidth="1"/>
    <col min="17" max="17" width="2.33203125" style="3" hidden="1" customWidth="1"/>
    <col min="18" max="18" width="16" style="3" hidden="1" customWidth="1"/>
    <col min="19" max="19" width="2.33203125" style="3" hidden="1" customWidth="1"/>
    <col min="20" max="20" width="17.5" style="3" hidden="1" customWidth="1"/>
    <col min="21" max="21" width="0" style="3" hidden="1" customWidth="1"/>
    <col min="22" max="22" width="9.1640625" style="3"/>
    <col min="23" max="24" width="16.83203125" style="3" bestFit="1" customWidth="1"/>
    <col min="25" max="25" width="15.83203125" style="3" bestFit="1" customWidth="1"/>
    <col min="26" max="26" width="15.1640625" style="3" bestFit="1" customWidth="1"/>
    <col min="27" max="27" width="16.83203125" style="3" bestFit="1" customWidth="1"/>
    <col min="28" max="16384" width="9.1640625" style="3"/>
  </cols>
  <sheetData>
    <row r="1" spans="1:27" ht="12" x14ac:dyDescent="0.15">
      <c r="A1" s="1" t="s">
        <v>0</v>
      </c>
      <c r="B1" s="1"/>
      <c r="C1" s="1"/>
      <c r="D1" s="1"/>
      <c r="E1" s="1"/>
      <c r="F1" s="2"/>
      <c r="G1" s="2"/>
      <c r="H1" s="2"/>
    </row>
    <row r="2" spans="1:27" ht="12" x14ac:dyDescent="0.15"/>
    <row r="3" spans="1:27" ht="12" x14ac:dyDescent="0.15">
      <c r="A3" s="4" t="s">
        <v>1</v>
      </c>
      <c r="B3" s="4"/>
      <c r="C3" s="4"/>
      <c r="D3" s="4"/>
      <c r="E3" s="4"/>
    </row>
    <row r="4" spans="1:27" ht="12" x14ac:dyDescent="0.15"/>
    <row r="5" spans="1:27" ht="12" x14ac:dyDescent="0.15">
      <c r="A5" s="4" t="s">
        <v>2</v>
      </c>
      <c r="B5" s="4"/>
      <c r="C5" s="4"/>
      <c r="D5" s="4"/>
      <c r="E5" s="4"/>
    </row>
    <row r="6" spans="1:27" ht="12" x14ac:dyDescent="0.15">
      <c r="A6" s="4" t="s">
        <v>3</v>
      </c>
      <c r="B6" s="4"/>
      <c r="C6" s="4"/>
      <c r="D6" s="4"/>
      <c r="E6" s="4"/>
    </row>
    <row r="7" spans="1:27" ht="12" x14ac:dyDescent="0.15"/>
    <row r="8" spans="1:27" ht="12" x14ac:dyDescent="0.15">
      <c r="B8" s="4" t="s">
        <v>4</v>
      </c>
      <c r="C8" s="4"/>
      <c r="D8" s="4"/>
      <c r="E8" s="4"/>
      <c r="F8" s="4"/>
      <c r="G8" s="4"/>
      <c r="H8" s="4"/>
      <c r="I8" s="4"/>
      <c r="V8" s="3" t="s">
        <v>5</v>
      </c>
    </row>
    <row r="9" spans="1:27" ht="12" x14ac:dyDescent="0.15">
      <c r="B9" s="4" t="s">
        <v>6</v>
      </c>
      <c r="C9" s="4" t="s">
        <v>7</v>
      </c>
      <c r="D9" s="4"/>
      <c r="E9" s="4"/>
      <c r="F9" s="4"/>
      <c r="G9" s="4"/>
      <c r="H9" s="4" t="s">
        <v>8</v>
      </c>
      <c r="I9" s="4" t="s">
        <v>9</v>
      </c>
    </row>
    <row r="10" spans="1:27" ht="12" x14ac:dyDescent="0.15">
      <c r="B10" s="4" t="s">
        <v>10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17</v>
      </c>
      <c r="K10" s="3" t="s">
        <v>18</v>
      </c>
      <c r="V10" s="3" t="s">
        <v>19</v>
      </c>
    </row>
    <row r="11" spans="1:27" ht="12" x14ac:dyDescent="0.15">
      <c r="B11" s="5" t="s">
        <v>20</v>
      </c>
      <c r="C11" s="6" t="s">
        <v>21</v>
      </c>
      <c r="D11" s="5" t="s">
        <v>22</v>
      </c>
      <c r="E11" s="5" t="s">
        <v>22</v>
      </c>
      <c r="F11" s="5" t="s">
        <v>22</v>
      </c>
      <c r="G11" s="5" t="s">
        <v>22</v>
      </c>
      <c r="H11" s="5" t="s">
        <v>23</v>
      </c>
      <c r="I11" s="5" t="s">
        <v>24</v>
      </c>
      <c r="L11" s="4" t="s">
        <v>12</v>
      </c>
      <c r="M11" s="4"/>
      <c r="N11" s="4" t="s">
        <v>13</v>
      </c>
      <c r="O11" s="4"/>
      <c r="P11" s="4" t="s">
        <v>14</v>
      </c>
      <c r="Q11" s="4"/>
      <c r="R11" s="4" t="s">
        <v>15</v>
      </c>
      <c r="S11" s="4"/>
      <c r="T11" s="4" t="s">
        <v>16</v>
      </c>
      <c r="W11" s="4" t="s">
        <v>12</v>
      </c>
      <c r="X11" s="4" t="s">
        <v>13</v>
      </c>
      <c r="Y11" s="4" t="s">
        <v>14</v>
      </c>
      <c r="Z11" s="4" t="s">
        <v>15</v>
      </c>
      <c r="AA11" s="4" t="s">
        <v>16</v>
      </c>
    </row>
    <row r="12" spans="1:27" ht="12" x14ac:dyDescent="0.15">
      <c r="B12" s="4">
        <v>2024</v>
      </c>
      <c r="C12" s="7">
        <v>2023</v>
      </c>
      <c r="D12" s="8">
        <f>W136</f>
        <v>4664462438</v>
      </c>
      <c r="E12" s="8">
        <f>X136</f>
        <v>2345387513</v>
      </c>
      <c r="F12" s="8">
        <f>Y136*-1</f>
        <v>-386038551</v>
      </c>
      <c r="G12" s="8">
        <f>Z136</f>
        <v>222037649</v>
      </c>
      <c r="H12" s="8">
        <f>AA136</f>
        <v>7617926151</v>
      </c>
      <c r="I12" s="9">
        <v>0.48720000000000002</v>
      </c>
      <c r="L12" s="5" t="s">
        <v>22</v>
      </c>
      <c r="M12" s="5"/>
      <c r="N12" s="5" t="s">
        <v>22</v>
      </c>
      <c r="O12" s="5"/>
      <c r="P12" s="5" t="s">
        <v>22</v>
      </c>
      <c r="Q12" s="5"/>
      <c r="R12" s="5" t="s">
        <v>22</v>
      </c>
      <c r="S12" s="5"/>
      <c r="T12" s="5" t="s">
        <v>23</v>
      </c>
      <c r="W12" s="5" t="s">
        <v>22</v>
      </c>
      <c r="X12" s="5" t="s">
        <v>22</v>
      </c>
      <c r="Y12" s="5" t="s">
        <v>22</v>
      </c>
      <c r="Z12" s="5" t="s">
        <v>22</v>
      </c>
      <c r="AA12" s="5" t="s">
        <v>23</v>
      </c>
    </row>
    <row r="13" spans="1:27" ht="12" x14ac:dyDescent="0.15">
      <c r="B13" s="4">
        <v>2023</v>
      </c>
      <c r="C13" s="7">
        <v>2022</v>
      </c>
      <c r="D13" s="10">
        <f>W128</f>
        <v>4734929478</v>
      </c>
      <c r="E13" s="11">
        <f>X128</f>
        <v>2047253554</v>
      </c>
      <c r="F13" s="10">
        <f>Y128</f>
        <v>-784132143</v>
      </c>
      <c r="G13" s="10">
        <f>Z128</f>
        <v>742293503</v>
      </c>
      <c r="H13" s="10">
        <f>AA128</f>
        <v>6740344392</v>
      </c>
      <c r="I13" s="12">
        <v>0.495</v>
      </c>
      <c r="L13" s="4"/>
      <c r="M13" s="4"/>
      <c r="N13" s="4"/>
      <c r="O13" s="4"/>
      <c r="P13" s="4"/>
      <c r="Q13" s="4"/>
      <c r="R13" s="4"/>
      <c r="S13" s="4"/>
      <c r="T13" s="4"/>
      <c r="W13" s="4"/>
      <c r="X13" s="4"/>
      <c r="Y13" s="4"/>
      <c r="Z13" s="4"/>
      <c r="AA13" s="4"/>
    </row>
    <row r="14" spans="1:27" ht="12" x14ac:dyDescent="0.15">
      <c r="B14" s="4">
        <v>2022</v>
      </c>
      <c r="C14" s="4">
        <v>2021</v>
      </c>
      <c r="D14" s="11">
        <v>3618134708</v>
      </c>
      <c r="E14" s="11">
        <v>1317486482</v>
      </c>
      <c r="F14" s="11">
        <v>-961929765</v>
      </c>
      <c r="G14" s="11">
        <v>232196469</v>
      </c>
      <c r="H14" s="11">
        <f>D14+E14+F14+G14</f>
        <v>4205887894</v>
      </c>
      <c r="I14" s="12">
        <v>0.5121</v>
      </c>
      <c r="L14" s="4"/>
      <c r="M14" s="4"/>
      <c r="N14" s="4"/>
      <c r="O14" s="4"/>
      <c r="P14" s="4"/>
      <c r="Q14" s="4"/>
      <c r="R14" s="4"/>
      <c r="S14" s="4"/>
      <c r="T14" s="4"/>
      <c r="W14" s="4"/>
      <c r="X14" s="4"/>
      <c r="Y14" s="4"/>
      <c r="Z14" s="4"/>
      <c r="AA14" s="4"/>
    </row>
    <row r="15" spans="1:27" ht="12" x14ac:dyDescent="0.15">
      <c r="B15" s="4">
        <v>2021</v>
      </c>
      <c r="C15" s="4">
        <v>2020</v>
      </c>
      <c r="D15" s="11">
        <v>3060963760</v>
      </c>
      <c r="E15" s="11">
        <v>1505592717</v>
      </c>
      <c r="F15" s="11">
        <v>-716028336</v>
      </c>
      <c r="G15" s="11">
        <v>276109231</v>
      </c>
      <c r="H15" s="11">
        <f>D15+E15+F15+G15</f>
        <v>4126637372</v>
      </c>
      <c r="I15" s="12">
        <v>0.5121</v>
      </c>
      <c r="L15" s="13"/>
      <c r="M15" s="13"/>
      <c r="N15" s="13"/>
      <c r="O15" s="13"/>
      <c r="P15" s="13"/>
      <c r="Q15" s="13"/>
      <c r="R15" s="13"/>
      <c r="S15" s="13"/>
      <c r="T15" s="13"/>
      <c r="W15" s="13"/>
      <c r="X15" s="13"/>
      <c r="Y15" s="13"/>
      <c r="Z15" s="13"/>
      <c r="AA15" s="13"/>
    </row>
    <row r="16" spans="1:27" ht="12" x14ac:dyDescent="0.15">
      <c r="B16" s="4">
        <v>2020</v>
      </c>
      <c r="C16" s="4">
        <v>2019</v>
      </c>
      <c r="D16" s="11">
        <v>3004686341</v>
      </c>
      <c r="E16" s="11">
        <v>1613615732</v>
      </c>
      <c r="F16" s="11">
        <v>-716028336</v>
      </c>
      <c r="G16" s="11">
        <v>250185870</v>
      </c>
      <c r="H16" s="11">
        <f>D16+E16+F16+G16</f>
        <v>4152459607</v>
      </c>
      <c r="I16" s="12">
        <v>0.51459999999999995</v>
      </c>
      <c r="K16" s="3" t="s">
        <v>25</v>
      </c>
      <c r="L16" s="13">
        <f>116135568+1117952496</f>
        <v>1234088064</v>
      </c>
      <c r="M16" s="13"/>
      <c r="N16" s="13">
        <f>188054237+536531032+168345310</f>
        <v>892930579</v>
      </c>
      <c r="O16" s="13"/>
      <c r="P16" s="13">
        <f>T16-L16-N16-R16</f>
        <v>-160834118</v>
      </c>
      <c r="Q16" s="13"/>
      <c r="R16" s="13">
        <v>39004817</v>
      </c>
      <c r="S16" s="13"/>
      <c r="T16" s="13">
        <v>2005189342</v>
      </c>
      <c r="V16" s="3" t="s">
        <v>25</v>
      </c>
      <c r="W16" s="13">
        <f>130610010+1147564056</f>
        <v>1278174066</v>
      </c>
      <c r="X16" s="13">
        <f>183206281+589856856+188613407</f>
        <v>961676544</v>
      </c>
      <c r="Y16" s="13">
        <f>AA16-W16-X16-Z16</f>
        <v>-209373502</v>
      </c>
      <c r="Z16" s="13">
        <v>37335950</v>
      </c>
      <c r="AA16" s="13">
        <v>2067813058</v>
      </c>
    </row>
    <row r="17" spans="2:27" ht="12" x14ac:dyDescent="0.15">
      <c r="B17" s="4">
        <v>2019</v>
      </c>
      <c r="C17" s="4">
        <v>2018</v>
      </c>
      <c r="D17" s="11">
        <v>2860333982</v>
      </c>
      <c r="E17" s="11">
        <v>1401636211</v>
      </c>
      <c r="F17" s="11">
        <v>-621773006</v>
      </c>
      <c r="G17" s="11">
        <v>260571835</v>
      </c>
      <c r="H17" s="11">
        <f>D17+E17+F17+G17</f>
        <v>3900769022</v>
      </c>
      <c r="I17" s="12">
        <v>0.51459999999999995</v>
      </c>
      <c r="K17" s="3" t="s">
        <v>26</v>
      </c>
      <c r="L17" s="13">
        <f>6074570+26783591</f>
        <v>32858161</v>
      </c>
      <c r="M17" s="13"/>
      <c r="N17" s="13">
        <f>74862621+105501299+122695136</f>
        <v>303059056</v>
      </c>
      <c r="O17" s="13"/>
      <c r="P17" s="13">
        <f>T17-L17-N17-R17</f>
        <v>-65740808</v>
      </c>
      <c r="Q17" s="13"/>
      <c r="R17" s="13">
        <v>42868700</v>
      </c>
      <c r="S17" s="13"/>
      <c r="T17" s="13">
        <v>313045109</v>
      </c>
      <c r="V17" s="3" t="s">
        <v>26</v>
      </c>
      <c r="W17" s="13">
        <f>7374840+33472181</f>
        <v>40847021</v>
      </c>
      <c r="X17" s="13">
        <f>80193586+181154599+269153110</f>
        <v>530501295</v>
      </c>
      <c r="Y17" s="13">
        <f>AA17-W17-X17-Z17</f>
        <v>-80650703</v>
      </c>
      <c r="Z17" s="13">
        <v>46512710</v>
      </c>
      <c r="AA17" s="13">
        <v>537210323</v>
      </c>
    </row>
    <row r="18" spans="2:27" ht="12" x14ac:dyDescent="0.15">
      <c r="B18" s="4">
        <v>2018</v>
      </c>
      <c r="C18" s="4">
        <v>2017</v>
      </c>
      <c r="D18" s="11">
        <v>2049067806</v>
      </c>
      <c r="E18" s="11">
        <v>2344365139</v>
      </c>
      <c r="F18" s="14">
        <v>-757265921</v>
      </c>
      <c r="G18" s="14">
        <v>146860809</v>
      </c>
      <c r="H18" s="11">
        <f>D18+E18+F18+G18</f>
        <v>3783027833</v>
      </c>
      <c r="I18" s="12">
        <v>0.49109999999999998</v>
      </c>
      <c r="K18" s="3" t="s">
        <v>27</v>
      </c>
      <c r="L18" s="13">
        <f>17678093+52599072</f>
        <v>70277165</v>
      </c>
      <c r="M18" s="13"/>
      <c r="N18" s="13">
        <f>28520005+7507078+1670321</f>
        <v>37697404</v>
      </c>
      <c r="O18" s="13"/>
      <c r="P18" s="13">
        <f>T18-L18-N18-R18</f>
        <v>-36016970</v>
      </c>
      <c r="Q18" s="13"/>
      <c r="R18" s="13">
        <v>21078573</v>
      </c>
      <c r="S18" s="13"/>
      <c r="T18" s="13">
        <v>93036172</v>
      </c>
      <c r="V18" s="3" t="s">
        <v>27</v>
      </c>
      <c r="W18" s="13">
        <f>25184285+101526137</f>
        <v>126710422</v>
      </c>
      <c r="X18" s="13">
        <f>32491518+11993987+3901851</f>
        <v>48387356</v>
      </c>
      <c r="Y18" s="13">
        <f>AA18-W18-X18-Z18</f>
        <v>-50723445</v>
      </c>
      <c r="Z18" s="13">
        <v>23164860</v>
      </c>
      <c r="AA18" s="13">
        <v>147539193</v>
      </c>
    </row>
    <row r="19" spans="2:27" ht="12" x14ac:dyDescent="0.15">
      <c r="B19" s="4">
        <v>2017</v>
      </c>
      <c r="C19" s="4">
        <v>2016</v>
      </c>
      <c r="D19" s="11">
        <v>1895085016</v>
      </c>
      <c r="E19" s="11">
        <v>2269590522</v>
      </c>
      <c r="F19" s="14">
        <v>-649173041</v>
      </c>
      <c r="G19" s="14">
        <v>132002406</v>
      </c>
      <c r="H19" s="11">
        <f>D19+E19+F19+G19</f>
        <v>3647504903</v>
      </c>
      <c r="I19" s="12">
        <v>0.49109999999999998</v>
      </c>
      <c r="L19" s="13">
        <f>SUM(L16:L18)</f>
        <v>1337223390</v>
      </c>
      <c r="M19" s="13"/>
      <c r="N19" s="13">
        <f>SUM(N16:N18)</f>
        <v>1233687039</v>
      </c>
      <c r="O19" s="13"/>
      <c r="P19" s="13">
        <f>SUM(P16:P18)</f>
        <v>-262591896</v>
      </c>
      <c r="Q19" s="13"/>
      <c r="R19" s="13">
        <f>SUM(R16:R18)</f>
        <v>102952090</v>
      </c>
      <c r="S19" s="13"/>
      <c r="T19" s="13">
        <f>SUM(T16:T18)</f>
        <v>2411270623</v>
      </c>
      <c r="W19" s="13">
        <f>SUM(W16:W18)</f>
        <v>1445731509</v>
      </c>
      <c r="X19" s="13">
        <f>SUM(X16:X18)</f>
        <v>1540565195</v>
      </c>
      <c r="Y19" s="13">
        <f>SUM(Y16:Y18)</f>
        <v>-340747650</v>
      </c>
      <c r="Z19" s="13">
        <f>SUM(Z16:Z18)</f>
        <v>107013520</v>
      </c>
      <c r="AA19" s="13">
        <f>SUM(AA16:AA18)</f>
        <v>2752562574</v>
      </c>
    </row>
    <row r="20" spans="2:27" ht="12" x14ac:dyDescent="0.15">
      <c r="B20" s="4">
        <v>2016</v>
      </c>
      <c r="C20" s="4">
        <v>2015</v>
      </c>
      <c r="D20" s="11">
        <v>1702601947</v>
      </c>
      <c r="E20" s="11">
        <v>2087223204</v>
      </c>
      <c r="F20" s="11">
        <v>-544328535</v>
      </c>
      <c r="G20" s="11">
        <v>130353515</v>
      </c>
      <c r="H20" s="11">
        <f>D20+E20+F20+G20</f>
        <v>3375850131</v>
      </c>
      <c r="I20" s="12">
        <v>0.49740000000000001</v>
      </c>
    </row>
    <row r="21" spans="2:27" ht="12" x14ac:dyDescent="0.15">
      <c r="B21" s="4">
        <v>2015</v>
      </c>
      <c r="C21" s="4">
        <v>2014</v>
      </c>
      <c r="D21" s="11">
        <v>1568651309</v>
      </c>
      <c r="E21" s="11">
        <v>1793803709</v>
      </c>
      <c r="F21" s="11">
        <v>-460271461</v>
      </c>
      <c r="G21" s="11">
        <v>135084054</v>
      </c>
      <c r="H21" s="11">
        <f>D21+E21+F21+G21</f>
        <v>3037267611</v>
      </c>
      <c r="I21" s="12">
        <v>0.49740000000000001</v>
      </c>
      <c r="K21" s="3" t="s">
        <v>28</v>
      </c>
      <c r="V21" s="3" t="s">
        <v>29</v>
      </c>
    </row>
    <row r="22" spans="2:27" ht="12" x14ac:dyDescent="0.15">
      <c r="B22" s="4">
        <v>2014</v>
      </c>
      <c r="C22" s="4">
        <v>2013</v>
      </c>
      <c r="D22" s="11">
        <v>1445731509</v>
      </c>
      <c r="E22" s="11">
        <v>1540565195</v>
      </c>
      <c r="F22" s="11">
        <v>-340747650</v>
      </c>
      <c r="G22" s="11">
        <v>107013520</v>
      </c>
      <c r="H22" s="11">
        <f>D22+E22+F22+G22</f>
        <v>2752562574</v>
      </c>
      <c r="I22" s="12">
        <v>0.49990000000000001</v>
      </c>
      <c r="L22" s="4" t="s">
        <v>12</v>
      </c>
      <c r="M22" s="4"/>
      <c r="N22" s="4" t="s">
        <v>13</v>
      </c>
      <c r="O22" s="4"/>
      <c r="P22" s="4" t="s">
        <v>14</v>
      </c>
      <c r="Q22" s="4"/>
      <c r="R22" s="4" t="s">
        <v>15</v>
      </c>
      <c r="S22" s="4"/>
      <c r="T22" s="4" t="s">
        <v>16</v>
      </c>
      <c r="W22" s="4" t="s">
        <v>12</v>
      </c>
      <c r="X22" s="4" t="s">
        <v>13</v>
      </c>
      <c r="Y22" s="4" t="s">
        <v>14</v>
      </c>
      <c r="Z22" s="4" t="s">
        <v>15</v>
      </c>
      <c r="AA22" s="4" t="s">
        <v>16</v>
      </c>
    </row>
    <row r="23" spans="2:27" ht="12" x14ac:dyDescent="0.15">
      <c r="B23" s="4">
        <v>2013</v>
      </c>
      <c r="C23" s="4">
        <v>2012</v>
      </c>
      <c r="D23" s="11">
        <v>1383423359</v>
      </c>
      <c r="E23" s="11">
        <v>1396349905</v>
      </c>
      <c r="F23" s="11">
        <v>-285245142</v>
      </c>
      <c r="G23" s="11">
        <v>105837429</v>
      </c>
      <c r="H23" s="11">
        <f>D23+E23+F23+G23</f>
        <v>2600365551</v>
      </c>
      <c r="I23" s="12">
        <v>0.48430000000000001</v>
      </c>
      <c r="L23" s="5" t="s">
        <v>22</v>
      </c>
      <c r="M23" s="5"/>
      <c r="N23" s="5" t="s">
        <v>22</v>
      </c>
      <c r="O23" s="5"/>
      <c r="P23" s="5" t="s">
        <v>22</v>
      </c>
      <c r="Q23" s="5"/>
      <c r="R23" s="5" t="s">
        <v>22</v>
      </c>
      <c r="S23" s="5"/>
      <c r="T23" s="5" t="s">
        <v>23</v>
      </c>
      <c r="W23" s="5" t="s">
        <v>22</v>
      </c>
      <c r="X23" s="5" t="s">
        <v>22</v>
      </c>
      <c r="Y23" s="5" t="s">
        <v>22</v>
      </c>
      <c r="Z23" s="5" t="s">
        <v>22</v>
      </c>
      <c r="AA23" s="5" t="s">
        <v>23</v>
      </c>
    </row>
    <row r="24" spans="2:27" ht="12" x14ac:dyDescent="0.15">
      <c r="B24" s="4"/>
      <c r="C24" s="4"/>
      <c r="D24" s="11"/>
      <c r="E24" s="11"/>
      <c r="F24" s="11"/>
      <c r="G24" s="11"/>
      <c r="H24" s="11"/>
      <c r="I24" s="12"/>
      <c r="K24" s="3" t="s">
        <v>25</v>
      </c>
      <c r="L24" s="13">
        <f>112216195+1086572752</f>
        <v>1198788947</v>
      </c>
      <c r="M24" s="13"/>
      <c r="N24" s="13">
        <f>193120280+551045971+175540268</f>
        <v>919706519</v>
      </c>
      <c r="O24" s="13"/>
      <c r="P24" s="13">
        <f>T24-L24-N24-R24</f>
        <v>-164497836</v>
      </c>
      <c r="Q24" s="13"/>
      <c r="R24" s="13">
        <v>44631157</v>
      </c>
      <c r="S24" s="13"/>
      <c r="T24" s="13">
        <v>1998628787</v>
      </c>
      <c r="V24" s="3" t="s">
        <v>25</v>
      </c>
      <c r="W24" s="13">
        <f>145234340+1209244567</f>
        <v>1354478907</v>
      </c>
      <c r="X24" s="13">
        <f>199187669+676971846+226949860</f>
        <v>1103109375</v>
      </c>
      <c r="Y24" s="13">
        <f>AA24-W24-X24-Z24</f>
        <v>-267401494</v>
      </c>
      <c r="Z24" s="13">
        <v>40769836</v>
      </c>
      <c r="AA24" s="13">
        <v>2230956624</v>
      </c>
    </row>
    <row r="25" spans="2:27" ht="12" x14ac:dyDescent="0.15">
      <c r="C25" s="4"/>
      <c r="D25" s="11"/>
      <c r="E25" s="11"/>
      <c r="I25" s="12"/>
      <c r="K25" s="3" t="s">
        <v>26</v>
      </c>
      <c r="L25" s="13">
        <f>4921250+24086210</f>
        <v>29007460</v>
      </c>
      <c r="M25" s="13"/>
      <c r="N25" s="13">
        <f>66378691+112773561+124986600</f>
        <v>304138852</v>
      </c>
      <c r="O25" s="13"/>
      <c r="P25" s="13">
        <f>T25-L25-N25-R25</f>
        <v>-82025233</v>
      </c>
      <c r="Q25" s="13"/>
      <c r="R25" s="13">
        <v>50064050</v>
      </c>
      <c r="S25" s="13"/>
      <c r="T25" s="13">
        <v>301185129</v>
      </c>
      <c r="V25" s="3" t="s">
        <v>26</v>
      </c>
      <c r="W25" s="13">
        <f>7263020+41716098</f>
        <v>48979118</v>
      </c>
      <c r="X25" s="13">
        <f>108640573+179695328+353550967</f>
        <v>641886868</v>
      </c>
      <c r="Y25" s="13">
        <f>AA25-W25-X25-Z25</f>
        <v>-123240582</v>
      </c>
      <c r="Z25" s="13">
        <v>71550262</v>
      </c>
      <c r="AA25" s="13">
        <v>639175666</v>
      </c>
    </row>
    <row r="26" spans="2:27" ht="12" x14ac:dyDescent="0.15">
      <c r="B26" s="3" t="s">
        <v>30</v>
      </c>
      <c r="K26" s="3" t="s">
        <v>27</v>
      </c>
      <c r="L26" s="13">
        <f>11698414+33475435</f>
        <v>45173849</v>
      </c>
      <c r="M26" s="13"/>
      <c r="N26" s="13">
        <f>23740104+4269761+1745493</f>
        <v>29755358</v>
      </c>
      <c r="O26" s="13"/>
      <c r="P26" s="13">
        <f>T26-L26-N26-R26</f>
        <v>-33491994</v>
      </c>
      <c r="Q26" s="13"/>
      <c r="R26" s="13">
        <v>22642579</v>
      </c>
      <c r="S26" s="13"/>
      <c r="T26" s="13">
        <v>64079792</v>
      </c>
      <c r="V26" s="3" t="s">
        <v>27</v>
      </c>
      <c r="W26" s="13">
        <f>30089695+135103589</f>
        <v>165193284</v>
      </c>
      <c r="X26" s="13">
        <f>32417342+12277533+4112591</f>
        <v>48807466</v>
      </c>
      <c r="Y26" s="13">
        <f>AA26-W26-X26-Z26</f>
        <v>-69629385</v>
      </c>
      <c r="Z26" s="13">
        <v>22763956</v>
      </c>
      <c r="AA26" s="13">
        <v>167135321</v>
      </c>
    </row>
    <row r="27" spans="2:27" ht="12" x14ac:dyDescent="0.15">
      <c r="L27" s="13">
        <f>SUM(L24:L26)</f>
        <v>1272970256</v>
      </c>
      <c r="M27" s="13"/>
      <c r="N27" s="13">
        <f>SUM(N24:N26)</f>
        <v>1253600729</v>
      </c>
      <c r="O27" s="13"/>
      <c r="P27" s="13">
        <f>SUM(P24:P26)</f>
        <v>-280015063</v>
      </c>
      <c r="Q27" s="13"/>
      <c r="R27" s="13">
        <f>SUM(R24:R26)</f>
        <v>117337786</v>
      </c>
      <c r="S27" s="13"/>
      <c r="T27" s="13">
        <f>SUM(T24:T26)</f>
        <v>2363893708</v>
      </c>
      <c r="W27" s="13">
        <f>SUM(W24:W26)</f>
        <v>1568651309</v>
      </c>
      <c r="X27" s="13">
        <f>SUM(X24:X26)</f>
        <v>1793803709</v>
      </c>
      <c r="Y27" s="13">
        <f>SUM(Y24:Y26)</f>
        <v>-460271461</v>
      </c>
      <c r="Z27" s="13">
        <f>SUM(Z24:Z26)</f>
        <v>135084054</v>
      </c>
      <c r="AA27" s="13">
        <f>SUM(AA24:AA26)</f>
        <v>3037267611</v>
      </c>
    </row>
    <row r="28" spans="2:27" ht="12" x14ac:dyDescent="0.15">
      <c r="B28" s="3" t="s">
        <v>31</v>
      </c>
    </row>
    <row r="29" spans="2:27" ht="12" x14ac:dyDescent="0.15">
      <c r="K29" s="3" t="s">
        <v>32</v>
      </c>
      <c r="V29" s="3" t="s">
        <v>33</v>
      </c>
    </row>
    <row r="30" spans="2:27" ht="12" x14ac:dyDescent="0.15"/>
    <row r="31" spans="2:27" ht="12" x14ac:dyDescent="0.15"/>
    <row r="32" spans="2:27" ht="12" x14ac:dyDescent="0.15"/>
    <row r="33" spans="4:8" ht="12" x14ac:dyDescent="0.15"/>
    <row r="34" spans="4:8" ht="12" x14ac:dyDescent="0.15"/>
    <row r="35" spans="4:8" ht="12" x14ac:dyDescent="0.15"/>
    <row r="36" spans="4:8" ht="12" x14ac:dyDescent="0.15"/>
    <row r="37" spans="4:8" ht="12" x14ac:dyDescent="0.15"/>
    <row r="38" spans="4:8" ht="12" x14ac:dyDescent="0.15"/>
    <row r="39" spans="4:8" ht="12" x14ac:dyDescent="0.15"/>
    <row r="40" spans="4:8" ht="12" x14ac:dyDescent="0.15"/>
    <row r="41" spans="4:8" ht="12" x14ac:dyDescent="0.15"/>
    <row r="42" spans="4:8" ht="12" x14ac:dyDescent="0.15"/>
    <row r="43" spans="4:8" ht="12" x14ac:dyDescent="0.15">
      <c r="E43" s="3" t="s">
        <v>0</v>
      </c>
    </row>
    <row r="44" spans="4:8" ht="12" x14ac:dyDescent="0.15"/>
    <row r="45" spans="4:8" ht="12" x14ac:dyDescent="0.15">
      <c r="E45" s="3" t="s">
        <v>34</v>
      </c>
    </row>
    <row r="46" spans="4:8" ht="12" x14ac:dyDescent="0.15">
      <c r="D46" s="1"/>
      <c r="E46" s="1"/>
      <c r="F46" s="1"/>
      <c r="G46" s="2"/>
      <c r="H46" s="2"/>
    </row>
    <row r="47" spans="4:8" ht="12" x14ac:dyDescent="0.15">
      <c r="E47" s="3" t="s">
        <v>2</v>
      </c>
    </row>
    <row r="48" spans="4:8" ht="12" x14ac:dyDescent="0.15">
      <c r="D48" s="4"/>
      <c r="E48" s="4" t="s">
        <v>3</v>
      </c>
      <c r="F48" s="4"/>
    </row>
    <row r="49" spans="1:9" ht="12" x14ac:dyDescent="0.15"/>
    <row r="50" spans="1:9" ht="12" x14ac:dyDescent="0.15">
      <c r="B50" s="4" t="s">
        <v>4</v>
      </c>
      <c r="C50" s="4"/>
      <c r="D50" s="4"/>
      <c r="E50" s="4"/>
    </row>
    <row r="51" spans="1:9" ht="12" x14ac:dyDescent="0.15">
      <c r="A51" s="4"/>
      <c r="B51" s="4" t="s">
        <v>6</v>
      </c>
      <c r="C51" s="4" t="s">
        <v>7</v>
      </c>
      <c r="D51" s="4"/>
      <c r="E51" s="4"/>
      <c r="H51" s="3" t="s">
        <v>8</v>
      </c>
      <c r="I51" s="3" t="s">
        <v>9</v>
      </c>
    </row>
    <row r="52" spans="1:9" ht="12" x14ac:dyDescent="0.15">
      <c r="A52" s="4"/>
      <c r="B52" s="4" t="s">
        <v>10</v>
      </c>
      <c r="C52" s="4" t="s">
        <v>11</v>
      </c>
      <c r="D52" s="3" t="s">
        <v>12</v>
      </c>
      <c r="E52" s="3" t="s">
        <v>13</v>
      </c>
      <c r="F52" s="3" t="s">
        <v>14</v>
      </c>
      <c r="G52" s="3" t="s">
        <v>15</v>
      </c>
      <c r="H52" s="3" t="s">
        <v>16</v>
      </c>
      <c r="I52" s="3" t="s">
        <v>17</v>
      </c>
    </row>
    <row r="53" spans="1:9" ht="12" x14ac:dyDescent="0.15">
      <c r="B53" s="4" t="s">
        <v>20</v>
      </c>
      <c r="C53" s="15" t="s">
        <v>21</v>
      </c>
      <c r="D53" s="3" t="s">
        <v>22</v>
      </c>
      <c r="E53" s="3" t="s">
        <v>22</v>
      </c>
      <c r="F53" s="16" t="s">
        <v>22</v>
      </c>
      <c r="G53" s="16" t="s">
        <v>22</v>
      </c>
      <c r="H53" s="3" t="s">
        <v>23</v>
      </c>
      <c r="I53" s="3" t="s">
        <v>24</v>
      </c>
    </row>
    <row r="54" spans="1:9" ht="12" x14ac:dyDescent="0.15">
      <c r="B54" s="17">
        <v>2013</v>
      </c>
      <c r="C54" s="17">
        <v>2012</v>
      </c>
      <c r="D54" s="11">
        <v>1383423359</v>
      </c>
      <c r="E54" s="11">
        <v>1396349905</v>
      </c>
      <c r="F54" s="11">
        <v>-285245142</v>
      </c>
      <c r="G54" s="11">
        <v>105837429</v>
      </c>
      <c r="H54" s="11">
        <v>2600365551</v>
      </c>
      <c r="I54" s="12">
        <v>0.48430000000000001</v>
      </c>
    </row>
    <row r="55" spans="1:9" ht="12" x14ac:dyDescent="0.15">
      <c r="B55" s="17">
        <v>2014</v>
      </c>
      <c r="C55" s="17">
        <v>2013</v>
      </c>
      <c r="D55" s="11">
        <v>1445731509</v>
      </c>
      <c r="E55" s="11">
        <v>1540565195</v>
      </c>
      <c r="F55" s="11">
        <v>-340747650</v>
      </c>
      <c r="G55" s="11">
        <v>107013520</v>
      </c>
      <c r="H55" s="11">
        <v>2752562574</v>
      </c>
      <c r="I55" s="12">
        <v>0.49990000000000001</v>
      </c>
    </row>
    <row r="56" spans="1:9" ht="12" x14ac:dyDescent="0.15">
      <c r="B56" s="17">
        <v>2015</v>
      </c>
      <c r="C56" s="17">
        <v>2014</v>
      </c>
      <c r="D56" s="11">
        <v>1568651309</v>
      </c>
      <c r="E56" s="11">
        <v>1793803709</v>
      </c>
      <c r="F56" s="11">
        <v>-460271461</v>
      </c>
      <c r="G56" s="11">
        <v>135084054</v>
      </c>
      <c r="H56" s="11">
        <v>3037267611</v>
      </c>
      <c r="I56" s="12">
        <v>0.49740000000000001</v>
      </c>
    </row>
    <row r="57" spans="1:9" ht="12" x14ac:dyDescent="0.15">
      <c r="B57" s="17">
        <v>2016</v>
      </c>
      <c r="C57" s="17">
        <v>2015</v>
      </c>
      <c r="D57" s="11">
        <v>1702601947</v>
      </c>
      <c r="E57" s="11">
        <v>2087223204</v>
      </c>
      <c r="F57" s="11">
        <v>-544328535</v>
      </c>
      <c r="G57" s="11">
        <v>130353515</v>
      </c>
      <c r="H57" s="11">
        <v>3375850131</v>
      </c>
      <c r="I57" s="12">
        <v>0.49740000000000001</v>
      </c>
    </row>
    <row r="58" spans="1:9" ht="12" x14ac:dyDescent="0.15">
      <c r="B58" s="17">
        <v>2017</v>
      </c>
      <c r="C58" s="17">
        <v>2016</v>
      </c>
      <c r="D58" s="11">
        <v>1895085016</v>
      </c>
      <c r="E58" s="11">
        <v>2269590522</v>
      </c>
      <c r="F58" s="11">
        <v>-649173041</v>
      </c>
      <c r="G58" s="11">
        <v>132002406</v>
      </c>
      <c r="H58" s="11">
        <v>3647504903</v>
      </c>
      <c r="I58" s="12">
        <v>0.49109999999999998</v>
      </c>
    </row>
    <row r="59" spans="1:9" ht="12" x14ac:dyDescent="0.15">
      <c r="B59" s="17">
        <v>2018</v>
      </c>
      <c r="C59" s="17">
        <v>2017</v>
      </c>
      <c r="D59" s="11">
        <v>2049067806</v>
      </c>
      <c r="E59" s="11">
        <v>2344365139</v>
      </c>
      <c r="F59" s="11">
        <v>-757265921</v>
      </c>
      <c r="G59" s="11">
        <v>146860809</v>
      </c>
      <c r="H59" s="11">
        <v>3783027833</v>
      </c>
      <c r="I59" s="12">
        <v>0.49109999999999998</v>
      </c>
    </row>
    <row r="60" spans="1:9" ht="12" x14ac:dyDescent="0.15">
      <c r="B60" s="17">
        <v>2019</v>
      </c>
      <c r="C60" s="18">
        <v>2018</v>
      </c>
      <c r="D60" s="11">
        <v>2860333982</v>
      </c>
      <c r="E60" s="11">
        <v>1401636211</v>
      </c>
      <c r="F60" s="11">
        <v>-621773006</v>
      </c>
      <c r="G60" s="11">
        <v>260571835</v>
      </c>
      <c r="H60" s="11">
        <v>3900769022</v>
      </c>
      <c r="I60" s="12">
        <v>0.51459999999999995</v>
      </c>
    </row>
    <row r="61" spans="1:9" ht="12" x14ac:dyDescent="0.15">
      <c r="B61" s="18">
        <v>2020</v>
      </c>
      <c r="C61" s="18">
        <v>2019</v>
      </c>
      <c r="D61" s="11">
        <v>3004686341</v>
      </c>
      <c r="E61" s="11">
        <v>1613615732</v>
      </c>
      <c r="F61" s="11">
        <v>-716028336</v>
      </c>
      <c r="G61" s="11">
        <v>250185870</v>
      </c>
      <c r="H61" s="11">
        <v>4152459607</v>
      </c>
      <c r="I61" s="12">
        <v>0.51459999999999995</v>
      </c>
    </row>
    <row r="62" spans="1:9" ht="12" x14ac:dyDescent="0.15">
      <c r="B62" s="18">
        <v>2021</v>
      </c>
      <c r="C62" s="18">
        <v>2020</v>
      </c>
      <c r="D62" s="11">
        <v>3060963760</v>
      </c>
      <c r="E62" s="11">
        <v>1505592717</v>
      </c>
      <c r="F62" s="11">
        <v>-716028336</v>
      </c>
      <c r="G62" s="11">
        <v>276109231</v>
      </c>
      <c r="H62" s="11">
        <v>4126637372</v>
      </c>
      <c r="I62" s="12">
        <v>0.5121</v>
      </c>
    </row>
    <row r="63" spans="1:9" ht="12" x14ac:dyDescent="0.15">
      <c r="B63" s="18">
        <v>2022</v>
      </c>
      <c r="C63" s="18">
        <v>2021</v>
      </c>
      <c r="D63" s="11">
        <v>3618134708</v>
      </c>
      <c r="E63" s="11">
        <v>1317486482</v>
      </c>
      <c r="F63" s="11">
        <v>-961929765</v>
      </c>
      <c r="G63" s="11">
        <v>232196469</v>
      </c>
      <c r="H63" s="11">
        <v>4205887894</v>
      </c>
      <c r="I63" s="12">
        <v>0.5121</v>
      </c>
    </row>
    <row r="64" spans="1:9" ht="12" x14ac:dyDescent="0.15">
      <c r="B64" s="18">
        <v>2023</v>
      </c>
      <c r="C64" s="18">
        <v>2022</v>
      </c>
      <c r="D64" s="11">
        <v>4734929478</v>
      </c>
      <c r="E64" s="11">
        <v>2047253554</v>
      </c>
      <c r="F64" s="11">
        <v>-784132143</v>
      </c>
      <c r="G64" s="11">
        <v>742293503</v>
      </c>
      <c r="H64" s="11">
        <v>6740344392</v>
      </c>
      <c r="I64" s="12">
        <v>0.495</v>
      </c>
    </row>
    <row r="65" spans="2:27" ht="12" x14ac:dyDescent="0.15">
      <c r="B65" s="18">
        <v>2024</v>
      </c>
      <c r="C65" s="18">
        <v>2023</v>
      </c>
      <c r="D65" s="13">
        <v>4664462438</v>
      </c>
      <c r="E65" s="13">
        <v>2345387513</v>
      </c>
      <c r="F65" s="13">
        <v>-386038551</v>
      </c>
      <c r="G65" s="13">
        <v>222037649</v>
      </c>
      <c r="H65" s="13">
        <v>7617926151</v>
      </c>
      <c r="I65" s="19">
        <v>0.48720000000000002</v>
      </c>
    </row>
    <row r="66" spans="2:27" ht="12" x14ac:dyDescent="0.15">
      <c r="B66" s="4"/>
      <c r="C66" s="4"/>
      <c r="F66" s="16"/>
      <c r="G66" s="16"/>
    </row>
    <row r="67" spans="2:27" ht="12" x14ac:dyDescent="0.15">
      <c r="D67" s="11"/>
      <c r="E67" s="11"/>
      <c r="F67" s="11"/>
      <c r="G67" s="11"/>
      <c r="H67" s="11"/>
      <c r="I67" s="12"/>
    </row>
    <row r="68" spans="2:27" ht="12" x14ac:dyDescent="0.15">
      <c r="D68" s="11"/>
      <c r="E68" s="11"/>
      <c r="I68" s="12"/>
    </row>
    <row r="69" spans="2:27" ht="12" x14ac:dyDescent="0.15">
      <c r="B69" s="3" t="s">
        <v>30</v>
      </c>
    </row>
    <row r="70" spans="2:27" ht="12" x14ac:dyDescent="0.15">
      <c r="K70" s="3" t="s">
        <v>25</v>
      </c>
      <c r="L70" s="13">
        <f>107496843+1060461596</f>
        <v>1167958439</v>
      </c>
      <c r="M70" s="13"/>
      <c r="N70" s="13">
        <f>187944910+536220714+174302549</f>
        <v>898468173</v>
      </c>
      <c r="O70" s="13"/>
      <c r="P70" s="13">
        <f>T70-L70-N70-R70</f>
        <v>-131126359</v>
      </c>
      <c r="Q70" s="13"/>
      <c r="R70" s="13">
        <v>42630418</v>
      </c>
      <c r="S70" s="13"/>
      <c r="T70" s="13">
        <v>1977930671</v>
      </c>
      <c r="W70" s="4" t="s">
        <v>12</v>
      </c>
      <c r="X70" s="4" t="s">
        <v>13</v>
      </c>
      <c r="Y70" s="4" t="s">
        <v>14</v>
      </c>
      <c r="Z70" s="4" t="s">
        <v>15</v>
      </c>
      <c r="AA70" s="4" t="s">
        <v>16</v>
      </c>
    </row>
    <row r="71" spans="2:27" ht="14" customHeight="1" x14ac:dyDescent="0.15">
      <c r="B71" s="3" t="s">
        <v>31</v>
      </c>
      <c r="K71" s="3" t="s">
        <v>26</v>
      </c>
      <c r="L71" s="13">
        <f>4746720+23227750</f>
        <v>27974470</v>
      </c>
      <c r="M71" s="13"/>
      <c r="N71" s="13">
        <f>68591093+117390628+123564840</f>
        <v>309546561</v>
      </c>
      <c r="O71" s="13"/>
      <c r="P71" s="13">
        <f>T71-L71-N71-R71</f>
        <v>-82039838</v>
      </c>
      <c r="Q71" s="13"/>
      <c r="R71" s="13">
        <v>51635750</v>
      </c>
      <c r="S71" s="13"/>
      <c r="T71" s="13">
        <v>307116943</v>
      </c>
      <c r="W71" s="5" t="s">
        <v>22</v>
      </c>
      <c r="X71" s="5" t="s">
        <v>22</v>
      </c>
      <c r="Y71" s="5" t="s">
        <v>22</v>
      </c>
      <c r="Z71" s="5" t="s">
        <v>22</v>
      </c>
      <c r="AA71" s="5" t="s">
        <v>23</v>
      </c>
    </row>
    <row r="72" spans="2:27" ht="14" customHeight="1" x14ac:dyDescent="0.15">
      <c r="K72" s="3" t="s">
        <v>27</v>
      </c>
      <c r="L72" s="13">
        <f>11790735+27226795</f>
        <v>39017530</v>
      </c>
      <c r="M72" s="13"/>
      <c r="N72" s="13">
        <f>22768547+4526922+1974675</f>
        <v>29270144</v>
      </c>
      <c r="O72" s="13"/>
      <c r="P72" s="13">
        <f>T72-L72-N72-R72</f>
        <v>-38051071</v>
      </c>
      <c r="Q72" s="13"/>
      <c r="R72" s="13">
        <v>27071273</v>
      </c>
      <c r="S72" s="13"/>
      <c r="T72" s="13">
        <v>57307876</v>
      </c>
      <c r="V72" s="3" t="s">
        <v>25</v>
      </c>
      <c r="W72" s="13">
        <f>164750611+1266228720</f>
        <v>1430979331</v>
      </c>
      <c r="X72" s="13">
        <f>198934471+726730743+365045329</f>
        <v>1290710543</v>
      </c>
      <c r="Y72" s="13">
        <f>AA72-W72-X72-Z72</f>
        <v>-337654740</v>
      </c>
      <c r="Z72" s="13">
        <v>36210160</v>
      </c>
      <c r="AA72" s="13">
        <v>2420245294</v>
      </c>
    </row>
    <row r="73" spans="2:27" ht="14" customHeight="1" x14ac:dyDescent="0.15">
      <c r="L73" s="13">
        <f>SUM(L70:L72)</f>
        <v>1234950439</v>
      </c>
      <c r="M73" s="13"/>
      <c r="N73" s="13">
        <f>SUM(N70:N72)</f>
        <v>1237284878</v>
      </c>
      <c r="O73" s="13"/>
      <c r="P73" s="13">
        <f>SUM(P70:P72)</f>
        <v>-251217268</v>
      </c>
      <c r="Q73" s="13"/>
      <c r="R73" s="13">
        <f>SUM(R70:R72)</f>
        <v>121337441</v>
      </c>
      <c r="S73" s="13"/>
      <c r="T73" s="13">
        <f>SUM(T70:T72)</f>
        <v>2342355490</v>
      </c>
      <c r="V73" s="3" t="s">
        <v>26</v>
      </c>
      <c r="W73" s="13">
        <f>7961480+48241271</f>
        <v>56202751</v>
      </c>
      <c r="X73" s="13">
        <f>109845682+207778984+424384325</f>
        <v>742008991</v>
      </c>
      <c r="Y73" s="13">
        <f>AA73-W73-X73-Z73</f>
        <v>-131524354</v>
      </c>
      <c r="Z73" s="13">
        <v>64735534</v>
      </c>
      <c r="AA73" s="13">
        <v>731422922</v>
      </c>
    </row>
    <row r="74" spans="2:27" ht="14" customHeight="1" x14ac:dyDescent="0.15">
      <c r="V74" s="3" t="s">
        <v>27</v>
      </c>
      <c r="W74" s="13">
        <f>42368927+173050938</f>
        <v>215419865</v>
      </c>
      <c r="X74" s="13">
        <f>35170203+14682970+4650497</f>
        <v>54503670</v>
      </c>
      <c r="Y74" s="13">
        <f>AA74-W74-X74-Z74</f>
        <v>-75149441</v>
      </c>
      <c r="Z74" s="13">
        <v>29407821</v>
      </c>
      <c r="AA74" s="13">
        <v>224181915</v>
      </c>
    </row>
    <row r="75" spans="2:27" ht="14" customHeight="1" x14ac:dyDescent="0.15">
      <c r="K75" s="3" t="s">
        <v>35</v>
      </c>
      <c r="W75" s="13">
        <f>SUM(W72:W74)</f>
        <v>1702601947</v>
      </c>
      <c r="X75" s="13">
        <f>SUM(X72:X74)</f>
        <v>2087223204</v>
      </c>
      <c r="Y75" s="13">
        <f>SUM(Y72:Y74)</f>
        <v>-544328535</v>
      </c>
      <c r="Z75" s="13">
        <f>SUM(Z72:Z74)</f>
        <v>130353515</v>
      </c>
      <c r="AA75" s="13">
        <f>SUM(AA72:AA74)</f>
        <v>3375850131</v>
      </c>
    </row>
    <row r="76" spans="2:27" ht="14" customHeight="1" x14ac:dyDescent="0.15">
      <c r="L76" s="4" t="s">
        <v>12</v>
      </c>
      <c r="M76" s="4"/>
      <c r="N76" s="4" t="s">
        <v>13</v>
      </c>
      <c r="O76" s="4"/>
      <c r="P76" s="4" t="s">
        <v>14</v>
      </c>
      <c r="Q76" s="4"/>
      <c r="R76" s="4" t="s">
        <v>15</v>
      </c>
      <c r="S76" s="4"/>
      <c r="T76" s="4" t="s">
        <v>16</v>
      </c>
    </row>
    <row r="77" spans="2:27" ht="14" customHeight="1" x14ac:dyDescent="0.15">
      <c r="L77" s="5" t="s">
        <v>22</v>
      </c>
      <c r="M77" s="5"/>
      <c r="N77" s="5" t="s">
        <v>22</v>
      </c>
      <c r="O77" s="5"/>
      <c r="P77" s="5" t="s">
        <v>22</v>
      </c>
      <c r="Q77" s="5"/>
      <c r="R77" s="5" t="s">
        <v>22</v>
      </c>
      <c r="S77" s="5"/>
      <c r="T77" s="5" t="s">
        <v>23</v>
      </c>
      <c r="V77" s="3" t="s">
        <v>36</v>
      </c>
    </row>
    <row r="78" spans="2:27" ht="14" customHeight="1" x14ac:dyDescent="0.15">
      <c r="K78" s="3" t="s">
        <v>25</v>
      </c>
      <c r="L78" s="13">
        <f>97219109+1013854434</f>
        <v>1111073543</v>
      </c>
      <c r="M78" s="13"/>
      <c r="N78" s="13">
        <f>183361564+538651499+172498327</f>
        <v>894511390</v>
      </c>
      <c r="O78" s="13"/>
      <c r="P78" s="13">
        <f>T78-L78-N78-R78</f>
        <v>-136349885</v>
      </c>
      <c r="Q78" s="13"/>
      <c r="R78" s="13">
        <v>50823659</v>
      </c>
      <c r="S78" s="13"/>
      <c r="T78" s="13">
        <v>1920058707</v>
      </c>
      <c r="W78" s="4" t="s">
        <v>12</v>
      </c>
      <c r="X78" s="4" t="s">
        <v>13</v>
      </c>
      <c r="Y78" s="4" t="s">
        <v>14</v>
      </c>
      <c r="Z78" s="4" t="s">
        <v>15</v>
      </c>
      <c r="AA78" s="4" t="s">
        <v>16</v>
      </c>
    </row>
    <row r="79" spans="2:27" ht="14" customHeight="1" x14ac:dyDescent="0.15">
      <c r="K79" s="3" t="s">
        <v>26</v>
      </c>
      <c r="L79" s="13">
        <f>4245935+21249143</f>
        <v>25495078</v>
      </c>
      <c r="M79" s="13"/>
      <c r="N79" s="13">
        <f>46023686+124350997+101689180</f>
        <v>272063863</v>
      </c>
      <c r="O79" s="13"/>
      <c r="P79" s="13">
        <f>T79-L79-N79-R79</f>
        <v>-79072186</v>
      </c>
      <c r="Q79" s="13"/>
      <c r="R79" s="13">
        <v>43714568</v>
      </c>
      <c r="S79" s="13"/>
      <c r="T79" s="13">
        <v>262201323</v>
      </c>
      <c r="W79" s="5" t="s">
        <v>22</v>
      </c>
      <c r="X79" s="5" t="s">
        <v>22</v>
      </c>
      <c r="Y79" s="5" t="s">
        <v>22</v>
      </c>
      <c r="Z79" s="5" t="s">
        <v>22</v>
      </c>
      <c r="AA79" s="5" t="s">
        <v>23</v>
      </c>
    </row>
    <row r="80" spans="2:27" ht="14" customHeight="1" x14ac:dyDescent="0.15">
      <c r="K80" s="3" t="s">
        <v>27</v>
      </c>
      <c r="L80" s="13">
        <f>10713021+22564227</f>
        <v>33277248</v>
      </c>
      <c r="M80" s="13"/>
      <c r="N80" s="13">
        <f>17692484+4905544+2214060</f>
        <v>24812088</v>
      </c>
      <c r="O80" s="13"/>
      <c r="P80" s="13">
        <f>T80-L80-N80-R80</f>
        <v>-33122511</v>
      </c>
      <c r="Q80" s="13"/>
      <c r="R80" s="13">
        <v>23598190</v>
      </c>
      <c r="S80" s="13"/>
      <c r="T80" s="13">
        <v>48565015</v>
      </c>
      <c r="V80" s="3" t="s">
        <v>25</v>
      </c>
      <c r="W80" s="13">
        <f>173076910+1370700758</f>
        <v>1543777668</v>
      </c>
      <c r="X80" s="13">
        <f>348181505+778280040+225606648</f>
        <v>1352068193</v>
      </c>
      <c r="Y80" s="13">
        <f>AA80-W80-X80-Z80</f>
        <v>-44125045</v>
      </c>
      <c r="Z80" s="13">
        <v>33060370</v>
      </c>
      <c r="AA80" s="13">
        <v>2884781186</v>
      </c>
    </row>
    <row r="81" spans="11:27" ht="14" customHeight="1" x14ac:dyDescent="0.15">
      <c r="L81" s="13">
        <f>SUM(L78:L80)</f>
        <v>1169845869</v>
      </c>
      <c r="M81" s="13"/>
      <c r="N81" s="13">
        <f>SUM(N78:N80)</f>
        <v>1191387341</v>
      </c>
      <c r="O81" s="13"/>
      <c r="P81" s="13">
        <f>SUM(P78:P80)</f>
        <v>-248544582</v>
      </c>
      <c r="Q81" s="13"/>
      <c r="R81" s="13">
        <f>SUM(R78:R80)</f>
        <v>118136417</v>
      </c>
      <c r="S81" s="13"/>
      <c r="T81" s="13">
        <f>SUM(T78:T80)</f>
        <v>2230825045</v>
      </c>
      <c r="V81" s="3" t="s">
        <v>26</v>
      </c>
      <c r="W81" s="13">
        <f>8554160+57264982</f>
        <v>65819142</v>
      </c>
      <c r="X81" s="13">
        <f>513309447+232476416+112985684</f>
        <v>858771547</v>
      </c>
      <c r="Y81" s="13">
        <f>AA81-W81-X81-Z81</f>
        <v>-67170588</v>
      </c>
      <c r="Z81" s="13">
        <v>66980133</v>
      </c>
      <c r="AA81" s="13">
        <v>924400234</v>
      </c>
    </row>
    <row r="82" spans="11:27" ht="14" customHeight="1" x14ac:dyDescent="0.15">
      <c r="V82" s="3" t="s">
        <v>27</v>
      </c>
      <c r="W82" s="13">
        <f>230632601+54855605</f>
        <v>285488206</v>
      </c>
      <c r="X82" s="13">
        <f>35393572+16839664+6517546</f>
        <v>58750782</v>
      </c>
      <c r="Y82" s="13">
        <f>AA82-W82-X82-Z82</f>
        <v>-35233567</v>
      </c>
      <c r="Z82" s="13">
        <v>31961903</v>
      </c>
      <c r="AA82" s="13">
        <v>340967324</v>
      </c>
    </row>
    <row r="83" spans="11:27" ht="14" customHeight="1" x14ac:dyDescent="0.15">
      <c r="K83" s="3" t="s">
        <v>37</v>
      </c>
      <c r="W83" s="13">
        <f>SUM(W80:W82)</f>
        <v>1895085016</v>
      </c>
      <c r="X83" s="13">
        <f>SUM(X80:X82)</f>
        <v>2269590522</v>
      </c>
      <c r="Y83" s="13">
        <f>SUM(Y80:Y82)</f>
        <v>-146529200</v>
      </c>
      <c r="Z83" s="13">
        <f>SUM(Z80:Z82)</f>
        <v>132002406</v>
      </c>
      <c r="AA83" s="13">
        <f>SUM(AA80:AA82)</f>
        <v>4150148744</v>
      </c>
    </row>
    <row r="84" spans="11:27" ht="14" customHeight="1" x14ac:dyDescent="0.15">
      <c r="L84" s="4" t="s">
        <v>12</v>
      </c>
      <c r="M84" s="4"/>
      <c r="N84" s="4" t="s">
        <v>13</v>
      </c>
      <c r="O84" s="4"/>
      <c r="P84" s="4" t="s">
        <v>14</v>
      </c>
      <c r="Q84" s="4"/>
      <c r="R84" s="4" t="s">
        <v>15</v>
      </c>
      <c r="S84" s="4"/>
      <c r="T84" s="4" t="s">
        <v>16</v>
      </c>
    </row>
    <row r="85" spans="11:27" ht="14" customHeight="1" x14ac:dyDescent="0.15">
      <c r="L85" s="5" t="s">
        <v>22</v>
      </c>
      <c r="M85" s="5"/>
      <c r="N85" s="5" t="s">
        <v>22</v>
      </c>
      <c r="O85" s="5"/>
      <c r="P85" s="5" t="s">
        <v>22</v>
      </c>
      <c r="Q85" s="5"/>
      <c r="R85" s="5" t="s">
        <v>22</v>
      </c>
      <c r="S85" s="5"/>
      <c r="T85" s="5" t="s">
        <v>23</v>
      </c>
    </row>
    <row r="86" spans="11:27" ht="14" customHeight="1" x14ac:dyDescent="0.15">
      <c r="K86" s="3" t="s">
        <v>25</v>
      </c>
      <c r="L86" s="13">
        <f>100962609+945538389</f>
        <v>1046500998</v>
      </c>
      <c r="M86" s="13"/>
      <c r="N86" s="13">
        <f>222556259+568022374+252649208</f>
        <v>1043227841</v>
      </c>
      <c r="O86" s="13"/>
      <c r="P86" s="13">
        <f>T86-L86-N86-R86</f>
        <v>-261832593</v>
      </c>
      <c r="Q86" s="13"/>
      <c r="R86" s="13">
        <v>126406751</v>
      </c>
      <c r="S86" s="13"/>
      <c r="T86" s="13">
        <v>1954302997</v>
      </c>
      <c r="V86" s="3" t="s">
        <v>38</v>
      </c>
    </row>
    <row r="87" spans="11:27" ht="14" customHeight="1" x14ac:dyDescent="0.15">
      <c r="K87" s="3" t="s">
        <v>26</v>
      </c>
      <c r="L87" s="13">
        <f>3857240+19111100</f>
        <v>22968340</v>
      </c>
      <c r="M87" s="13"/>
      <c r="N87" s="13">
        <f>39314843+88563426+81386898</f>
        <v>209265167</v>
      </c>
      <c r="O87" s="13"/>
      <c r="P87" s="13">
        <f>T87-L87-N87-R87</f>
        <v>-47091873</v>
      </c>
      <c r="Q87" s="13"/>
      <c r="R87" s="13">
        <v>40068730</v>
      </c>
      <c r="S87" s="13"/>
      <c r="T87" s="13">
        <v>225210364</v>
      </c>
      <c r="W87" s="4" t="s">
        <v>12</v>
      </c>
      <c r="X87" s="4" t="s">
        <v>13</v>
      </c>
      <c r="Y87" s="4" t="s">
        <v>14</v>
      </c>
      <c r="Z87" s="4" t="s">
        <v>15</v>
      </c>
      <c r="AA87" s="4" t="s">
        <v>16</v>
      </c>
    </row>
    <row r="88" spans="11:27" ht="14" customHeight="1" x14ac:dyDescent="0.15">
      <c r="K88" s="3" t="s">
        <v>27</v>
      </c>
      <c r="L88" s="13">
        <f>13186794+13931645</f>
        <v>27118439</v>
      </c>
      <c r="M88" s="13"/>
      <c r="N88" s="13">
        <f>15374578+6810650+2247157</f>
        <v>24432385</v>
      </c>
      <c r="O88" s="13"/>
      <c r="P88" s="13">
        <f>T88-L88-N88-R88</f>
        <v>-36143928</v>
      </c>
      <c r="Q88" s="13"/>
      <c r="R88" s="13">
        <v>26153487</v>
      </c>
      <c r="S88" s="13"/>
      <c r="T88" s="13">
        <v>41560383</v>
      </c>
      <c r="W88" s="5" t="s">
        <v>22</v>
      </c>
      <c r="X88" s="5" t="s">
        <v>22</v>
      </c>
      <c r="Y88" s="5" t="s">
        <v>22</v>
      </c>
      <c r="Z88" s="5" t="s">
        <v>22</v>
      </c>
      <c r="AA88" s="5" t="s">
        <v>23</v>
      </c>
    </row>
    <row r="89" spans="11:27" ht="14" customHeight="1" x14ac:dyDescent="0.15">
      <c r="L89" s="13">
        <f>SUM(L86:L88)</f>
        <v>1096587777</v>
      </c>
      <c r="M89" s="13"/>
      <c r="N89" s="13">
        <f>SUM(N86:N88)</f>
        <v>1276925393</v>
      </c>
      <c r="O89" s="13"/>
      <c r="P89" s="13">
        <f>SUM(P86:P88)</f>
        <v>-345068394</v>
      </c>
      <c r="Q89" s="13"/>
      <c r="R89" s="13">
        <f>SUM(R86:R88)</f>
        <v>192628968</v>
      </c>
      <c r="S89" s="13"/>
      <c r="T89" s="13">
        <f>SUM(T86:T88)</f>
        <v>2221073744</v>
      </c>
      <c r="V89" s="3" t="s">
        <v>25</v>
      </c>
      <c r="W89" s="13">
        <f>190157318+1432018825</f>
        <v>1622176143</v>
      </c>
      <c r="X89" s="13">
        <f>313345280+805122984+240708663</f>
        <v>1359176927</v>
      </c>
      <c r="Y89" s="13">
        <f>AA89-W89-X89-Z89</f>
        <v>-358182817</v>
      </c>
      <c r="Z89" s="13">
        <v>35500767</v>
      </c>
      <c r="AA89" s="13">
        <v>2658671020</v>
      </c>
    </row>
    <row r="90" spans="11:27" ht="14" customHeight="1" x14ac:dyDescent="0.15">
      <c r="V90" s="3" t="s">
        <v>26</v>
      </c>
      <c r="W90" s="13">
        <f>8909217+64534938</f>
        <v>73444155</v>
      </c>
      <c r="X90" s="13">
        <f>113160534+262645018+535589249</f>
        <v>911394801</v>
      </c>
      <c r="Y90" s="13">
        <f>AA90-W90-X90-Z90</f>
        <v>-254719402</v>
      </c>
      <c r="Z90" s="13">
        <v>73644948</v>
      </c>
      <c r="AA90" s="13">
        <v>803764502</v>
      </c>
    </row>
    <row r="91" spans="11:27" ht="14" customHeight="1" x14ac:dyDescent="0.15">
      <c r="V91" s="3" t="s">
        <v>27</v>
      </c>
      <c r="W91" s="13">
        <f>69003097+284444411</f>
        <v>353447508</v>
      </c>
      <c r="X91" s="13">
        <f>45117522+28675889</f>
        <v>73793411</v>
      </c>
      <c r="Y91" s="13">
        <f>AA91-W91-X91-Z91</f>
        <v>-144363702</v>
      </c>
      <c r="Z91" s="13">
        <v>37715094</v>
      </c>
      <c r="AA91" s="13">
        <v>320592311</v>
      </c>
    </row>
    <row r="92" spans="11:27" ht="14" customHeight="1" x14ac:dyDescent="0.15">
      <c r="K92" s="3" t="s">
        <v>39</v>
      </c>
      <c r="W92" s="13">
        <f>SUM(W89:W91)</f>
        <v>2049067806</v>
      </c>
      <c r="X92" s="13">
        <f>SUM(X89:X91)</f>
        <v>2344365139</v>
      </c>
      <c r="Y92" s="13">
        <f>SUM(Y89:Y91)</f>
        <v>-757265921</v>
      </c>
      <c r="Z92" s="13">
        <f>SUM(Z89:Z91)</f>
        <v>146860809</v>
      </c>
      <c r="AA92" s="13">
        <f>SUM(AA89:AA91)</f>
        <v>3783027833</v>
      </c>
    </row>
    <row r="93" spans="11:27" ht="14" customHeight="1" x14ac:dyDescent="0.15">
      <c r="L93" s="4" t="s">
        <v>12</v>
      </c>
      <c r="M93" s="4"/>
      <c r="N93" s="4" t="s">
        <v>13</v>
      </c>
      <c r="O93" s="4"/>
      <c r="P93" s="4" t="s">
        <v>14</v>
      </c>
      <c r="Q93" s="4"/>
      <c r="R93" s="4" t="s">
        <v>15</v>
      </c>
      <c r="S93" s="4"/>
      <c r="T93" s="4" t="s">
        <v>16</v>
      </c>
    </row>
    <row r="94" spans="11:27" ht="14" customHeight="1" x14ac:dyDescent="0.15">
      <c r="L94" s="5" t="s">
        <v>22</v>
      </c>
      <c r="M94" s="5"/>
      <c r="N94" s="5" t="s">
        <v>22</v>
      </c>
      <c r="O94" s="5"/>
      <c r="P94" s="5" t="s">
        <v>22</v>
      </c>
      <c r="Q94" s="5"/>
      <c r="R94" s="5" t="s">
        <v>22</v>
      </c>
      <c r="S94" s="5"/>
      <c r="T94" s="5" t="s">
        <v>23</v>
      </c>
    </row>
    <row r="95" spans="11:27" ht="14" customHeight="1" x14ac:dyDescent="0.15">
      <c r="K95" s="3" t="s">
        <v>25</v>
      </c>
      <c r="L95" s="13">
        <f>97934905+853748419</f>
        <v>951683324</v>
      </c>
      <c r="M95" s="13"/>
      <c r="N95" s="13">
        <f>180712751+428343884+226163688</f>
        <v>835220323</v>
      </c>
      <c r="O95" s="13"/>
      <c r="P95" s="13">
        <f>T95-L95-N95-R95</f>
        <v>-205004123</v>
      </c>
      <c r="Q95" s="13"/>
      <c r="R95" s="13">
        <v>84032471</v>
      </c>
      <c r="S95" s="13"/>
      <c r="T95" s="13">
        <v>1665931995</v>
      </c>
      <c r="V95" s="3" t="s">
        <v>40</v>
      </c>
    </row>
    <row r="96" spans="11:27" ht="14" customHeight="1" x14ac:dyDescent="0.15">
      <c r="K96" s="3" t="s">
        <v>26</v>
      </c>
      <c r="L96" s="13">
        <f>3931930+17398070</f>
        <v>21330000</v>
      </c>
      <c r="M96" s="13"/>
      <c r="N96" s="13">
        <f>36818635+76255500+65713698</f>
        <v>178787833</v>
      </c>
      <c r="O96" s="13"/>
      <c r="P96" s="13">
        <f>T96-L96-N96-R96</f>
        <v>-47628635</v>
      </c>
      <c r="Q96" s="13"/>
      <c r="R96" s="13">
        <v>39528523</v>
      </c>
      <c r="S96" s="13"/>
      <c r="T96" s="13">
        <v>192017721</v>
      </c>
      <c r="W96" s="4" t="s">
        <v>12</v>
      </c>
      <c r="X96" s="4" t="s">
        <v>13</v>
      </c>
      <c r="Y96" s="4" t="s">
        <v>14</v>
      </c>
      <c r="Z96" s="4" t="s">
        <v>15</v>
      </c>
      <c r="AA96" s="4" t="s">
        <v>16</v>
      </c>
    </row>
    <row r="97" spans="11:27" ht="14" customHeight="1" x14ac:dyDescent="0.15">
      <c r="K97" s="3" t="s">
        <v>27</v>
      </c>
      <c r="L97" s="13">
        <f>4515573+12734214</f>
        <v>17249787</v>
      </c>
      <c r="M97" s="13"/>
      <c r="N97" s="13">
        <f>10808115+6875988+1942018</f>
        <v>19626121</v>
      </c>
      <c r="O97" s="13"/>
      <c r="P97" s="13">
        <f>T97-L97-N97-R97</f>
        <v>-18771882</v>
      </c>
      <c r="Q97" s="13"/>
      <c r="R97" s="13">
        <v>17187174</v>
      </c>
      <c r="S97" s="13"/>
      <c r="T97" s="13">
        <v>35291200</v>
      </c>
      <c r="W97" s="5" t="s">
        <v>22</v>
      </c>
      <c r="X97" s="5" t="s">
        <v>22</v>
      </c>
      <c r="Y97" s="5" t="s">
        <v>22</v>
      </c>
      <c r="Z97" s="5" t="s">
        <v>22</v>
      </c>
      <c r="AA97" s="5" t="s">
        <v>23</v>
      </c>
    </row>
    <row r="98" spans="11:27" ht="14" customHeight="1" x14ac:dyDescent="0.15">
      <c r="L98" s="13">
        <f>SUM(L95:L97)</f>
        <v>990263111</v>
      </c>
      <c r="M98" s="13"/>
      <c r="N98" s="13">
        <f>SUM(N95:N97)</f>
        <v>1033634277</v>
      </c>
      <c r="O98" s="13"/>
      <c r="P98" s="13">
        <f>SUM(P95:P97)</f>
        <v>-271404640</v>
      </c>
      <c r="Q98" s="13"/>
      <c r="R98" s="13">
        <f>SUM(R95:R97)</f>
        <v>140748168</v>
      </c>
      <c r="S98" s="13"/>
      <c r="T98" s="13">
        <f>SUM(T95:T97)</f>
        <v>1893240916</v>
      </c>
      <c r="V98" s="3" t="s">
        <v>25</v>
      </c>
      <c r="W98" s="13">
        <v>2323265904</v>
      </c>
      <c r="X98" s="13">
        <v>714880897</v>
      </c>
      <c r="Y98" s="13">
        <f>AA98-W98-X98-Z98</f>
        <v>-436590175</v>
      </c>
      <c r="Z98" s="13">
        <v>74746757</v>
      </c>
      <c r="AA98" s="13">
        <v>2676303383</v>
      </c>
    </row>
    <row r="99" spans="11:27" ht="14" customHeight="1" x14ac:dyDescent="0.15">
      <c r="V99" s="3" t="s">
        <v>26</v>
      </c>
      <c r="W99" s="13">
        <v>106172114</v>
      </c>
      <c r="X99" s="13">
        <v>655714477</v>
      </c>
      <c r="Y99" s="13">
        <f>AA99-W99-X99-Z99</f>
        <v>-17669034</v>
      </c>
      <c r="Z99" s="13">
        <v>110641116</v>
      </c>
      <c r="AA99" s="13">
        <v>854858673</v>
      </c>
    </row>
    <row r="100" spans="11:27" ht="14" customHeight="1" x14ac:dyDescent="0.15">
      <c r="V100" s="3" t="s">
        <v>27</v>
      </c>
      <c r="W100" s="13">
        <v>430895964</v>
      </c>
      <c r="X100" s="13">
        <v>31040837</v>
      </c>
      <c r="Y100" s="13">
        <f>AA100-W100-X100-Z100</f>
        <v>-167513797</v>
      </c>
      <c r="Z100" s="13">
        <v>75183962</v>
      </c>
      <c r="AA100" s="13">
        <v>369606966</v>
      </c>
    </row>
    <row r="101" spans="11:27" ht="14" customHeight="1" x14ac:dyDescent="0.15">
      <c r="K101" s="3" t="s">
        <v>41</v>
      </c>
      <c r="W101" s="13">
        <f>SUM(W98:W100)</f>
        <v>2860333982</v>
      </c>
      <c r="X101" s="13">
        <f>SUM(X98:X100)</f>
        <v>1401636211</v>
      </c>
      <c r="Y101" s="13">
        <f>SUM(Y98:Y100)</f>
        <v>-621773006</v>
      </c>
      <c r="Z101" s="13">
        <f>SUM(Z98:Z100)</f>
        <v>260571835</v>
      </c>
      <c r="AA101" s="13">
        <f>SUM(AA98:AA100)</f>
        <v>3900769022</v>
      </c>
    </row>
    <row r="102" spans="11:27" ht="14" customHeight="1" x14ac:dyDescent="0.15">
      <c r="L102" s="4" t="s">
        <v>12</v>
      </c>
      <c r="M102" s="4"/>
      <c r="N102" s="4" t="s">
        <v>13</v>
      </c>
      <c r="O102" s="4"/>
      <c r="P102" s="4" t="s">
        <v>14</v>
      </c>
      <c r="Q102" s="4"/>
      <c r="R102" s="4" t="s">
        <v>15</v>
      </c>
      <c r="S102" s="4"/>
      <c r="T102" s="4" t="s">
        <v>16</v>
      </c>
    </row>
    <row r="103" spans="11:27" ht="14" customHeight="1" x14ac:dyDescent="0.15">
      <c r="L103" s="5" t="s">
        <v>22</v>
      </c>
      <c r="M103" s="5"/>
      <c r="N103" s="5" t="s">
        <v>22</v>
      </c>
      <c r="O103" s="5"/>
      <c r="P103" s="5" t="s">
        <v>22</v>
      </c>
      <c r="Q103" s="5"/>
      <c r="R103" s="5" t="s">
        <v>22</v>
      </c>
      <c r="S103" s="5"/>
      <c r="T103" s="5" t="s">
        <v>23</v>
      </c>
    </row>
    <row r="104" spans="11:27" ht="14" customHeight="1" x14ac:dyDescent="0.15">
      <c r="K104" s="3" t="s">
        <v>25</v>
      </c>
      <c r="L104" s="13">
        <f>90702205+777072414</f>
        <v>867774619</v>
      </c>
      <c r="M104" s="13"/>
      <c r="N104" s="13">
        <f>129257508+352363549+184877445</f>
        <v>666498502</v>
      </c>
      <c r="O104" s="13"/>
      <c r="P104" s="13">
        <f>T104-L104-N104-R104</f>
        <v>-142285321</v>
      </c>
      <c r="Q104" s="13"/>
      <c r="R104" s="13">
        <v>55597001</v>
      </c>
      <c r="S104" s="13"/>
      <c r="T104" s="13">
        <v>1447584801</v>
      </c>
      <c r="V104" s="3" t="s">
        <v>42</v>
      </c>
    </row>
    <row r="105" spans="11:27" ht="14" customHeight="1" x14ac:dyDescent="0.15">
      <c r="K105" s="3" t="s">
        <v>26</v>
      </c>
      <c r="L105" s="13">
        <f>2787850+14615340</f>
        <v>17403190</v>
      </c>
      <c r="M105" s="13"/>
      <c r="N105" s="13">
        <f>23275020+58228890+51840525</f>
        <v>133344435</v>
      </c>
      <c r="O105" s="13"/>
      <c r="P105" s="13">
        <f>T105-L105-N105-R105</f>
        <v>-23796422</v>
      </c>
      <c r="Q105" s="13"/>
      <c r="R105" s="13">
        <v>19959440</v>
      </c>
      <c r="S105" s="13"/>
      <c r="T105" s="13">
        <v>146910643</v>
      </c>
      <c r="W105" s="4" t="s">
        <v>12</v>
      </c>
      <c r="X105" s="4" t="s">
        <v>13</v>
      </c>
      <c r="Y105" s="4" t="s">
        <v>14</v>
      </c>
      <c r="Z105" s="4" t="s">
        <v>15</v>
      </c>
      <c r="AA105" s="4" t="s">
        <v>16</v>
      </c>
    </row>
    <row r="106" spans="11:27" ht="14" customHeight="1" x14ac:dyDescent="0.15">
      <c r="K106" s="3" t="s">
        <v>27</v>
      </c>
      <c r="L106" s="13">
        <f>3883203+12483224</f>
        <v>16366427</v>
      </c>
      <c r="M106" s="13"/>
      <c r="N106" s="13">
        <f>4947910+4646935+1549616</f>
        <v>11144461</v>
      </c>
      <c r="O106" s="13"/>
      <c r="P106" s="13">
        <f>T106-L106-N106-R106</f>
        <v>-16779928</v>
      </c>
      <c r="Q106" s="13"/>
      <c r="R106" s="13">
        <v>15833355</v>
      </c>
      <c r="S106" s="13"/>
      <c r="T106" s="13">
        <v>26564315</v>
      </c>
      <c r="W106" s="5" t="s">
        <v>22</v>
      </c>
      <c r="X106" s="5" t="s">
        <v>22</v>
      </c>
      <c r="Y106" s="5" t="s">
        <v>22</v>
      </c>
      <c r="Z106" s="5" t="s">
        <v>22</v>
      </c>
      <c r="AA106" s="5" t="s">
        <v>23</v>
      </c>
    </row>
    <row r="107" spans="11:27" ht="14" customHeight="1" x14ac:dyDescent="0.15">
      <c r="L107" s="13">
        <f>SUM(L104:L106)</f>
        <v>901544236</v>
      </c>
      <c r="M107" s="13"/>
      <c r="N107" s="13">
        <f>SUM(N104:N106)</f>
        <v>810987398</v>
      </c>
      <c r="O107" s="13"/>
      <c r="P107" s="13">
        <f>SUM(P104:P106)</f>
        <v>-182861671</v>
      </c>
      <c r="Q107" s="13"/>
      <c r="R107" s="13">
        <f>SUM(R104:R106)</f>
        <v>91389796</v>
      </c>
      <c r="S107" s="13"/>
      <c r="T107" s="13">
        <f>SUM(T104:T106)</f>
        <v>1621059759</v>
      </c>
      <c r="V107" s="3" t="s">
        <v>25</v>
      </c>
      <c r="W107" s="13">
        <f>2354658207+64959032+8203858+13042240</f>
        <v>2440863337</v>
      </c>
      <c r="X107" s="13">
        <f>390729597+78291074+822360+8493524+2128677+902632+69076+233024+160840279+135756867</f>
        <v>778267110</v>
      </c>
      <c r="Y107" s="13">
        <f>AA107-W107-X107-Z107</f>
        <v>-360647627</v>
      </c>
      <c r="Z107" s="13">
        <f>31794862+36690259+55405+10529602+682525</f>
        <v>79752653</v>
      </c>
      <c r="AA107" s="13">
        <v>2938235473</v>
      </c>
    </row>
    <row r="108" spans="11:27" ht="14" customHeight="1" x14ac:dyDescent="0.15">
      <c r="V108" s="3" t="s">
        <v>26</v>
      </c>
      <c r="W108" s="13">
        <f>109233145+12419172+1021780+235320</f>
        <v>122909417</v>
      </c>
      <c r="X108" s="13">
        <f>139848208+106347610+17270+429600+4564030+327140+617720+266085333+177275430</f>
        <v>695512341</v>
      </c>
      <c r="Y108" s="13">
        <f>AA108-W108-X108-Z108</f>
        <v>-202253061</v>
      </c>
      <c r="Z108" s="13">
        <f>65115473+110050+10282798+4131780+29967500</f>
        <v>109607601</v>
      </c>
      <c r="AA108" s="13">
        <v>725776298</v>
      </c>
    </row>
    <row r="109" spans="11:27" ht="14" customHeight="1" x14ac:dyDescent="0.15">
      <c r="K109" s="3" t="s">
        <v>43</v>
      </c>
      <c r="V109" s="3" t="s">
        <v>27</v>
      </c>
      <c r="W109" s="13">
        <f>466560271+434270+3310886+26885579</f>
        <v>497191006</v>
      </c>
      <c r="X109" s="13">
        <f>23894824+2536960+220516+201313+50684+4770206+138763</f>
        <v>31813266</v>
      </c>
      <c r="Y109" s="13">
        <f>AA109-W109-X109-Z109</f>
        <v>-208949680</v>
      </c>
      <c r="Z109" s="13">
        <f>5845140+50733340+567419+29573568+29510</f>
        <v>86748977</v>
      </c>
      <c r="AA109" s="13">
        <v>406803569</v>
      </c>
    </row>
    <row r="110" spans="11:27" ht="14" customHeight="1" x14ac:dyDescent="0.15">
      <c r="L110" s="4" t="s">
        <v>12</v>
      </c>
      <c r="M110" s="4"/>
      <c r="N110" s="4" t="s">
        <v>13</v>
      </c>
      <c r="O110" s="4"/>
      <c r="P110" s="4" t="s">
        <v>14</v>
      </c>
      <c r="Q110" s="4"/>
      <c r="R110" s="4" t="s">
        <v>15</v>
      </c>
      <c r="S110" s="4"/>
      <c r="T110" s="4" t="s">
        <v>16</v>
      </c>
      <c r="W110" s="13">
        <f>SUM(W107:W109)</f>
        <v>3060963760</v>
      </c>
      <c r="X110" s="13">
        <f>SUM(X107:X109)</f>
        <v>1505592717</v>
      </c>
      <c r="Y110" s="13">
        <f>Y107+Y108+Y109</f>
        <v>-771850368</v>
      </c>
      <c r="Z110" s="13">
        <f>SUM(Z107:Z109)</f>
        <v>276109231</v>
      </c>
      <c r="AA110" s="13">
        <f>SUM(AA107:AA109)</f>
        <v>4070815340</v>
      </c>
    </row>
    <row r="111" spans="11:27" ht="14" customHeight="1" x14ac:dyDescent="0.15">
      <c r="L111" s="5" t="s">
        <v>22</v>
      </c>
      <c r="M111" s="5"/>
      <c r="N111" s="5" t="s">
        <v>22</v>
      </c>
      <c r="O111" s="5"/>
      <c r="P111" s="5" t="s">
        <v>22</v>
      </c>
      <c r="Q111" s="5"/>
      <c r="R111" s="5" t="s">
        <v>22</v>
      </c>
      <c r="S111" s="5"/>
      <c r="T111" s="5" t="s">
        <v>23</v>
      </c>
    </row>
    <row r="112" spans="11:27" ht="14" customHeight="1" x14ac:dyDescent="0.15">
      <c r="K112" s="3" t="s">
        <v>25</v>
      </c>
      <c r="L112" s="13">
        <f>84895309+706602363</f>
        <v>791497672</v>
      </c>
      <c r="M112" s="13"/>
      <c r="N112" s="13">
        <f>111264218+311763627+169852119</f>
        <v>592879964</v>
      </c>
      <c r="O112" s="13"/>
      <c r="P112" s="13">
        <f>T112-L112-N112-R112</f>
        <v>-140488711</v>
      </c>
      <c r="Q112" s="13"/>
      <c r="R112" s="13">
        <v>48469509</v>
      </c>
      <c r="S112" s="13"/>
      <c r="T112" s="13">
        <v>1292358434</v>
      </c>
      <c r="V112" s="20"/>
      <c r="W112" s="20"/>
      <c r="X112" s="20"/>
      <c r="Y112" s="20"/>
      <c r="Z112" s="20"/>
      <c r="AA112" s="20"/>
    </row>
    <row r="113" spans="11:27" ht="14" customHeight="1" x14ac:dyDescent="0.15">
      <c r="K113" s="3" t="s">
        <v>26</v>
      </c>
      <c r="L113" s="13">
        <f>2060100+11628620</f>
        <v>13688720</v>
      </c>
      <c r="M113" s="13"/>
      <c r="N113" s="13">
        <f>15747870+51103200+47318905</f>
        <v>114169975</v>
      </c>
      <c r="O113" s="13"/>
      <c r="P113" s="13">
        <f>T113-L113-N113-R113</f>
        <v>-18014112</v>
      </c>
      <c r="Q113" s="13"/>
      <c r="R113" s="13">
        <v>14534070</v>
      </c>
      <c r="S113" s="13"/>
      <c r="T113" s="13">
        <v>124378653</v>
      </c>
      <c r="V113" s="21" t="s">
        <v>44</v>
      </c>
      <c r="W113" s="20"/>
      <c r="X113" s="20"/>
      <c r="Y113" s="20"/>
      <c r="Z113" s="20"/>
      <c r="AA113" s="20"/>
    </row>
    <row r="114" spans="11:27" ht="14" customHeight="1" x14ac:dyDescent="0.15">
      <c r="K114" s="3" t="s">
        <v>27</v>
      </c>
      <c r="L114" s="13">
        <f>10766853+907028+4056100</f>
        <v>15729981</v>
      </c>
      <c r="M114" s="13"/>
      <c r="N114" s="13">
        <f>4227458+270730+322490+600+943770+186920+1200</f>
        <v>5953168</v>
      </c>
      <c r="O114" s="13"/>
      <c r="P114" s="13">
        <f>T114-L114-N114-R114</f>
        <v>-14744188</v>
      </c>
      <c r="Q114" s="13"/>
      <c r="R114" s="13">
        <f>19401656+1914156</f>
        <v>21315812</v>
      </c>
      <c r="S114" s="13"/>
      <c r="T114" s="13">
        <f>42998961-14744188</f>
        <v>28254773</v>
      </c>
      <c r="V114" s="20"/>
      <c r="W114" s="22" t="s">
        <v>12</v>
      </c>
      <c r="X114" s="22" t="s">
        <v>13</v>
      </c>
      <c r="Y114" s="22" t="s">
        <v>14</v>
      </c>
      <c r="Z114" s="22" t="s">
        <v>15</v>
      </c>
      <c r="AA114" s="22" t="s">
        <v>16</v>
      </c>
    </row>
    <row r="115" spans="11:27" ht="14" customHeight="1" x14ac:dyDescent="0.15">
      <c r="L115" s="13">
        <f>SUM(L112:L114)</f>
        <v>820916373</v>
      </c>
      <c r="M115" s="13"/>
      <c r="N115" s="13">
        <f>SUM(N112:N114)</f>
        <v>713003107</v>
      </c>
      <c r="O115" s="13"/>
      <c r="P115" s="13">
        <f>SUM(P112:P114)</f>
        <v>-173247011</v>
      </c>
      <c r="Q115" s="13"/>
      <c r="R115" s="13">
        <f>SUM(R112:R114)</f>
        <v>84319391</v>
      </c>
      <c r="S115" s="13"/>
      <c r="T115" s="13">
        <f>SUM(T112:T114)</f>
        <v>1444991860</v>
      </c>
      <c r="V115" s="20"/>
      <c r="W115" s="23" t="s">
        <v>22</v>
      </c>
      <c r="X115" s="23" t="s">
        <v>22</v>
      </c>
      <c r="Y115" s="23" t="s">
        <v>22</v>
      </c>
      <c r="Z115" s="23" t="s">
        <v>22</v>
      </c>
      <c r="AA115" s="23" t="s">
        <v>23</v>
      </c>
    </row>
    <row r="116" spans="11:27" ht="14" customHeight="1" x14ac:dyDescent="0.15">
      <c r="V116" s="21" t="s">
        <v>25</v>
      </c>
      <c r="W116" s="24">
        <v>2814434480</v>
      </c>
      <c r="X116" s="24">
        <v>704423729</v>
      </c>
      <c r="Y116" s="24">
        <v>-470046879</v>
      </c>
      <c r="Z116" s="24">
        <v>43521360</v>
      </c>
      <c r="AA116" s="24">
        <v>3092332690</v>
      </c>
    </row>
    <row r="117" spans="11:27" ht="14" customHeight="1" x14ac:dyDescent="0.15">
      <c r="V117" s="21" t="s">
        <v>26</v>
      </c>
      <c r="W117" s="24">
        <v>137607219</v>
      </c>
      <c r="X117" s="24">
        <v>582483040</v>
      </c>
      <c r="Y117" s="24">
        <v>-197126121</v>
      </c>
      <c r="Z117" s="24">
        <v>106438522</v>
      </c>
      <c r="AA117" s="24">
        <v>629402660</v>
      </c>
    </row>
    <row r="118" spans="11:27" ht="14" customHeight="1" x14ac:dyDescent="0.15">
      <c r="K118" s="3" t="s">
        <v>45</v>
      </c>
      <c r="V118" s="21" t="s">
        <v>27</v>
      </c>
      <c r="W118" s="24">
        <v>666093009</v>
      </c>
      <c r="X118" s="24">
        <v>30579713</v>
      </c>
      <c r="Y118" s="24">
        <v>-294756765</v>
      </c>
      <c r="Z118" s="24">
        <v>82236587</v>
      </c>
      <c r="AA118" s="24">
        <v>484152544</v>
      </c>
    </row>
    <row r="119" spans="11:27" ht="14" customHeight="1" x14ac:dyDescent="0.15">
      <c r="L119" s="4" t="s">
        <v>12</v>
      </c>
      <c r="M119" s="4"/>
      <c r="N119" s="4" t="s">
        <v>13</v>
      </c>
      <c r="O119" s="4"/>
      <c r="P119" s="4" t="s">
        <v>14</v>
      </c>
      <c r="Q119" s="4"/>
      <c r="R119" s="4" t="s">
        <v>15</v>
      </c>
      <c r="S119" s="4"/>
      <c r="T119" s="4" t="s">
        <v>16</v>
      </c>
      <c r="V119" s="20"/>
      <c r="W119" s="24">
        <v>3618134708</v>
      </c>
      <c r="X119" s="24">
        <v>1317486482</v>
      </c>
      <c r="Y119" s="24">
        <v>-961929765</v>
      </c>
      <c r="Z119" s="24">
        <v>232196469</v>
      </c>
      <c r="AA119" s="24">
        <v>4205887894</v>
      </c>
    </row>
    <row r="120" spans="11:27" ht="14" customHeight="1" x14ac:dyDescent="0.15">
      <c r="L120" s="5" t="s">
        <v>22</v>
      </c>
      <c r="M120" s="5"/>
      <c r="N120" s="5" t="s">
        <v>22</v>
      </c>
      <c r="O120" s="5"/>
      <c r="P120" s="5" t="s">
        <v>22</v>
      </c>
      <c r="Q120" s="5"/>
      <c r="R120" s="5" t="s">
        <v>22</v>
      </c>
      <c r="S120" s="5"/>
      <c r="T120" s="5" t="s">
        <v>23</v>
      </c>
    </row>
    <row r="121" spans="11:27" ht="14" customHeight="1" x14ac:dyDescent="0.15">
      <c r="K121" s="3" t="s">
        <v>25</v>
      </c>
      <c r="L121" s="13">
        <f>78626814+622282905</f>
        <v>700909719</v>
      </c>
      <c r="M121" s="13"/>
      <c r="N121" s="13">
        <f>106110534+276086070+129602187</f>
        <v>511798791</v>
      </c>
      <c r="O121" s="13"/>
      <c r="P121" s="13">
        <f>T121-L121-N121-R121</f>
        <v>-127720569</v>
      </c>
      <c r="Q121" s="13"/>
      <c r="R121" s="13">
        <v>41526510</v>
      </c>
      <c r="S121" s="13"/>
      <c r="T121" s="13">
        <v>1126514451</v>
      </c>
    </row>
    <row r="122" spans="11:27" ht="14" customHeight="1" x14ac:dyDescent="0.15">
      <c r="K122" s="3" t="s">
        <v>26</v>
      </c>
      <c r="L122" s="13">
        <f>14432679+56619343</f>
        <v>71052022</v>
      </c>
      <c r="M122" s="13"/>
      <c r="N122" s="13">
        <f>941570+51261290</f>
        <v>52202860</v>
      </c>
      <c r="O122" s="13"/>
      <c r="P122" s="13">
        <f>T122-L122-N122-R122</f>
        <v>-18363438</v>
      </c>
      <c r="Q122" s="13"/>
      <c r="R122" s="13">
        <v>14566921</v>
      </c>
      <c r="S122" s="13"/>
      <c r="T122" s="13">
        <v>119458365</v>
      </c>
      <c r="V122" s="3" t="s">
        <v>46</v>
      </c>
    </row>
    <row r="123" spans="11:27" ht="14" customHeight="1" x14ac:dyDescent="0.15">
      <c r="K123" s="3" t="s">
        <v>27</v>
      </c>
      <c r="L123" s="13">
        <f>10381198+5382600</f>
        <v>15763798</v>
      </c>
      <c r="M123" s="13"/>
      <c r="N123" s="13">
        <f>646656+4612178+324740+343840+949850+206730+1200</f>
        <v>7085194</v>
      </c>
      <c r="O123" s="13"/>
      <c r="P123" s="13">
        <f>T123-L123-N123-R123</f>
        <v>-13254759</v>
      </c>
      <c r="Q123" s="13"/>
      <c r="R123" s="13">
        <f>18126786+1301906</f>
        <v>19428692</v>
      </c>
      <c r="S123" s="13"/>
      <c r="T123" s="13">
        <v>29022925</v>
      </c>
      <c r="W123" s="4" t="s">
        <v>12</v>
      </c>
      <c r="X123" s="4" t="s">
        <v>13</v>
      </c>
      <c r="Y123" s="4" t="s">
        <v>14</v>
      </c>
      <c r="Z123" s="4" t="s">
        <v>15</v>
      </c>
      <c r="AA123" s="4" t="s">
        <v>16</v>
      </c>
    </row>
    <row r="124" spans="11:27" ht="14" customHeight="1" x14ac:dyDescent="0.15">
      <c r="L124" s="13">
        <f>SUM(L121:L123)</f>
        <v>787725539</v>
      </c>
      <c r="M124" s="13"/>
      <c r="N124" s="13">
        <f>SUM(N121:N123)</f>
        <v>571086845</v>
      </c>
      <c r="O124" s="13"/>
      <c r="P124" s="13">
        <f>SUM(P121:P123)</f>
        <v>-159338766</v>
      </c>
      <c r="Q124" s="13"/>
      <c r="R124" s="13">
        <f>SUM(R121:R123)</f>
        <v>75522123</v>
      </c>
      <c r="S124" s="13"/>
      <c r="T124" s="13">
        <f>SUM(T121:T123)</f>
        <v>1274995741</v>
      </c>
      <c r="W124" s="5" t="s">
        <v>22</v>
      </c>
      <c r="X124" s="5" t="s">
        <v>22</v>
      </c>
      <c r="Y124" s="5" t="s">
        <v>22</v>
      </c>
      <c r="Z124" s="5" t="s">
        <v>22</v>
      </c>
      <c r="AA124" s="5" t="s">
        <v>23</v>
      </c>
    </row>
    <row r="125" spans="11:27" ht="14" customHeight="1" x14ac:dyDescent="0.15">
      <c r="V125" s="3" t="s">
        <v>25</v>
      </c>
      <c r="W125" s="13">
        <f>3581823210+71028402+14958332+14758257+613674</f>
        <v>3683181875</v>
      </c>
      <c r="X125" s="13">
        <f>503334524+82278449+1322241+9798519+2993804+1099385+63505+359946+173019048+123234941</f>
        <v>897504362</v>
      </c>
      <c r="Y125" s="13">
        <f>-47660729-436134475</f>
        <v>-483795204</v>
      </c>
      <c r="Z125" s="13">
        <f>28518801+48133869+60607+12652072+217732186</f>
        <v>307097535</v>
      </c>
      <c r="AA125" s="13">
        <v>4403988568</v>
      </c>
    </row>
    <row r="126" spans="11:27" ht="14" customHeight="1" x14ac:dyDescent="0.15">
      <c r="V126" s="3" t="s">
        <v>26</v>
      </c>
      <c r="W126" s="13">
        <f>151756048+1201250+4107450</f>
        <v>157064748</v>
      </c>
      <c r="X126" s="13">
        <f>483634077+121528722+21670+2218570+5339360+348490+762570+323415359+172120500</f>
        <v>1109389318</v>
      </c>
      <c r="Y126" s="13">
        <f>-140140371-14838039</f>
        <v>-154978410</v>
      </c>
      <c r="Z126" s="13">
        <f>53985560+27735073+140404584+176174+36715560</f>
        <v>259016951</v>
      </c>
      <c r="AA126" s="13">
        <v>1370492607</v>
      </c>
    </row>
    <row r="127" spans="11:27" ht="14" customHeight="1" x14ac:dyDescent="0.15">
      <c r="V127" s="3" t="s">
        <v>27</v>
      </c>
      <c r="W127" s="13">
        <f>874572202+1299770+13016366+5794516+1</f>
        <v>894682855</v>
      </c>
      <c r="X127" s="13">
        <f>31998673+2924810+164893+16349+5101371+153778</f>
        <v>40359874</v>
      </c>
      <c r="Y127" s="13">
        <f>-77277950-68080579</f>
        <v>-145358529</v>
      </c>
      <c r="Z127" s="13">
        <f>9585996+77813525+628833+55579950+32570713</f>
        <v>176179017</v>
      </c>
      <c r="AA127" s="13">
        <v>965863217</v>
      </c>
    </row>
    <row r="128" spans="11:27" ht="14" customHeight="1" x14ac:dyDescent="0.15">
      <c r="W128" s="13">
        <f>SUM(W125:W127)</f>
        <v>4734929478</v>
      </c>
      <c r="X128" s="13">
        <f>SUM(X125:X127)</f>
        <v>2047253554</v>
      </c>
      <c r="Y128" s="13">
        <f>Y125+Y126+Y127</f>
        <v>-784132143</v>
      </c>
      <c r="Z128" s="13">
        <f>SUM(Z125:Z127)</f>
        <v>742293503</v>
      </c>
      <c r="AA128" s="13">
        <f>SUM(AA125:AA127)</f>
        <v>6740344392</v>
      </c>
    </row>
    <row r="130" spans="22:27" ht="14" customHeight="1" x14ac:dyDescent="0.15">
      <c r="V130" s="3" t="s">
        <v>47</v>
      </c>
    </row>
    <row r="131" spans="22:27" ht="14" customHeight="1" x14ac:dyDescent="0.15">
      <c r="W131" s="4" t="s">
        <v>12</v>
      </c>
      <c r="X131" s="4" t="s">
        <v>13</v>
      </c>
      <c r="Y131" s="4" t="s">
        <v>14</v>
      </c>
      <c r="Z131" s="4" t="s">
        <v>15</v>
      </c>
      <c r="AA131" s="4" t="s">
        <v>16</v>
      </c>
    </row>
    <row r="132" spans="22:27" ht="14" customHeight="1" x14ac:dyDescent="0.15">
      <c r="W132" s="5" t="s">
        <v>22</v>
      </c>
      <c r="X132" s="5" t="s">
        <v>22</v>
      </c>
      <c r="Y132" s="5" t="s">
        <v>22</v>
      </c>
      <c r="Z132" s="5" t="s">
        <v>22</v>
      </c>
      <c r="AA132" s="5" t="s">
        <v>23</v>
      </c>
    </row>
    <row r="133" spans="22:27" ht="14" customHeight="1" x14ac:dyDescent="0.15">
      <c r="V133" s="3" t="s">
        <v>25</v>
      </c>
      <c r="W133" s="13">
        <f>3700190994+89418497+20623125+13934307-270272909</f>
        <v>3553894014</v>
      </c>
      <c r="X133" s="13">
        <f>561160262+84282279+1602111+10518080+3191054+1222760+75670+349228+198968952+163382009-49018156</f>
        <v>975734249</v>
      </c>
      <c r="Y133" s="13">
        <f>300626148</f>
        <v>300626148</v>
      </c>
      <c r="Z133" s="13">
        <f>730118+41536458+49456573+50728+15001484</f>
        <v>106775361</v>
      </c>
      <c r="AA133" s="13">
        <v>4937029772</v>
      </c>
    </row>
    <row r="134" spans="22:27" ht="14" customHeight="1" x14ac:dyDescent="0.15">
      <c r="V134" s="3" t="s">
        <v>26</v>
      </c>
      <c r="W134" s="13">
        <f>160969065+1147070-11809132</f>
        <v>150307003</v>
      </c>
      <c r="X134" s="13">
        <f>151201786+172003+43033206+577512117+127297985+24930+24984910+5926160+403270+531480+371705694+171160760-150950587</f>
        <v>1323003714</v>
      </c>
      <c r="Y134" s="13">
        <v>48124805</v>
      </c>
      <c r="Z134" s="13">
        <f>28843988+4898460</f>
        <v>33742448</v>
      </c>
      <c r="AA134" s="13">
        <v>1555177970</v>
      </c>
    </row>
    <row r="135" spans="22:27" ht="14" customHeight="1" x14ac:dyDescent="0.15">
      <c r="V135" s="3" t="s">
        <v>27</v>
      </c>
      <c r="W135" s="13">
        <f>1009767933+1595948+29886510+6730697-87719667</f>
        <v>960261421</v>
      </c>
      <c r="X135" s="13">
        <f>82794296+595903+37527673+3093370+157607+11164+4439453+201836-82171752</f>
        <v>46649550</v>
      </c>
      <c r="Y135" s="13">
        <v>37287598</v>
      </c>
      <c r="Z135" s="13">
        <f>11305480+70214360</f>
        <v>81519840</v>
      </c>
      <c r="AA135" s="13">
        <v>1125718409</v>
      </c>
    </row>
    <row r="136" spans="22:27" ht="14" customHeight="1" x14ac:dyDescent="0.15">
      <c r="W136" s="13">
        <f>SUM(W133:W135)</f>
        <v>4664462438</v>
      </c>
      <c r="X136" s="13">
        <f>SUM(X133:X135)</f>
        <v>2345387513</v>
      </c>
      <c r="Y136" s="13">
        <f>Y133+Y134+Y135</f>
        <v>386038551</v>
      </c>
      <c r="Z136" s="13">
        <f>SUM(Z133:Z135)</f>
        <v>222037649</v>
      </c>
      <c r="AA136" s="13">
        <f>SUM(AA133:AA135)</f>
        <v>7617926151</v>
      </c>
    </row>
  </sheetData>
  <pageMargins left="0.75" right="0.75" top="0.5" bottom="0.5" header="0.5" footer="0.5"/>
  <pageSetup firstPageNumber="103" orientation="portrait" useFirstPageNumber="1" r:id="rId1"/>
  <headerFooter differentOddEven="1" alignWithMargins="0">
    <oddFooter>&amp;C&amp;"Verdana,Bold"&amp;9&amp;P</oddFooter>
    <evenHeader>&amp;R&amp;"Verdana,Bold"&amp;9TABLE 11</evenHeader>
    <evenFooter>&amp;C&amp;"Verdana,Bold"&amp;9&amp;P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Taxable Assessed Values</vt:lpstr>
      <vt:lpstr>'Taxable Assessed Values'!Print_Area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2026-02-15T20:29:17Z</dcterms:created>
  <dcterms:modified xsi:type="dcterms:W3CDTF">2026-02-15T20:30:09Z</dcterms:modified>
</cp:coreProperties>
</file>
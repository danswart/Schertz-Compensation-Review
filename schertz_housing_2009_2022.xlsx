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"/>
    </mc:Choice>
  </mc:AlternateContent>
  <xr:revisionPtr revIDLastSave="0" documentId="13_ncr:1_{ECAA5CA8-4DD1-1940-9AFE-74508CF2A016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RAW-Schertz Housing 2009-2022" sheetId="1" r:id="rId1"/>
    <sheet name="Schertz Housing 2009-20 XmR " sheetId="7" r:id="rId2"/>
    <sheet name="RAW-Schertz Housing 200 XmR " sheetId="10" r:id="rId3"/>
    <sheet name="RAW-Schertz Housing 200 XmR 7" sheetId="13" r:id="rId4"/>
  </sheets>
  <definedNames>
    <definedName name="_xlnm.Print_Area" localSheetId="2">'RAW-Schertz Housing 200 XmR '!$B$1:$Q$36</definedName>
    <definedName name="_xlnm.Print_Area" localSheetId="3">'RAW-Schertz Housing 200 XmR 7'!$B$1:$Q$36</definedName>
    <definedName name="_xlnm.Print_Area" localSheetId="1">'Schertz Housing 2009-20 XmR '!$B$1:$S$36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3" l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J3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I3" i="13"/>
  <c r="J4" i="13" s="1"/>
  <c r="I4" i="13"/>
  <c r="J5" i="13" s="1"/>
  <c r="I5" i="13"/>
  <c r="J6" i="13" s="1"/>
  <c r="I6" i="13"/>
  <c r="J7" i="13" s="1"/>
  <c r="I7" i="13"/>
  <c r="J8" i="13" s="1"/>
  <c r="I8" i="13"/>
  <c r="J9" i="13" s="1"/>
  <c r="I9" i="13"/>
  <c r="J10" i="13" s="1"/>
  <c r="I10" i="13"/>
  <c r="J11" i="13" s="1"/>
  <c r="I11" i="13"/>
  <c r="J12" i="13" s="1"/>
  <c r="I12" i="13"/>
  <c r="J13" i="13" s="1"/>
  <c r="I13" i="13"/>
  <c r="J14" i="13" s="1"/>
  <c r="I14" i="13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2" i="13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J3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I3" i="10"/>
  <c r="J4" i="10" s="1"/>
  <c r="I4" i="10"/>
  <c r="J5" i="10" s="1"/>
  <c r="I5" i="10"/>
  <c r="J6" i="10" s="1"/>
  <c r="I6" i="10"/>
  <c r="J7" i="10" s="1"/>
  <c r="I7" i="10"/>
  <c r="J8" i="10" s="1"/>
  <c r="I8" i="10"/>
  <c r="J9" i="10" s="1"/>
  <c r="I9" i="10"/>
  <c r="J10" i="10" s="1"/>
  <c r="I10" i="10"/>
  <c r="J11" i="10" s="1"/>
  <c r="I11" i="10"/>
  <c r="J12" i="10" s="1"/>
  <c r="I12" i="10"/>
  <c r="J13" i="10" s="1"/>
  <c r="I13" i="10"/>
  <c r="J14" i="10" s="1"/>
  <c r="I14" i="10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2" i="10"/>
  <c r="Y1" i="7"/>
  <c r="W1" i="7"/>
  <c r="U1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R3" i="7"/>
  <c r="R4" i="7"/>
  <c r="R5" i="7"/>
  <c r="R6" i="7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J3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I3" i="7"/>
  <c r="J4" i="7" s="1"/>
  <c r="I4" i="7"/>
  <c r="J5" i="7" s="1"/>
  <c r="I5" i="7"/>
  <c r="J6" i="7" s="1"/>
  <c r="I6" i="7"/>
  <c r="J7" i="7" s="1"/>
  <c r="I7" i="7"/>
  <c r="J8" i="7" s="1"/>
  <c r="I8" i="7"/>
  <c r="J9" i="7" s="1"/>
  <c r="I9" i="7"/>
  <c r="J10" i="7" s="1"/>
  <c r="I10" i="7"/>
  <c r="J11" i="7" s="1"/>
  <c r="I11" i="7"/>
  <c r="J12" i="7" s="1"/>
  <c r="I12" i="7"/>
  <c r="J13" i="7" s="1"/>
  <c r="I13" i="7"/>
  <c r="J14" i="7" s="1"/>
  <c r="I14" i="7"/>
  <c r="J15" i="7" s="1"/>
  <c r="I15" i="7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2" i="7"/>
  <c r="N12" i="13" l="1"/>
  <c r="N24" i="13"/>
  <c r="N2" i="13"/>
  <c r="N31" i="13"/>
  <c r="N25" i="13"/>
  <c r="N19" i="13"/>
  <c r="N13" i="13"/>
  <c r="N7" i="13"/>
  <c r="N6" i="13"/>
  <c r="N18" i="13"/>
  <c r="N29" i="13"/>
  <c r="N23" i="13"/>
  <c r="N17" i="13"/>
  <c r="N11" i="13"/>
  <c r="N5" i="13"/>
  <c r="N30" i="13"/>
  <c r="N34" i="13"/>
  <c r="N28" i="13"/>
  <c r="N22" i="13"/>
  <c r="N16" i="13"/>
  <c r="N10" i="13"/>
  <c r="N4" i="13"/>
  <c r="N33" i="13"/>
  <c r="N27" i="13"/>
  <c r="N21" i="13"/>
  <c r="N15" i="13"/>
  <c r="N9" i="13"/>
  <c r="N3" i="13"/>
  <c r="N32" i="13"/>
  <c r="N26" i="13"/>
  <c r="N20" i="13"/>
  <c r="N14" i="13"/>
  <c r="N8" i="13"/>
  <c r="N18" i="10"/>
  <c r="N13" i="10"/>
  <c r="N2" i="10"/>
  <c r="N31" i="10"/>
  <c r="N25" i="10"/>
  <c r="N7" i="10"/>
  <c r="N6" i="10"/>
  <c r="N29" i="10"/>
  <c r="N23" i="10"/>
  <c r="N17" i="10"/>
  <c r="N11" i="10"/>
  <c r="N5" i="10"/>
  <c r="N19" i="10"/>
  <c r="N24" i="10"/>
  <c r="N34" i="10"/>
  <c r="N28" i="10"/>
  <c r="N22" i="10"/>
  <c r="N16" i="10"/>
  <c r="N10" i="10"/>
  <c r="N4" i="10"/>
  <c r="N30" i="10"/>
  <c r="N12" i="10"/>
  <c r="N33" i="10"/>
  <c r="N27" i="10"/>
  <c r="N21" i="10"/>
  <c r="N15" i="10"/>
  <c r="N9" i="10"/>
  <c r="N3" i="10"/>
  <c r="N32" i="10"/>
  <c r="N26" i="10"/>
  <c r="N20" i="10"/>
  <c r="N14" i="10"/>
  <c r="N8" i="10"/>
  <c r="N2" i="7"/>
  <c r="N13" i="7"/>
  <c r="N31" i="7"/>
  <c r="N19" i="7"/>
  <c r="N7" i="7"/>
  <c r="N23" i="7"/>
  <c r="N4" i="7"/>
  <c r="N25" i="7"/>
  <c r="N30" i="7"/>
  <c r="N24" i="7"/>
  <c r="N18" i="7"/>
  <c r="N12" i="7"/>
  <c r="N6" i="7"/>
  <c r="N35" i="7"/>
  <c r="N29" i="7"/>
  <c r="N17" i="7"/>
  <c r="N11" i="7"/>
  <c r="N5" i="7"/>
  <c r="N34" i="7"/>
  <c r="N28" i="7"/>
  <c r="N16" i="7"/>
  <c r="N10" i="7"/>
  <c r="N33" i="7"/>
  <c r="N27" i="7"/>
  <c r="N21" i="7"/>
  <c r="N15" i="7"/>
  <c r="N9" i="7"/>
  <c r="N3" i="7"/>
  <c r="N22" i="7"/>
  <c r="N32" i="7"/>
  <c r="N26" i="7"/>
  <c r="N20" i="7"/>
  <c r="N14" i="7"/>
  <c r="N8" i="7"/>
  <c r="G26" i="13" l="1"/>
  <c r="H26" i="13"/>
  <c r="G27" i="13"/>
  <c r="H27" i="13"/>
  <c r="G28" i="13"/>
  <c r="H28" i="13"/>
  <c r="G23" i="13"/>
  <c r="H23" i="13"/>
  <c r="G19" i="13"/>
  <c r="H19" i="13"/>
  <c r="G32" i="13"/>
  <c r="H32" i="13"/>
  <c r="G33" i="13"/>
  <c r="H33" i="13"/>
  <c r="G34" i="13"/>
  <c r="H34" i="13"/>
  <c r="G29" i="13"/>
  <c r="H29" i="13"/>
  <c r="G25" i="13"/>
  <c r="H25" i="13"/>
  <c r="G3" i="13"/>
  <c r="H3" i="13"/>
  <c r="G4" i="13"/>
  <c r="H4" i="13"/>
  <c r="G30" i="13"/>
  <c r="H30" i="13"/>
  <c r="G18" i="13"/>
  <c r="H18" i="13"/>
  <c r="G31" i="13"/>
  <c r="H31" i="13"/>
  <c r="G8" i="13"/>
  <c r="H8" i="13"/>
  <c r="G9" i="13"/>
  <c r="H9" i="13"/>
  <c r="G10" i="13"/>
  <c r="H10" i="13"/>
  <c r="G5" i="13"/>
  <c r="H5" i="13"/>
  <c r="G6" i="13"/>
  <c r="H6" i="13"/>
  <c r="G2" i="13"/>
  <c r="H2" i="13"/>
  <c r="G14" i="13"/>
  <c r="H14" i="13"/>
  <c r="G15" i="13"/>
  <c r="H15" i="13"/>
  <c r="G16" i="13"/>
  <c r="H16" i="13"/>
  <c r="G11" i="13"/>
  <c r="H11" i="13"/>
  <c r="G7" i="13"/>
  <c r="H7" i="13"/>
  <c r="G24" i="13"/>
  <c r="H24" i="13"/>
  <c r="G20" i="13"/>
  <c r="H20" i="13"/>
  <c r="G21" i="13"/>
  <c r="H21" i="13"/>
  <c r="G22" i="13"/>
  <c r="H22" i="13"/>
  <c r="G17" i="13"/>
  <c r="H17" i="13"/>
  <c r="G13" i="13"/>
  <c r="H13" i="13"/>
  <c r="G12" i="13"/>
  <c r="H12" i="13"/>
  <c r="D26" i="13"/>
  <c r="F26" i="13"/>
  <c r="D27" i="13"/>
  <c r="F27" i="13"/>
  <c r="D28" i="13"/>
  <c r="F28" i="13"/>
  <c r="D23" i="13"/>
  <c r="F23" i="13"/>
  <c r="D19" i="13"/>
  <c r="F19" i="13"/>
  <c r="D32" i="13"/>
  <c r="F32" i="13"/>
  <c r="D33" i="13"/>
  <c r="F33" i="13"/>
  <c r="D34" i="13"/>
  <c r="F34" i="13"/>
  <c r="D29" i="13"/>
  <c r="F29" i="13"/>
  <c r="D25" i="13"/>
  <c r="F25" i="13"/>
  <c r="D3" i="13"/>
  <c r="F3" i="13"/>
  <c r="D4" i="13"/>
  <c r="F4" i="13"/>
  <c r="D30" i="13"/>
  <c r="F30" i="13"/>
  <c r="D18" i="13"/>
  <c r="F18" i="13"/>
  <c r="D31" i="13"/>
  <c r="F31" i="13"/>
  <c r="D8" i="13"/>
  <c r="F8" i="13"/>
  <c r="D9" i="13"/>
  <c r="F9" i="13"/>
  <c r="D10" i="13"/>
  <c r="F10" i="13"/>
  <c r="D5" i="13"/>
  <c r="F5" i="13"/>
  <c r="D6" i="13"/>
  <c r="F6" i="13"/>
  <c r="D2" i="13"/>
  <c r="F2" i="13"/>
  <c r="D14" i="13"/>
  <c r="F14" i="13"/>
  <c r="D15" i="13"/>
  <c r="F15" i="13"/>
  <c r="D16" i="13"/>
  <c r="F16" i="13"/>
  <c r="D11" i="13"/>
  <c r="F11" i="13"/>
  <c r="D7" i="13"/>
  <c r="F7" i="13"/>
  <c r="D24" i="13"/>
  <c r="F24" i="13"/>
  <c r="D20" i="13"/>
  <c r="F20" i="13"/>
  <c r="D21" i="13"/>
  <c r="F21" i="13"/>
  <c r="D22" i="13"/>
  <c r="F22" i="13"/>
  <c r="D17" i="13"/>
  <c r="F17" i="13"/>
  <c r="D13" i="13"/>
  <c r="F13" i="13"/>
  <c r="D12" i="13"/>
  <c r="F12" i="13"/>
  <c r="B26" i="13"/>
  <c r="C26" i="13"/>
  <c r="B27" i="13"/>
  <c r="C27" i="13"/>
  <c r="B28" i="13"/>
  <c r="C28" i="13"/>
  <c r="B23" i="13"/>
  <c r="C23" i="13"/>
  <c r="B19" i="13"/>
  <c r="C19" i="13"/>
  <c r="B32" i="13"/>
  <c r="C32" i="13"/>
  <c r="B33" i="13"/>
  <c r="C33" i="13"/>
  <c r="B34" i="13"/>
  <c r="C34" i="13"/>
  <c r="B29" i="13"/>
  <c r="C29" i="13"/>
  <c r="B25" i="13"/>
  <c r="C25" i="13"/>
  <c r="B3" i="13"/>
  <c r="C3" i="13"/>
  <c r="B4" i="13"/>
  <c r="C4" i="13"/>
  <c r="B30" i="13"/>
  <c r="C30" i="13"/>
  <c r="B18" i="13"/>
  <c r="C18" i="13"/>
  <c r="B31" i="13"/>
  <c r="C31" i="13"/>
  <c r="B8" i="13"/>
  <c r="C8" i="13"/>
  <c r="B9" i="13"/>
  <c r="C9" i="13"/>
  <c r="B10" i="13"/>
  <c r="C10" i="13"/>
  <c r="B5" i="13"/>
  <c r="C5" i="13"/>
  <c r="B6" i="13"/>
  <c r="C6" i="13"/>
  <c r="B2" i="13"/>
  <c r="C2" i="13"/>
  <c r="B14" i="13"/>
  <c r="C14" i="13"/>
  <c r="B15" i="13"/>
  <c r="C15" i="13"/>
  <c r="B16" i="13"/>
  <c r="C16" i="13"/>
  <c r="B11" i="13"/>
  <c r="C11" i="13"/>
  <c r="B7" i="13"/>
  <c r="C7" i="13"/>
  <c r="B24" i="13"/>
  <c r="C24" i="13"/>
  <c r="B20" i="13"/>
  <c r="C20" i="13"/>
  <c r="B21" i="13"/>
  <c r="C21" i="13"/>
  <c r="B22" i="13"/>
  <c r="C22" i="13"/>
  <c r="B17" i="13"/>
  <c r="C17" i="13"/>
  <c r="B13" i="13"/>
  <c r="C13" i="13"/>
  <c r="B12" i="13"/>
  <c r="C12" i="13"/>
  <c r="K26" i="13"/>
  <c r="P26" i="13" s="1"/>
  <c r="K27" i="13"/>
  <c r="M27" i="13" s="1"/>
  <c r="K28" i="13"/>
  <c r="L28" i="13" s="1"/>
  <c r="K23" i="13"/>
  <c r="P23" i="13" s="1"/>
  <c r="K19" i="13"/>
  <c r="L19" i="13" s="1"/>
  <c r="K32" i="13"/>
  <c r="L32" i="13" s="1"/>
  <c r="K33" i="13"/>
  <c r="P33" i="13" s="1"/>
  <c r="K34" i="13"/>
  <c r="L34" i="13" s="1"/>
  <c r="K29" i="13"/>
  <c r="L29" i="13" s="1"/>
  <c r="K25" i="13"/>
  <c r="P25" i="13" s="1"/>
  <c r="K3" i="13"/>
  <c r="L3" i="13" s="1"/>
  <c r="K4" i="13"/>
  <c r="L4" i="13" s="1"/>
  <c r="K30" i="13"/>
  <c r="P30" i="13" s="1"/>
  <c r="K18" i="13"/>
  <c r="L18" i="13" s="1"/>
  <c r="K31" i="13"/>
  <c r="L31" i="13" s="1"/>
  <c r="K8" i="13"/>
  <c r="P8" i="13" s="1"/>
  <c r="K9" i="13"/>
  <c r="L9" i="13" s="1"/>
  <c r="K10" i="13"/>
  <c r="L10" i="13" s="1"/>
  <c r="K5" i="13"/>
  <c r="P5" i="13" s="1"/>
  <c r="K6" i="13"/>
  <c r="L6" i="13" s="1"/>
  <c r="K14" i="13"/>
  <c r="L14" i="13" s="1"/>
  <c r="K15" i="13"/>
  <c r="M15" i="13" s="1"/>
  <c r="K16" i="13"/>
  <c r="L16" i="13" s="1"/>
  <c r="K11" i="13"/>
  <c r="L11" i="13" s="1"/>
  <c r="K7" i="13"/>
  <c r="P7" i="13" s="1"/>
  <c r="K24" i="13"/>
  <c r="L24" i="13" s="1"/>
  <c r="K20" i="13"/>
  <c r="L20" i="13" s="1"/>
  <c r="K21" i="13"/>
  <c r="P21" i="13" s="1"/>
  <c r="K22" i="13"/>
  <c r="M22" i="13" s="1"/>
  <c r="K17" i="13"/>
  <c r="L17" i="13" s="1"/>
  <c r="K13" i="13"/>
  <c r="P13" i="13" s="1"/>
  <c r="K12" i="13"/>
  <c r="P12" i="13" s="1"/>
  <c r="G26" i="10"/>
  <c r="H26" i="10"/>
  <c r="G27" i="10"/>
  <c r="H27" i="10"/>
  <c r="G16" i="10"/>
  <c r="H16" i="10"/>
  <c r="G5" i="10"/>
  <c r="H5" i="10"/>
  <c r="G7" i="10"/>
  <c r="H7" i="10"/>
  <c r="G32" i="10"/>
  <c r="H32" i="10"/>
  <c r="G33" i="10"/>
  <c r="H33" i="10"/>
  <c r="G22" i="10"/>
  <c r="H22" i="10"/>
  <c r="G11" i="10"/>
  <c r="H11" i="10"/>
  <c r="G25" i="10"/>
  <c r="H25" i="10"/>
  <c r="G3" i="10"/>
  <c r="H3" i="10"/>
  <c r="G12" i="10"/>
  <c r="H12" i="10"/>
  <c r="G28" i="10"/>
  <c r="H28" i="10"/>
  <c r="G17" i="10"/>
  <c r="H17" i="10"/>
  <c r="G31" i="10"/>
  <c r="H31" i="10"/>
  <c r="G8" i="10"/>
  <c r="H8" i="10"/>
  <c r="G9" i="10"/>
  <c r="H9" i="10"/>
  <c r="G30" i="10"/>
  <c r="H30" i="10"/>
  <c r="G34" i="10"/>
  <c r="H34" i="10"/>
  <c r="G23" i="10"/>
  <c r="H23" i="10"/>
  <c r="G2" i="10"/>
  <c r="H2" i="10"/>
  <c r="G14" i="10"/>
  <c r="H14" i="10"/>
  <c r="G15" i="10"/>
  <c r="H15" i="10"/>
  <c r="G4" i="10"/>
  <c r="H4" i="10"/>
  <c r="G24" i="10"/>
  <c r="H24" i="10"/>
  <c r="G29" i="10"/>
  <c r="H29" i="10"/>
  <c r="G13" i="10"/>
  <c r="H13" i="10"/>
  <c r="G20" i="10"/>
  <c r="H20" i="10"/>
  <c r="G21" i="10"/>
  <c r="H21" i="10"/>
  <c r="G10" i="10"/>
  <c r="H10" i="10"/>
  <c r="G19" i="10"/>
  <c r="H19" i="10"/>
  <c r="G6" i="10"/>
  <c r="H6" i="10"/>
  <c r="G18" i="10"/>
  <c r="H18" i="10"/>
  <c r="D26" i="10"/>
  <c r="F26" i="10"/>
  <c r="D27" i="10"/>
  <c r="F27" i="10"/>
  <c r="D16" i="10"/>
  <c r="F16" i="10"/>
  <c r="D5" i="10"/>
  <c r="F5" i="10"/>
  <c r="D7" i="10"/>
  <c r="F7" i="10"/>
  <c r="D32" i="10"/>
  <c r="F32" i="10"/>
  <c r="D33" i="10"/>
  <c r="F33" i="10"/>
  <c r="D22" i="10"/>
  <c r="F22" i="10"/>
  <c r="D11" i="10"/>
  <c r="F11" i="10"/>
  <c r="D25" i="10"/>
  <c r="F25" i="10"/>
  <c r="D3" i="10"/>
  <c r="F3" i="10"/>
  <c r="D12" i="10"/>
  <c r="F12" i="10"/>
  <c r="D28" i="10"/>
  <c r="F28" i="10"/>
  <c r="D17" i="10"/>
  <c r="F17" i="10"/>
  <c r="D31" i="10"/>
  <c r="F31" i="10"/>
  <c r="D8" i="10"/>
  <c r="F8" i="10"/>
  <c r="D9" i="10"/>
  <c r="F9" i="10"/>
  <c r="D30" i="10"/>
  <c r="F30" i="10"/>
  <c r="D34" i="10"/>
  <c r="F34" i="10"/>
  <c r="D23" i="10"/>
  <c r="F23" i="10"/>
  <c r="D2" i="10"/>
  <c r="F2" i="10"/>
  <c r="D14" i="10"/>
  <c r="F14" i="10"/>
  <c r="D15" i="10"/>
  <c r="F15" i="10"/>
  <c r="D4" i="10"/>
  <c r="F4" i="10"/>
  <c r="D24" i="10"/>
  <c r="F24" i="10"/>
  <c r="D29" i="10"/>
  <c r="F29" i="10"/>
  <c r="D13" i="10"/>
  <c r="F13" i="10"/>
  <c r="D20" i="10"/>
  <c r="F20" i="10"/>
  <c r="D21" i="10"/>
  <c r="F21" i="10"/>
  <c r="D10" i="10"/>
  <c r="F10" i="10"/>
  <c r="D19" i="10"/>
  <c r="F19" i="10"/>
  <c r="D6" i="10"/>
  <c r="F6" i="10"/>
  <c r="D18" i="10"/>
  <c r="F18" i="10"/>
  <c r="B16" i="10"/>
  <c r="C16" i="10"/>
  <c r="B5" i="10"/>
  <c r="C5" i="10"/>
  <c r="B7" i="10"/>
  <c r="C7" i="10"/>
  <c r="B32" i="10"/>
  <c r="C32" i="10"/>
  <c r="B33" i="10"/>
  <c r="C33" i="10"/>
  <c r="B22" i="10"/>
  <c r="C22" i="10"/>
  <c r="B11" i="10"/>
  <c r="C11" i="10"/>
  <c r="B25" i="10"/>
  <c r="C25" i="10"/>
  <c r="B3" i="10"/>
  <c r="C3" i="10"/>
  <c r="B12" i="10"/>
  <c r="C12" i="10"/>
  <c r="B28" i="10"/>
  <c r="C28" i="10"/>
  <c r="B17" i="10"/>
  <c r="C17" i="10"/>
  <c r="B31" i="10"/>
  <c r="C31" i="10"/>
  <c r="B26" i="10"/>
  <c r="C26" i="10"/>
  <c r="B8" i="10"/>
  <c r="C8" i="10"/>
  <c r="B9" i="10"/>
  <c r="C9" i="10"/>
  <c r="B30" i="10"/>
  <c r="C30" i="10"/>
  <c r="B34" i="10"/>
  <c r="C34" i="10"/>
  <c r="B23" i="10"/>
  <c r="C23" i="10"/>
  <c r="B2" i="10"/>
  <c r="C2" i="10"/>
  <c r="B27" i="10"/>
  <c r="C27" i="10"/>
  <c r="B14" i="10"/>
  <c r="C14" i="10"/>
  <c r="B15" i="10"/>
  <c r="C15" i="10"/>
  <c r="B4" i="10"/>
  <c r="C4" i="10"/>
  <c r="B24" i="10"/>
  <c r="C24" i="10"/>
  <c r="B29" i="10"/>
  <c r="C29" i="10"/>
  <c r="B13" i="10"/>
  <c r="C13" i="10"/>
  <c r="B20" i="10"/>
  <c r="C20" i="10"/>
  <c r="B21" i="10"/>
  <c r="C21" i="10"/>
  <c r="B10" i="10"/>
  <c r="C10" i="10"/>
  <c r="B19" i="10"/>
  <c r="C19" i="10"/>
  <c r="B6" i="10"/>
  <c r="C6" i="10"/>
  <c r="B18" i="10"/>
  <c r="C18" i="10"/>
  <c r="K26" i="10"/>
  <c r="P26" i="10" s="1"/>
  <c r="K32" i="10"/>
  <c r="P32" i="10" s="1"/>
  <c r="K33" i="10"/>
  <c r="P33" i="10" s="1"/>
  <c r="K22" i="10"/>
  <c r="P22" i="10" s="1"/>
  <c r="K11" i="10"/>
  <c r="P11" i="10" s="1"/>
  <c r="K25" i="10"/>
  <c r="P25" i="10" s="1"/>
  <c r="K16" i="10"/>
  <c r="P16" i="10" s="1"/>
  <c r="K3" i="10"/>
  <c r="L3" i="10" s="1"/>
  <c r="K12" i="10"/>
  <c r="L12" i="10" s="1"/>
  <c r="K28" i="10"/>
  <c r="P28" i="10" s="1"/>
  <c r="K17" i="10"/>
  <c r="L17" i="10" s="1"/>
  <c r="K31" i="10"/>
  <c r="L31" i="10" s="1"/>
  <c r="K27" i="10"/>
  <c r="L27" i="10" s="1"/>
  <c r="K8" i="10"/>
  <c r="L8" i="10" s="1"/>
  <c r="K9" i="10"/>
  <c r="L9" i="10" s="1"/>
  <c r="K30" i="10"/>
  <c r="L30" i="10" s="1"/>
  <c r="K34" i="10"/>
  <c r="L34" i="10" s="1"/>
  <c r="K23" i="10"/>
  <c r="L23" i="10" s="1"/>
  <c r="K7" i="10"/>
  <c r="L7" i="10" s="1"/>
  <c r="K14" i="10"/>
  <c r="L14" i="10" s="1"/>
  <c r="K15" i="10"/>
  <c r="L15" i="10" s="1"/>
  <c r="K4" i="10"/>
  <c r="P4" i="10" s="1"/>
  <c r="K24" i="10"/>
  <c r="L24" i="10" s="1"/>
  <c r="K29" i="10"/>
  <c r="L29" i="10" s="1"/>
  <c r="K13" i="10"/>
  <c r="L13" i="10" s="1"/>
  <c r="K5" i="10"/>
  <c r="P5" i="10" s="1"/>
  <c r="K20" i="10"/>
  <c r="L20" i="10" s="1"/>
  <c r="K21" i="10"/>
  <c r="M21" i="10" s="1"/>
  <c r="K10" i="10"/>
  <c r="L10" i="10" s="1"/>
  <c r="K19" i="10"/>
  <c r="L19" i="10" s="1"/>
  <c r="K6" i="10"/>
  <c r="P6" i="10" s="1"/>
  <c r="K18" i="10"/>
  <c r="L18" i="10" s="1"/>
  <c r="G32" i="7"/>
  <c r="H32" i="7"/>
  <c r="G12" i="7"/>
  <c r="H12" i="7"/>
  <c r="G23" i="7"/>
  <c r="H23" i="7"/>
  <c r="G22" i="7"/>
  <c r="H22" i="7"/>
  <c r="G33" i="7"/>
  <c r="H33" i="7"/>
  <c r="G11" i="7"/>
  <c r="H11" i="7"/>
  <c r="G18" i="7"/>
  <c r="H18" i="7"/>
  <c r="G7" i="7"/>
  <c r="H7" i="7"/>
  <c r="G8" i="7"/>
  <c r="H8" i="7"/>
  <c r="G3" i="7"/>
  <c r="H3" i="7"/>
  <c r="G10" i="7"/>
  <c r="H10" i="7"/>
  <c r="G17" i="7"/>
  <c r="H17" i="7"/>
  <c r="G24" i="7"/>
  <c r="H24" i="7"/>
  <c r="G19" i="7"/>
  <c r="H19" i="7"/>
  <c r="G27" i="7"/>
  <c r="H27" i="7"/>
  <c r="G14" i="7"/>
  <c r="H14" i="7"/>
  <c r="G9" i="7"/>
  <c r="H9" i="7"/>
  <c r="G16" i="7"/>
  <c r="H16" i="7"/>
  <c r="G29" i="7"/>
  <c r="H29" i="7"/>
  <c r="G30" i="7"/>
  <c r="H30" i="7"/>
  <c r="G31" i="7"/>
  <c r="H31" i="7"/>
  <c r="G28" i="7"/>
  <c r="H28" i="7"/>
  <c r="G35" i="7"/>
  <c r="H35" i="7"/>
  <c r="G25" i="7"/>
  <c r="H25" i="7"/>
  <c r="G13" i="7"/>
  <c r="H13" i="7"/>
  <c r="G5" i="7"/>
  <c r="H5" i="7"/>
  <c r="G20" i="7"/>
  <c r="H20" i="7"/>
  <c r="G15" i="7"/>
  <c r="H15" i="7"/>
  <c r="G26" i="7"/>
  <c r="H26" i="7"/>
  <c r="G21" i="7"/>
  <c r="H21" i="7"/>
  <c r="G34" i="7"/>
  <c r="H34" i="7"/>
  <c r="G6" i="7"/>
  <c r="H6" i="7"/>
  <c r="G4" i="7"/>
  <c r="H4" i="7"/>
  <c r="G2" i="7"/>
  <c r="H2" i="7"/>
  <c r="D32" i="7"/>
  <c r="F32" i="7"/>
  <c r="D23" i="7"/>
  <c r="F23" i="7"/>
  <c r="D22" i="7"/>
  <c r="F22" i="7"/>
  <c r="D33" i="7"/>
  <c r="F33" i="7"/>
  <c r="D11" i="7"/>
  <c r="F11" i="7"/>
  <c r="D18" i="7"/>
  <c r="F18" i="7"/>
  <c r="D7" i="7"/>
  <c r="F7" i="7"/>
  <c r="D8" i="7"/>
  <c r="F8" i="7"/>
  <c r="D3" i="7"/>
  <c r="F3" i="7"/>
  <c r="D10" i="7"/>
  <c r="F10" i="7"/>
  <c r="D17" i="7"/>
  <c r="F17" i="7"/>
  <c r="D24" i="7"/>
  <c r="F24" i="7"/>
  <c r="D19" i="7"/>
  <c r="F19" i="7"/>
  <c r="D27" i="7"/>
  <c r="F27" i="7"/>
  <c r="D14" i="7"/>
  <c r="F14" i="7"/>
  <c r="D9" i="7"/>
  <c r="F9" i="7"/>
  <c r="D16" i="7"/>
  <c r="F16" i="7"/>
  <c r="D29" i="7"/>
  <c r="F29" i="7"/>
  <c r="D30" i="7"/>
  <c r="F30" i="7"/>
  <c r="D31" i="7"/>
  <c r="F31" i="7"/>
  <c r="D5" i="7"/>
  <c r="F5" i="7"/>
  <c r="D15" i="7"/>
  <c r="F15" i="7"/>
  <c r="D28" i="7"/>
  <c r="F28" i="7"/>
  <c r="D25" i="7"/>
  <c r="F25" i="7"/>
  <c r="D13" i="7"/>
  <c r="F13" i="7"/>
  <c r="D12" i="7"/>
  <c r="F12" i="7"/>
  <c r="D20" i="7"/>
  <c r="F20" i="7"/>
  <c r="D35" i="7"/>
  <c r="F35" i="7"/>
  <c r="D26" i="7"/>
  <c r="F26" i="7"/>
  <c r="D21" i="7"/>
  <c r="F21" i="7"/>
  <c r="D34" i="7"/>
  <c r="F34" i="7"/>
  <c r="D6" i="7"/>
  <c r="F6" i="7"/>
  <c r="D4" i="7"/>
  <c r="F4" i="7"/>
  <c r="D2" i="7"/>
  <c r="F2" i="7"/>
  <c r="B12" i="7"/>
  <c r="C12" i="7"/>
  <c r="B23" i="7"/>
  <c r="C23" i="7"/>
  <c r="B22" i="7"/>
  <c r="C22" i="7"/>
  <c r="B33" i="7"/>
  <c r="C33" i="7"/>
  <c r="B11" i="7"/>
  <c r="C11" i="7"/>
  <c r="B18" i="7"/>
  <c r="C18" i="7"/>
  <c r="B7" i="7"/>
  <c r="C7" i="7"/>
  <c r="B32" i="7"/>
  <c r="C32" i="7"/>
  <c r="B8" i="7"/>
  <c r="C8" i="7"/>
  <c r="B3" i="7"/>
  <c r="C3" i="7"/>
  <c r="B10" i="7"/>
  <c r="C10" i="7"/>
  <c r="B17" i="7"/>
  <c r="C17" i="7"/>
  <c r="B24" i="7"/>
  <c r="C24" i="7"/>
  <c r="B19" i="7"/>
  <c r="C19" i="7"/>
  <c r="B14" i="7"/>
  <c r="C14" i="7"/>
  <c r="B9" i="7"/>
  <c r="C9" i="7"/>
  <c r="B16" i="7"/>
  <c r="C16" i="7"/>
  <c r="B29" i="7"/>
  <c r="C29" i="7"/>
  <c r="B30" i="7"/>
  <c r="C30" i="7"/>
  <c r="B31" i="7"/>
  <c r="C31" i="7"/>
  <c r="B5" i="7"/>
  <c r="C5" i="7"/>
  <c r="B15" i="7"/>
  <c r="C15" i="7"/>
  <c r="B28" i="7"/>
  <c r="C28" i="7"/>
  <c r="B35" i="7"/>
  <c r="C35" i="7"/>
  <c r="B25" i="7"/>
  <c r="C25" i="7"/>
  <c r="B13" i="7"/>
  <c r="C13" i="7"/>
  <c r="B27" i="7"/>
  <c r="C27" i="7"/>
  <c r="B20" i="7"/>
  <c r="C20" i="7"/>
  <c r="B26" i="7"/>
  <c r="C26" i="7"/>
  <c r="B21" i="7"/>
  <c r="C21" i="7"/>
  <c r="B34" i="7"/>
  <c r="C34" i="7"/>
  <c r="B6" i="7"/>
  <c r="C6" i="7"/>
  <c r="B4" i="7"/>
  <c r="C4" i="7"/>
  <c r="B2" i="7"/>
  <c r="C2" i="7"/>
  <c r="K27" i="7"/>
  <c r="P27" i="7" s="1"/>
  <c r="K5" i="7"/>
  <c r="P5" i="7" s="1"/>
  <c r="K12" i="7"/>
  <c r="L12" i="7" s="1"/>
  <c r="K23" i="7"/>
  <c r="L23" i="7" s="1"/>
  <c r="K22" i="7"/>
  <c r="O22" i="7" s="1"/>
  <c r="K33" i="7"/>
  <c r="L33" i="7" s="1"/>
  <c r="K11" i="7"/>
  <c r="M11" i="7" s="1"/>
  <c r="K18" i="7"/>
  <c r="L18" i="7" s="1"/>
  <c r="K7" i="7"/>
  <c r="P7" i="7" s="1"/>
  <c r="K8" i="7"/>
  <c r="L8" i="7" s="1"/>
  <c r="K3" i="7"/>
  <c r="O3" i="7" s="1"/>
  <c r="K17" i="7"/>
  <c r="L17" i="7" s="1"/>
  <c r="K24" i="7"/>
  <c r="M24" i="7" s="1"/>
  <c r="K19" i="7"/>
  <c r="O19" i="7" s="1"/>
  <c r="K10" i="7"/>
  <c r="L10" i="7" s="1"/>
  <c r="K14" i="7"/>
  <c r="M14" i="7" s="1"/>
  <c r="K9" i="7"/>
  <c r="L9" i="7" s="1"/>
  <c r="K16" i="7"/>
  <c r="P16" i="7" s="1"/>
  <c r="K29" i="7"/>
  <c r="M29" i="7" s="1"/>
  <c r="K30" i="7"/>
  <c r="O30" i="7" s="1"/>
  <c r="K31" i="7"/>
  <c r="L31" i="7" s="1"/>
  <c r="K20" i="7"/>
  <c r="P20" i="7" s="1"/>
  <c r="K15" i="7"/>
  <c r="P15" i="7" s="1"/>
  <c r="K28" i="7"/>
  <c r="P28" i="7" s="1"/>
  <c r="K35" i="7"/>
  <c r="P35" i="7" s="1"/>
  <c r="K25" i="7"/>
  <c r="O25" i="7" s="1"/>
  <c r="K13" i="7"/>
  <c r="O13" i="7" s="1"/>
  <c r="K32" i="7"/>
  <c r="M32" i="7" s="1"/>
  <c r="K26" i="7"/>
  <c r="O26" i="7" s="1"/>
  <c r="K21" i="7"/>
  <c r="M21" i="7" s="1"/>
  <c r="K34" i="7"/>
  <c r="P34" i="7" s="1"/>
  <c r="K6" i="7"/>
  <c r="O6" i="7" s="1"/>
  <c r="K4" i="7"/>
  <c r="P4" i="7" s="1"/>
  <c r="O12" i="13" l="1"/>
  <c r="M26" i="13"/>
  <c r="M25" i="13"/>
  <c r="O25" i="13"/>
  <c r="O18" i="13"/>
  <c r="L7" i="13"/>
  <c r="M14" i="13"/>
  <c r="O21" i="13"/>
  <c r="O16" i="13"/>
  <c r="O8" i="13"/>
  <c r="M6" i="13"/>
  <c r="M3" i="13"/>
  <c r="M13" i="13"/>
  <c r="L23" i="13"/>
  <c r="L13" i="13"/>
  <c r="O22" i="13"/>
  <c r="O7" i="13"/>
  <c r="O3" i="13"/>
  <c r="L25" i="13"/>
  <c r="L12" i="13"/>
  <c r="L8" i="13"/>
  <c r="M32" i="13"/>
  <c r="O32" i="13"/>
  <c r="L15" i="13"/>
  <c r="L30" i="13"/>
  <c r="O28" i="13"/>
  <c r="M21" i="13"/>
  <c r="M9" i="13"/>
  <c r="L21" i="13"/>
  <c r="M8" i="13"/>
  <c r="O15" i="13"/>
  <c r="O9" i="13"/>
  <c r="O19" i="13"/>
  <c r="O13" i="13"/>
  <c r="O6" i="13"/>
  <c r="O30" i="13"/>
  <c r="M5" i="13"/>
  <c r="M34" i="13"/>
  <c r="M12" i="13"/>
  <c r="M7" i="13"/>
  <c r="L5" i="13"/>
  <c r="M23" i="13"/>
  <c r="M33" i="13"/>
  <c r="O24" i="13"/>
  <c r="O5" i="13"/>
  <c r="O34" i="13"/>
  <c r="P32" i="13"/>
  <c r="P10" i="13"/>
  <c r="P31" i="13"/>
  <c r="M20" i="13"/>
  <c r="M29" i="13"/>
  <c r="P17" i="13"/>
  <c r="P4" i="13"/>
  <c r="M31" i="13"/>
  <c r="L27" i="13"/>
  <c r="P20" i="13"/>
  <c r="P29" i="13"/>
  <c r="M17" i="13"/>
  <c r="P11" i="13"/>
  <c r="L22" i="13"/>
  <c r="M11" i="13"/>
  <c r="M10" i="13"/>
  <c r="M4" i="13"/>
  <c r="L26" i="13"/>
  <c r="L33" i="13"/>
  <c r="O17" i="13"/>
  <c r="O20" i="13"/>
  <c r="O11" i="13"/>
  <c r="O14" i="13"/>
  <c r="O10" i="13"/>
  <c r="O31" i="13"/>
  <c r="O4" i="13"/>
  <c r="O29" i="13"/>
  <c r="O27" i="13"/>
  <c r="P14" i="13"/>
  <c r="P28" i="13"/>
  <c r="P22" i="13"/>
  <c r="P16" i="13"/>
  <c r="P9" i="13"/>
  <c r="P3" i="13"/>
  <c r="P19" i="13"/>
  <c r="O33" i="13"/>
  <c r="O23" i="13"/>
  <c r="O26" i="13"/>
  <c r="P15" i="13"/>
  <c r="M16" i="13"/>
  <c r="M24" i="13"/>
  <c r="M18" i="13"/>
  <c r="M19" i="13"/>
  <c r="P24" i="13"/>
  <c r="P6" i="13"/>
  <c r="P18" i="13"/>
  <c r="P34" i="13"/>
  <c r="P27" i="13"/>
  <c r="M30" i="13"/>
  <c r="M28" i="13"/>
  <c r="M32" i="10"/>
  <c r="L32" i="10"/>
  <c r="L25" i="10"/>
  <c r="M25" i="10"/>
  <c r="O25" i="10"/>
  <c r="O32" i="10"/>
  <c r="M11" i="10"/>
  <c r="M30" i="10"/>
  <c r="L11" i="10"/>
  <c r="O34" i="10"/>
  <c r="O19" i="10"/>
  <c r="M12" i="10"/>
  <c r="O29" i="10"/>
  <c r="O8" i="10"/>
  <c r="O12" i="10"/>
  <c r="O11" i="10"/>
  <c r="M33" i="10"/>
  <c r="O5" i="10"/>
  <c r="O33" i="10"/>
  <c r="M5" i="10"/>
  <c r="M18" i="10"/>
  <c r="M31" i="10"/>
  <c r="O18" i="10"/>
  <c r="O15" i="10"/>
  <c r="M28" i="10"/>
  <c r="O24" i="10"/>
  <c r="O9" i="10"/>
  <c r="M20" i="10"/>
  <c r="M9" i="10"/>
  <c r="M3" i="10"/>
  <c r="L5" i="10"/>
  <c r="M24" i="10"/>
  <c r="M4" i="10"/>
  <c r="L33" i="10"/>
  <c r="O20" i="10"/>
  <c r="O14" i="10"/>
  <c r="O31" i="10"/>
  <c r="O3" i="10"/>
  <c r="M23" i="10"/>
  <c r="M15" i="10"/>
  <c r="M8" i="10"/>
  <c r="O10" i="10"/>
  <c r="O23" i="10"/>
  <c r="O17" i="10"/>
  <c r="P9" i="10"/>
  <c r="O27" i="7"/>
  <c r="L21" i="10"/>
  <c r="O6" i="10"/>
  <c r="O21" i="10"/>
  <c r="O13" i="10"/>
  <c r="O4" i="10"/>
  <c r="O7" i="10"/>
  <c r="O30" i="10"/>
  <c r="O27" i="10"/>
  <c r="O28" i="10"/>
  <c r="O16" i="10"/>
  <c r="O22" i="10"/>
  <c r="O26" i="10"/>
  <c r="P30" i="10"/>
  <c r="O20" i="7"/>
  <c r="M22" i="10"/>
  <c r="L4" i="10"/>
  <c r="L28" i="10"/>
  <c r="M16" i="10"/>
  <c r="P19" i="10"/>
  <c r="P31" i="10"/>
  <c r="M6" i="10"/>
  <c r="L22" i="10"/>
  <c r="M26" i="10"/>
  <c r="L16" i="10"/>
  <c r="P20" i="10"/>
  <c r="P12" i="10"/>
  <c r="L6" i="10"/>
  <c r="M13" i="10"/>
  <c r="L26" i="10"/>
  <c r="P24" i="10"/>
  <c r="M19" i="10"/>
  <c r="M29" i="10"/>
  <c r="M7" i="10"/>
  <c r="P15" i="10"/>
  <c r="P10" i="10"/>
  <c r="P3" i="10"/>
  <c r="P7" i="10"/>
  <c r="P21" i="10"/>
  <c r="P8" i="10"/>
  <c r="M34" i="10"/>
  <c r="P14" i="10"/>
  <c r="M10" i="10"/>
  <c r="M27" i="10"/>
  <c r="P18" i="10"/>
  <c r="P13" i="10"/>
  <c r="P23" i="10"/>
  <c r="P17" i="10"/>
  <c r="P27" i="10"/>
  <c r="M14" i="10"/>
  <c r="M17" i="10"/>
  <c r="P29" i="10"/>
  <c r="P34" i="10"/>
  <c r="O32" i="7"/>
  <c r="L11" i="7"/>
  <c r="O10" i="7"/>
  <c r="L27" i="7"/>
  <c r="O28" i="7"/>
  <c r="O12" i="7"/>
  <c r="O34" i="7"/>
  <c r="L34" i="7"/>
  <c r="O31" i="7"/>
  <c r="M7" i="7"/>
  <c r="O17" i="7"/>
  <c r="O11" i="7"/>
  <c r="M34" i="7"/>
  <c r="O29" i="7"/>
  <c r="L28" i="7"/>
  <c r="M23" i="7"/>
  <c r="O21" i="7"/>
  <c r="O24" i="7"/>
  <c r="O23" i="7"/>
  <c r="L16" i="7"/>
  <c r="P10" i="7"/>
  <c r="L32" i="7"/>
  <c r="P32" i="7"/>
  <c r="L24" i="7"/>
  <c r="M28" i="7"/>
  <c r="O4" i="7"/>
  <c r="O35" i="7"/>
  <c r="O16" i="7"/>
  <c r="O8" i="7"/>
  <c r="O33" i="7"/>
  <c r="P31" i="7"/>
  <c r="M17" i="7"/>
  <c r="L21" i="7"/>
  <c r="M20" i="7"/>
  <c r="P23" i="7"/>
  <c r="P17" i="7"/>
  <c r="L7" i="7"/>
  <c r="L13" i="7"/>
  <c r="P21" i="7"/>
  <c r="L4" i="7"/>
  <c r="M35" i="7"/>
  <c r="P13" i="7"/>
  <c r="P11" i="7"/>
  <c r="M13" i="7"/>
  <c r="L15" i="7"/>
  <c r="M4" i="7"/>
  <c r="L25" i="7"/>
  <c r="L26" i="7"/>
  <c r="L22" i="7"/>
  <c r="L20" i="7"/>
  <c r="L6" i="7"/>
  <c r="M16" i="7"/>
  <c r="M27" i="7"/>
  <c r="L35" i="7"/>
  <c r="L29" i="7"/>
  <c r="O14" i="7"/>
  <c r="O7" i="7"/>
  <c r="P12" i="7"/>
  <c r="M19" i="7"/>
  <c r="P26" i="7"/>
  <c r="P14" i="7"/>
  <c r="P25" i="7"/>
  <c r="P8" i="7"/>
  <c r="M3" i="7"/>
  <c r="M30" i="7"/>
  <c r="M8" i="7"/>
  <c r="M5" i="7"/>
  <c r="P24" i="7"/>
  <c r="P18" i="7"/>
  <c r="P29" i="7"/>
  <c r="P19" i="7"/>
  <c r="L19" i="7"/>
  <c r="L14" i="7"/>
  <c r="L3" i="7"/>
  <c r="L30" i="7"/>
  <c r="L5" i="7"/>
  <c r="P6" i="7"/>
  <c r="P3" i="7"/>
  <c r="P22" i="7"/>
  <c r="P33" i="7"/>
  <c r="P30" i="7"/>
  <c r="M6" i="7"/>
  <c r="M26" i="7"/>
  <c r="M22" i="7"/>
  <c r="M25" i="7"/>
  <c r="M15" i="7"/>
  <c r="O15" i="7"/>
  <c r="O9" i="7"/>
  <c r="O18" i="7"/>
  <c r="O5" i="7"/>
  <c r="P9" i="7"/>
  <c r="M33" i="7"/>
  <c r="M18" i="7"/>
  <c r="M12" i="7"/>
  <c r="M10" i="7"/>
  <c r="M31" i="7"/>
  <c r="M9" i="7"/>
</calcChain>
</file>

<file path=xl/sharedStrings.xml><?xml version="1.0" encoding="utf-8"?>
<sst xmlns="http://schemas.openxmlformats.org/spreadsheetml/2006/main" count="105" uniqueCount="25">
  <si>
    <t>GEOID</t>
  </si>
  <si>
    <t>NAME</t>
  </si>
  <si>
    <t>variable</t>
  </si>
  <si>
    <t>estimate</t>
  </si>
  <si>
    <t>moe</t>
  </si>
  <si>
    <t>year</t>
  </si>
  <si>
    <t>change</t>
  </si>
  <si>
    <t>pct_change</t>
  </si>
  <si>
    <t>4866128</t>
  </si>
  <si>
    <t>Schertz city, Texas</t>
  </si>
  <si>
    <t>B25001_001</t>
  </si>
  <si>
    <t>Average</t>
  </si>
  <si>
    <t>Range</t>
  </si>
  <si>
    <t>LCL</t>
  </si>
  <si>
    <t>UCL</t>
  </si>
  <si>
    <t>LastCell</t>
  </si>
  <si>
    <t xml:space="preserve"> +2 Sigma</t>
  </si>
  <si>
    <t xml:space="preserve"> +1 Sigma</t>
  </si>
  <si>
    <t xml:space="preserve"> -1 Sigma</t>
  </si>
  <si>
    <t xml:space="preserve"> -2 Sigma</t>
  </si>
  <si>
    <t>Data1</t>
  </si>
  <si>
    <t>t^2</t>
  </si>
  <si>
    <t>Slope</t>
  </si>
  <si>
    <t>bValue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</si>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</sst>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166" fontId="2" fillId="0" borderId="0" xfId="0" applyNumberFormat="1" applyFont="1" applyFill="1" applyAlignment="1"/>
    <xf numFmtId="166" fontId="0" fillId="0" borderId="0" xfId="0" applyNumberFormat="1" applyFill="1"/>
    <xf numFmtId="0" fontId="0" fillId="0" borderId="0" xfId="0" applyFill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 applyFill="1" applyAlignment="1"/>
    <xf numFmtId="164" fontId="0" fillId="0" borderId="0" xfId="0" applyNumberFormat="1" applyFill="1"/>
  </cellXfs>
  <cellStyles count="2">
    <cellStyle name="Normal" xfId="0" builtinId="0"/>
    <cellStyle name="Normal 2" xfId="1" xr:uid="{2A439D3E-0E0D-3341-8287-649CC45A92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 Housing 2009-2022 -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'Schertz Housing 2009-20 XmR '!$J$1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val>
            <c:numRef>
              <c:f>'Schertz Housing 2009-20 XmR '!$J$2:$J$15</c:f>
              <c:numCache>
                <c:formatCode>0.0</c:formatCode>
                <c:ptCount val="14"/>
                <c:pt idx="1">
                  <c:v>234</c:v>
                </c:pt>
                <c:pt idx="2">
                  <c:v>875</c:v>
                </c:pt>
                <c:pt idx="3">
                  <c:v>399</c:v>
                </c:pt>
                <c:pt idx="4">
                  <c:v>423</c:v>
                </c:pt>
                <c:pt idx="5">
                  <c:v>484</c:v>
                </c:pt>
                <c:pt idx="6">
                  <c:v>160</c:v>
                </c:pt>
                <c:pt idx="7">
                  <c:v>366</c:v>
                </c:pt>
                <c:pt idx="8">
                  <c:v>326</c:v>
                </c:pt>
                <c:pt idx="9">
                  <c:v>363</c:v>
                </c:pt>
                <c:pt idx="10">
                  <c:v>572</c:v>
                </c:pt>
                <c:pt idx="11">
                  <c:v>709</c:v>
                </c:pt>
                <c:pt idx="12">
                  <c:v>51</c:v>
                </c:pt>
                <c:pt idx="13">
                  <c:v>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7-224D-A5BF-2A9660AD7855}"/>
            </c:ext>
          </c:extLst>
        </c:ser>
        <c:ser>
          <c:idx val="1"/>
          <c:order val="1"/>
          <c:tx>
            <c:strRef>
              <c:f>'Schertz Housing 2009-20 XmR '!$K$1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A27-224D-A5BF-2A9660AD7855}"/>
                </c:ext>
              </c:extLst>
            </c:dLbl>
            <c:dLbl>
              <c:idx val="12"/>
              <c:layout>
                <c:manualLayout>
                  <c:x val="-1.4638026388327476E-2"/>
                  <c:y val="-2.017543734231986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27-224D-A5BF-2A9660AD78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'Schertz Housing 2009-20 XmR '!$K$2:$K$15</c:f>
              <c:numCache>
                <c:formatCode>0.0</c:formatCode>
                <c:ptCount val="14"/>
                <c:pt idx="1">
                  <c:v>1335.7003846153846</c:v>
                </c:pt>
                <c:pt idx="2">
                  <c:v>1335.7003846153846</c:v>
                </c:pt>
                <c:pt idx="3">
                  <c:v>1335.7003846153846</c:v>
                </c:pt>
                <c:pt idx="4">
                  <c:v>1335.7003846153846</c:v>
                </c:pt>
                <c:pt idx="5">
                  <c:v>1335.7003846153846</c:v>
                </c:pt>
                <c:pt idx="6">
                  <c:v>1335.7003846153846</c:v>
                </c:pt>
                <c:pt idx="7">
                  <c:v>1335.7003846153846</c:v>
                </c:pt>
                <c:pt idx="8">
                  <c:v>1335.7003846153846</c:v>
                </c:pt>
                <c:pt idx="9">
                  <c:v>1335.7003846153846</c:v>
                </c:pt>
                <c:pt idx="10">
                  <c:v>1335.7003846153846</c:v>
                </c:pt>
                <c:pt idx="11">
                  <c:v>1335.7003846153846</c:v>
                </c:pt>
                <c:pt idx="12">
                  <c:v>1335.7003846153846</c:v>
                </c:pt>
                <c:pt idx="13">
                  <c:v>1335.7003846153846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27-224D-A5BF-2A9660AD7855}"/>
            </c:ext>
          </c:extLst>
        </c:ser>
        <c:ser>
          <c:idx val="2"/>
          <c:order val="2"/>
          <c:tx>
            <c:strRef>
              <c:f>'Schertz Housing 2009-20 XmR '!$L$1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'Schertz Housing 2009-20 XmR '!$L$2:$L$15</c:f>
              <c:numCache>
                <c:formatCode>0.0</c:formatCode>
                <c:ptCount val="14"/>
                <c:pt idx="1">
                  <c:v>1026.7489743589742</c:v>
                </c:pt>
                <c:pt idx="2">
                  <c:v>1026.7489743589742</c:v>
                </c:pt>
                <c:pt idx="3">
                  <c:v>1026.7489743589742</c:v>
                </c:pt>
                <c:pt idx="4">
                  <c:v>1026.7489743589742</c:v>
                </c:pt>
                <c:pt idx="5">
                  <c:v>1026.7489743589742</c:v>
                </c:pt>
                <c:pt idx="6">
                  <c:v>1026.7489743589742</c:v>
                </c:pt>
                <c:pt idx="7">
                  <c:v>1026.7489743589742</c:v>
                </c:pt>
                <c:pt idx="8">
                  <c:v>1026.7489743589742</c:v>
                </c:pt>
                <c:pt idx="9">
                  <c:v>1026.7489743589742</c:v>
                </c:pt>
                <c:pt idx="10">
                  <c:v>1026.7489743589742</c:v>
                </c:pt>
                <c:pt idx="11">
                  <c:v>1026.7489743589742</c:v>
                </c:pt>
                <c:pt idx="12">
                  <c:v>1026.7489743589742</c:v>
                </c:pt>
                <c:pt idx="13">
                  <c:v>1026.7489743589742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27-224D-A5BF-2A9660AD7855}"/>
            </c:ext>
          </c:extLst>
        </c:ser>
        <c:ser>
          <c:idx val="3"/>
          <c:order val="3"/>
          <c:tx>
            <c:strRef>
              <c:f>'Schertz Housing 2009-20 XmR '!$M$1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'Schertz Housing 2009-20 XmR '!$M$2:$M$15</c:f>
              <c:numCache>
                <c:formatCode>0.0</c:formatCode>
                <c:ptCount val="14"/>
                <c:pt idx="1">
                  <c:v>717.79756410256414</c:v>
                </c:pt>
                <c:pt idx="2">
                  <c:v>717.79756410256414</c:v>
                </c:pt>
                <c:pt idx="3">
                  <c:v>717.79756410256414</c:v>
                </c:pt>
                <c:pt idx="4">
                  <c:v>717.79756410256414</c:v>
                </c:pt>
                <c:pt idx="5">
                  <c:v>717.79756410256414</c:v>
                </c:pt>
                <c:pt idx="6">
                  <c:v>717.79756410256414</c:v>
                </c:pt>
                <c:pt idx="7">
                  <c:v>717.79756410256414</c:v>
                </c:pt>
                <c:pt idx="8">
                  <c:v>717.79756410256414</c:v>
                </c:pt>
                <c:pt idx="9">
                  <c:v>717.79756410256414</c:v>
                </c:pt>
                <c:pt idx="10">
                  <c:v>717.79756410256414</c:v>
                </c:pt>
                <c:pt idx="11">
                  <c:v>717.79756410256414</c:v>
                </c:pt>
                <c:pt idx="12">
                  <c:v>717.79756410256414</c:v>
                </c:pt>
                <c:pt idx="13">
                  <c:v>717.79756410256414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27-224D-A5BF-2A9660AD7855}"/>
            </c:ext>
          </c:extLst>
        </c:ser>
        <c:ser>
          <c:idx val="4"/>
          <c:order val="4"/>
          <c:tx>
            <c:strRef>
              <c:f>'Schertz Housing 2009-20 XmR '!$N$1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A27-224D-A5BF-2A9660AD7855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A27-224D-A5BF-2A9660AD7855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A27-224D-A5BF-2A9660AD7855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A27-224D-A5BF-2A9660AD7855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A27-224D-A5BF-2A9660AD7855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A27-224D-A5BF-2A9660AD7855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A27-224D-A5BF-2A9660AD7855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A27-224D-A5BF-2A9660AD7855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A27-224D-A5BF-2A9660AD7855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A27-224D-A5BF-2A9660AD7855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BA27-224D-A5BF-2A9660AD7855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BA27-224D-A5BF-2A9660AD7855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BA27-224D-A5BF-2A9660AD7855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BA27-224D-A5BF-2A9660AD7855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A27-224D-A5BF-2A9660AD7855}"/>
                </c:ext>
              </c:extLst>
            </c:dLbl>
            <c:dLbl>
              <c:idx val="12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A27-224D-A5BF-2A9660AD78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'Schertz Housing 2009-20 XmR '!$N$2:$N$15</c:f>
              <c:numCache>
                <c:formatCode>0.0</c:formatCode>
                <c:ptCount val="14"/>
                <c:pt idx="0">
                  <c:v>408.84615384615387</c:v>
                </c:pt>
                <c:pt idx="1">
                  <c:v>408.84615384615387</c:v>
                </c:pt>
                <c:pt idx="2">
                  <c:v>408.84615384615387</c:v>
                </c:pt>
                <c:pt idx="3">
                  <c:v>408.84615384615387</c:v>
                </c:pt>
                <c:pt idx="4">
                  <c:v>408.84615384615387</c:v>
                </c:pt>
                <c:pt idx="5">
                  <c:v>408.84615384615387</c:v>
                </c:pt>
                <c:pt idx="6">
                  <c:v>408.84615384615387</c:v>
                </c:pt>
                <c:pt idx="7">
                  <c:v>408.84615384615387</c:v>
                </c:pt>
                <c:pt idx="8">
                  <c:v>408.84615384615387</c:v>
                </c:pt>
                <c:pt idx="9">
                  <c:v>408.84615384615387</c:v>
                </c:pt>
                <c:pt idx="10">
                  <c:v>408.84615384615387</c:v>
                </c:pt>
                <c:pt idx="11">
                  <c:v>408.84615384615387</c:v>
                </c:pt>
                <c:pt idx="12">
                  <c:v>408.84615384615387</c:v>
                </c:pt>
                <c:pt idx="13">
                  <c:v>408.84615384615387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A27-224D-A5BF-2A9660AD7855}"/>
            </c:ext>
          </c:extLst>
        </c:ser>
        <c:ser>
          <c:idx val="5"/>
          <c:order val="5"/>
          <c:tx>
            <c:strRef>
              <c:f>'Schertz Housing 2009-20 XmR '!$O$1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'Schertz Housing 2009-20 XmR '!$O$2:$O$15</c:f>
              <c:numCache>
                <c:formatCode>0.0</c:formatCode>
                <c:ptCount val="14"/>
                <c:pt idx="1">
                  <c:v>99.894743589743655</c:v>
                </c:pt>
                <c:pt idx="2">
                  <c:v>99.894743589743655</c:v>
                </c:pt>
                <c:pt idx="3">
                  <c:v>99.894743589743655</c:v>
                </c:pt>
                <c:pt idx="4">
                  <c:v>99.894743589743655</c:v>
                </c:pt>
                <c:pt idx="5">
                  <c:v>99.894743589743655</c:v>
                </c:pt>
                <c:pt idx="6">
                  <c:v>99.894743589743655</c:v>
                </c:pt>
                <c:pt idx="7">
                  <c:v>99.894743589743655</c:v>
                </c:pt>
                <c:pt idx="8">
                  <c:v>99.894743589743655</c:v>
                </c:pt>
                <c:pt idx="9">
                  <c:v>99.894743589743655</c:v>
                </c:pt>
                <c:pt idx="10">
                  <c:v>99.894743589743655</c:v>
                </c:pt>
                <c:pt idx="11">
                  <c:v>99.894743589743655</c:v>
                </c:pt>
                <c:pt idx="12">
                  <c:v>99.894743589743655</c:v>
                </c:pt>
                <c:pt idx="13">
                  <c:v>99.894743589743655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A27-224D-A5BF-2A9660AD7855}"/>
            </c:ext>
          </c:extLst>
        </c:ser>
        <c:ser>
          <c:idx val="6"/>
          <c:order val="6"/>
          <c:tx>
            <c:strRef>
              <c:f>'Schertz Housing 2009-20 XmR '!$P$1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'Schertz Housing 2009-20 XmR '!$P$2:$P$15</c:f>
              <c:numCache>
                <c:formatCode>0.0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A27-224D-A5BF-2A9660AD7855}"/>
            </c:ext>
          </c:extLst>
        </c:ser>
        <c:ser>
          <c:idx val="7"/>
          <c:order val="7"/>
          <c:tx>
            <c:strRef>
              <c:f>'Schertz Housing 2009-20 XmR '!$Q$1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val>
            <c:numRef>
              <c:f>'Schertz Housing 2009-20 XmR '!$Q$2:$Q$15</c:f>
              <c:numCache>
                <c:formatCode>0.0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A27-224D-A5BF-2A9660AD7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402752"/>
        <c:axId val="1044714208"/>
      </c:lineChart>
      <c:catAx>
        <c:axId val="104440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majorTickMark val="out"/>
        <c:minorTickMark val="none"/>
        <c:tickLblPos val="nextTo"/>
        <c:crossAx val="1044714208"/>
        <c:crosses val="autoZero"/>
        <c:auto val="0"/>
        <c:lblAlgn val="ctr"/>
        <c:lblOffset val="100"/>
        <c:noMultiLvlLbl val="0"/>
      </c:catAx>
      <c:valAx>
        <c:axId val="1044714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4440275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 Housing 2009-2022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'Schertz Housing 2009-20 XmR '!$A$1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val>
            <c:numRef>
              <c:f>'Schertz Housing 2009-20 XmR '!$A$2:$A$15</c:f>
              <c:numCache>
                <c:formatCode>0.0</c:formatCode>
                <c:ptCount val="14"/>
                <c:pt idx="0">
                  <c:v>10524</c:v>
                </c:pt>
                <c:pt idx="1">
                  <c:v>10758</c:v>
                </c:pt>
                <c:pt idx="2">
                  <c:v>11633</c:v>
                </c:pt>
                <c:pt idx="3">
                  <c:v>12032</c:v>
                </c:pt>
                <c:pt idx="4">
                  <c:v>12455</c:v>
                </c:pt>
                <c:pt idx="5">
                  <c:v>12939</c:v>
                </c:pt>
                <c:pt idx="6">
                  <c:v>13099</c:v>
                </c:pt>
                <c:pt idx="7">
                  <c:v>13465</c:v>
                </c:pt>
                <c:pt idx="8">
                  <c:v>13791</c:v>
                </c:pt>
                <c:pt idx="9">
                  <c:v>14154</c:v>
                </c:pt>
                <c:pt idx="10">
                  <c:v>14726</c:v>
                </c:pt>
                <c:pt idx="11">
                  <c:v>15435</c:v>
                </c:pt>
                <c:pt idx="12">
                  <c:v>15486</c:v>
                </c:pt>
                <c:pt idx="13">
                  <c:v>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25-124B-B5C4-00BFED2E8F6B}"/>
            </c:ext>
          </c:extLst>
        </c:ser>
        <c:ser>
          <c:idx val="1"/>
          <c:order val="1"/>
          <c:tx>
            <c:strRef>
              <c:f>'Schertz Housing 2009-20 XmR '!$B$1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025-124B-B5C4-00BFED2E8F6B}"/>
                </c:ext>
              </c:extLst>
            </c:dLbl>
            <c:dLbl>
              <c:idx val="12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25-124B-B5C4-00BFED2E8F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'Schertz Housing 2009-20 XmR '!$B$2:$B$15</c:f>
              <c:numCache>
                <c:formatCode>0.0</c:formatCode>
                <c:ptCount val="14"/>
                <c:pt idx="0">
                  <c:v>11745.873626373626</c:v>
                </c:pt>
                <c:pt idx="1">
                  <c:v>12153.776923076925</c:v>
                </c:pt>
                <c:pt idx="2">
                  <c:v>12561.680219780221</c:v>
                </c:pt>
                <c:pt idx="3">
                  <c:v>12969.583516483517</c:v>
                </c:pt>
                <c:pt idx="4">
                  <c:v>13377.486813186813</c:v>
                </c:pt>
                <c:pt idx="5">
                  <c:v>13785.390109890111</c:v>
                </c:pt>
                <c:pt idx="6">
                  <c:v>14193.293406593408</c:v>
                </c:pt>
                <c:pt idx="7">
                  <c:v>14601.196703296704</c:v>
                </c:pt>
                <c:pt idx="8">
                  <c:v>15009.100000000002</c:v>
                </c:pt>
                <c:pt idx="9">
                  <c:v>15417.003296703298</c:v>
                </c:pt>
                <c:pt idx="10">
                  <c:v>15824.906593406595</c:v>
                </c:pt>
                <c:pt idx="11">
                  <c:v>16232.809890109893</c:v>
                </c:pt>
                <c:pt idx="12">
                  <c:v>16640.713186813187</c:v>
                </c:pt>
                <c:pt idx="13">
                  <c:v>17048.616483516485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25-124B-B5C4-00BFED2E8F6B}"/>
            </c:ext>
          </c:extLst>
        </c:ser>
        <c:ser>
          <c:idx val="2"/>
          <c:order val="2"/>
          <c:tx>
            <c:strRef>
              <c:f>'Schertz Housing 2009-20 XmR '!$C$1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'Schertz Housing 2009-20 XmR '!$C$2:$C$15</c:f>
              <c:numCache>
                <c:formatCode>0.0</c:formatCode>
                <c:ptCount val="14"/>
                <c:pt idx="0">
                  <c:v>11383.36336996337</c:v>
                </c:pt>
                <c:pt idx="1">
                  <c:v>11791.266666666668</c:v>
                </c:pt>
                <c:pt idx="2">
                  <c:v>12199.169963369965</c:v>
                </c:pt>
                <c:pt idx="3">
                  <c:v>12607.073260073261</c:v>
                </c:pt>
                <c:pt idx="4">
                  <c:v>13014.976556776557</c:v>
                </c:pt>
                <c:pt idx="5">
                  <c:v>13422.879853479855</c:v>
                </c:pt>
                <c:pt idx="6">
                  <c:v>13830.783150183152</c:v>
                </c:pt>
                <c:pt idx="7">
                  <c:v>14238.686446886448</c:v>
                </c:pt>
                <c:pt idx="8">
                  <c:v>14646.589743589746</c:v>
                </c:pt>
                <c:pt idx="9">
                  <c:v>15054.493040293042</c:v>
                </c:pt>
                <c:pt idx="10">
                  <c:v>15462.396336996339</c:v>
                </c:pt>
                <c:pt idx="11">
                  <c:v>15870.299633699637</c:v>
                </c:pt>
                <c:pt idx="12">
                  <c:v>16278.202930402931</c:v>
                </c:pt>
                <c:pt idx="13">
                  <c:v>16686.106227106229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25-124B-B5C4-00BFED2E8F6B}"/>
            </c:ext>
          </c:extLst>
        </c:ser>
        <c:ser>
          <c:idx val="3"/>
          <c:order val="3"/>
          <c:tx>
            <c:strRef>
              <c:f>'Schertz Housing 2009-20 XmR '!$D$1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'Schertz Housing 2009-20 XmR '!$D$2:$D$15</c:f>
              <c:numCache>
                <c:formatCode>0.0</c:formatCode>
                <c:ptCount val="14"/>
                <c:pt idx="0">
                  <c:v>11020.853113553114</c:v>
                </c:pt>
                <c:pt idx="1">
                  <c:v>11428.756410256412</c:v>
                </c:pt>
                <c:pt idx="2">
                  <c:v>11836.659706959708</c:v>
                </c:pt>
                <c:pt idx="3">
                  <c:v>12244.563003663005</c:v>
                </c:pt>
                <c:pt idx="4">
                  <c:v>12652.466300366301</c:v>
                </c:pt>
                <c:pt idx="5">
                  <c:v>13060.369597069599</c:v>
                </c:pt>
                <c:pt idx="6">
                  <c:v>13468.272893772895</c:v>
                </c:pt>
                <c:pt idx="7">
                  <c:v>13876.176190476192</c:v>
                </c:pt>
                <c:pt idx="8">
                  <c:v>14284.07948717949</c:v>
                </c:pt>
                <c:pt idx="9">
                  <c:v>14691.982783882786</c:v>
                </c:pt>
                <c:pt idx="10">
                  <c:v>15099.886080586082</c:v>
                </c:pt>
                <c:pt idx="11">
                  <c:v>15507.78937728938</c:v>
                </c:pt>
                <c:pt idx="12">
                  <c:v>15915.692673992675</c:v>
                </c:pt>
                <c:pt idx="13">
                  <c:v>16323.595970695973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25-124B-B5C4-00BFED2E8F6B}"/>
            </c:ext>
          </c:extLst>
        </c:ser>
        <c:ser>
          <c:idx val="4"/>
          <c:order val="4"/>
          <c:tx>
            <c:strRef>
              <c:f>'Schertz Housing 2009-20 XmR '!$E$1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025-124B-B5C4-00BFED2E8F6B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025-124B-B5C4-00BFED2E8F6B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025-124B-B5C4-00BFED2E8F6B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9025-124B-B5C4-00BFED2E8F6B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9025-124B-B5C4-00BFED2E8F6B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9025-124B-B5C4-00BFED2E8F6B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9025-124B-B5C4-00BFED2E8F6B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9025-124B-B5C4-00BFED2E8F6B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9025-124B-B5C4-00BFED2E8F6B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9025-124B-B5C4-00BFED2E8F6B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9025-124B-B5C4-00BFED2E8F6B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9025-124B-B5C4-00BFED2E8F6B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9025-124B-B5C4-00BFED2E8F6B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9025-124B-B5C4-00BFED2E8F6B}"/>
              </c:ext>
            </c:extLst>
          </c:dPt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025-124B-B5C4-00BFED2E8F6B}"/>
                </c:ext>
              </c:extLst>
            </c:dLbl>
            <c:dLbl>
              <c:idx val="12"/>
              <c:layout>
                <c:manualLayout>
                  <c:x val="-1.4638026388327584E-2"/>
                  <c:y val="-2.017543734231986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025-124B-B5C4-00BFED2E8F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'Schertz Housing 2009-20 XmR '!$E$2:$E$15</c:f>
              <c:numCache>
                <c:formatCode>0.0</c:formatCode>
                <c:ptCount val="14"/>
                <c:pt idx="0">
                  <c:v>10658.342857142858</c:v>
                </c:pt>
                <c:pt idx="1">
                  <c:v>11066.246153846156</c:v>
                </c:pt>
                <c:pt idx="2">
                  <c:v>11474.149450549452</c:v>
                </c:pt>
                <c:pt idx="3">
                  <c:v>11882.052747252748</c:v>
                </c:pt>
                <c:pt idx="4">
                  <c:v>12289.956043956045</c:v>
                </c:pt>
                <c:pt idx="5">
                  <c:v>12697.859340659343</c:v>
                </c:pt>
                <c:pt idx="6">
                  <c:v>13105.762637362639</c:v>
                </c:pt>
                <c:pt idx="7">
                  <c:v>13513.665934065935</c:v>
                </c:pt>
                <c:pt idx="8">
                  <c:v>13921.569230769233</c:v>
                </c:pt>
                <c:pt idx="9">
                  <c:v>14329.47252747253</c:v>
                </c:pt>
                <c:pt idx="10">
                  <c:v>14737.375824175826</c:v>
                </c:pt>
                <c:pt idx="11">
                  <c:v>15145.279120879124</c:v>
                </c:pt>
                <c:pt idx="12">
                  <c:v>15553.182417582419</c:v>
                </c:pt>
                <c:pt idx="13">
                  <c:v>15961.085714285717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025-124B-B5C4-00BFED2E8F6B}"/>
            </c:ext>
          </c:extLst>
        </c:ser>
        <c:ser>
          <c:idx val="5"/>
          <c:order val="5"/>
          <c:tx>
            <c:strRef>
              <c:f>'Schertz Housing 2009-20 XmR '!$F$1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'Schertz Housing 2009-20 XmR '!$F$2:$F$15</c:f>
              <c:numCache>
                <c:formatCode>0.0</c:formatCode>
                <c:ptCount val="14"/>
                <c:pt idx="0">
                  <c:v>10295.832600732601</c:v>
                </c:pt>
                <c:pt idx="1">
                  <c:v>10703.735897435899</c:v>
                </c:pt>
                <c:pt idx="2">
                  <c:v>11111.639194139196</c:v>
                </c:pt>
                <c:pt idx="3">
                  <c:v>11519.542490842492</c:v>
                </c:pt>
                <c:pt idx="4">
                  <c:v>11927.445787545788</c:v>
                </c:pt>
                <c:pt idx="5">
                  <c:v>12335.349084249086</c:v>
                </c:pt>
                <c:pt idx="6">
                  <c:v>12743.252380952383</c:v>
                </c:pt>
                <c:pt idx="7">
                  <c:v>13151.155677655679</c:v>
                </c:pt>
                <c:pt idx="8">
                  <c:v>13559.058974358977</c:v>
                </c:pt>
                <c:pt idx="9">
                  <c:v>13966.962271062273</c:v>
                </c:pt>
                <c:pt idx="10">
                  <c:v>14374.86556776557</c:v>
                </c:pt>
                <c:pt idx="11">
                  <c:v>14782.768864468868</c:v>
                </c:pt>
                <c:pt idx="12">
                  <c:v>15190.672161172162</c:v>
                </c:pt>
                <c:pt idx="13">
                  <c:v>15598.57545787546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025-124B-B5C4-00BFED2E8F6B}"/>
            </c:ext>
          </c:extLst>
        </c:ser>
        <c:ser>
          <c:idx val="6"/>
          <c:order val="6"/>
          <c:tx>
            <c:strRef>
              <c:f>'Schertz Housing 2009-20 XmR '!$G$1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'Schertz Housing 2009-20 XmR '!$G$2:$G$15</c:f>
              <c:numCache>
                <c:formatCode>0.0</c:formatCode>
                <c:ptCount val="14"/>
                <c:pt idx="0">
                  <c:v>9933.3223443223451</c:v>
                </c:pt>
                <c:pt idx="1">
                  <c:v>10341.225641025643</c:v>
                </c:pt>
                <c:pt idx="2">
                  <c:v>10749.128937728939</c:v>
                </c:pt>
                <c:pt idx="3">
                  <c:v>11157.032234432236</c:v>
                </c:pt>
                <c:pt idx="4">
                  <c:v>11564.935531135532</c:v>
                </c:pt>
                <c:pt idx="5">
                  <c:v>11972.83882783883</c:v>
                </c:pt>
                <c:pt idx="6">
                  <c:v>12380.742124542126</c:v>
                </c:pt>
                <c:pt idx="7">
                  <c:v>12788.645421245423</c:v>
                </c:pt>
                <c:pt idx="8">
                  <c:v>13196.548717948721</c:v>
                </c:pt>
                <c:pt idx="9">
                  <c:v>13604.452014652017</c:v>
                </c:pt>
                <c:pt idx="10">
                  <c:v>14012.355311355313</c:v>
                </c:pt>
                <c:pt idx="11">
                  <c:v>14420.258608058612</c:v>
                </c:pt>
                <c:pt idx="12">
                  <c:v>14828.161904761906</c:v>
                </c:pt>
                <c:pt idx="13">
                  <c:v>15236.065201465204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25-124B-B5C4-00BFED2E8F6B}"/>
            </c:ext>
          </c:extLst>
        </c:ser>
        <c:ser>
          <c:idx val="7"/>
          <c:order val="7"/>
          <c:tx>
            <c:strRef>
              <c:f>'Schertz Housing 2009-20 XmR '!$H$1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9025-124B-B5C4-00BFED2E8F6B}"/>
                </c:ext>
              </c:extLst>
            </c:dLbl>
            <c:dLbl>
              <c:idx val="12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025-124B-B5C4-00BFED2E8F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'Schertz Housing 2009-20 XmR '!$H$2:$H$15</c:f>
              <c:numCache>
                <c:formatCode>0.0</c:formatCode>
                <c:ptCount val="14"/>
                <c:pt idx="0">
                  <c:v>9570.8120879120888</c:v>
                </c:pt>
                <c:pt idx="1">
                  <c:v>9978.7153846153869</c:v>
                </c:pt>
                <c:pt idx="2">
                  <c:v>10386.618681318683</c:v>
                </c:pt>
                <c:pt idx="3">
                  <c:v>10794.52197802198</c:v>
                </c:pt>
                <c:pt idx="4">
                  <c:v>11202.425274725276</c:v>
                </c:pt>
                <c:pt idx="5">
                  <c:v>11610.328571428574</c:v>
                </c:pt>
                <c:pt idx="6">
                  <c:v>12018.23186813187</c:v>
                </c:pt>
                <c:pt idx="7">
                  <c:v>12426.135164835167</c:v>
                </c:pt>
                <c:pt idx="8">
                  <c:v>12834.038461538465</c:v>
                </c:pt>
                <c:pt idx="9">
                  <c:v>13241.941758241761</c:v>
                </c:pt>
                <c:pt idx="10">
                  <c:v>13649.845054945057</c:v>
                </c:pt>
                <c:pt idx="11">
                  <c:v>14057.748351648355</c:v>
                </c:pt>
                <c:pt idx="12">
                  <c:v>14465.65164835165</c:v>
                </c:pt>
                <c:pt idx="13">
                  <c:v>14873.554945054948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025-124B-B5C4-00BFED2E8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065728"/>
        <c:axId val="1045067440"/>
      </c:lineChart>
      <c:catAx>
        <c:axId val="104506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majorTickMark val="out"/>
        <c:minorTickMark val="none"/>
        <c:tickLblPos val="nextTo"/>
        <c:crossAx val="1045067440"/>
        <c:crosses val="autoZero"/>
        <c:auto val="0"/>
        <c:lblAlgn val="ctr"/>
        <c:lblOffset val="100"/>
        <c:noMultiLvlLbl val="0"/>
      </c:catAx>
      <c:valAx>
        <c:axId val="1045067440"/>
        <c:scaling>
          <c:orientation val="minMax"/>
          <c:min val="9208.300000000001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45065728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RAW-Schertz Housing 2009-2022 change change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'RAW-Schertz Housing 200 XmR '!$J$1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val>
            <c:numRef>
              <c:f>'RAW-Schertz Housing 200 XmR '!$J$2:$J$14</c:f>
              <c:numCache>
                <c:formatCode>0.0</c:formatCode>
                <c:ptCount val="13"/>
                <c:pt idx="1">
                  <c:v>641</c:v>
                </c:pt>
                <c:pt idx="2">
                  <c:v>476</c:v>
                </c:pt>
                <c:pt idx="3">
                  <c:v>24</c:v>
                </c:pt>
                <c:pt idx="4">
                  <c:v>61</c:v>
                </c:pt>
                <c:pt idx="5">
                  <c:v>324</c:v>
                </c:pt>
                <c:pt idx="6">
                  <c:v>206</c:v>
                </c:pt>
                <c:pt idx="7">
                  <c:v>40</c:v>
                </c:pt>
                <c:pt idx="8">
                  <c:v>37</c:v>
                </c:pt>
                <c:pt idx="9">
                  <c:v>209</c:v>
                </c:pt>
                <c:pt idx="10">
                  <c:v>137</c:v>
                </c:pt>
                <c:pt idx="11">
                  <c:v>658</c:v>
                </c:pt>
                <c:pt idx="12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FE-0442-A785-DC137F58208E}"/>
            </c:ext>
          </c:extLst>
        </c:ser>
        <c:ser>
          <c:idx val="1"/>
          <c:order val="1"/>
          <c:tx>
            <c:strRef>
              <c:f>'RAW-Schertz Housing 200 XmR '!$K$1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BFE-0442-A785-DC137F58208E}"/>
                </c:ext>
              </c:extLst>
            </c:dLbl>
            <c:dLbl>
              <c:idx val="11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FE-0442-A785-DC137F5820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'!$K$2:$K$14</c:f>
              <c:numCache>
                <c:formatCode>0.0</c:formatCode>
                <c:ptCount val="13"/>
                <c:pt idx="1">
                  <c:v>848.05874999999992</c:v>
                </c:pt>
                <c:pt idx="2">
                  <c:v>848.05874999999992</c:v>
                </c:pt>
                <c:pt idx="3">
                  <c:v>848.05874999999992</c:v>
                </c:pt>
                <c:pt idx="4">
                  <c:v>848.05874999999992</c:v>
                </c:pt>
                <c:pt idx="5">
                  <c:v>848.05874999999992</c:v>
                </c:pt>
                <c:pt idx="6">
                  <c:v>848.05874999999992</c:v>
                </c:pt>
                <c:pt idx="7">
                  <c:v>848.05874999999992</c:v>
                </c:pt>
                <c:pt idx="8">
                  <c:v>848.05874999999992</c:v>
                </c:pt>
                <c:pt idx="9">
                  <c:v>848.05874999999992</c:v>
                </c:pt>
                <c:pt idx="10">
                  <c:v>848.05874999999992</c:v>
                </c:pt>
                <c:pt idx="11">
                  <c:v>848.05874999999992</c:v>
                </c:pt>
                <c:pt idx="12">
                  <c:v>848.05874999999992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FE-0442-A785-DC137F58208E}"/>
            </c:ext>
          </c:extLst>
        </c:ser>
        <c:ser>
          <c:idx val="2"/>
          <c:order val="2"/>
          <c:tx>
            <c:strRef>
              <c:f>'RAW-Schertz Housing 200 XmR '!$L$1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'!$L$2:$L$14</c:f>
              <c:numCache>
                <c:formatCode>0.0</c:formatCode>
                <c:ptCount val="13"/>
                <c:pt idx="1">
                  <c:v>651.90027777777777</c:v>
                </c:pt>
                <c:pt idx="2">
                  <c:v>651.90027777777777</c:v>
                </c:pt>
                <c:pt idx="3">
                  <c:v>651.90027777777777</c:v>
                </c:pt>
                <c:pt idx="4">
                  <c:v>651.90027777777777</c:v>
                </c:pt>
                <c:pt idx="5">
                  <c:v>651.90027777777777</c:v>
                </c:pt>
                <c:pt idx="6">
                  <c:v>651.90027777777777</c:v>
                </c:pt>
                <c:pt idx="7">
                  <c:v>651.90027777777777</c:v>
                </c:pt>
                <c:pt idx="8">
                  <c:v>651.90027777777777</c:v>
                </c:pt>
                <c:pt idx="9">
                  <c:v>651.90027777777777</c:v>
                </c:pt>
                <c:pt idx="10">
                  <c:v>651.90027777777777</c:v>
                </c:pt>
                <c:pt idx="11">
                  <c:v>651.90027777777777</c:v>
                </c:pt>
                <c:pt idx="12">
                  <c:v>651.90027777777777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FE-0442-A785-DC137F58208E}"/>
            </c:ext>
          </c:extLst>
        </c:ser>
        <c:ser>
          <c:idx val="3"/>
          <c:order val="3"/>
          <c:tx>
            <c:strRef>
              <c:f>'RAW-Schertz Housing 200 XmR '!$M$1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'!$M$2:$M$14</c:f>
              <c:numCache>
                <c:formatCode>0.0</c:formatCode>
                <c:ptCount val="13"/>
                <c:pt idx="1">
                  <c:v>455.74180555555552</c:v>
                </c:pt>
                <c:pt idx="2">
                  <c:v>455.74180555555552</c:v>
                </c:pt>
                <c:pt idx="3">
                  <c:v>455.74180555555552</c:v>
                </c:pt>
                <c:pt idx="4">
                  <c:v>455.74180555555552</c:v>
                </c:pt>
                <c:pt idx="5">
                  <c:v>455.74180555555552</c:v>
                </c:pt>
                <c:pt idx="6">
                  <c:v>455.74180555555552</c:v>
                </c:pt>
                <c:pt idx="7">
                  <c:v>455.74180555555552</c:v>
                </c:pt>
                <c:pt idx="8">
                  <c:v>455.74180555555552</c:v>
                </c:pt>
                <c:pt idx="9">
                  <c:v>455.74180555555552</c:v>
                </c:pt>
                <c:pt idx="10">
                  <c:v>455.74180555555552</c:v>
                </c:pt>
                <c:pt idx="11">
                  <c:v>455.74180555555552</c:v>
                </c:pt>
                <c:pt idx="12">
                  <c:v>455.74180555555552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FE-0442-A785-DC137F58208E}"/>
            </c:ext>
          </c:extLst>
        </c:ser>
        <c:ser>
          <c:idx val="4"/>
          <c:order val="4"/>
          <c:tx>
            <c:strRef>
              <c:f>'RAW-Schertz Housing 200 XmR '!$N$1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BFE-0442-A785-DC137F58208E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BFE-0442-A785-DC137F58208E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8BFE-0442-A785-DC137F58208E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8BFE-0442-A785-DC137F58208E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8BFE-0442-A785-DC137F58208E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8BFE-0442-A785-DC137F58208E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8BFE-0442-A785-DC137F58208E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8BFE-0442-A785-DC137F58208E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8BFE-0442-A785-DC137F58208E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8BFE-0442-A785-DC137F58208E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8BFE-0442-A785-DC137F58208E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8BFE-0442-A785-DC137F58208E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8BFE-0442-A785-DC137F58208E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BFE-0442-A785-DC137F58208E}"/>
                </c:ext>
              </c:extLst>
            </c:dLbl>
            <c:dLbl>
              <c:idx val="11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BFE-0442-A785-DC137F58208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'!$N$2:$N$14</c:f>
              <c:numCache>
                <c:formatCode>0.0</c:formatCode>
                <c:ptCount val="13"/>
                <c:pt idx="0">
                  <c:v>259.58333333333331</c:v>
                </c:pt>
                <c:pt idx="1">
                  <c:v>259.58333333333331</c:v>
                </c:pt>
                <c:pt idx="2">
                  <c:v>259.58333333333331</c:v>
                </c:pt>
                <c:pt idx="3">
                  <c:v>259.58333333333331</c:v>
                </c:pt>
                <c:pt idx="4">
                  <c:v>259.58333333333331</c:v>
                </c:pt>
                <c:pt idx="5">
                  <c:v>259.58333333333331</c:v>
                </c:pt>
                <c:pt idx="6">
                  <c:v>259.58333333333331</c:v>
                </c:pt>
                <c:pt idx="7">
                  <c:v>259.58333333333331</c:v>
                </c:pt>
                <c:pt idx="8">
                  <c:v>259.58333333333331</c:v>
                </c:pt>
                <c:pt idx="9">
                  <c:v>259.58333333333331</c:v>
                </c:pt>
                <c:pt idx="10">
                  <c:v>259.58333333333331</c:v>
                </c:pt>
                <c:pt idx="11">
                  <c:v>259.58333333333331</c:v>
                </c:pt>
                <c:pt idx="12">
                  <c:v>259.58333333333331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BFE-0442-A785-DC137F58208E}"/>
            </c:ext>
          </c:extLst>
        </c:ser>
        <c:ser>
          <c:idx val="5"/>
          <c:order val="5"/>
          <c:tx>
            <c:strRef>
              <c:f>'RAW-Schertz Housing 200 XmR '!$O$1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'!$O$2:$O$14</c:f>
              <c:numCache>
                <c:formatCode>0.0</c:formatCode>
                <c:ptCount val="13"/>
                <c:pt idx="1">
                  <c:v>63.424861111111113</c:v>
                </c:pt>
                <c:pt idx="2">
                  <c:v>63.424861111111113</c:v>
                </c:pt>
                <c:pt idx="3">
                  <c:v>63.424861111111113</c:v>
                </c:pt>
                <c:pt idx="4">
                  <c:v>63.424861111111113</c:v>
                </c:pt>
                <c:pt idx="5">
                  <c:v>63.424861111111113</c:v>
                </c:pt>
                <c:pt idx="6">
                  <c:v>63.424861111111113</c:v>
                </c:pt>
                <c:pt idx="7">
                  <c:v>63.424861111111113</c:v>
                </c:pt>
                <c:pt idx="8">
                  <c:v>63.424861111111113</c:v>
                </c:pt>
                <c:pt idx="9">
                  <c:v>63.424861111111113</c:v>
                </c:pt>
                <c:pt idx="10">
                  <c:v>63.424861111111113</c:v>
                </c:pt>
                <c:pt idx="11">
                  <c:v>63.424861111111113</c:v>
                </c:pt>
                <c:pt idx="12">
                  <c:v>63.424861111111113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BFE-0442-A785-DC137F58208E}"/>
            </c:ext>
          </c:extLst>
        </c:ser>
        <c:ser>
          <c:idx val="6"/>
          <c:order val="6"/>
          <c:tx>
            <c:strRef>
              <c:f>'RAW-Schertz Housing 200 XmR '!$P$1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'!$P$2:$P$14</c:f>
              <c:numCache>
                <c:formatCode>0.0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BFE-0442-A785-DC137F58208E}"/>
            </c:ext>
          </c:extLst>
        </c:ser>
        <c:ser>
          <c:idx val="7"/>
          <c:order val="7"/>
          <c:tx>
            <c:strRef>
              <c:f>'RAW-Schertz Housing 200 XmR '!$Q$1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val>
            <c:numRef>
              <c:f>'RAW-Schertz Housing 200 XmR '!$Q$2:$Q$14</c:f>
              <c:numCache>
                <c:formatCode>0.0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BFE-0442-A785-DC137F582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518272"/>
        <c:axId val="946645088"/>
      </c:lineChart>
      <c:catAx>
        <c:axId val="156851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majorTickMark val="out"/>
        <c:minorTickMark val="none"/>
        <c:tickLblPos val="nextTo"/>
        <c:crossAx val="946645088"/>
        <c:crosses val="autoZero"/>
        <c:auto val="0"/>
        <c:lblAlgn val="ctr"/>
        <c:lblOffset val="100"/>
        <c:noMultiLvlLbl val="0"/>
      </c:catAx>
      <c:valAx>
        <c:axId val="946645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56851827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RAW-Schertz Housing 2009-2022 change change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'RAW-Schertz Housing 200 XmR '!$A$1</c:f>
              <c:strCache>
                <c:ptCount val="1"/>
                <c:pt idx="0">
                  <c:v>change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val>
            <c:numRef>
              <c:f>'RAW-Schertz Housing 200 XmR '!$A$2:$A$14</c:f>
              <c:numCache>
                <c:formatCode>0.0</c:formatCode>
                <c:ptCount val="13"/>
                <c:pt idx="0">
                  <c:v>234</c:v>
                </c:pt>
                <c:pt idx="1">
                  <c:v>875</c:v>
                </c:pt>
                <c:pt idx="2">
                  <c:v>399</c:v>
                </c:pt>
                <c:pt idx="3">
                  <c:v>423</c:v>
                </c:pt>
                <c:pt idx="4">
                  <c:v>484</c:v>
                </c:pt>
                <c:pt idx="5">
                  <c:v>160</c:v>
                </c:pt>
                <c:pt idx="6">
                  <c:v>366</c:v>
                </c:pt>
                <c:pt idx="7">
                  <c:v>326</c:v>
                </c:pt>
                <c:pt idx="8">
                  <c:v>363</c:v>
                </c:pt>
                <c:pt idx="9">
                  <c:v>572</c:v>
                </c:pt>
                <c:pt idx="10">
                  <c:v>709</c:v>
                </c:pt>
                <c:pt idx="11">
                  <c:v>51</c:v>
                </c:pt>
                <c:pt idx="12">
                  <c:v>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0-1C44-841E-EF4B24268FD1}"/>
            </c:ext>
          </c:extLst>
        </c:ser>
        <c:ser>
          <c:idx val="1"/>
          <c:order val="1"/>
          <c:tx>
            <c:strRef>
              <c:f>'RAW-Schertz Housing 200 XmR '!$B$1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9B0-1C44-841E-EF4B24268FD1}"/>
                </c:ext>
              </c:extLst>
            </c:dLbl>
            <c:dLbl>
              <c:idx val="11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B0-1C44-841E-EF4B24268F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'!$B$2:$B$14</c:f>
              <c:numCache>
                <c:formatCode>0.0</c:formatCode>
                <c:ptCount val="13"/>
                <c:pt idx="0">
                  <c:v>1099.3378205128206</c:v>
                </c:pt>
                <c:pt idx="1">
                  <c:v>1099.3378205128206</c:v>
                </c:pt>
                <c:pt idx="2">
                  <c:v>1099.3378205128206</c:v>
                </c:pt>
                <c:pt idx="3">
                  <c:v>1099.3378205128206</c:v>
                </c:pt>
                <c:pt idx="4">
                  <c:v>1099.3378205128206</c:v>
                </c:pt>
                <c:pt idx="5">
                  <c:v>1099.3378205128206</c:v>
                </c:pt>
                <c:pt idx="6">
                  <c:v>1099.3378205128206</c:v>
                </c:pt>
                <c:pt idx="7">
                  <c:v>1099.3378205128206</c:v>
                </c:pt>
                <c:pt idx="8">
                  <c:v>1099.3378205128206</c:v>
                </c:pt>
                <c:pt idx="9">
                  <c:v>1099.3378205128206</c:v>
                </c:pt>
                <c:pt idx="10">
                  <c:v>1099.3378205128206</c:v>
                </c:pt>
                <c:pt idx="11">
                  <c:v>1099.3378205128206</c:v>
                </c:pt>
                <c:pt idx="12">
                  <c:v>1099.3378205128206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B0-1C44-841E-EF4B24268FD1}"/>
            </c:ext>
          </c:extLst>
        </c:ser>
        <c:ser>
          <c:idx val="2"/>
          <c:order val="2"/>
          <c:tx>
            <c:strRef>
              <c:f>'RAW-Schertz Housing 200 XmR '!$C$1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'!$C$2:$C$14</c:f>
              <c:numCache>
                <c:formatCode>0.0</c:formatCode>
                <c:ptCount val="13"/>
                <c:pt idx="0">
                  <c:v>869.17393162393159</c:v>
                </c:pt>
                <c:pt idx="1">
                  <c:v>869.17393162393159</c:v>
                </c:pt>
                <c:pt idx="2">
                  <c:v>869.17393162393159</c:v>
                </c:pt>
                <c:pt idx="3">
                  <c:v>869.17393162393159</c:v>
                </c:pt>
                <c:pt idx="4">
                  <c:v>869.17393162393159</c:v>
                </c:pt>
                <c:pt idx="5">
                  <c:v>869.17393162393159</c:v>
                </c:pt>
                <c:pt idx="6">
                  <c:v>869.17393162393159</c:v>
                </c:pt>
                <c:pt idx="7">
                  <c:v>869.17393162393159</c:v>
                </c:pt>
                <c:pt idx="8">
                  <c:v>869.17393162393159</c:v>
                </c:pt>
                <c:pt idx="9">
                  <c:v>869.17393162393159</c:v>
                </c:pt>
                <c:pt idx="10">
                  <c:v>869.17393162393159</c:v>
                </c:pt>
                <c:pt idx="11">
                  <c:v>869.17393162393159</c:v>
                </c:pt>
                <c:pt idx="12">
                  <c:v>869.17393162393159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B0-1C44-841E-EF4B24268FD1}"/>
            </c:ext>
          </c:extLst>
        </c:ser>
        <c:ser>
          <c:idx val="3"/>
          <c:order val="3"/>
          <c:tx>
            <c:strRef>
              <c:f>'RAW-Schertz Housing 200 XmR '!$D$1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'!$D$2:$D$14</c:f>
              <c:numCache>
                <c:formatCode>0.0</c:formatCode>
                <c:ptCount val="13"/>
                <c:pt idx="0">
                  <c:v>639.01004273504282</c:v>
                </c:pt>
                <c:pt idx="1">
                  <c:v>639.01004273504282</c:v>
                </c:pt>
                <c:pt idx="2">
                  <c:v>639.01004273504282</c:v>
                </c:pt>
                <c:pt idx="3">
                  <c:v>639.01004273504282</c:v>
                </c:pt>
                <c:pt idx="4">
                  <c:v>639.01004273504282</c:v>
                </c:pt>
                <c:pt idx="5">
                  <c:v>639.01004273504282</c:v>
                </c:pt>
                <c:pt idx="6">
                  <c:v>639.01004273504282</c:v>
                </c:pt>
                <c:pt idx="7">
                  <c:v>639.01004273504282</c:v>
                </c:pt>
                <c:pt idx="8">
                  <c:v>639.01004273504282</c:v>
                </c:pt>
                <c:pt idx="9">
                  <c:v>639.01004273504282</c:v>
                </c:pt>
                <c:pt idx="10">
                  <c:v>639.01004273504282</c:v>
                </c:pt>
                <c:pt idx="11">
                  <c:v>639.01004273504282</c:v>
                </c:pt>
                <c:pt idx="12">
                  <c:v>639.01004273504282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B0-1C44-841E-EF4B24268FD1}"/>
            </c:ext>
          </c:extLst>
        </c:ser>
        <c:ser>
          <c:idx val="4"/>
          <c:order val="4"/>
          <c:tx>
            <c:strRef>
              <c:f>'RAW-Schertz Housing 200 XmR '!$E$1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0-1C44-841E-EF4B24268FD1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9B0-1C44-841E-EF4B24268FD1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9B0-1C44-841E-EF4B24268FD1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9B0-1C44-841E-EF4B24268FD1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9B0-1C44-841E-EF4B24268FD1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9B0-1C44-841E-EF4B24268FD1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9B0-1C44-841E-EF4B24268FD1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9B0-1C44-841E-EF4B24268FD1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9B0-1C44-841E-EF4B24268FD1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19B0-1C44-841E-EF4B24268FD1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19B0-1C44-841E-EF4B24268FD1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19B0-1C44-841E-EF4B24268FD1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19B0-1C44-841E-EF4B24268FD1}"/>
              </c:ext>
            </c:extLst>
          </c:dPt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9B0-1C44-841E-EF4B24268FD1}"/>
                </c:ext>
              </c:extLst>
            </c:dLbl>
            <c:dLbl>
              <c:idx val="11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9B0-1C44-841E-EF4B24268F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'!$E$2:$E$14</c:f>
              <c:numCache>
                <c:formatCode>0.0</c:formatCode>
                <c:ptCount val="13"/>
                <c:pt idx="0">
                  <c:v>408.84615384615387</c:v>
                </c:pt>
                <c:pt idx="1">
                  <c:v>408.84615384615387</c:v>
                </c:pt>
                <c:pt idx="2">
                  <c:v>408.84615384615387</c:v>
                </c:pt>
                <c:pt idx="3">
                  <c:v>408.84615384615387</c:v>
                </c:pt>
                <c:pt idx="4">
                  <c:v>408.84615384615387</c:v>
                </c:pt>
                <c:pt idx="5">
                  <c:v>408.84615384615387</c:v>
                </c:pt>
                <c:pt idx="6">
                  <c:v>408.84615384615387</c:v>
                </c:pt>
                <c:pt idx="7">
                  <c:v>408.84615384615387</c:v>
                </c:pt>
                <c:pt idx="8">
                  <c:v>408.84615384615387</c:v>
                </c:pt>
                <c:pt idx="9">
                  <c:v>408.84615384615387</c:v>
                </c:pt>
                <c:pt idx="10">
                  <c:v>408.84615384615387</c:v>
                </c:pt>
                <c:pt idx="11">
                  <c:v>408.84615384615387</c:v>
                </c:pt>
                <c:pt idx="12">
                  <c:v>408.84615384615387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9B0-1C44-841E-EF4B24268FD1}"/>
            </c:ext>
          </c:extLst>
        </c:ser>
        <c:ser>
          <c:idx val="5"/>
          <c:order val="5"/>
          <c:tx>
            <c:strRef>
              <c:f>'RAW-Schertz Housing 200 XmR '!$F$1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'!$F$2:$F$14</c:f>
              <c:numCache>
                <c:formatCode>0.0</c:formatCode>
                <c:ptCount val="13"/>
                <c:pt idx="0">
                  <c:v>178.68226495726498</c:v>
                </c:pt>
                <c:pt idx="1">
                  <c:v>178.68226495726498</c:v>
                </c:pt>
                <c:pt idx="2">
                  <c:v>178.68226495726498</c:v>
                </c:pt>
                <c:pt idx="3">
                  <c:v>178.68226495726498</c:v>
                </c:pt>
                <c:pt idx="4">
                  <c:v>178.68226495726498</c:v>
                </c:pt>
                <c:pt idx="5">
                  <c:v>178.68226495726498</c:v>
                </c:pt>
                <c:pt idx="6">
                  <c:v>178.68226495726498</c:v>
                </c:pt>
                <c:pt idx="7">
                  <c:v>178.68226495726498</c:v>
                </c:pt>
                <c:pt idx="8">
                  <c:v>178.68226495726498</c:v>
                </c:pt>
                <c:pt idx="9">
                  <c:v>178.68226495726498</c:v>
                </c:pt>
                <c:pt idx="10">
                  <c:v>178.68226495726498</c:v>
                </c:pt>
                <c:pt idx="11">
                  <c:v>178.68226495726498</c:v>
                </c:pt>
                <c:pt idx="12">
                  <c:v>178.68226495726498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9B0-1C44-841E-EF4B24268FD1}"/>
            </c:ext>
          </c:extLst>
        </c:ser>
        <c:ser>
          <c:idx val="6"/>
          <c:order val="6"/>
          <c:tx>
            <c:strRef>
              <c:f>'RAW-Schertz Housing 200 XmR '!$G$1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'!$G$2:$G$14</c:f>
              <c:numCache>
                <c:formatCode>0.0</c:formatCode>
                <c:ptCount val="13"/>
                <c:pt idx="0">
                  <c:v>-51.481623931623915</c:v>
                </c:pt>
                <c:pt idx="1">
                  <c:v>-51.481623931623915</c:v>
                </c:pt>
                <c:pt idx="2">
                  <c:v>-51.481623931623915</c:v>
                </c:pt>
                <c:pt idx="3">
                  <c:v>-51.481623931623915</c:v>
                </c:pt>
                <c:pt idx="4">
                  <c:v>-51.481623931623915</c:v>
                </c:pt>
                <c:pt idx="5">
                  <c:v>-51.481623931623915</c:v>
                </c:pt>
                <c:pt idx="6">
                  <c:v>-51.481623931623915</c:v>
                </c:pt>
                <c:pt idx="7">
                  <c:v>-51.481623931623915</c:v>
                </c:pt>
                <c:pt idx="8">
                  <c:v>-51.481623931623915</c:v>
                </c:pt>
                <c:pt idx="9">
                  <c:v>-51.481623931623915</c:v>
                </c:pt>
                <c:pt idx="10">
                  <c:v>-51.481623931623915</c:v>
                </c:pt>
                <c:pt idx="11">
                  <c:v>-51.481623931623915</c:v>
                </c:pt>
                <c:pt idx="12">
                  <c:v>-51.481623931623915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9B0-1C44-841E-EF4B24268FD1}"/>
            </c:ext>
          </c:extLst>
        </c:ser>
        <c:ser>
          <c:idx val="7"/>
          <c:order val="7"/>
          <c:tx>
            <c:strRef>
              <c:f>'RAW-Schertz Housing 200 XmR '!$H$1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19B0-1C44-841E-EF4B24268FD1}"/>
                </c:ext>
              </c:extLst>
            </c:dLbl>
            <c:dLbl>
              <c:idx val="11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19B0-1C44-841E-EF4B24268F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'!$H$2:$H$14</c:f>
              <c:numCache>
                <c:formatCode>0.0</c:formatCode>
                <c:ptCount val="13"/>
                <c:pt idx="0">
                  <c:v>-281.64551282051281</c:v>
                </c:pt>
                <c:pt idx="1">
                  <c:v>-281.64551282051281</c:v>
                </c:pt>
                <c:pt idx="2">
                  <c:v>-281.64551282051281</c:v>
                </c:pt>
                <c:pt idx="3">
                  <c:v>-281.64551282051281</c:v>
                </c:pt>
                <c:pt idx="4">
                  <c:v>-281.64551282051281</c:v>
                </c:pt>
                <c:pt idx="5">
                  <c:v>-281.64551282051281</c:v>
                </c:pt>
                <c:pt idx="6">
                  <c:v>-281.64551282051281</c:v>
                </c:pt>
                <c:pt idx="7">
                  <c:v>-281.64551282051281</c:v>
                </c:pt>
                <c:pt idx="8">
                  <c:v>-281.64551282051281</c:v>
                </c:pt>
                <c:pt idx="9">
                  <c:v>-281.64551282051281</c:v>
                </c:pt>
                <c:pt idx="10">
                  <c:v>-281.64551282051281</c:v>
                </c:pt>
                <c:pt idx="11">
                  <c:v>-281.64551282051281</c:v>
                </c:pt>
                <c:pt idx="12">
                  <c:v>-281.64551282051281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9B0-1C44-841E-EF4B24268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547679"/>
        <c:axId val="1836549391"/>
      </c:lineChart>
      <c:catAx>
        <c:axId val="183654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majorTickMark val="out"/>
        <c:minorTickMark val="none"/>
        <c:tickLblPos val="nextTo"/>
        <c:crossAx val="1836549391"/>
        <c:crossesAt val="-400"/>
        <c:auto val="0"/>
        <c:lblAlgn val="ctr"/>
        <c:lblOffset val="100"/>
        <c:noMultiLvlLbl val="0"/>
      </c:catAx>
      <c:valAx>
        <c:axId val="1836549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RAW-Schertz Housing 2009-2022 change change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83654767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RAW-Schertz Housing 2009-2022 pct_change pct_change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'RAW-Schertz Housing 200 XmR 7'!$J$1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val>
            <c:numRef>
              <c:f>'RAW-Schertz Housing 200 XmR 7'!$J$2:$J$14</c:f>
              <c:numCache>
                <c:formatCode>0.0000</c:formatCode>
                <c:ptCount val="13"/>
                <c:pt idx="1">
                  <c:v>5.9099928922455511</c:v>
                </c:pt>
                <c:pt idx="2">
                  <c:v>4.7035843550571315</c:v>
                </c:pt>
                <c:pt idx="3">
                  <c:v>8.5727295194705011E-2</c:v>
                </c:pt>
                <c:pt idx="4">
                  <c:v>0.37036456242472893</c:v>
                </c:pt>
                <c:pt idx="5">
                  <c:v>2.6494179572002139</c:v>
                </c:pt>
                <c:pt idx="6">
                  <c:v>1.5575348151129149</c:v>
                </c:pt>
                <c:pt idx="7">
                  <c:v>0.37301470106524315</c:v>
                </c:pt>
                <c:pt idx="8">
                  <c:v>0.21105968381678419</c:v>
                </c:pt>
                <c:pt idx="9">
                  <c:v>1.409109017993408</c:v>
                </c:pt>
                <c:pt idx="10">
                  <c:v>0.77335318750107884</c:v>
                </c:pt>
                <c:pt idx="11">
                  <c:v>4.4841957271451687</c:v>
                </c:pt>
                <c:pt idx="12">
                  <c:v>1.9490603569705955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4-4B41-BA59-208672E08362}"/>
            </c:ext>
          </c:extLst>
        </c:ser>
        <c:ser>
          <c:idx val="1"/>
          <c:order val="1"/>
          <c:tx>
            <c:strRef>
              <c:f>'RAW-Schertz Housing 200 XmR 7'!$K$1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3C4-4B41-BA59-208672E08362}"/>
                </c:ext>
              </c:extLst>
            </c:dLbl>
            <c:dLbl>
              <c:idx val="11"/>
              <c:layout>
                <c:manualLayout>
                  <c:x val="-1.4638026388327584E-2"/>
                  <c:y val="-2.017543734231984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C4-4B41-BA59-208672E083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7'!$K$2:$K$14</c:f>
              <c:numCache>
                <c:formatCode>0.0000</c:formatCode>
                <c:ptCount val="13"/>
                <c:pt idx="1">
                  <c:v>6.6637038617078188</c:v>
                </c:pt>
                <c:pt idx="2">
                  <c:v>6.6637038617078188</c:v>
                </c:pt>
                <c:pt idx="3">
                  <c:v>6.6637038617078188</c:v>
                </c:pt>
                <c:pt idx="4">
                  <c:v>6.6637038617078188</c:v>
                </c:pt>
                <c:pt idx="5">
                  <c:v>6.6637038617078188</c:v>
                </c:pt>
                <c:pt idx="6">
                  <c:v>6.6637038617078188</c:v>
                </c:pt>
                <c:pt idx="7">
                  <c:v>6.6637038617078188</c:v>
                </c:pt>
                <c:pt idx="8">
                  <c:v>6.6637038617078188</c:v>
                </c:pt>
                <c:pt idx="9">
                  <c:v>6.6637038617078188</c:v>
                </c:pt>
                <c:pt idx="10">
                  <c:v>6.6637038617078188</c:v>
                </c:pt>
                <c:pt idx="11">
                  <c:v>6.6637038617078188</c:v>
                </c:pt>
                <c:pt idx="12">
                  <c:v>6.6637038617078188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C4-4B41-BA59-208672E08362}"/>
            </c:ext>
          </c:extLst>
        </c:ser>
        <c:ser>
          <c:idx val="2"/>
          <c:order val="2"/>
          <c:tx>
            <c:strRef>
              <c:f>'RAW-Schertz Housing 200 XmR 7'!$L$1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7'!$L$2:$L$14</c:f>
              <c:numCache>
                <c:formatCode>0.0000</c:formatCode>
                <c:ptCount val="13"/>
                <c:pt idx="1">
                  <c:v>5.1223696453531993</c:v>
                </c:pt>
                <c:pt idx="2">
                  <c:v>5.1223696453531993</c:v>
                </c:pt>
                <c:pt idx="3">
                  <c:v>5.1223696453531993</c:v>
                </c:pt>
                <c:pt idx="4">
                  <c:v>5.1223696453531993</c:v>
                </c:pt>
                <c:pt idx="5">
                  <c:v>5.1223696453531993</c:v>
                </c:pt>
                <c:pt idx="6">
                  <c:v>5.1223696453531993</c:v>
                </c:pt>
                <c:pt idx="7">
                  <c:v>5.1223696453531993</c:v>
                </c:pt>
                <c:pt idx="8">
                  <c:v>5.1223696453531993</c:v>
                </c:pt>
                <c:pt idx="9">
                  <c:v>5.1223696453531993</c:v>
                </c:pt>
                <c:pt idx="10">
                  <c:v>5.1223696453531993</c:v>
                </c:pt>
                <c:pt idx="11">
                  <c:v>5.1223696453531993</c:v>
                </c:pt>
                <c:pt idx="12">
                  <c:v>5.1223696453531993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C4-4B41-BA59-208672E08362}"/>
            </c:ext>
          </c:extLst>
        </c:ser>
        <c:ser>
          <c:idx val="3"/>
          <c:order val="3"/>
          <c:tx>
            <c:strRef>
              <c:f>'RAW-Schertz Housing 200 XmR 7'!$M$1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7'!$M$2:$M$14</c:f>
              <c:numCache>
                <c:formatCode>0.0000</c:formatCode>
                <c:ptCount val="13"/>
                <c:pt idx="1">
                  <c:v>3.5810354289985797</c:v>
                </c:pt>
                <c:pt idx="2">
                  <c:v>3.5810354289985797</c:v>
                </c:pt>
                <c:pt idx="3">
                  <c:v>3.5810354289985797</c:v>
                </c:pt>
                <c:pt idx="4">
                  <c:v>3.5810354289985797</c:v>
                </c:pt>
                <c:pt idx="5">
                  <c:v>3.5810354289985797</c:v>
                </c:pt>
                <c:pt idx="6">
                  <c:v>3.5810354289985797</c:v>
                </c:pt>
                <c:pt idx="7">
                  <c:v>3.5810354289985797</c:v>
                </c:pt>
                <c:pt idx="8">
                  <c:v>3.5810354289985797</c:v>
                </c:pt>
                <c:pt idx="9">
                  <c:v>3.5810354289985797</c:v>
                </c:pt>
                <c:pt idx="10">
                  <c:v>3.5810354289985797</c:v>
                </c:pt>
                <c:pt idx="11">
                  <c:v>3.5810354289985797</c:v>
                </c:pt>
                <c:pt idx="12">
                  <c:v>3.5810354289985797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C4-4B41-BA59-208672E08362}"/>
            </c:ext>
          </c:extLst>
        </c:ser>
        <c:ser>
          <c:idx val="4"/>
          <c:order val="4"/>
          <c:tx>
            <c:strRef>
              <c:f>'RAW-Schertz Housing 200 XmR 7'!$N$1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C4-4B41-BA59-208672E08362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C4-4B41-BA59-208672E08362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C4-4B41-BA59-208672E08362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C4-4B41-BA59-208672E08362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C4-4B41-BA59-208672E08362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C4-4B41-BA59-208672E08362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C4-4B41-BA59-208672E08362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C4-4B41-BA59-208672E08362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83C4-4B41-BA59-208672E08362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83C4-4B41-BA59-208672E08362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83C4-4B41-BA59-208672E08362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83C4-4B41-BA59-208672E08362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83C4-4B41-BA59-208672E08362}"/>
              </c:ext>
            </c:extLst>
          </c:dPt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3C4-4B41-BA59-208672E08362}"/>
                </c:ext>
              </c:extLst>
            </c:dLbl>
            <c:dLbl>
              <c:idx val="11"/>
              <c:layout>
                <c:manualLayout>
                  <c:x val="-1.4638026388327584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3C4-4B41-BA59-208672E083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7'!$N$2:$N$14</c:f>
              <c:numCache>
                <c:formatCode>0.0000</c:formatCode>
                <c:ptCount val="13"/>
                <c:pt idx="0">
                  <c:v>2.0397012126439606</c:v>
                </c:pt>
                <c:pt idx="1">
                  <c:v>2.0397012126439606</c:v>
                </c:pt>
                <c:pt idx="2">
                  <c:v>2.0397012126439606</c:v>
                </c:pt>
                <c:pt idx="3">
                  <c:v>2.0397012126439606</c:v>
                </c:pt>
                <c:pt idx="4">
                  <c:v>2.0397012126439606</c:v>
                </c:pt>
                <c:pt idx="5">
                  <c:v>2.0397012126439606</c:v>
                </c:pt>
                <c:pt idx="6">
                  <c:v>2.0397012126439606</c:v>
                </c:pt>
                <c:pt idx="7">
                  <c:v>2.0397012126439606</c:v>
                </c:pt>
                <c:pt idx="8">
                  <c:v>2.0397012126439606</c:v>
                </c:pt>
                <c:pt idx="9">
                  <c:v>2.0397012126439606</c:v>
                </c:pt>
                <c:pt idx="10">
                  <c:v>2.0397012126439606</c:v>
                </c:pt>
                <c:pt idx="11">
                  <c:v>2.0397012126439606</c:v>
                </c:pt>
                <c:pt idx="12">
                  <c:v>2.0397012126439606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3C4-4B41-BA59-208672E08362}"/>
            </c:ext>
          </c:extLst>
        </c:ser>
        <c:ser>
          <c:idx val="5"/>
          <c:order val="5"/>
          <c:tx>
            <c:strRef>
              <c:f>'RAW-Schertz Housing 200 XmR 7'!$O$1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7'!$O$2:$O$14</c:f>
              <c:numCache>
                <c:formatCode>0.0000</c:formatCode>
                <c:ptCount val="13"/>
                <c:pt idx="1">
                  <c:v>0.49836699628934156</c:v>
                </c:pt>
                <c:pt idx="2">
                  <c:v>0.49836699628934156</c:v>
                </c:pt>
                <c:pt idx="3">
                  <c:v>0.49836699628934156</c:v>
                </c:pt>
                <c:pt idx="4">
                  <c:v>0.49836699628934156</c:v>
                </c:pt>
                <c:pt idx="5">
                  <c:v>0.49836699628934156</c:v>
                </c:pt>
                <c:pt idx="6">
                  <c:v>0.49836699628934156</c:v>
                </c:pt>
                <c:pt idx="7">
                  <c:v>0.49836699628934156</c:v>
                </c:pt>
                <c:pt idx="8">
                  <c:v>0.49836699628934156</c:v>
                </c:pt>
                <c:pt idx="9">
                  <c:v>0.49836699628934156</c:v>
                </c:pt>
                <c:pt idx="10">
                  <c:v>0.49836699628934156</c:v>
                </c:pt>
                <c:pt idx="11">
                  <c:v>0.49836699628934156</c:v>
                </c:pt>
                <c:pt idx="12">
                  <c:v>0.49836699628934156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3C4-4B41-BA59-208672E08362}"/>
            </c:ext>
          </c:extLst>
        </c:ser>
        <c:ser>
          <c:idx val="6"/>
          <c:order val="6"/>
          <c:tx>
            <c:strRef>
              <c:f>'RAW-Schertz Housing 200 XmR 7'!$P$1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7'!$P$2:$P$14</c:f>
              <c:numCache>
                <c:formatCode>0.0000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3C4-4B41-BA59-208672E08362}"/>
            </c:ext>
          </c:extLst>
        </c:ser>
        <c:ser>
          <c:idx val="7"/>
          <c:order val="7"/>
          <c:tx>
            <c:strRef>
              <c:f>'RAW-Schertz Housing 200 XmR 7'!$Q$1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val>
            <c:numRef>
              <c:f>'RAW-Schertz Housing 200 XmR 7'!$Q$2:$Q$14</c:f>
              <c:numCache>
                <c:formatCode>0.0000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3C4-4B41-BA59-208672E08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716896"/>
        <c:axId val="1027664592"/>
      </c:lineChart>
      <c:catAx>
        <c:axId val="957716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majorTickMark val="out"/>
        <c:minorTickMark val="none"/>
        <c:tickLblPos val="nextTo"/>
        <c:crossAx val="1027664592"/>
        <c:crosses val="autoZero"/>
        <c:auto val="0"/>
        <c:lblAlgn val="ctr"/>
        <c:lblOffset val="100"/>
        <c:noMultiLvlLbl val="0"/>
      </c:catAx>
      <c:valAx>
        <c:axId val="1027664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957716896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RAW-Schertz Housing 2009-2022 pct_change pct_change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'RAW-Schertz Housing 200 XmR 7'!$A$1</c:f>
              <c:strCache>
                <c:ptCount val="1"/>
                <c:pt idx="0">
                  <c:v>pct_change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val>
            <c:numRef>
              <c:f>'RAW-Schertz Housing 200 XmR 7'!$A$2:$A$14</c:f>
              <c:numCache>
                <c:formatCode>0.0000</c:formatCode>
                <c:ptCount val="13"/>
                <c:pt idx="0">
                  <c:v>2.2234891676168762</c:v>
                </c:pt>
                <c:pt idx="1">
                  <c:v>8.1334820598624269</c:v>
                </c:pt>
                <c:pt idx="2">
                  <c:v>3.429897704805295</c:v>
                </c:pt>
                <c:pt idx="3">
                  <c:v>3.515625</c:v>
                </c:pt>
                <c:pt idx="4">
                  <c:v>3.8859895624247289</c:v>
                </c:pt>
                <c:pt idx="5">
                  <c:v>1.236571605224515</c:v>
                </c:pt>
                <c:pt idx="6">
                  <c:v>2.79410642033743</c:v>
                </c:pt>
                <c:pt idx="7">
                  <c:v>2.4210917192721868</c:v>
                </c:pt>
                <c:pt idx="8">
                  <c:v>2.632151403088971</c:v>
                </c:pt>
                <c:pt idx="9">
                  <c:v>4.041260421082379</c:v>
                </c:pt>
                <c:pt idx="10">
                  <c:v>4.8146136085834579</c:v>
                </c:pt>
                <c:pt idx="11">
                  <c:v>0.3304178814382896</c:v>
                </c:pt>
                <c:pt idx="12">
                  <c:v>2.2794782384088852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F-5A46-A90A-8FE1FAA97E6B}"/>
            </c:ext>
          </c:extLst>
        </c:ser>
        <c:ser>
          <c:idx val="1"/>
          <c:order val="1"/>
          <c:tx>
            <c:strRef>
              <c:f>'RAW-Schertz Housing 200 XmR 7'!$B$1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12F-5A46-A90A-8FE1FAA97E6B}"/>
                </c:ext>
              </c:extLst>
            </c:dLbl>
            <c:dLbl>
              <c:idx val="11"/>
              <c:layout>
                <c:manualLayout>
                  <c:x val="-1.4638026388327691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2F-5A46-A90A-8FE1FAA97E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7'!$B$2:$B$14</c:f>
              <c:numCache>
                <c:formatCode>0.0000</c:formatCode>
                <c:ptCount val="13"/>
                <c:pt idx="0">
                  <c:v>8.6362340557979689</c:v>
                </c:pt>
                <c:pt idx="1">
                  <c:v>8.6362340557979689</c:v>
                </c:pt>
                <c:pt idx="2">
                  <c:v>8.6362340557979689</c:v>
                </c:pt>
                <c:pt idx="3">
                  <c:v>8.6362340557979689</c:v>
                </c:pt>
                <c:pt idx="4">
                  <c:v>8.6362340557979689</c:v>
                </c:pt>
                <c:pt idx="5">
                  <c:v>8.6362340557979689</c:v>
                </c:pt>
                <c:pt idx="6">
                  <c:v>8.6362340557979689</c:v>
                </c:pt>
                <c:pt idx="7">
                  <c:v>8.6362340557979689</c:v>
                </c:pt>
                <c:pt idx="8">
                  <c:v>8.6362340557979689</c:v>
                </c:pt>
                <c:pt idx="9">
                  <c:v>8.6362340557979689</c:v>
                </c:pt>
                <c:pt idx="10">
                  <c:v>8.6362340557979689</c:v>
                </c:pt>
                <c:pt idx="11">
                  <c:v>8.6362340557979689</c:v>
                </c:pt>
                <c:pt idx="12">
                  <c:v>8.6362340557979689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2F-5A46-A90A-8FE1FAA97E6B}"/>
            </c:ext>
          </c:extLst>
        </c:ser>
        <c:ser>
          <c:idx val="2"/>
          <c:order val="2"/>
          <c:tx>
            <c:strRef>
              <c:f>'RAW-Schertz Housing 200 XmR 7'!$C$1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7'!$C$2:$C$14</c:f>
              <c:numCache>
                <c:formatCode>0.0000</c:formatCode>
                <c:ptCount val="13"/>
                <c:pt idx="0">
                  <c:v>6.827698980586991</c:v>
                </c:pt>
                <c:pt idx="1">
                  <c:v>6.827698980586991</c:v>
                </c:pt>
                <c:pt idx="2">
                  <c:v>6.827698980586991</c:v>
                </c:pt>
                <c:pt idx="3">
                  <c:v>6.827698980586991</c:v>
                </c:pt>
                <c:pt idx="4">
                  <c:v>6.827698980586991</c:v>
                </c:pt>
                <c:pt idx="5">
                  <c:v>6.827698980586991</c:v>
                </c:pt>
                <c:pt idx="6">
                  <c:v>6.827698980586991</c:v>
                </c:pt>
                <c:pt idx="7">
                  <c:v>6.827698980586991</c:v>
                </c:pt>
                <c:pt idx="8">
                  <c:v>6.827698980586991</c:v>
                </c:pt>
                <c:pt idx="9">
                  <c:v>6.827698980586991</c:v>
                </c:pt>
                <c:pt idx="10">
                  <c:v>6.827698980586991</c:v>
                </c:pt>
                <c:pt idx="11">
                  <c:v>6.827698980586991</c:v>
                </c:pt>
                <c:pt idx="12">
                  <c:v>6.827698980586991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2F-5A46-A90A-8FE1FAA97E6B}"/>
            </c:ext>
          </c:extLst>
        </c:ser>
        <c:ser>
          <c:idx val="3"/>
          <c:order val="3"/>
          <c:tx>
            <c:strRef>
              <c:f>'RAW-Schertz Housing 200 XmR 7'!$D$1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7'!$D$2:$D$14</c:f>
              <c:numCache>
                <c:formatCode>0.0000</c:formatCode>
                <c:ptCount val="13"/>
                <c:pt idx="0">
                  <c:v>5.0191639053760122</c:v>
                </c:pt>
                <c:pt idx="1">
                  <c:v>5.0191639053760122</c:v>
                </c:pt>
                <c:pt idx="2">
                  <c:v>5.0191639053760122</c:v>
                </c:pt>
                <c:pt idx="3">
                  <c:v>5.0191639053760122</c:v>
                </c:pt>
                <c:pt idx="4">
                  <c:v>5.0191639053760122</c:v>
                </c:pt>
                <c:pt idx="5">
                  <c:v>5.0191639053760122</c:v>
                </c:pt>
                <c:pt idx="6">
                  <c:v>5.0191639053760122</c:v>
                </c:pt>
                <c:pt idx="7">
                  <c:v>5.0191639053760122</c:v>
                </c:pt>
                <c:pt idx="8">
                  <c:v>5.0191639053760122</c:v>
                </c:pt>
                <c:pt idx="9">
                  <c:v>5.0191639053760122</c:v>
                </c:pt>
                <c:pt idx="10">
                  <c:v>5.0191639053760122</c:v>
                </c:pt>
                <c:pt idx="11">
                  <c:v>5.0191639053760122</c:v>
                </c:pt>
                <c:pt idx="12">
                  <c:v>5.0191639053760122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2F-5A46-A90A-8FE1FAA97E6B}"/>
            </c:ext>
          </c:extLst>
        </c:ser>
        <c:ser>
          <c:idx val="4"/>
          <c:order val="4"/>
          <c:tx>
            <c:strRef>
              <c:f>'RAW-Schertz Housing 200 XmR 7'!$E$1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2F-5A46-A90A-8FE1FAA97E6B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2F-5A46-A90A-8FE1FAA97E6B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12F-5A46-A90A-8FE1FAA97E6B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12F-5A46-A90A-8FE1FAA97E6B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12F-5A46-A90A-8FE1FAA97E6B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12F-5A46-A90A-8FE1FAA97E6B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12F-5A46-A90A-8FE1FAA97E6B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12F-5A46-A90A-8FE1FAA97E6B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12F-5A46-A90A-8FE1FAA97E6B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412F-5A46-A90A-8FE1FAA97E6B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412F-5A46-A90A-8FE1FAA97E6B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412F-5A46-A90A-8FE1FAA97E6B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412F-5A46-A90A-8FE1FAA97E6B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12F-5A46-A90A-8FE1FAA97E6B}"/>
                </c:ext>
              </c:extLst>
            </c:dLbl>
            <c:dLbl>
              <c:idx val="11"/>
              <c:layout>
                <c:manualLayout>
                  <c:x val="-1.4638026388327691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12F-5A46-A90A-8FE1FAA97E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7'!$E$2:$E$14</c:f>
              <c:numCache>
                <c:formatCode>0.0000</c:formatCode>
                <c:ptCount val="13"/>
                <c:pt idx="0">
                  <c:v>3.2106288301650334</c:v>
                </c:pt>
                <c:pt idx="1">
                  <c:v>3.2106288301650334</c:v>
                </c:pt>
                <c:pt idx="2">
                  <c:v>3.2106288301650334</c:v>
                </c:pt>
                <c:pt idx="3">
                  <c:v>3.2106288301650334</c:v>
                </c:pt>
                <c:pt idx="4">
                  <c:v>3.2106288301650334</c:v>
                </c:pt>
                <c:pt idx="5">
                  <c:v>3.2106288301650334</c:v>
                </c:pt>
                <c:pt idx="6">
                  <c:v>3.2106288301650334</c:v>
                </c:pt>
                <c:pt idx="7">
                  <c:v>3.2106288301650334</c:v>
                </c:pt>
                <c:pt idx="8">
                  <c:v>3.2106288301650334</c:v>
                </c:pt>
                <c:pt idx="9">
                  <c:v>3.2106288301650334</c:v>
                </c:pt>
                <c:pt idx="10">
                  <c:v>3.2106288301650334</c:v>
                </c:pt>
                <c:pt idx="11">
                  <c:v>3.2106288301650334</c:v>
                </c:pt>
                <c:pt idx="12">
                  <c:v>3.2106288301650334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12F-5A46-A90A-8FE1FAA97E6B}"/>
            </c:ext>
          </c:extLst>
        </c:ser>
        <c:ser>
          <c:idx val="5"/>
          <c:order val="5"/>
          <c:tx>
            <c:strRef>
              <c:f>'RAW-Schertz Housing 200 XmR 7'!$F$1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7'!$F$2:$F$14</c:f>
              <c:numCache>
                <c:formatCode>0.0000</c:formatCode>
                <c:ptCount val="13"/>
                <c:pt idx="0">
                  <c:v>1.4020937549540549</c:v>
                </c:pt>
                <c:pt idx="1">
                  <c:v>1.4020937549540549</c:v>
                </c:pt>
                <c:pt idx="2">
                  <c:v>1.4020937549540549</c:v>
                </c:pt>
                <c:pt idx="3">
                  <c:v>1.4020937549540549</c:v>
                </c:pt>
                <c:pt idx="4">
                  <c:v>1.4020937549540549</c:v>
                </c:pt>
                <c:pt idx="5">
                  <c:v>1.4020937549540549</c:v>
                </c:pt>
                <c:pt idx="6">
                  <c:v>1.4020937549540549</c:v>
                </c:pt>
                <c:pt idx="7">
                  <c:v>1.4020937549540549</c:v>
                </c:pt>
                <c:pt idx="8">
                  <c:v>1.4020937549540549</c:v>
                </c:pt>
                <c:pt idx="9">
                  <c:v>1.4020937549540549</c:v>
                </c:pt>
                <c:pt idx="10">
                  <c:v>1.4020937549540549</c:v>
                </c:pt>
                <c:pt idx="11">
                  <c:v>1.4020937549540549</c:v>
                </c:pt>
                <c:pt idx="12">
                  <c:v>1.4020937549540549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12F-5A46-A90A-8FE1FAA97E6B}"/>
            </c:ext>
          </c:extLst>
        </c:ser>
        <c:ser>
          <c:idx val="6"/>
          <c:order val="6"/>
          <c:tx>
            <c:strRef>
              <c:f>'RAW-Schertz Housing 200 XmR 7'!$G$1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val>
            <c:numRef>
              <c:f>'RAW-Schertz Housing 200 XmR 7'!$G$2:$G$14</c:f>
              <c:numCache>
                <c:formatCode>0.0000</c:formatCode>
                <c:ptCount val="13"/>
                <c:pt idx="0">
                  <c:v>-0.4064413202569237</c:v>
                </c:pt>
                <c:pt idx="1">
                  <c:v>-0.4064413202569237</c:v>
                </c:pt>
                <c:pt idx="2">
                  <c:v>-0.4064413202569237</c:v>
                </c:pt>
                <c:pt idx="3">
                  <c:v>-0.4064413202569237</c:v>
                </c:pt>
                <c:pt idx="4">
                  <c:v>-0.4064413202569237</c:v>
                </c:pt>
                <c:pt idx="5">
                  <c:v>-0.4064413202569237</c:v>
                </c:pt>
                <c:pt idx="6">
                  <c:v>-0.4064413202569237</c:v>
                </c:pt>
                <c:pt idx="7">
                  <c:v>-0.4064413202569237</c:v>
                </c:pt>
                <c:pt idx="8">
                  <c:v>-0.4064413202569237</c:v>
                </c:pt>
                <c:pt idx="9">
                  <c:v>-0.4064413202569237</c:v>
                </c:pt>
                <c:pt idx="10">
                  <c:v>-0.4064413202569237</c:v>
                </c:pt>
                <c:pt idx="11">
                  <c:v>-0.4064413202569237</c:v>
                </c:pt>
                <c:pt idx="12">
                  <c:v>-0.4064413202569237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12F-5A46-A90A-8FE1FAA97E6B}"/>
            </c:ext>
          </c:extLst>
        </c:ser>
        <c:ser>
          <c:idx val="7"/>
          <c:order val="7"/>
          <c:tx>
            <c:strRef>
              <c:f>'RAW-Schertz Housing 200 XmR 7'!$H$1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97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412F-5A46-A90A-8FE1FAA97E6B}"/>
                </c:ext>
              </c:extLst>
            </c:dLbl>
            <c:dLbl>
              <c:idx val="11"/>
              <c:layout>
                <c:manualLayout>
                  <c:x val="-1.4638026388327691E-2"/>
                  <c:y val="-2.0175437342319972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12F-5A46-A90A-8FE1FAA97E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'RAW-Schertz Housing 200 XmR 7'!$H$2:$H$14</c:f>
              <c:numCache>
                <c:formatCode>0.0000</c:formatCode>
                <c:ptCount val="13"/>
                <c:pt idx="0">
                  <c:v>-2.214976395467902</c:v>
                </c:pt>
                <c:pt idx="1">
                  <c:v>-2.214976395467902</c:v>
                </c:pt>
                <c:pt idx="2">
                  <c:v>-2.214976395467902</c:v>
                </c:pt>
                <c:pt idx="3">
                  <c:v>-2.214976395467902</c:v>
                </c:pt>
                <c:pt idx="4">
                  <c:v>-2.214976395467902</c:v>
                </c:pt>
                <c:pt idx="5">
                  <c:v>-2.214976395467902</c:v>
                </c:pt>
                <c:pt idx="6">
                  <c:v>-2.214976395467902</c:v>
                </c:pt>
                <c:pt idx="7">
                  <c:v>-2.214976395467902</c:v>
                </c:pt>
                <c:pt idx="8">
                  <c:v>-2.214976395467902</c:v>
                </c:pt>
                <c:pt idx="9">
                  <c:v>-2.214976395467902</c:v>
                </c:pt>
                <c:pt idx="10">
                  <c:v>-2.214976395467902</c:v>
                </c:pt>
                <c:pt idx="11">
                  <c:v>-2.214976395467902</c:v>
                </c:pt>
                <c:pt idx="12">
                  <c:v>-2.214976395467902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12F-5A46-A90A-8FE1FAA97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801664"/>
        <c:axId val="1029803376"/>
      </c:lineChart>
      <c:catAx>
        <c:axId val="102980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majorTickMark val="out"/>
        <c:minorTickMark val="none"/>
        <c:tickLblPos val="nextTo"/>
        <c:crossAx val="1029803376"/>
        <c:crossesAt val="-4"/>
        <c:auto val="0"/>
        <c:lblAlgn val="ctr"/>
        <c:lblOffset val="100"/>
        <c:noMultiLvlLbl val="0"/>
      </c:catAx>
      <c:valAx>
        <c:axId val="1029803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RAW-Schertz Housing 2009-2022 pct_change pct_change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2980166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18</xdr:col>
      <xdr:colOff>518218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451B3B8-7DFA-BC4A-5AEF-C0EBE6164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18</xdr:col>
      <xdr:colOff>518218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B1B3C1A-727D-4BBD-F062-D0DFFA08D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0.43056</cdr:x>
      <cdr:y>0.20833</cdr:y>
    </cdr:from>
    <cdr:ext cx="1360757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DC14EA6-43B1-9968-605E-CAC5DD47D5A8}"/>
            </a:ext>
          </a:extLst>
        </cdr:cNvPr>
        <cdr:cNvSpPr txBox="1"/>
      </cdr:nvSpPr>
      <cdr:spPr>
        <a:xfrm xmlns:a="http://schemas.openxmlformats.org/drawingml/2006/main">
          <a:off x="1968500" y="571500"/>
          <a:ext cx="136075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Useful Fit R^2 &gt; 0.80</a:t>
          </a:r>
        </a:p>
      </cdr:txBody>
    </cdr:sp>
  </cdr:absSizeAnchor>
  <cdr:absSizeAnchor xmlns:cdr="http://schemas.openxmlformats.org/drawingml/2006/chartDrawing">
    <cdr:from>
      <cdr:x>0.43056</cdr:x>
      <cdr:y>0.25463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4184B7F-D0FB-BB23-E487-86941AC711DA}"/>
            </a:ext>
          </a:extLst>
        </cdr:cNvPr>
        <cdr:cNvSpPr txBox="1"/>
      </cdr:nvSpPr>
      <cdr:spPr>
        <a:xfrm xmlns:a="http://schemas.openxmlformats.org/drawingml/2006/main">
          <a:off x="1968500" y="698500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0.990</a:t>
          </a:r>
        </a:p>
      </cdr:txBody>
    </cdr:sp>
  </cdr:absSizeAnchor>
  <cdr:absSizeAnchor xmlns:cdr="http://schemas.openxmlformats.org/drawingml/2006/chartDrawing">
    <cdr:from>
      <cdr:x>0.43056</cdr:x>
      <cdr:y>0.30093</cdr:y>
    </cdr:from>
    <cdr:ext cx="1099147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68875A1-7493-4FFF-B927-06FC26E4DAA8}"/>
            </a:ext>
          </a:extLst>
        </cdr:cNvPr>
        <cdr:cNvSpPr txBox="1"/>
      </cdr:nvSpPr>
      <cdr:spPr>
        <a:xfrm xmlns:a="http://schemas.openxmlformats.org/drawingml/2006/main">
          <a:off x="1968500" y="825500"/>
          <a:ext cx="109914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407.903</a:t>
          </a:r>
        </a:p>
      </cdr:txBody>
    </cdr:sp>
  </cdr:absSizeAnchor>
  <cdr:absSizeAnchor xmlns:cdr="http://schemas.openxmlformats.org/drawingml/2006/chartDrawing">
    <cdr:from>
      <cdr:x>0.43056</cdr:x>
      <cdr:y>0.34722</cdr:y>
    </cdr:from>
    <cdr:ext cx="1127103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BDEF9A9-9A6A-1E36-C8CE-FFE1778B656C}"/>
            </a:ext>
          </a:extLst>
        </cdr:cNvPr>
        <cdr:cNvSpPr txBox="1"/>
      </cdr:nvSpPr>
      <cdr:spPr>
        <a:xfrm xmlns:a="http://schemas.openxmlformats.org/drawingml/2006/main">
          <a:off x="1968500" y="952500"/>
          <a:ext cx="1127103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362.510</a:t>
          </a:r>
        </a:p>
      </cdr:txBody>
    </cdr:sp>
  </cdr:absSizeAnchor>
  <cdr:absSizeAnchor xmlns:cdr="http://schemas.openxmlformats.org/drawingml/2006/chartDrawing">
    <cdr:from>
      <cdr:x>0.43056</cdr:x>
      <cdr:y>0.39352</cdr:y>
    </cdr:from>
    <cdr:ext cx="1260794" cy="264560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1836D04-365D-C5EE-BA80-7CC2FC383D52}"/>
            </a:ext>
          </a:extLst>
        </cdr:cNvPr>
        <cdr:cNvSpPr txBox="1"/>
      </cdr:nvSpPr>
      <cdr:spPr>
        <a:xfrm xmlns:a="http://schemas.openxmlformats.org/drawingml/2006/main">
          <a:off x="1968500" y="1079500"/>
          <a:ext cx="126079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0.532</a:t>
          </a:r>
        </a:p>
      </cdr:txBody>
    </cdr:sp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16</xdr:col>
      <xdr:colOff>547413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D3A9CD7-1983-E365-B8A5-28D6721D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16</xdr:col>
      <xdr:colOff>547413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7A0BCBF-2290-368D-A24E-4CF7F083F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16</xdr:col>
      <xdr:colOff>547413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12885C8-4B04-E071-27C1-AD37A9EEF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16</xdr:col>
      <xdr:colOff>547413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94A863F-F2CD-851F-AA4D-E4CC1CE90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B30" sqref="B30"/>
    </sheetView>
  </sheetViews>
  <sheetFormatPr baseColWidth="10" defaultColWidth="8.83203125" defaultRowHeight="26" x14ac:dyDescent="0.3"/>
  <cols>
    <col min="1" max="1" width="13.1640625" style="2" bestFit="1" customWidth="1"/>
    <col min="2" max="2" width="27.1640625" style="2" bestFit="1" customWidth="1"/>
    <col min="3" max="3" width="18.5" style="2" bestFit="1" customWidth="1"/>
    <col min="4" max="4" width="13.6640625" style="2" bestFit="1" customWidth="1"/>
    <col min="5" max="5" width="7.6640625" style="2" bestFit="1" customWidth="1"/>
    <col min="6" max="6" width="8.1640625" style="2" bestFit="1" customWidth="1"/>
    <col min="7" max="7" width="11.33203125" style="2" bestFit="1" customWidth="1"/>
    <col min="8" max="8" width="20" style="2" bestFit="1" customWidth="1"/>
    <col min="9" max="16384" width="8.83203125" style="2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10524</v>
      </c>
      <c r="E2" s="2">
        <v>425</v>
      </c>
      <c r="F2" s="2">
        <v>2009</v>
      </c>
    </row>
    <row r="3" spans="1:8" x14ac:dyDescent="0.3">
      <c r="A3" s="2" t="s">
        <v>8</v>
      </c>
      <c r="B3" s="2" t="s">
        <v>9</v>
      </c>
      <c r="C3" s="2" t="s">
        <v>10</v>
      </c>
      <c r="D3" s="2">
        <v>10758</v>
      </c>
      <c r="E3" s="2">
        <v>305</v>
      </c>
      <c r="F3" s="2">
        <v>2010</v>
      </c>
      <c r="G3" s="2">
        <v>234</v>
      </c>
      <c r="H3" s="2">
        <v>2.2234891676168762</v>
      </c>
    </row>
    <row r="4" spans="1:8" x14ac:dyDescent="0.3">
      <c r="A4" s="2" t="s">
        <v>8</v>
      </c>
      <c r="B4" s="2" t="s">
        <v>9</v>
      </c>
      <c r="C4" s="2" t="s">
        <v>10</v>
      </c>
      <c r="D4" s="2">
        <v>11633</v>
      </c>
      <c r="E4" s="2">
        <v>383</v>
      </c>
      <c r="F4" s="2">
        <v>2011</v>
      </c>
      <c r="G4" s="2">
        <v>875</v>
      </c>
      <c r="H4" s="2">
        <v>8.1334820598624269</v>
      </c>
    </row>
    <row r="5" spans="1:8" x14ac:dyDescent="0.3">
      <c r="A5" s="2" t="s">
        <v>8</v>
      </c>
      <c r="B5" s="2" t="s">
        <v>9</v>
      </c>
      <c r="C5" s="2" t="s">
        <v>10</v>
      </c>
      <c r="D5" s="2">
        <v>12032</v>
      </c>
      <c r="E5" s="2">
        <v>414</v>
      </c>
      <c r="F5" s="2">
        <v>2012</v>
      </c>
      <c r="G5" s="2">
        <v>399</v>
      </c>
      <c r="H5" s="2">
        <v>3.429897704805295</v>
      </c>
    </row>
    <row r="6" spans="1:8" x14ac:dyDescent="0.3">
      <c r="A6" s="2" t="s">
        <v>8</v>
      </c>
      <c r="B6" s="2" t="s">
        <v>9</v>
      </c>
      <c r="C6" s="2" t="s">
        <v>10</v>
      </c>
      <c r="D6" s="2">
        <v>12455</v>
      </c>
      <c r="E6" s="2">
        <v>373</v>
      </c>
      <c r="F6" s="2">
        <v>2013</v>
      </c>
      <c r="G6" s="2">
        <v>423</v>
      </c>
      <c r="H6" s="2">
        <v>3.515625</v>
      </c>
    </row>
    <row r="7" spans="1:8" x14ac:dyDescent="0.3">
      <c r="A7" s="2" t="s">
        <v>8</v>
      </c>
      <c r="B7" s="2" t="s">
        <v>9</v>
      </c>
      <c r="C7" s="2" t="s">
        <v>10</v>
      </c>
      <c r="D7" s="2">
        <v>12939</v>
      </c>
      <c r="E7" s="2">
        <v>328</v>
      </c>
      <c r="F7" s="2">
        <v>2014</v>
      </c>
      <c r="G7" s="2">
        <v>484</v>
      </c>
      <c r="H7" s="2">
        <v>3.8859895624247289</v>
      </c>
    </row>
    <row r="8" spans="1:8" x14ac:dyDescent="0.3">
      <c r="A8" s="2" t="s">
        <v>8</v>
      </c>
      <c r="B8" s="2" t="s">
        <v>9</v>
      </c>
      <c r="C8" s="2" t="s">
        <v>10</v>
      </c>
      <c r="D8" s="2">
        <v>13099</v>
      </c>
      <c r="E8" s="2">
        <v>371</v>
      </c>
      <c r="F8" s="2">
        <v>2015</v>
      </c>
      <c r="G8" s="2">
        <v>160</v>
      </c>
      <c r="H8" s="2">
        <v>1.236571605224515</v>
      </c>
    </row>
    <row r="9" spans="1:8" x14ac:dyDescent="0.3">
      <c r="A9" s="2" t="s">
        <v>8</v>
      </c>
      <c r="B9" s="2" t="s">
        <v>9</v>
      </c>
      <c r="C9" s="2" t="s">
        <v>10</v>
      </c>
      <c r="D9" s="2">
        <v>13465</v>
      </c>
      <c r="E9" s="2">
        <v>375</v>
      </c>
      <c r="F9" s="2">
        <v>2016</v>
      </c>
      <c r="G9" s="2">
        <v>366</v>
      </c>
      <c r="H9" s="2">
        <v>2.79410642033743</v>
      </c>
    </row>
    <row r="10" spans="1:8" x14ac:dyDescent="0.3">
      <c r="A10" s="2" t="s">
        <v>8</v>
      </c>
      <c r="B10" s="2" t="s">
        <v>9</v>
      </c>
      <c r="C10" s="2" t="s">
        <v>10</v>
      </c>
      <c r="D10" s="2">
        <v>13791</v>
      </c>
      <c r="E10" s="2">
        <v>424</v>
      </c>
      <c r="F10" s="2">
        <v>2017</v>
      </c>
      <c r="G10" s="2">
        <v>326</v>
      </c>
      <c r="H10" s="2">
        <v>2.4210917192721868</v>
      </c>
    </row>
    <row r="11" spans="1:8" x14ac:dyDescent="0.3">
      <c r="A11" s="2" t="s">
        <v>8</v>
      </c>
      <c r="B11" s="2" t="s">
        <v>9</v>
      </c>
      <c r="C11" s="2" t="s">
        <v>10</v>
      </c>
      <c r="D11" s="2">
        <v>14154</v>
      </c>
      <c r="E11" s="2">
        <v>321</v>
      </c>
      <c r="F11" s="2">
        <v>2018</v>
      </c>
      <c r="G11" s="2">
        <v>363</v>
      </c>
      <c r="H11" s="2">
        <v>2.632151403088971</v>
      </c>
    </row>
    <row r="12" spans="1:8" x14ac:dyDescent="0.3">
      <c r="A12" s="2" t="s">
        <v>8</v>
      </c>
      <c r="B12" s="2" t="s">
        <v>9</v>
      </c>
      <c r="C12" s="2" t="s">
        <v>10</v>
      </c>
      <c r="D12" s="2">
        <v>14726</v>
      </c>
      <c r="E12" s="2">
        <v>476</v>
      </c>
      <c r="F12" s="2">
        <v>2019</v>
      </c>
      <c r="G12" s="2">
        <v>572</v>
      </c>
      <c r="H12" s="2">
        <v>4.041260421082379</v>
      </c>
    </row>
    <row r="13" spans="1:8" x14ac:dyDescent="0.3">
      <c r="A13" s="2" t="s">
        <v>8</v>
      </c>
      <c r="B13" s="2" t="s">
        <v>9</v>
      </c>
      <c r="C13" s="2" t="s">
        <v>10</v>
      </c>
      <c r="D13" s="2">
        <v>15435</v>
      </c>
      <c r="E13" s="2">
        <v>592</v>
      </c>
      <c r="F13" s="2">
        <v>2020</v>
      </c>
      <c r="G13" s="2">
        <v>709</v>
      </c>
      <c r="H13" s="2">
        <v>4.8146136085834579</v>
      </c>
    </row>
    <row r="14" spans="1:8" x14ac:dyDescent="0.3">
      <c r="A14" s="2" t="s">
        <v>8</v>
      </c>
      <c r="B14" s="2" t="s">
        <v>9</v>
      </c>
      <c r="C14" s="2" t="s">
        <v>10</v>
      </c>
      <c r="D14" s="2">
        <v>15486</v>
      </c>
      <c r="E14" s="2">
        <v>550</v>
      </c>
      <c r="F14" s="2">
        <v>2021</v>
      </c>
      <c r="G14" s="2">
        <v>51</v>
      </c>
      <c r="H14" s="2">
        <v>0.3304178814382896</v>
      </c>
    </row>
    <row r="15" spans="1:8" x14ac:dyDescent="0.3">
      <c r="A15" s="2" t="s">
        <v>8</v>
      </c>
      <c r="B15" s="2" t="s">
        <v>9</v>
      </c>
      <c r="C15" s="2" t="s">
        <v>10</v>
      </c>
      <c r="D15" s="2">
        <v>15839</v>
      </c>
      <c r="E15" s="2">
        <v>625</v>
      </c>
      <c r="F15" s="2">
        <v>2022</v>
      </c>
      <c r="G15" s="2">
        <v>353</v>
      </c>
      <c r="H15" s="2">
        <v>2.2794782384088852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1460-AF92-EB40-9875-5D65798CAC82}">
  <sheetPr>
    <tabColor rgb="FF66FF66"/>
    <pageSetUpPr fitToPage="1"/>
  </sheetPr>
  <dimension ref="A1:Y52"/>
  <sheetViews>
    <sheetView zoomScale="174" zoomScaleNormal="174" workbookViewId="0">
      <selection activeCell="B1" sqref="B1:S36"/>
    </sheetView>
  </sheetViews>
  <sheetFormatPr baseColWidth="10" defaultRowHeight="15" x14ac:dyDescent="0.2"/>
  <cols>
    <col min="1" max="19" width="6.83203125" customWidth="1"/>
  </cols>
  <sheetData>
    <row r="1" spans="1:25" ht="14" customHeight="1" x14ac:dyDescent="0.2">
      <c r="A1" s="4" t="s">
        <v>20</v>
      </c>
      <c r="B1" s="4" t="s">
        <v>14</v>
      </c>
      <c r="C1" s="4" t="s">
        <v>16</v>
      </c>
      <c r="D1" s="4" t="s">
        <v>17</v>
      </c>
      <c r="E1" s="4" t="s">
        <v>11</v>
      </c>
      <c r="F1" s="4" t="s">
        <v>18</v>
      </c>
      <c r="G1" s="4" t="s">
        <v>19</v>
      </c>
      <c r="H1" s="4" t="s">
        <v>13</v>
      </c>
      <c r="I1" t="s">
        <v>15</v>
      </c>
      <c r="J1" s="4" t="s">
        <v>12</v>
      </c>
      <c r="K1" s="4" t="s">
        <v>14</v>
      </c>
      <c r="L1" s="4" t="s">
        <v>16</v>
      </c>
      <c r="M1" s="4" t="s">
        <v>17</v>
      </c>
      <c r="N1" s="4" t="s">
        <v>11</v>
      </c>
      <c r="O1" s="4" t="s">
        <v>18</v>
      </c>
      <c r="P1" s="4" t="s">
        <v>19</v>
      </c>
      <c r="Q1" s="4" t="s">
        <v>13</v>
      </c>
      <c r="R1" t="s">
        <v>21</v>
      </c>
      <c r="T1" t="s">
        <v>22</v>
      </c>
      <c r="U1">
        <f>INDEX(LINEST($A$2:$A$15,,,TRUE),1,1)</f>
        <v>407.9032967032968</v>
      </c>
      <c r="V1" t="s">
        <v>23</v>
      </c>
      <c r="W1">
        <f>INDEX(LINEST($A$2:$A$15,,,TRUE),1,2)</f>
        <v>10250.439560439561</v>
      </c>
      <c r="X1" t="s">
        <v>24</v>
      </c>
      <c r="Y1">
        <f>INDEX(LINEST($A$2:$A$15,,,TRUE),3,1)</f>
        <v>0.98954555826339641</v>
      </c>
    </row>
    <row r="2" spans="1:25" ht="14" customHeight="1" x14ac:dyDescent="0.3">
      <c r="A2" s="5">
        <v>10524</v>
      </c>
      <c r="B2" s="6">
        <f t="shared" ref="B2:B35" ca="1" si="0">E2+2.66*N2</f>
        <v>11745.873626373626</v>
      </c>
      <c r="C2" s="6">
        <f t="shared" ref="C2:C35" ca="1" si="1">E2+(2/3)*2.66*N2</f>
        <v>11383.36336996337</v>
      </c>
      <c r="D2" s="6">
        <f t="shared" ref="D2:D35" ca="1" si="2">E2+(1/3)*2.66*N2</f>
        <v>11020.853113553114</v>
      </c>
      <c r="E2" s="6">
        <f t="shared" ref="E2:E35" si="3">INDEX(LINEST($A$2:$A$15,,,TRUE),1,1)* R2 +INDEX(LINEST($A$2:$A$15,,,TRUE),1,2)</f>
        <v>10658.342857142858</v>
      </c>
      <c r="F2" s="6">
        <f t="shared" ref="F2:F35" ca="1" si="4">E2-(1/3)*2.66*N2</f>
        <v>10295.832600732601</v>
      </c>
      <c r="G2" s="6">
        <f t="shared" ref="G2:G35" ca="1" si="5">E2-(2/3)*2.66*N2</f>
        <v>9933.3223443223451</v>
      </c>
      <c r="H2" s="6">
        <f t="shared" ref="H2:H35" ca="1" si="6">E2-2.66*N2</f>
        <v>9570.8120879120888</v>
      </c>
      <c r="I2" s="7">
        <f>A2</f>
        <v>10524</v>
      </c>
      <c r="J2" s="6"/>
      <c r="K2" s="4"/>
      <c r="L2" s="4"/>
      <c r="M2" s="4"/>
      <c r="N2" s="4">
        <f t="shared" ref="N2:N35" ca="1" si="7">AVERAGE($J$3:$J$15)</f>
        <v>408.84615384615387</v>
      </c>
      <c r="O2" s="4"/>
      <c r="P2" s="4"/>
      <c r="Q2" s="4"/>
      <c r="R2">
        <v>1</v>
      </c>
    </row>
    <row r="3" spans="1:25" ht="14" customHeight="1" x14ac:dyDescent="0.3">
      <c r="A3" s="5">
        <v>10758</v>
      </c>
      <c r="B3" s="6">
        <f t="shared" ca="1" si="0"/>
        <v>12153.776923076925</v>
      </c>
      <c r="C3" s="6">
        <f t="shared" ca="1" si="1"/>
        <v>11791.266666666668</v>
      </c>
      <c r="D3" s="6">
        <f t="shared" ca="1" si="2"/>
        <v>11428.756410256412</v>
      </c>
      <c r="E3" s="6">
        <f t="shared" si="3"/>
        <v>11066.246153846156</v>
      </c>
      <c r="F3" s="6">
        <f t="shared" ca="1" si="4"/>
        <v>10703.735897435899</v>
      </c>
      <c r="G3" s="6">
        <f t="shared" ca="1" si="5"/>
        <v>10341.225641025643</v>
      </c>
      <c r="H3" s="6">
        <f t="shared" ca="1" si="6"/>
        <v>9978.7153846153869</v>
      </c>
      <c r="I3" s="7">
        <f t="shared" ref="I3:I35" ca="1" si="8">IF(ISBLANK(A3),OFFSET(I3,-1,0,1,1),A3)</f>
        <v>10758</v>
      </c>
      <c r="J3" s="6">
        <f t="shared" ref="J3:J35" ca="1" si="9">IF(OR(OFFSET(J3,-1,-9,1,1)="",OFFSET(J3,0,-9,1,1)=""),"",IF(ISERROR(ABS(A3-OFFSET(J3,-1,-1,1,1))),"",ABS(A3-OFFSET(J3,-1,-1,1,1))))</f>
        <v>234</v>
      </c>
      <c r="K3" s="4">
        <f t="shared" ref="K3:K35" ca="1" si="10">3.267*N3</f>
        <v>1335.7003846153846</v>
      </c>
      <c r="L3" s="4">
        <f t="shared" ref="L3:L35" ca="1" si="11">(2/3)*(K3-N3)+N3</f>
        <v>1026.7489743589742</v>
      </c>
      <c r="M3" s="4">
        <f t="shared" ref="M3:M35" ca="1" si="12">(1/3)*(K3-N3)+N3</f>
        <v>717.79756410256414</v>
      </c>
      <c r="N3" s="4">
        <f t="shared" ca="1" si="7"/>
        <v>408.84615384615387</v>
      </c>
      <c r="O3" s="4">
        <f t="shared" ref="O3:O35" ca="1" si="13">(MAX(N3-(1/3)*(K3-N3),0))</f>
        <v>99.894743589743655</v>
      </c>
      <c r="P3" s="4">
        <f t="shared" ref="P3:P35" ca="1" si="14">MAX(N3-(2/3)*(K3-N3),0)</f>
        <v>0</v>
      </c>
      <c r="Q3" s="4">
        <v>0</v>
      </c>
      <c r="R3">
        <f t="shared" ref="R3:R35" si="15">R2+1</f>
        <v>2</v>
      </c>
    </row>
    <row r="4" spans="1:25" ht="14" customHeight="1" x14ac:dyDescent="0.3">
      <c r="A4" s="5">
        <v>11633</v>
      </c>
      <c r="B4" s="6">
        <f t="shared" ca="1" si="0"/>
        <v>12561.680219780221</v>
      </c>
      <c r="C4" s="6">
        <f t="shared" ca="1" si="1"/>
        <v>12199.169963369965</v>
      </c>
      <c r="D4" s="6">
        <f t="shared" ca="1" si="2"/>
        <v>11836.659706959708</v>
      </c>
      <c r="E4" s="6">
        <f t="shared" si="3"/>
        <v>11474.149450549452</v>
      </c>
      <c r="F4" s="6">
        <f t="shared" ca="1" si="4"/>
        <v>11111.639194139196</v>
      </c>
      <c r="G4" s="6">
        <f t="shared" ca="1" si="5"/>
        <v>10749.128937728939</v>
      </c>
      <c r="H4" s="6">
        <f t="shared" ca="1" si="6"/>
        <v>10386.618681318683</v>
      </c>
      <c r="I4" s="7">
        <f t="shared" ca="1" si="8"/>
        <v>11633</v>
      </c>
      <c r="J4" s="6">
        <f t="shared" ca="1" si="9"/>
        <v>875</v>
      </c>
      <c r="K4" s="4">
        <f t="shared" ca="1" si="10"/>
        <v>1335.7003846153846</v>
      </c>
      <c r="L4" s="4">
        <f t="shared" ca="1" si="11"/>
        <v>1026.7489743589742</v>
      </c>
      <c r="M4" s="4">
        <f t="shared" ca="1" si="12"/>
        <v>717.79756410256414</v>
      </c>
      <c r="N4" s="4">
        <f t="shared" ca="1" si="7"/>
        <v>408.84615384615387</v>
      </c>
      <c r="O4" s="4">
        <f t="shared" ca="1" si="13"/>
        <v>99.894743589743655</v>
      </c>
      <c r="P4" s="4">
        <f t="shared" ca="1" si="14"/>
        <v>0</v>
      </c>
      <c r="Q4" s="4">
        <v>0</v>
      </c>
      <c r="R4">
        <f t="shared" si="15"/>
        <v>3</v>
      </c>
    </row>
    <row r="5" spans="1:25" ht="14" customHeight="1" x14ac:dyDescent="0.3">
      <c r="A5" s="5">
        <v>12032</v>
      </c>
      <c r="B5" s="6">
        <f t="shared" ca="1" si="0"/>
        <v>12969.583516483517</v>
      </c>
      <c r="C5" s="6">
        <f t="shared" ca="1" si="1"/>
        <v>12607.073260073261</v>
      </c>
      <c r="D5" s="6">
        <f t="shared" ca="1" si="2"/>
        <v>12244.563003663005</v>
      </c>
      <c r="E5" s="6">
        <f t="shared" si="3"/>
        <v>11882.052747252748</v>
      </c>
      <c r="F5" s="6">
        <f t="shared" ca="1" si="4"/>
        <v>11519.542490842492</v>
      </c>
      <c r="G5" s="6">
        <f t="shared" ca="1" si="5"/>
        <v>11157.032234432236</v>
      </c>
      <c r="H5" s="6">
        <f t="shared" ca="1" si="6"/>
        <v>10794.52197802198</v>
      </c>
      <c r="I5" s="7">
        <f t="shared" ca="1" si="8"/>
        <v>12032</v>
      </c>
      <c r="J5" s="6">
        <f t="shared" ca="1" si="9"/>
        <v>399</v>
      </c>
      <c r="K5" s="4">
        <f t="shared" ca="1" si="10"/>
        <v>1335.7003846153846</v>
      </c>
      <c r="L5" s="4">
        <f t="shared" ca="1" si="11"/>
        <v>1026.7489743589742</v>
      </c>
      <c r="M5" s="4">
        <f t="shared" ca="1" si="12"/>
        <v>717.79756410256414</v>
      </c>
      <c r="N5" s="4">
        <f t="shared" ca="1" si="7"/>
        <v>408.84615384615387</v>
      </c>
      <c r="O5" s="4">
        <f t="shared" ca="1" si="13"/>
        <v>99.894743589743655</v>
      </c>
      <c r="P5" s="4">
        <f t="shared" ca="1" si="14"/>
        <v>0</v>
      </c>
      <c r="Q5" s="4">
        <v>0</v>
      </c>
      <c r="R5">
        <f t="shared" si="15"/>
        <v>4</v>
      </c>
    </row>
    <row r="6" spans="1:25" ht="14" customHeight="1" x14ac:dyDescent="0.3">
      <c r="A6" s="5">
        <v>12455</v>
      </c>
      <c r="B6" s="6">
        <f t="shared" ca="1" si="0"/>
        <v>13377.486813186813</v>
      </c>
      <c r="C6" s="6">
        <f t="shared" ca="1" si="1"/>
        <v>13014.976556776557</v>
      </c>
      <c r="D6" s="6">
        <f t="shared" ca="1" si="2"/>
        <v>12652.466300366301</v>
      </c>
      <c r="E6" s="6">
        <f t="shared" si="3"/>
        <v>12289.956043956045</v>
      </c>
      <c r="F6" s="6">
        <f t="shared" ca="1" si="4"/>
        <v>11927.445787545788</v>
      </c>
      <c r="G6" s="6">
        <f t="shared" ca="1" si="5"/>
        <v>11564.935531135532</v>
      </c>
      <c r="H6" s="6">
        <f t="shared" ca="1" si="6"/>
        <v>11202.425274725276</v>
      </c>
      <c r="I6" s="7">
        <f t="shared" ca="1" si="8"/>
        <v>12455</v>
      </c>
      <c r="J6" s="6">
        <f t="shared" ca="1" si="9"/>
        <v>423</v>
      </c>
      <c r="K6" s="4">
        <f t="shared" ca="1" si="10"/>
        <v>1335.7003846153846</v>
      </c>
      <c r="L6" s="4">
        <f t="shared" ca="1" si="11"/>
        <v>1026.7489743589742</v>
      </c>
      <c r="M6" s="4">
        <f t="shared" ca="1" si="12"/>
        <v>717.79756410256414</v>
      </c>
      <c r="N6" s="4">
        <f t="shared" ca="1" si="7"/>
        <v>408.84615384615387</v>
      </c>
      <c r="O6" s="4">
        <f t="shared" ca="1" si="13"/>
        <v>99.894743589743655</v>
      </c>
      <c r="P6" s="4">
        <f t="shared" ca="1" si="14"/>
        <v>0</v>
      </c>
      <c r="Q6" s="4">
        <v>0</v>
      </c>
      <c r="R6">
        <f t="shared" si="15"/>
        <v>5</v>
      </c>
    </row>
    <row r="7" spans="1:25" ht="14" customHeight="1" x14ac:dyDescent="0.3">
      <c r="A7" s="5">
        <v>12939</v>
      </c>
      <c r="B7" s="6">
        <f t="shared" ca="1" si="0"/>
        <v>13785.390109890111</v>
      </c>
      <c r="C7" s="6">
        <f t="shared" ca="1" si="1"/>
        <v>13422.879853479855</v>
      </c>
      <c r="D7" s="6">
        <f t="shared" ca="1" si="2"/>
        <v>13060.369597069599</v>
      </c>
      <c r="E7" s="6">
        <f t="shared" si="3"/>
        <v>12697.859340659343</v>
      </c>
      <c r="F7" s="6">
        <f t="shared" ca="1" si="4"/>
        <v>12335.349084249086</v>
      </c>
      <c r="G7" s="6">
        <f t="shared" ca="1" si="5"/>
        <v>11972.83882783883</v>
      </c>
      <c r="H7" s="6">
        <f t="shared" ca="1" si="6"/>
        <v>11610.328571428574</v>
      </c>
      <c r="I7" s="7">
        <f t="shared" ca="1" si="8"/>
        <v>12939</v>
      </c>
      <c r="J7" s="6">
        <f t="shared" ca="1" si="9"/>
        <v>484</v>
      </c>
      <c r="K7" s="4">
        <f t="shared" ca="1" si="10"/>
        <v>1335.7003846153846</v>
      </c>
      <c r="L7" s="4">
        <f t="shared" ca="1" si="11"/>
        <v>1026.7489743589742</v>
      </c>
      <c r="M7" s="4">
        <f t="shared" ca="1" si="12"/>
        <v>717.79756410256414</v>
      </c>
      <c r="N7" s="4">
        <f t="shared" ca="1" si="7"/>
        <v>408.84615384615387</v>
      </c>
      <c r="O7" s="4">
        <f t="shared" ca="1" si="13"/>
        <v>99.894743589743655</v>
      </c>
      <c r="P7" s="4">
        <f t="shared" ca="1" si="14"/>
        <v>0</v>
      </c>
      <c r="Q7" s="4">
        <v>0</v>
      </c>
      <c r="R7">
        <f t="shared" si="15"/>
        <v>6</v>
      </c>
    </row>
    <row r="8" spans="1:25" ht="14" customHeight="1" x14ac:dyDescent="0.3">
      <c r="A8" s="5">
        <v>13099</v>
      </c>
      <c r="B8" s="6">
        <f t="shared" ca="1" si="0"/>
        <v>14193.293406593408</v>
      </c>
      <c r="C8" s="6">
        <f t="shared" ca="1" si="1"/>
        <v>13830.783150183152</v>
      </c>
      <c r="D8" s="6">
        <f t="shared" ca="1" si="2"/>
        <v>13468.272893772895</v>
      </c>
      <c r="E8" s="6">
        <f t="shared" si="3"/>
        <v>13105.762637362639</v>
      </c>
      <c r="F8" s="6">
        <f t="shared" ca="1" si="4"/>
        <v>12743.252380952383</v>
      </c>
      <c r="G8" s="6">
        <f t="shared" ca="1" si="5"/>
        <v>12380.742124542126</v>
      </c>
      <c r="H8" s="6">
        <f t="shared" ca="1" si="6"/>
        <v>12018.23186813187</v>
      </c>
      <c r="I8" s="7">
        <f t="shared" ca="1" si="8"/>
        <v>13099</v>
      </c>
      <c r="J8" s="6">
        <f t="shared" ca="1" si="9"/>
        <v>160</v>
      </c>
      <c r="K8" s="4">
        <f t="shared" ca="1" si="10"/>
        <v>1335.7003846153846</v>
      </c>
      <c r="L8" s="4">
        <f t="shared" ca="1" si="11"/>
        <v>1026.7489743589742</v>
      </c>
      <c r="M8" s="4">
        <f t="shared" ca="1" si="12"/>
        <v>717.79756410256414</v>
      </c>
      <c r="N8" s="4">
        <f t="shared" ca="1" si="7"/>
        <v>408.84615384615387</v>
      </c>
      <c r="O8" s="4">
        <f t="shared" ca="1" si="13"/>
        <v>99.894743589743655</v>
      </c>
      <c r="P8" s="4">
        <f t="shared" ca="1" si="14"/>
        <v>0</v>
      </c>
      <c r="Q8" s="4">
        <v>0</v>
      </c>
      <c r="R8">
        <f t="shared" si="15"/>
        <v>7</v>
      </c>
    </row>
    <row r="9" spans="1:25" ht="14" customHeight="1" x14ac:dyDescent="0.3">
      <c r="A9" s="5">
        <v>13465</v>
      </c>
      <c r="B9" s="6">
        <f t="shared" ca="1" si="0"/>
        <v>14601.196703296704</v>
      </c>
      <c r="C9" s="6">
        <f t="shared" ca="1" si="1"/>
        <v>14238.686446886448</v>
      </c>
      <c r="D9" s="6">
        <f t="shared" ca="1" si="2"/>
        <v>13876.176190476192</v>
      </c>
      <c r="E9" s="6">
        <f t="shared" si="3"/>
        <v>13513.665934065935</v>
      </c>
      <c r="F9" s="6">
        <f t="shared" ca="1" si="4"/>
        <v>13151.155677655679</v>
      </c>
      <c r="G9" s="6">
        <f t="shared" ca="1" si="5"/>
        <v>12788.645421245423</v>
      </c>
      <c r="H9" s="6">
        <f t="shared" ca="1" si="6"/>
        <v>12426.135164835167</v>
      </c>
      <c r="I9" s="7">
        <f t="shared" ca="1" si="8"/>
        <v>13465</v>
      </c>
      <c r="J9" s="6">
        <f t="shared" ca="1" si="9"/>
        <v>366</v>
      </c>
      <c r="K9" s="4">
        <f t="shared" ca="1" si="10"/>
        <v>1335.7003846153846</v>
      </c>
      <c r="L9" s="4">
        <f t="shared" ca="1" si="11"/>
        <v>1026.7489743589742</v>
      </c>
      <c r="M9" s="4">
        <f t="shared" ca="1" si="12"/>
        <v>717.79756410256414</v>
      </c>
      <c r="N9" s="4">
        <f t="shared" ca="1" si="7"/>
        <v>408.84615384615387</v>
      </c>
      <c r="O9" s="4">
        <f t="shared" ca="1" si="13"/>
        <v>99.894743589743655</v>
      </c>
      <c r="P9" s="4">
        <f t="shared" ca="1" si="14"/>
        <v>0</v>
      </c>
      <c r="Q9" s="4">
        <v>0</v>
      </c>
      <c r="R9">
        <f t="shared" si="15"/>
        <v>8</v>
      </c>
    </row>
    <row r="10" spans="1:25" ht="14" customHeight="1" x14ac:dyDescent="0.3">
      <c r="A10" s="5">
        <v>13791</v>
      </c>
      <c r="B10" s="6">
        <f t="shared" ca="1" si="0"/>
        <v>15009.100000000002</v>
      </c>
      <c r="C10" s="6">
        <f t="shared" ca="1" si="1"/>
        <v>14646.589743589746</v>
      </c>
      <c r="D10" s="6">
        <f t="shared" ca="1" si="2"/>
        <v>14284.07948717949</v>
      </c>
      <c r="E10" s="6">
        <f t="shared" si="3"/>
        <v>13921.569230769233</v>
      </c>
      <c r="F10" s="6">
        <f t="shared" ca="1" si="4"/>
        <v>13559.058974358977</v>
      </c>
      <c r="G10" s="6">
        <f t="shared" ca="1" si="5"/>
        <v>13196.548717948721</v>
      </c>
      <c r="H10" s="6">
        <f t="shared" ca="1" si="6"/>
        <v>12834.038461538465</v>
      </c>
      <c r="I10" s="7">
        <f t="shared" ca="1" si="8"/>
        <v>13791</v>
      </c>
      <c r="J10" s="6">
        <f t="shared" ca="1" si="9"/>
        <v>326</v>
      </c>
      <c r="K10" s="4">
        <f t="shared" ca="1" si="10"/>
        <v>1335.7003846153846</v>
      </c>
      <c r="L10" s="4">
        <f t="shared" ca="1" si="11"/>
        <v>1026.7489743589742</v>
      </c>
      <c r="M10" s="4">
        <f t="shared" ca="1" si="12"/>
        <v>717.79756410256414</v>
      </c>
      <c r="N10" s="4">
        <f t="shared" ca="1" si="7"/>
        <v>408.84615384615387</v>
      </c>
      <c r="O10" s="4">
        <f t="shared" ca="1" si="13"/>
        <v>99.894743589743655</v>
      </c>
      <c r="P10" s="4">
        <f t="shared" ca="1" si="14"/>
        <v>0</v>
      </c>
      <c r="Q10" s="4">
        <v>0</v>
      </c>
      <c r="R10">
        <f t="shared" si="15"/>
        <v>9</v>
      </c>
    </row>
    <row r="11" spans="1:25" ht="14" customHeight="1" x14ac:dyDescent="0.3">
      <c r="A11" s="5">
        <v>14154</v>
      </c>
      <c r="B11" s="6">
        <f t="shared" ca="1" si="0"/>
        <v>15417.003296703298</v>
      </c>
      <c r="C11" s="6">
        <f t="shared" ca="1" si="1"/>
        <v>15054.493040293042</v>
      </c>
      <c r="D11" s="6">
        <f t="shared" ca="1" si="2"/>
        <v>14691.982783882786</v>
      </c>
      <c r="E11" s="6">
        <f t="shared" si="3"/>
        <v>14329.47252747253</v>
      </c>
      <c r="F11" s="6">
        <f t="shared" ca="1" si="4"/>
        <v>13966.962271062273</v>
      </c>
      <c r="G11" s="6">
        <f t="shared" ca="1" si="5"/>
        <v>13604.452014652017</v>
      </c>
      <c r="H11" s="6">
        <f t="shared" ca="1" si="6"/>
        <v>13241.941758241761</v>
      </c>
      <c r="I11" s="7">
        <f t="shared" ca="1" si="8"/>
        <v>14154</v>
      </c>
      <c r="J11" s="6">
        <f t="shared" ca="1" si="9"/>
        <v>363</v>
      </c>
      <c r="K11" s="4">
        <f t="shared" ca="1" si="10"/>
        <v>1335.7003846153846</v>
      </c>
      <c r="L11" s="4">
        <f t="shared" ca="1" si="11"/>
        <v>1026.7489743589742</v>
      </c>
      <c r="M11" s="4">
        <f t="shared" ca="1" si="12"/>
        <v>717.79756410256414</v>
      </c>
      <c r="N11" s="4">
        <f t="shared" ca="1" si="7"/>
        <v>408.84615384615387</v>
      </c>
      <c r="O11" s="4">
        <f t="shared" ca="1" si="13"/>
        <v>99.894743589743655</v>
      </c>
      <c r="P11" s="4">
        <f t="shared" ca="1" si="14"/>
        <v>0</v>
      </c>
      <c r="Q11" s="4">
        <v>0</v>
      </c>
      <c r="R11">
        <f t="shared" si="15"/>
        <v>10</v>
      </c>
    </row>
    <row r="12" spans="1:25" ht="14" customHeight="1" x14ac:dyDescent="0.3">
      <c r="A12" s="5">
        <v>14726</v>
      </c>
      <c r="B12" s="6">
        <f t="shared" ca="1" si="0"/>
        <v>15824.906593406595</v>
      </c>
      <c r="C12" s="6">
        <f t="shared" ca="1" si="1"/>
        <v>15462.396336996339</v>
      </c>
      <c r="D12" s="6">
        <f t="shared" ca="1" si="2"/>
        <v>15099.886080586082</v>
      </c>
      <c r="E12" s="6">
        <f t="shared" si="3"/>
        <v>14737.375824175826</v>
      </c>
      <c r="F12" s="6">
        <f t="shared" ca="1" si="4"/>
        <v>14374.86556776557</v>
      </c>
      <c r="G12" s="6">
        <f t="shared" ca="1" si="5"/>
        <v>14012.355311355313</v>
      </c>
      <c r="H12" s="6">
        <f t="shared" ca="1" si="6"/>
        <v>13649.845054945057</v>
      </c>
      <c r="I12" s="7">
        <f t="shared" ca="1" si="8"/>
        <v>14726</v>
      </c>
      <c r="J12" s="6">
        <f t="shared" ca="1" si="9"/>
        <v>572</v>
      </c>
      <c r="K12" s="4">
        <f t="shared" ca="1" si="10"/>
        <v>1335.7003846153846</v>
      </c>
      <c r="L12" s="4">
        <f t="shared" ca="1" si="11"/>
        <v>1026.7489743589742</v>
      </c>
      <c r="M12" s="4">
        <f t="shared" ca="1" si="12"/>
        <v>717.79756410256414</v>
      </c>
      <c r="N12" s="4">
        <f t="shared" ca="1" si="7"/>
        <v>408.84615384615387</v>
      </c>
      <c r="O12" s="4">
        <f t="shared" ca="1" si="13"/>
        <v>99.894743589743655</v>
      </c>
      <c r="P12" s="4">
        <f t="shared" ca="1" si="14"/>
        <v>0</v>
      </c>
      <c r="Q12" s="4">
        <v>0</v>
      </c>
      <c r="R12">
        <f t="shared" si="15"/>
        <v>11</v>
      </c>
    </row>
    <row r="13" spans="1:25" ht="14" customHeight="1" x14ac:dyDescent="0.3">
      <c r="A13" s="5">
        <v>15435</v>
      </c>
      <c r="B13" s="6">
        <f t="shared" ca="1" si="0"/>
        <v>16232.809890109893</v>
      </c>
      <c r="C13" s="6">
        <f t="shared" ca="1" si="1"/>
        <v>15870.299633699637</v>
      </c>
      <c r="D13" s="6">
        <f t="shared" ca="1" si="2"/>
        <v>15507.78937728938</v>
      </c>
      <c r="E13" s="6">
        <f t="shared" si="3"/>
        <v>15145.279120879124</v>
      </c>
      <c r="F13" s="6">
        <f t="shared" ca="1" si="4"/>
        <v>14782.768864468868</v>
      </c>
      <c r="G13" s="6">
        <f t="shared" ca="1" si="5"/>
        <v>14420.258608058612</v>
      </c>
      <c r="H13" s="6">
        <f t="shared" ca="1" si="6"/>
        <v>14057.748351648355</v>
      </c>
      <c r="I13" s="7">
        <f t="shared" ca="1" si="8"/>
        <v>15435</v>
      </c>
      <c r="J13" s="6">
        <f t="shared" ca="1" si="9"/>
        <v>709</v>
      </c>
      <c r="K13" s="4">
        <f t="shared" ca="1" si="10"/>
        <v>1335.7003846153846</v>
      </c>
      <c r="L13" s="4">
        <f t="shared" ca="1" si="11"/>
        <v>1026.7489743589742</v>
      </c>
      <c r="M13" s="4">
        <f t="shared" ca="1" si="12"/>
        <v>717.79756410256414</v>
      </c>
      <c r="N13" s="4">
        <f t="shared" ca="1" si="7"/>
        <v>408.84615384615387</v>
      </c>
      <c r="O13" s="4">
        <f t="shared" ca="1" si="13"/>
        <v>99.894743589743655</v>
      </c>
      <c r="P13" s="4">
        <f t="shared" ca="1" si="14"/>
        <v>0</v>
      </c>
      <c r="Q13" s="4">
        <v>0</v>
      </c>
      <c r="R13">
        <f t="shared" si="15"/>
        <v>12</v>
      </c>
    </row>
    <row r="14" spans="1:25" ht="14" customHeight="1" x14ac:dyDescent="0.3">
      <c r="A14" s="5">
        <v>15486</v>
      </c>
      <c r="B14" s="6">
        <f t="shared" ca="1" si="0"/>
        <v>16640.713186813187</v>
      </c>
      <c r="C14" s="6">
        <f t="shared" ca="1" si="1"/>
        <v>16278.202930402931</v>
      </c>
      <c r="D14" s="6">
        <f t="shared" ca="1" si="2"/>
        <v>15915.692673992675</v>
      </c>
      <c r="E14" s="6">
        <f t="shared" si="3"/>
        <v>15553.182417582419</v>
      </c>
      <c r="F14" s="6">
        <f t="shared" ca="1" si="4"/>
        <v>15190.672161172162</v>
      </c>
      <c r="G14" s="6">
        <f t="shared" ca="1" si="5"/>
        <v>14828.161904761906</v>
      </c>
      <c r="H14" s="6">
        <f t="shared" ca="1" si="6"/>
        <v>14465.65164835165</v>
      </c>
      <c r="I14" s="7">
        <f t="shared" ca="1" si="8"/>
        <v>15486</v>
      </c>
      <c r="J14" s="6">
        <f t="shared" ca="1" si="9"/>
        <v>51</v>
      </c>
      <c r="K14" s="4">
        <f t="shared" ca="1" si="10"/>
        <v>1335.7003846153846</v>
      </c>
      <c r="L14" s="4">
        <f t="shared" ca="1" si="11"/>
        <v>1026.7489743589742</v>
      </c>
      <c r="M14" s="4">
        <f t="shared" ca="1" si="12"/>
        <v>717.79756410256414</v>
      </c>
      <c r="N14" s="4">
        <f t="shared" ca="1" si="7"/>
        <v>408.84615384615387</v>
      </c>
      <c r="O14" s="4">
        <f t="shared" ca="1" si="13"/>
        <v>99.894743589743655</v>
      </c>
      <c r="P14" s="4">
        <f t="shared" ca="1" si="14"/>
        <v>0</v>
      </c>
      <c r="Q14" s="4">
        <v>0</v>
      </c>
      <c r="R14">
        <f t="shared" si="15"/>
        <v>13</v>
      </c>
    </row>
    <row r="15" spans="1:25" ht="14" customHeight="1" x14ac:dyDescent="0.3">
      <c r="A15" s="5">
        <v>15839</v>
      </c>
      <c r="B15" s="6">
        <f t="shared" ca="1" si="0"/>
        <v>17048.616483516485</v>
      </c>
      <c r="C15" s="6">
        <f t="shared" ca="1" si="1"/>
        <v>16686.106227106229</v>
      </c>
      <c r="D15" s="6">
        <f t="shared" ca="1" si="2"/>
        <v>16323.595970695973</v>
      </c>
      <c r="E15" s="6">
        <f t="shared" si="3"/>
        <v>15961.085714285717</v>
      </c>
      <c r="F15" s="6">
        <f t="shared" ca="1" si="4"/>
        <v>15598.57545787546</v>
      </c>
      <c r="G15" s="6">
        <f t="shared" ca="1" si="5"/>
        <v>15236.065201465204</v>
      </c>
      <c r="H15" s="6">
        <f t="shared" ca="1" si="6"/>
        <v>14873.554945054948</v>
      </c>
      <c r="I15" s="7">
        <f t="shared" ca="1" si="8"/>
        <v>15839</v>
      </c>
      <c r="J15" s="6">
        <f t="shared" ca="1" si="9"/>
        <v>353</v>
      </c>
      <c r="K15" s="4">
        <f t="shared" ca="1" si="10"/>
        <v>1335.7003846153846</v>
      </c>
      <c r="L15" s="4">
        <f t="shared" ca="1" si="11"/>
        <v>1026.7489743589742</v>
      </c>
      <c r="M15" s="4">
        <f t="shared" ca="1" si="12"/>
        <v>717.79756410256414</v>
      </c>
      <c r="N15" s="4">
        <f t="shared" ca="1" si="7"/>
        <v>408.84615384615387</v>
      </c>
      <c r="O15" s="4">
        <f t="shared" ca="1" si="13"/>
        <v>99.894743589743655</v>
      </c>
      <c r="P15" s="4">
        <f t="shared" ca="1" si="14"/>
        <v>0</v>
      </c>
      <c r="Q15" s="4">
        <v>0</v>
      </c>
      <c r="R15">
        <f t="shared" si="15"/>
        <v>14</v>
      </c>
    </row>
    <row r="16" spans="1:25" ht="14" customHeight="1" x14ac:dyDescent="0.2">
      <c r="B16">
        <f t="shared" ca="1" si="0"/>
        <v>17456.519780219784</v>
      </c>
      <c r="C16">
        <f t="shared" ca="1" si="1"/>
        <v>17094.009523809527</v>
      </c>
      <c r="D16">
        <f t="shared" ca="1" si="2"/>
        <v>16731.499267399271</v>
      </c>
      <c r="E16">
        <f t="shared" si="3"/>
        <v>16368.989010989013</v>
      </c>
      <c r="F16">
        <f t="shared" ca="1" si="4"/>
        <v>16006.478754578757</v>
      </c>
      <c r="G16">
        <f t="shared" ca="1" si="5"/>
        <v>15643.9684981685</v>
      </c>
      <c r="H16">
        <f t="shared" ca="1" si="6"/>
        <v>15281.458241758244</v>
      </c>
      <c r="I16">
        <f t="shared" ca="1" si="8"/>
        <v>15839</v>
      </c>
      <c r="K16">
        <f t="shared" ca="1" si="10"/>
        <v>1335.7003846153846</v>
      </c>
      <c r="L16">
        <f t="shared" ca="1" si="11"/>
        <v>1026.7489743589742</v>
      </c>
      <c r="M16">
        <f t="shared" ca="1" si="12"/>
        <v>717.79756410256414</v>
      </c>
      <c r="N16" s="4">
        <f t="shared" ca="1" si="7"/>
        <v>408.84615384615387</v>
      </c>
      <c r="O16">
        <f t="shared" ca="1" si="13"/>
        <v>99.894743589743655</v>
      </c>
      <c r="P16">
        <f t="shared" ca="1" si="14"/>
        <v>0</v>
      </c>
      <c r="Q16">
        <v>0</v>
      </c>
      <c r="R16">
        <f t="shared" si="15"/>
        <v>15</v>
      </c>
    </row>
    <row r="17" spans="2:18" ht="14" customHeight="1" x14ac:dyDescent="0.2">
      <c r="B17">
        <f t="shared" ca="1" si="0"/>
        <v>17864.423076923078</v>
      </c>
      <c r="C17">
        <f t="shared" ca="1" si="1"/>
        <v>17501.912820512822</v>
      </c>
      <c r="D17">
        <f t="shared" ca="1" si="2"/>
        <v>17139.402564102566</v>
      </c>
      <c r="E17">
        <f t="shared" si="3"/>
        <v>16776.892307692309</v>
      </c>
      <c r="F17">
        <f t="shared" ca="1" si="4"/>
        <v>16414.382051282053</v>
      </c>
      <c r="G17">
        <f t="shared" ca="1" si="5"/>
        <v>16051.871794871797</v>
      </c>
      <c r="H17">
        <f t="shared" ca="1" si="6"/>
        <v>15689.36153846154</v>
      </c>
      <c r="I17">
        <f t="shared" ca="1" si="8"/>
        <v>15839</v>
      </c>
      <c r="J17" t="str">
        <f t="shared" ca="1" si="9"/>
        <v/>
      </c>
      <c r="K17">
        <f t="shared" ca="1" si="10"/>
        <v>1335.7003846153846</v>
      </c>
      <c r="L17">
        <f t="shared" ca="1" si="11"/>
        <v>1026.7489743589742</v>
      </c>
      <c r="M17">
        <f t="shared" ca="1" si="12"/>
        <v>717.79756410256414</v>
      </c>
      <c r="N17" s="4">
        <f t="shared" ca="1" si="7"/>
        <v>408.84615384615387</v>
      </c>
      <c r="O17">
        <f t="shared" ca="1" si="13"/>
        <v>99.894743589743655</v>
      </c>
      <c r="P17">
        <f t="shared" ca="1" si="14"/>
        <v>0</v>
      </c>
      <c r="Q17">
        <v>0</v>
      </c>
      <c r="R17">
        <f t="shared" si="15"/>
        <v>16</v>
      </c>
    </row>
    <row r="18" spans="2:18" ht="14" customHeight="1" x14ac:dyDescent="0.2">
      <c r="B18">
        <f t="shared" ca="1" si="0"/>
        <v>18272.326373626376</v>
      </c>
      <c r="C18">
        <f t="shared" ca="1" si="1"/>
        <v>17909.81611721612</v>
      </c>
      <c r="D18">
        <f t="shared" ca="1" si="2"/>
        <v>17547.305860805864</v>
      </c>
      <c r="E18">
        <f t="shared" si="3"/>
        <v>17184.795604395607</v>
      </c>
      <c r="F18">
        <f t="shared" ca="1" si="4"/>
        <v>16822.285347985351</v>
      </c>
      <c r="G18">
        <f t="shared" ca="1" si="5"/>
        <v>16459.775091575095</v>
      </c>
      <c r="H18">
        <f t="shared" ca="1" si="6"/>
        <v>16097.264835164839</v>
      </c>
      <c r="I18">
        <f t="shared" ca="1" si="8"/>
        <v>15839</v>
      </c>
      <c r="J18" t="str">
        <f t="shared" ca="1" si="9"/>
        <v/>
      </c>
      <c r="K18">
        <f t="shared" ca="1" si="10"/>
        <v>1335.7003846153846</v>
      </c>
      <c r="L18">
        <f t="shared" ca="1" si="11"/>
        <v>1026.7489743589742</v>
      </c>
      <c r="M18">
        <f t="shared" ca="1" si="12"/>
        <v>717.79756410256414</v>
      </c>
      <c r="N18" s="4">
        <f t="shared" ca="1" si="7"/>
        <v>408.84615384615387</v>
      </c>
      <c r="O18">
        <f t="shared" ca="1" si="13"/>
        <v>99.894743589743655</v>
      </c>
      <c r="P18">
        <f t="shared" ca="1" si="14"/>
        <v>0</v>
      </c>
      <c r="Q18">
        <v>0</v>
      </c>
      <c r="R18">
        <f t="shared" si="15"/>
        <v>17</v>
      </c>
    </row>
    <row r="19" spans="2:18" ht="14" customHeight="1" x14ac:dyDescent="0.2">
      <c r="B19">
        <f t="shared" ca="1" si="0"/>
        <v>18680.229670329674</v>
      </c>
      <c r="C19">
        <f t="shared" ca="1" si="1"/>
        <v>18317.719413919418</v>
      </c>
      <c r="D19">
        <f t="shared" ca="1" si="2"/>
        <v>17955.209157509162</v>
      </c>
      <c r="E19">
        <f t="shared" si="3"/>
        <v>17592.698901098905</v>
      </c>
      <c r="F19">
        <f t="shared" ca="1" si="4"/>
        <v>17230.188644688649</v>
      </c>
      <c r="G19">
        <f t="shared" ca="1" si="5"/>
        <v>16867.678388278393</v>
      </c>
      <c r="H19">
        <f t="shared" ca="1" si="6"/>
        <v>16505.168131868137</v>
      </c>
      <c r="I19">
        <f t="shared" ca="1" si="8"/>
        <v>15839</v>
      </c>
      <c r="J19" t="str">
        <f t="shared" ca="1" si="9"/>
        <v/>
      </c>
      <c r="K19">
        <f t="shared" ca="1" si="10"/>
        <v>1335.7003846153846</v>
      </c>
      <c r="L19">
        <f t="shared" ca="1" si="11"/>
        <v>1026.7489743589742</v>
      </c>
      <c r="M19">
        <f t="shared" ca="1" si="12"/>
        <v>717.79756410256414</v>
      </c>
      <c r="N19" s="4">
        <f t="shared" ca="1" si="7"/>
        <v>408.84615384615387</v>
      </c>
      <c r="O19">
        <f t="shared" ca="1" si="13"/>
        <v>99.894743589743655</v>
      </c>
      <c r="P19">
        <f t="shared" ca="1" si="14"/>
        <v>0</v>
      </c>
      <c r="Q19">
        <v>0</v>
      </c>
      <c r="R19">
        <f t="shared" si="15"/>
        <v>18</v>
      </c>
    </row>
    <row r="20" spans="2:18" ht="14" customHeight="1" x14ac:dyDescent="0.2">
      <c r="B20">
        <f t="shared" ca="1" si="0"/>
        <v>19088.132967032969</v>
      </c>
      <c r="C20">
        <f t="shared" ca="1" si="1"/>
        <v>18725.622710622712</v>
      </c>
      <c r="D20">
        <f t="shared" ca="1" si="2"/>
        <v>18363.112454212456</v>
      </c>
      <c r="E20">
        <f t="shared" si="3"/>
        <v>18000.6021978022</v>
      </c>
      <c r="F20">
        <f t="shared" ca="1" si="4"/>
        <v>17638.091941391944</v>
      </c>
      <c r="G20">
        <f t="shared" ca="1" si="5"/>
        <v>17275.581684981687</v>
      </c>
      <c r="H20">
        <f t="shared" ca="1" si="6"/>
        <v>16913.071428571431</v>
      </c>
      <c r="I20">
        <f t="shared" ca="1" si="8"/>
        <v>15839</v>
      </c>
      <c r="J20" t="str">
        <f t="shared" ca="1" si="9"/>
        <v/>
      </c>
      <c r="K20">
        <f t="shared" ca="1" si="10"/>
        <v>1335.7003846153846</v>
      </c>
      <c r="L20">
        <f t="shared" ca="1" si="11"/>
        <v>1026.7489743589742</v>
      </c>
      <c r="M20">
        <f t="shared" ca="1" si="12"/>
        <v>717.79756410256414</v>
      </c>
      <c r="N20" s="4">
        <f t="shared" ca="1" si="7"/>
        <v>408.84615384615387</v>
      </c>
      <c r="O20">
        <f t="shared" ca="1" si="13"/>
        <v>99.894743589743655</v>
      </c>
      <c r="P20">
        <f t="shared" ca="1" si="14"/>
        <v>0</v>
      </c>
      <c r="Q20">
        <v>0</v>
      </c>
      <c r="R20">
        <f t="shared" si="15"/>
        <v>19</v>
      </c>
    </row>
    <row r="21" spans="2:18" ht="14" customHeight="1" x14ac:dyDescent="0.2">
      <c r="B21">
        <f t="shared" ca="1" si="0"/>
        <v>19496.036263736267</v>
      </c>
      <c r="C21">
        <f t="shared" ca="1" si="1"/>
        <v>19133.526007326011</v>
      </c>
      <c r="D21">
        <f t="shared" ca="1" si="2"/>
        <v>18771.015750915754</v>
      </c>
      <c r="E21">
        <f t="shared" si="3"/>
        <v>18408.505494505498</v>
      </c>
      <c r="F21">
        <f t="shared" ca="1" si="4"/>
        <v>18045.995238095242</v>
      </c>
      <c r="G21">
        <f t="shared" ca="1" si="5"/>
        <v>17683.484981684986</v>
      </c>
      <c r="H21">
        <f t="shared" ca="1" si="6"/>
        <v>17320.974725274729</v>
      </c>
      <c r="I21">
        <f t="shared" ca="1" si="8"/>
        <v>15839</v>
      </c>
      <c r="J21" t="str">
        <f t="shared" ca="1" si="9"/>
        <v/>
      </c>
      <c r="K21">
        <f t="shared" ca="1" si="10"/>
        <v>1335.7003846153846</v>
      </c>
      <c r="L21">
        <f t="shared" ca="1" si="11"/>
        <v>1026.7489743589742</v>
      </c>
      <c r="M21">
        <f t="shared" ca="1" si="12"/>
        <v>717.79756410256414</v>
      </c>
      <c r="N21" s="4">
        <f t="shared" ca="1" si="7"/>
        <v>408.84615384615387</v>
      </c>
      <c r="O21">
        <f t="shared" ca="1" si="13"/>
        <v>99.894743589743655</v>
      </c>
      <c r="P21">
        <f t="shared" ca="1" si="14"/>
        <v>0</v>
      </c>
      <c r="Q21">
        <v>0</v>
      </c>
      <c r="R21">
        <f t="shared" si="15"/>
        <v>20</v>
      </c>
    </row>
    <row r="22" spans="2:18" ht="14" customHeight="1" x14ac:dyDescent="0.2">
      <c r="B22">
        <f t="shared" ca="1" si="0"/>
        <v>19903.939560439561</v>
      </c>
      <c r="C22">
        <f t="shared" ca="1" si="1"/>
        <v>19541.429304029305</v>
      </c>
      <c r="D22">
        <f t="shared" ca="1" si="2"/>
        <v>19178.919047619049</v>
      </c>
      <c r="E22">
        <f t="shared" si="3"/>
        <v>18816.408791208793</v>
      </c>
      <c r="F22">
        <f t="shared" ca="1" si="4"/>
        <v>18453.898534798536</v>
      </c>
      <c r="G22">
        <f t="shared" ca="1" si="5"/>
        <v>18091.38827838828</v>
      </c>
      <c r="H22">
        <f t="shared" ca="1" si="6"/>
        <v>17728.878021978024</v>
      </c>
      <c r="I22">
        <f t="shared" ca="1" si="8"/>
        <v>15839</v>
      </c>
      <c r="J22" t="str">
        <f t="shared" ca="1" si="9"/>
        <v/>
      </c>
      <c r="K22">
        <f t="shared" ca="1" si="10"/>
        <v>1335.7003846153846</v>
      </c>
      <c r="L22">
        <f t="shared" ca="1" si="11"/>
        <v>1026.7489743589742</v>
      </c>
      <c r="M22">
        <f t="shared" ca="1" si="12"/>
        <v>717.79756410256414</v>
      </c>
      <c r="N22" s="4">
        <f t="shared" ca="1" si="7"/>
        <v>408.84615384615387</v>
      </c>
      <c r="O22">
        <f t="shared" ca="1" si="13"/>
        <v>99.894743589743655</v>
      </c>
      <c r="P22">
        <f t="shared" ca="1" si="14"/>
        <v>0</v>
      </c>
      <c r="Q22">
        <v>0</v>
      </c>
      <c r="R22">
        <f t="shared" si="15"/>
        <v>21</v>
      </c>
    </row>
    <row r="23" spans="2:18" ht="14" customHeight="1" x14ac:dyDescent="0.2">
      <c r="B23">
        <f t="shared" ca="1" si="0"/>
        <v>20311.842857142859</v>
      </c>
      <c r="C23">
        <f t="shared" ca="1" si="1"/>
        <v>19949.332600732603</v>
      </c>
      <c r="D23">
        <f t="shared" ca="1" si="2"/>
        <v>19586.822344322347</v>
      </c>
      <c r="E23">
        <f t="shared" si="3"/>
        <v>19224.312087912091</v>
      </c>
      <c r="F23">
        <f t="shared" ca="1" si="4"/>
        <v>18861.801831501834</v>
      </c>
      <c r="G23">
        <f t="shared" ca="1" si="5"/>
        <v>18499.291575091578</v>
      </c>
      <c r="H23">
        <f t="shared" ca="1" si="6"/>
        <v>18136.781318681322</v>
      </c>
      <c r="I23">
        <f t="shared" ca="1" si="8"/>
        <v>15839</v>
      </c>
      <c r="J23" t="str">
        <f t="shared" ca="1" si="9"/>
        <v/>
      </c>
      <c r="K23">
        <f t="shared" ca="1" si="10"/>
        <v>1335.7003846153846</v>
      </c>
      <c r="L23">
        <f t="shared" ca="1" si="11"/>
        <v>1026.7489743589742</v>
      </c>
      <c r="M23">
        <f t="shared" ca="1" si="12"/>
        <v>717.79756410256414</v>
      </c>
      <c r="N23" s="4">
        <f t="shared" ca="1" si="7"/>
        <v>408.84615384615387</v>
      </c>
      <c r="O23">
        <f t="shared" ca="1" si="13"/>
        <v>99.894743589743655</v>
      </c>
      <c r="P23">
        <f t="shared" ca="1" si="14"/>
        <v>0</v>
      </c>
      <c r="Q23">
        <v>0</v>
      </c>
      <c r="R23">
        <f t="shared" si="15"/>
        <v>22</v>
      </c>
    </row>
    <row r="24" spans="2:18" ht="14" customHeight="1" x14ac:dyDescent="0.2">
      <c r="B24">
        <f t="shared" ca="1" si="0"/>
        <v>20719.746153846158</v>
      </c>
      <c r="C24">
        <f t="shared" ca="1" si="1"/>
        <v>20357.235897435901</v>
      </c>
      <c r="D24">
        <f t="shared" ca="1" si="2"/>
        <v>19994.725641025645</v>
      </c>
      <c r="E24">
        <f t="shared" si="3"/>
        <v>19632.215384615389</v>
      </c>
      <c r="F24">
        <f t="shared" ca="1" si="4"/>
        <v>19269.705128205132</v>
      </c>
      <c r="G24">
        <f t="shared" ca="1" si="5"/>
        <v>18907.194871794876</v>
      </c>
      <c r="H24">
        <f t="shared" ca="1" si="6"/>
        <v>18544.68461538462</v>
      </c>
      <c r="I24">
        <f t="shared" ca="1" si="8"/>
        <v>15839</v>
      </c>
      <c r="J24" t="str">
        <f t="shared" ca="1" si="9"/>
        <v/>
      </c>
      <c r="K24">
        <f t="shared" ca="1" si="10"/>
        <v>1335.7003846153846</v>
      </c>
      <c r="L24">
        <f t="shared" ca="1" si="11"/>
        <v>1026.7489743589742</v>
      </c>
      <c r="M24">
        <f t="shared" ca="1" si="12"/>
        <v>717.79756410256414</v>
      </c>
      <c r="N24" s="4">
        <f t="shared" ca="1" si="7"/>
        <v>408.84615384615387</v>
      </c>
      <c r="O24">
        <f t="shared" ca="1" si="13"/>
        <v>99.894743589743655</v>
      </c>
      <c r="P24">
        <f t="shared" ca="1" si="14"/>
        <v>0</v>
      </c>
      <c r="Q24">
        <v>0</v>
      </c>
      <c r="R24">
        <f t="shared" si="15"/>
        <v>23</v>
      </c>
    </row>
    <row r="25" spans="2:18" ht="14" customHeight="1" x14ac:dyDescent="0.2">
      <c r="B25">
        <f t="shared" ca="1" si="0"/>
        <v>21127.649450549456</v>
      </c>
      <c r="C25">
        <f t="shared" ca="1" si="1"/>
        <v>20765.139194139199</v>
      </c>
      <c r="D25">
        <f t="shared" ca="1" si="2"/>
        <v>20402.628937728943</v>
      </c>
      <c r="E25">
        <f t="shared" si="3"/>
        <v>20040.118681318687</v>
      </c>
      <c r="F25">
        <f t="shared" ca="1" si="4"/>
        <v>19677.608424908431</v>
      </c>
      <c r="G25">
        <f t="shared" ca="1" si="5"/>
        <v>19315.098168498174</v>
      </c>
      <c r="H25">
        <f t="shared" ca="1" si="6"/>
        <v>18952.587912087918</v>
      </c>
      <c r="I25">
        <f t="shared" ca="1" si="8"/>
        <v>15839</v>
      </c>
      <c r="J25" t="str">
        <f t="shared" ca="1" si="9"/>
        <v/>
      </c>
      <c r="K25">
        <f t="shared" ca="1" si="10"/>
        <v>1335.7003846153846</v>
      </c>
      <c r="L25">
        <f t="shared" ca="1" si="11"/>
        <v>1026.7489743589742</v>
      </c>
      <c r="M25">
        <f t="shared" ca="1" si="12"/>
        <v>717.79756410256414</v>
      </c>
      <c r="N25" s="4">
        <f t="shared" ca="1" si="7"/>
        <v>408.84615384615387</v>
      </c>
      <c r="O25">
        <f t="shared" ca="1" si="13"/>
        <v>99.894743589743655</v>
      </c>
      <c r="P25">
        <f t="shared" ca="1" si="14"/>
        <v>0</v>
      </c>
      <c r="Q25">
        <v>0</v>
      </c>
      <c r="R25">
        <f t="shared" si="15"/>
        <v>24</v>
      </c>
    </row>
    <row r="26" spans="2:18" ht="14" customHeight="1" x14ac:dyDescent="0.2">
      <c r="B26">
        <f t="shared" ca="1" si="0"/>
        <v>21535.55274725275</v>
      </c>
      <c r="C26">
        <f t="shared" ca="1" si="1"/>
        <v>21173.042490842494</v>
      </c>
      <c r="D26">
        <f t="shared" ca="1" si="2"/>
        <v>20810.532234432238</v>
      </c>
      <c r="E26">
        <f t="shared" si="3"/>
        <v>20448.021978021981</v>
      </c>
      <c r="F26">
        <f t="shared" ca="1" si="4"/>
        <v>20085.511721611725</v>
      </c>
      <c r="G26">
        <f t="shared" ca="1" si="5"/>
        <v>19723.001465201469</v>
      </c>
      <c r="H26">
        <f t="shared" ca="1" si="6"/>
        <v>19360.491208791213</v>
      </c>
      <c r="I26">
        <f t="shared" ca="1" si="8"/>
        <v>15839</v>
      </c>
      <c r="J26" t="str">
        <f t="shared" ca="1" si="9"/>
        <v/>
      </c>
      <c r="K26">
        <f t="shared" ca="1" si="10"/>
        <v>1335.7003846153846</v>
      </c>
      <c r="L26">
        <f t="shared" ca="1" si="11"/>
        <v>1026.7489743589742</v>
      </c>
      <c r="M26">
        <f t="shared" ca="1" si="12"/>
        <v>717.79756410256414</v>
      </c>
      <c r="N26" s="4">
        <f t="shared" ca="1" si="7"/>
        <v>408.84615384615387</v>
      </c>
      <c r="O26">
        <f t="shared" ca="1" si="13"/>
        <v>99.894743589743655</v>
      </c>
      <c r="P26">
        <f t="shared" ca="1" si="14"/>
        <v>0</v>
      </c>
      <c r="Q26">
        <v>0</v>
      </c>
      <c r="R26">
        <f t="shared" si="15"/>
        <v>25</v>
      </c>
    </row>
    <row r="27" spans="2:18" ht="14" customHeight="1" x14ac:dyDescent="0.2">
      <c r="B27">
        <f t="shared" ca="1" si="0"/>
        <v>21943.456043956045</v>
      </c>
      <c r="C27">
        <f t="shared" ca="1" si="1"/>
        <v>21580.945787545788</v>
      </c>
      <c r="D27">
        <f t="shared" ca="1" si="2"/>
        <v>21218.435531135532</v>
      </c>
      <c r="E27">
        <f t="shared" si="3"/>
        <v>20855.925274725276</v>
      </c>
      <c r="F27">
        <f t="shared" ca="1" si="4"/>
        <v>20493.41501831502</v>
      </c>
      <c r="G27">
        <f t="shared" ca="1" si="5"/>
        <v>20130.904761904763</v>
      </c>
      <c r="H27">
        <f t="shared" ca="1" si="6"/>
        <v>19768.394505494507</v>
      </c>
      <c r="I27">
        <f t="shared" ca="1" si="8"/>
        <v>15839</v>
      </c>
      <c r="J27" t="str">
        <f t="shared" ca="1" si="9"/>
        <v/>
      </c>
      <c r="K27">
        <f t="shared" ca="1" si="10"/>
        <v>1335.7003846153846</v>
      </c>
      <c r="L27">
        <f t="shared" ca="1" si="11"/>
        <v>1026.7489743589742</v>
      </c>
      <c r="M27">
        <f t="shared" ca="1" si="12"/>
        <v>717.79756410256414</v>
      </c>
      <c r="N27" s="4">
        <f t="shared" ca="1" si="7"/>
        <v>408.84615384615387</v>
      </c>
      <c r="O27">
        <f t="shared" ca="1" si="13"/>
        <v>99.894743589743655</v>
      </c>
      <c r="P27">
        <f t="shared" ca="1" si="14"/>
        <v>0</v>
      </c>
      <c r="Q27">
        <v>0</v>
      </c>
      <c r="R27">
        <f t="shared" si="15"/>
        <v>26</v>
      </c>
    </row>
    <row r="28" spans="2:18" ht="14" customHeight="1" x14ac:dyDescent="0.2">
      <c r="B28">
        <f t="shared" ca="1" si="0"/>
        <v>22351.359340659343</v>
      </c>
      <c r="C28">
        <f t="shared" ca="1" si="1"/>
        <v>21988.849084249086</v>
      </c>
      <c r="D28">
        <f t="shared" ca="1" si="2"/>
        <v>21626.33882783883</v>
      </c>
      <c r="E28">
        <f t="shared" si="3"/>
        <v>21263.828571428574</v>
      </c>
      <c r="F28">
        <f t="shared" ca="1" si="4"/>
        <v>20901.318315018318</v>
      </c>
      <c r="G28">
        <f t="shared" ca="1" si="5"/>
        <v>20538.808058608061</v>
      </c>
      <c r="H28">
        <f t="shared" ca="1" si="6"/>
        <v>20176.297802197805</v>
      </c>
      <c r="I28">
        <f t="shared" ca="1" si="8"/>
        <v>15839</v>
      </c>
      <c r="J28" t="str">
        <f t="shared" ca="1" si="9"/>
        <v/>
      </c>
      <c r="K28">
        <f t="shared" ca="1" si="10"/>
        <v>1335.7003846153846</v>
      </c>
      <c r="L28">
        <f t="shared" ca="1" si="11"/>
        <v>1026.7489743589742</v>
      </c>
      <c r="M28">
        <f t="shared" ca="1" si="12"/>
        <v>717.79756410256414</v>
      </c>
      <c r="N28" s="4">
        <f t="shared" ca="1" si="7"/>
        <v>408.84615384615387</v>
      </c>
      <c r="O28">
        <f t="shared" ca="1" si="13"/>
        <v>99.894743589743655</v>
      </c>
      <c r="P28">
        <f t="shared" ca="1" si="14"/>
        <v>0</v>
      </c>
      <c r="Q28">
        <v>0</v>
      </c>
      <c r="R28">
        <f t="shared" si="15"/>
        <v>27</v>
      </c>
    </row>
    <row r="29" spans="2:18" ht="14" customHeight="1" x14ac:dyDescent="0.2">
      <c r="B29">
        <f t="shared" ca="1" si="0"/>
        <v>22759.262637362641</v>
      </c>
      <c r="C29">
        <f t="shared" ca="1" si="1"/>
        <v>22396.752380952385</v>
      </c>
      <c r="D29">
        <f t="shared" ca="1" si="2"/>
        <v>22034.242124542128</v>
      </c>
      <c r="E29">
        <f t="shared" si="3"/>
        <v>21671.731868131872</v>
      </c>
      <c r="F29">
        <f t="shared" ca="1" si="4"/>
        <v>21309.221611721616</v>
      </c>
      <c r="G29">
        <f t="shared" ca="1" si="5"/>
        <v>20946.71135531136</v>
      </c>
      <c r="H29">
        <f t="shared" ca="1" si="6"/>
        <v>20584.201098901103</v>
      </c>
      <c r="I29">
        <f t="shared" ca="1" si="8"/>
        <v>15839</v>
      </c>
      <c r="J29" t="str">
        <f t="shared" ca="1" si="9"/>
        <v/>
      </c>
      <c r="K29">
        <f t="shared" ca="1" si="10"/>
        <v>1335.7003846153846</v>
      </c>
      <c r="L29">
        <f t="shared" ca="1" si="11"/>
        <v>1026.7489743589742</v>
      </c>
      <c r="M29">
        <f t="shared" ca="1" si="12"/>
        <v>717.79756410256414</v>
      </c>
      <c r="N29" s="4">
        <f t="shared" ca="1" si="7"/>
        <v>408.84615384615387</v>
      </c>
      <c r="O29">
        <f t="shared" ca="1" si="13"/>
        <v>99.894743589743655</v>
      </c>
      <c r="P29">
        <f t="shared" ca="1" si="14"/>
        <v>0</v>
      </c>
      <c r="Q29">
        <v>0</v>
      </c>
      <c r="R29">
        <f t="shared" si="15"/>
        <v>28</v>
      </c>
    </row>
    <row r="30" spans="2:18" ht="14" customHeight="1" x14ac:dyDescent="0.2">
      <c r="B30">
        <f t="shared" ca="1" si="0"/>
        <v>23167.165934065939</v>
      </c>
      <c r="C30">
        <f t="shared" ca="1" si="1"/>
        <v>22804.655677655683</v>
      </c>
      <c r="D30">
        <f t="shared" ca="1" si="2"/>
        <v>22442.145421245426</v>
      </c>
      <c r="E30">
        <f t="shared" si="3"/>
        <v>22079.63516483517</v>
      </c>
      <c r="F30">
        <f t="shared" ca="1" si="4"/>
        <v>21717.124908424914</v>
      </c>
      <c r="G30">
        <f t="shared" ca="1" si="5"/>
        <v>21354.614652014658</v>
      </c>
      <c r="H30">
        <f t="shared" ca="1" si="6"/>
        <v>20992.104395604401</v>
      </c>
      <c r="I30">
        <f t="shared" ca="1" si="8"/>
        <v>15839</v>
      </c>
      <c r="J30" t="str">
        <f t="shared" ca="1" si="9"/>
        <v/>
      </c>
      <c r="K30">
        <f t="shared" ca="1" si="10"/>
        <v>1335.7003846153846</v>
      </c>
      <c r="L30">
        <f t="shared" ca="1" si="11"/>
        <v>1026.7489743589742</v>
      </c>
      <c r="M30">
        <f t="shared" ca="1" si="12"/>
        <v>717.79756410256414</v>
      </c>
      <c r="N30" s="4">
        <f t="shared" ca="1" si="7"/>
        <v>408.84615384615387</v>
      </c>
      <c r="O30">
        <f t="shared" ca="1" si="13"/>
        <v>99.894743589743655</v>
      </c>
      <c r="P30">
        <f t="shared" ca="1" si="14"/>
        <v>0</v>
      </c>
      <c r="Q30">
        <v>0</v>
      </c>
      <c r="R30">
        <f t="shared" si="15"/>
        <v>29</v>
      </c>
    </row>
    <row r="31" spans="2:18" ht="14" customHeight="1" x14ac:dyDescent="0.2">
      <c r="B31">
        <f t="shared" ca="1" si="0"/>
        <v>23575.069230769233</v>
      </c>
      <c r="C31">
        <f t="shared" ca="1" si="1"/>
        <v>23212.558974358977</v>
      </c>
      <c r="D31">
        <f t="shared" ca="1" si="2"/>
        <v>22850.048717948721</v>
      </c>
      <c r="E31">
        <f t="shared" si="3"/>
        <v>22487.538461538465</v>
      </c>
      <c r="F31">
        <f t="shared" ca="1" si="4"/>
        <v>22125.028205128208</v>
      </c>
      <c r="G31">
        <f t="shared" ca="1" si="5"/>
        <v>21762.517948717952</v>
      </c>
      <c r="H31">
        <f t="shared" ca="1" si="6"/>
        <v>21400.007692307696</v>
      </c>
      <c r="I31">
        <f t="shared" ca="1" si="8"/>
        <v>15839</v>
      </c>
      <c r="J31" t="str">
        <f t="shared" ca="1" si="9"/>
        <v/>
      </c>
      <c r="K31">
        <f t="shared" ca="1" si="10"/>
        <v>1335.7003846153846</v>
      </c>
      <c r="L31">
        <f t="shared" ca="1" si="11"/>
        <v>1026.7489743589742</v>
      </c>
      <c r="M31">
        <f t="shared" ca="1" si="12"/>
        <v>717.79756410256414</v>
      </c>
      <c r="N31" s="4">
        <f t="shared" ca="1" si="7"/>
        <v>408.84615384615387</v>
      </c>
      <c r="O31">
        <f t="shared" ca="1" si="13"/>
        <v>99.894743589743655</v>
      </c>
      <c r="P31">
        <f t="shared" ca="1" si="14"/>
        <v>0</v>
      </c>
      <c r="Q31">
        <v>0</v>
      </c>
      <c r="R31">
        <f t="shared" si="15"/>
        <v>30</v>
      </c>
    </row>
    <row r="32" spans="2:18" ht="14" customHeight="1" x14ac:dyDescent="0.2">
      <c r="B32">
        <f t="shared" ca="1" si="0"/>
        <v>23982.972527472532</v>
      </c>
      <c r="C32">
        <f t="shared" ca="1" si="1"/>
        <v>23620.462271062275</v>
      </c>
      <c r="D32">
        <f t="shared" ca="1" si="2"/>
        <v>23257.952014652019</v>
      </c>
      <c r="E32">
        <f t="shared" si="3"/>
        <v>22895.441758241763</v>
      </c>
      <c r="F32">
        <f t="shared" ca="1" si="4"/>
        <v>22532.931501831506</v>
      </c>
      <c r="G32">
        <f t="shared" ca="1" si="5"/>
        <v>22170.42124542125</v>
      </c>
      <c r="H32">
        <f t="shared" ca="1" si="6"/>
        <v>21807.910989010994</v>
      </c>
      <c r="I32">
        <f t="shared" ca="1" si="8"/>
        <v>15839</v>
      </c>
      <c r="J32" t="str">
        <f t="shared" ca="1" si="9"/>
        <v/>
      </c>
      <c r="K32">
        <f t="shared" ca="1" si="10"/>
        <v>1335.7003846153846</v>
      </c>
      <c r="L32">
        <f t="shared" ca="1" si="11"/>
        <v>1026.7489743589742</v>
      </c>
      <c r="M32">
        <f t="shared" ca="1" si="12"/>
        <v>717.79756410256414</v>
      </c>
      <c r="N32" s="4">
        <f t="shared" ca="1" si="7"/>
        <v>408.84615384615387</v>
      </c>
      <c r="O32">
        <f t="shared" ca="1" si="13"/>
        <v>99.894743589743655</v>
      </c>
      <c r="P32">
        <f t="shared" ca="1" si="14"/>
        <v>0</v>
      </c>
      <c r="Q32">
        <v>0</v>
      </c>
      <c r="R32">
        <f t="shared" si="15"/>
        <v>31</v>
      </c>
    </row>
    <row r="33" spans="2:18" ht="14" customHeight="1" x14ac:dyDescent="0.2">
      <c r="B33">
        <f t="shared" ca="1" si="0"/>
        <v>24390.875824175826</v>
      </c>
      <c r="C33">
        <f t="shared" ca="1" si="1"/>
        <v>24028.36556776557</v>
      </c>
      <c r="D33">
        <f t="shared" ca="1" si="2"/>
        <v>23665.855311355313</v>
      </c>
      <c r="E33">
        <f t="shared" si="3"/>
        <v>23303.345054945057</v>
      </c>
      <c r="F33">
        <f t="shared" ca="1" si="4"/>
        <v>22940.834798534801</v>
      </c>
      <c r="G33">
        <f t="shared" ca="1" si="5"/>
        <v>22578.324542124545</v>
      </c>
      <c r="H33">
        <f t="shared" ca="1" si="6"/>
        <v>22215.814285714288</v>
      </c>
      <c r="I33">
        <f t="shared" ca="1" si="8"/>
        <v>15839</v>
      </c>
      <c r="J33" t="str">
        <f t="shared" ca="1" si="9"/>
        <v/>
      </c>
      <c r="K33">
        <f t="shared" ca="1" si="10"/>
        <v>1335.7003846153846</v>
      </c>
      <c r="L33">
        <f t="shared" ca="1" si="11"/>
        <v>1026.7489743589742</v>
      </c>
      <c r="M33">
        <f t="shared" ca="1" si="12"/>
        <v>717.79756410256414</v>
      </c>
      <c r="N33" s="4">
        <f t="shared" ca="1" si="7"/>
        <v>408.84615384615387</v>
      </c>
      <c r="O33">
        <f t="shared" ca="1" si="13"/>
        <v>99.894743589743655</v>
      </c>
      <c r="P33">
        <f t="shared" ca="1" si="14"/>
        <v>0</v>
      </c>
      <c r="Q33">
        <v>0</v>
      </c>
      <c r="R33">
        <f t="shared" si="15"/>
        <v>32</v>
      </c>
    </row>
    <row r="34" spans="2:18" ht="14" customHeight="1" x14ac:dyDescent="0.2">
      <c r="B34">
        <f t="shared" ca="1" si="0"/>
        <v>24798.779120879124</v>
      </c>
      <c r="C34">
        <f t="shared" ca="1" si="1"/>
        <v>24436.268864468868</v>
      </c>
      <c r="D34">
        <f t="shared" ca="1" si="2"/>
        <v>24073.758608058612</v>
      </c>
      <c r="E34">
        <f t="shared" si="3"/>
        <v>23711.248351648355</v>
      </c>
      <c r="F34">
        <f t="shared" ca="1" si="4"/>
        <v>23348.738095238099</v>
      </c>
      <c r="G34">
        <f t="shared" ca="1" si="5"/>
        <v>22986.227838827843</v>
      </c>
      <c r="H34">
        <f t="shared" ca="1" si="6"/>
        <v>22623.717582417587</v>
      </c>
      <c r="I34">
        <f t="shared" ca="1" si="8"/>
        <v>15839</v>
      </c>
      <c r="J34" t="str">
        <f t="shared" ca="1" si="9"/>
        <v/>
      </c>
      <c r="K34">
        <f t="shared" ca="1" si="10"/>
        <v>1335.7003846153846</v>
      </c>
      <c r="L34">
        <f t="shared" ca="1" si="11"/>
        <v>1026.7489743589742</v>
      </c>
      <c r="M34">
        <f t="shared" ca="1" si="12"/>
        <v>717.79756410256414</v>
      </c>
      <c r="N34" s="4">
        <f t="shared" ca="1" si="7"/>
        <v>408.84615384615387</v>
      </c>
      <c r="O34">
        <f t="shared" ca="1" si="13"/>
        <v>99.894743589743655</v>
      </c>
      <c r="P34">
        <f t="shared" ca="1" si="14"/>
        <v>0</v>
      </c>
      <c r="Q34">
        <v>0</v>
      </c>
      <c r="R34">
        <f t="shared" si="15"/>
        <v>33</v>
      </c>
    </row>
    <row r="35" spans="2:18" ht="14" customHeight="1" x14ac:dyDescent="0.2">
      <c r="B35">
        <f t="shared" ca="1" si="0"/>
        <v>25206.682417582422</v>
      </c>
      <c r="C35">
        <f t="shared" ca="1" si="1"/>
        <v>24844.172161172166</v>
      </c>
      <c r="D35">
        <f t="shared" ca="1" si="2"/>
        <v>24481.66190476191</v>
      </c>
      <c r="E35">
        <f t="shared" si="3"/>
        <v>24119.151648351653</v>
      </c>
      <c r="F35">
        <f t="shared" ca="1" si="4"/>
        <v>23756.641391941397</v>
      </c>
      <c r="G35">
        <f t="shared" ca="1" si="5"/>
        <v>23394.131135531141</v>
      </c>
      <c r="H35">
        <f t="shared" ca="1" si="6"/>
        <v>23031.620879120885</v>
      </c>
      <c r="I35">
        <f t="shared" ca="1" si="8"/>
        <v>15839</v>
      </c>
      <c r="J35" t="str">
        <f t="shared" ca="1" si="9"/>
        <v/>
      </c>
      <c r="K35">
        <f t="shared" ca="1" si="10"/>
        <v>1335.7003846153846</v>
      </c>
      <c r="L35">
        <f t="shared" ca="1" si="11"/>
        <v>1026.7489743589742</v>
      </c>
      <c r="M35">
        <f t="shared" ca="1" si="12"/>
        <v>717.79756410256414</v>
      </c>
      <c r="N35" s="4">
        <f t="shared" ca="1" si="7"/>
        <v>408.84615384615387</v>
      </c>
      <c r="O35">
        <f t="shared" ca="1" si="13"/>
        <v>99.894743589743655</v>
      </c>
      <c r="P35">
        <f t="shared" ca="1" si="14"/>
        <v>0</v>
      </c>
      <c r="Q35">
        <v>0</v>
      </c>
      <c r="R35">
        <f t="shared" si="15"/>
        <v>34</v>
      </c>
    </row>
    <row r="36" spans="2:18" ht="14" customHeight="1" x14ac:dyDescent="0.2"/>
    <row r="37" spans="2:18" ht="14" customHeight="1" x14ac:dyDescent="0.2"/>
    <row r="38" spans="2:18" ht="14" customHeight="1" x14ac:dyDescent="0.2"/>
    <row r="39" spans="2:18" ht="14" customHeight="1" x14ac:dyDescent="0.2"/>
    <row r="40" spans="2:18" ht="14" customHeight="1" x14ac:dyDescent="0.2"/>
    <row r="41" spans="2:18" ht="14" customHeight="1" x14ac:dyDescent="0.2"/>
    <row r="42" spans="2:18" ht="14" customHeight="1" x14ac:dyDescent="0.2"/>
    <row r="43" spans="2:18" ht="14" customHeight="1" x14ac:dyDescent="0.2"/>
    <row r="44" spans="2:18" ht="14" customHeight="1" x14ac:dyDescent="0.2"/>
    <row r="45" spans="2:18" ht="14" customHeight="1" x14ac:dyDescent="0.2"/>
    <row r="46" spans="2:18" ht="14" customHeight="1" x14ac:dyDescent="0.2"/>
    <row r="47" spans="2:18" ht="14" customHeight="1" x14ac:dyDescent="0.2"/>
    <row r="48" spans="2:1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3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7684-FC76-AA46-B675-3D0F43CBAF6E}">
  <sheetPr>
    <tabColor rgb="FF66FF66"/>
    <pageSetUpPr fitToPage="1"/>
  </sheetPr>
  <dimension ref="A1:Q52"/>
  <sheetViews>
    <sheetView zoomScale="174" zoomScaleNormal="174" workbookViewId="0">
      <selection activeCell="B1" sqref="B1:Q36"/>
    </sheetView>
  </sheetViews>
  <sheetFormatPr baseColWidth="10" defaultRowHeight="15" x14ac:dyDescent="0.2"/>
  <cols>
    <col min="1" max="18" width="7.1640625" customWidth="1"/>
  </cols>
  <sheetData>
    <row r="1" spans="1:17" ht="14" customHeight="1" x14ac:dyDescent="0.3">
      <c r="A1" s="3" t="s">
        <v>6</v>
      </c>
      <c r="B1" s="4" t="s">
        <v>14</v>
      </c>
      <c r="C1" s="4" t="s">
        <v>16</v>
      </c>
      <c r="D1" s="4" t="s">
        <v>17</v>
      </c>
      <c r="E1" s="4" t="s">
        <v>11</v>
      </c>
      <c r="F1" s="4" t="s">
        <v>18</v>
      </c>
      <c r="G1" s="4" t="s">
        <v>19</v>
      </c>
      <c r="H1" s="4" t="s">
        <v>13</v>
      </c>
      <c r="I1" t="s">
        <v>15</v>
      </c>
      <c r="J1" s="4" t="s">
        <v>12</v>
      </c>
      <c r="K1" s="4" t="s">
        <v>14</v>
      </c>
      <c r="L1" s="4" t="s">
        <v>16</v>
      </c>
      <c r="M1" s="4" t="s">
        <v>17</v>
      </c>
      <c r="N1" s="4" t="s">
        <v>11</v>
      </c>
      <c r="O1" s="4" t="s">
        <v>18</v>
      </c>
      <c r="P1" s="4" t="s">
        <v>19</v>
      </c>
      <c r="Q1" s="4" t="s">
        <v>13</v>
      </c>
    </row>
    <row r="2" spans="1:17" ht="14" customHeight="1" x14ac:dyDescent="0.3">
      <c r="A2" s="5">
        <v>234</v>
      </c>
      <c r="B2" s="6">
        <f t="shared" ref="B2:B34" ca="1" si="0">E2+2.66*N2</f>
        <v>1099.3378205128206</v>
      </c>
      <c r="C2" s="6">
        <f t="shared" ref="C2:C34" ca="1" si="1">E2+(2/3)*2.66*N2</f>
        <v>869.17393162393159</v>
      </c>
      <c r="D2" s="6">
        <f t="shared" ref="D2:D34" ca="1" si="2">E2+(1/3)*2.66*N2</f>
        <v>639.01004273504282</v>
      </c>
      <c r="E2" s="6">
        <f t="shared" ref="E2:E34" si="3">AVERAGE($A$2:$A$14)</f>
        <v>408.84615384615387</v>
      </c>
      <c r="F2" s="6">
        <f t="shared" ref="F2:F34" ca="1" si="4">E2-(1/3)*2.66*N2</f>
        <v>178.68226495726498</v>
      </c>
      <c r="G2" s="6">
        <f t="shared" ref="G2:G34" ca="1" si="5">E2-(2/3)*2.66*N2</f>
        <v>-51.481623931623915</v>
      </c>
      <c r="H2" s="6">
        <f t="shared" ref="H2:H34" ca="1" si="6">E2-2.66*N2</f>
        <v>-281.64551282051281</v>
      </c>
      <c r="I2" s="7">
        <f>A2</f>
        <v>234</v>
      </c>
      <c r="J2" s="6"/>
      <c r="K2" s="4"/>
      <c r="L2" s="4"/>
      <c r="M2" s="4"/>
      <c r="N2" s="4">
        <f t="shared" ref="N2:N34" ca="1" si="7">AVERAGE($J$2:$J$14)</f>
        <v>259.58333333333331</v>
      </c>
      <c r="O2" s="4"/>
      <c r="P2" s="4"/>
      <c r="Q2" s="4"/>
    </row>
    <row r="3" spans="1:17" ht="14" customHeight="1" x14ac:dyDescent="0.3">
      <c r="A3" s="5">
        <v>875</v>
      </c>
      <c r="B3" s="6">
        <f t="shared" ca="1" si="0"/>
        <v>1099.3378205128206</v>
      </c>
      <c r="C3" s="6">
        <f t="shared" ca="1" si="1"/>
        <v>869.17393162393159</v>
      </c>
      <c r="D3" s="6">
        <f t="shared" ca="1" si="2"/>
        <v>639.01004273504282</v>
      </c>
      <c r="E3" s="6">
        <f t="shared" si="3"/>
        <v>408.84615384615387</v>
      </c>
      <c r="F3" s="6">
        <f t="shared" ca="1" si="4"/>
        <v>178.68226495726498</v>
      </c>
      <c r="G3" s="6">
        <f t="shared" ca="1" si="5"/>
        <v>-51.481623931623915</v>
      </c>
      <c r="H3" s="6">
        <f t="shared" ca="1" si="6"/>
        <v>-281.64551282051281</v>
      </c>
      <c r="I3" s="7">
        <f t="shared" ref="I3:I34" ca="1" si="8">IF(ISBLANK(A3),OFFSET(I3,-1,0,1,1),A3)</f>
        <v>875</v>
      </c>
      <c r="J3" s="6">
        <f t="shared" ref="J3:J34" ca="1" si="9">IF(OR(OFFSET(J3,-1,-9,1,1)="",OFFSET(J3,0,-9,1,1)=""),"",IF(ISERROR(ABS(A3-OFFSET(J3,-1,-1,1,1))),"",ABS(A3-OFFSET(J3,-1,-1,1,1))))</f>
        <v>641</v>
      </c>
      <c r="K3" s="4">
        <f t="shared" ref="K3:K34" ca="1" si="10">3.267*N3</f>
        <v>848.05874999999992</v>
      </c>
      <c r="L3" s="4">
        <f t="shared" ref="L3:L34" ca="1" si="11">(2/3)*(K3-N3)+N3</f>
        <v>651.90027777777777</v>
      </c>
      <c r="M3" s="4">
        <f t="shared" ref="M3:M34" ca="1" si="12">(1/3)*(K3-N3)+N3</f>
        <v>455.74180555555552</v>
      </c>
      <c r="N3" s="4">
        <f t="shared" ca="1" si="7"/>
        <v>259.58333333333331</v>
      </c>
      <c r="O3" s="4">
        <f t="shared" ref="O3:O34" ca="1" si="13">(MAX(N3-(1/3)*(K3-N3),0))</f>
        <v>63.424861111111113</v>
      </c>
      <c r="P3" s="4">
        <f t="shared" ref="P3:P34" ca="1" si="14">MAX(N3-(2/3)*(K3-N3),0)</f>
        <v>0</v>
      </c>
      <c r="Q3" s="4">
        <v>0</v>
      </c>
    </row>
    <row r="4" spans="1:17" ht="14" customHeight="1" x14ac:dyDescent="0.3">
      <c r="A4" s="5">
        <v>399</v>
      </c>
      <c r="B4" s="6">
        <f t="shared" ca="1" si="0"/>
        <v>1099.3378205128206</v>
      </c>
      <c r="C4" s="6">
        <f t="shared" ca="1" si="1"/>
        <v>869.17393162393159</v>
      </c>
      <c r="D4" s="6">
        <f t="shared" ca="1" si="2"/>
        <v>639.01004273504282</v>
      </c>
      <c r="E4" s="6">
        <f t="shared" si="3"/>
        <v>408.84615384615387</v>
      </c>
      <c r="F4" s="6">
        <f t="shared" ca="1" si="4"/>
        <v>178.68226495726498</v>
      </c>
      <c r="G4" s="6">
        <f t="shared" ca="1" si="5"/>
        <v>-51.481623931623915</v>
      </c>
      <c r="H4" s="6">
        <f t="shared" ca="1" si="6"/>
        <v>-281.64551282051281</v>
      </c>
      <c r="I4" s="7">
        <f t="shared" ca="1" si="8"/>
        <v>399</v>
      </c>
      <c r="J4" s="6">
        <f t="shared" ca="1" si="9"/>
        <v>476</v>
      </c>
      <c r="K4" s="4">
        <f t="shared" ca="1" si="10"/>
        <v>848.05874999999992</v>
      </c>
      <c r="L4" s="4">
        <f t="shared" ca="1" si="11"/>
        <v>651.90027777777777</v>
      </c>
      <c r="M4" s="4">
        <f t="shared" ca="1" si="12"/>
        <v>455.74180555555552</v>
      </c>
      <c r="N4" s="4">
        <f t="shared" ca="1" si="7"/>
        <v>259.58333333333331</v>
      </c>
      <c r="O4" s="4">
        <f t="shared" ca="1" si="13"/>
        <v>63.424861111111113</v>
      </c>
      <c r="P4" s="4">
        <f t="shared" ca="1" si="14"/>
        <v>0</v>
      </c>
      <c r="Q4" s="4">
        <v>0</v>
      </c>
    </row>
    <row r="5" spans="1:17" ht="14" customHeight="1" x14ac:dyDescent="0.3">
      <c r="A5" s="5">
        <v>423</v>
      </c>
      <c r="B5" s="6">
        <f t="shared" ca="1" si="0"/>
        <v>1099.3378205128206</v>
      </c>
      <c r="C5" s="6">
        <f t="shared" ca="1" si="1"/>
        <v>869.17393162393159</v>
      </c>
      <c r="D5" s="6">
        <f t="shared" ca="1" si="2"/>
        <v>639.01004273504282</v>
      </c>
      <c r="E5" s="6">
        <f t="shared" si="3"/>
        <v>408.84615384615387</v>
      </c>
      <c r="F5" s="6">
        <f t="shared" ca="1" si="4"/>
        <v>178.68226495726498</v>
      </c>
      <c r="G5" s="6">
        <f t="shared" ca="1" si="5"/>
        <v>-51.481623931623915</v>
      </c>
      <c r="H5" s="6">
        <f t="shared" ca="1" si="6"/>
        <v>-281.64551282051281</v>
      </c>
      <c r="I5" s="7">
        <f t="shared" ca="1" si="8"/>
        <v>423</v>
      </c>
      <c r="J5" s="6">
        <f t="shared" ca="1" si="9"/>
        <v>24</v>
      </c>
      <c r="K5" s="4">
        <f t="shared" ca="1" si="10"/>
        <v>848.05874999999992</v>
      </c>
      <c r="L5" s="4">
        <f t="shared" ca="1" si="11"/>
        <v>651.90027777777777</v>
      </c>
      <c r="M5" s="4">
        <f t="shared" ca="1" si="12"/>
        <v>455.74180555555552</v>
      </c>
      <c r="N5" s="4">
        <f t="shared" ca="1" si="7"/>
        <v>259.58333333333331</v>
      </c>
      <c r="O5" s="4">
        <f t="shared" ca="1" si="13"/>
        <v>63.424861111111113</v>
      </c>
      <c r="P5" s="4">
        <f t="shared" ca="1" si="14"/>
        <v>0</v>
      </c>
      <c r="Q5" s="4">
        <v>0</v>
      </c>
    </row>
    <row r="6" spans="1:17" ht="14" customHeight="1" x14ac:dyDescent="0.3">
      <c r="A6" s="5">
        <v>484</v>
      </c>
      <c r="B6" s="6">
        <f t="shared" ca="1" si="0"/>
        <v>1099.3378205128206</v>
      </c>
      <c r="C6" s="6">
        <f t="shared" ca="1" si="1"/>
        <v>869.17393162393159</v>
      </c>
      <c r="D6" s="6">
        <f t="shared" ca="1" si="2"/>
        <v>639.01004273504282</v>
      </c>
      <c r="E6" s="6">
        <f t="shared" si="3"/>
        <v>408.84615384615387</v>
      </c>
      <c r="F6" s="6">
        <f t="shared" ca="1" si="4"/>
        <v>178.68226495726498</v>
      </c>
      <c r="G6" s="6">
        <f t="shared" ca="1" si="5"/>
        <v>-51.481623931623915</v>
      </c>
      <c r="H6" s="6">
        <f t="shared" ca="1" si="6"/>
        <v>-281.64551282051281</v>
      </c>
      <c r="I6" s="7">
        <f t="shared" ca="1" si="8"/>
        <v>484</v>
      </c>
      <c r="J6" s="6">
        <f t="shared" ca="1" si="9"/>
        <v>61</v>
      </c>
      <c r="K6" s="4">
        <f t="shared" ca="1" si="10"/>
        <v>848.05874999999992</v>
      </c>
      <c r="L6" s="4">
        <f t="shared" ca="1" si="11"/>
        <v>651.90027777777777</v>
      </c>
      <c r="M6" s="4">
        <f t="shared" ca="1" si="12"/>
        <v>455.74180555555552</v>
      </c>
      <c r="N6" s="4">
        <f t="shared" ca="1" si="7"/>
        <v>259.58333333333331</v>
      </c>
      <c r="O6" s="4">
        <f t="shared" ca="1" si="13"/>
        <v>63.424861111111113</v>
      </c>
      <c r="P6" s="4">
        <f t="shared" ca="1" si="14"/>
        <v>0</v>
      </c>
      <c r="Q6" s="4">
        <v>0</v>
      </c>
    </row>
    <row r="7" spans="1:17" ht="14" customHeight="1" x14ac:dyDescent="0.3">
      <c r="A7" s="5">
        <v>160</v>
      </c>
      <c r="B7" s="6">
        <f t="shared" ca="1" si="0"/>
        <v>1099.3378205128206</v>
      </c>
      <c r="C7" s="6">
        <f t="shared" ca="1" si="1"/>
        <v>869.17393162393159</v>
      </c>
      <c r="D7" s="6">
        <f t="shared" ca="1" si="2"/>
        <v>639.01004273504282</v>
      </c>
      <c r="E7" s="6">
        <f t="shared" si="3"/>
        <v>408.84615384615387</v>
      </c>
      <c r="F7" s="6">
        <f t="shared" ca="1" si="4"/>
        <v>178.68226495726498</v>
      </c>
      <c r="G7" s="6">
        <f t="shared" ca="1" si="5"/>
        <v>-51.481623931623915</v>
      </c>
      <c r="H7" s="6">
        <f t="shared" ca="1" si="6"/>
        <v>-281.64551282051281</v>
      </c>
      <c r="I7" s="7">
        <f t="shared" ca="1" si="8"/>
        <v>160</v>
      </c>
      <c r="J7" s="6">
        <f t="shared" ca="1" si="9"/>
        <v>324</v>
      </c>
      <c r="K7" s="4">
        <f t="shared" ca="1" si="10"/>
        <v>848.05874999999992</v>
      </c>
      <c r="L7" s="4">
        <f t="shared" ca="1" si="11"/>
        <v>651.90027777777777</v>
      </c>
      <c r="M7" s="4">
        <f t="shared" ca="1" si="12"/>
        <v>455.74180555555552</v>
      </c>
      <c r="N7" s="4">
        <f t="shared" ca="1" si="7"/>
        <v>259.58333333333331</v>
      </c>
      <c r="O7" s="4">
        <f t="shared" ca="1" si="13"/>
        <v>63.424861111111113</v>
      </c>
      <c r="P7" s="4">
        <f t="shared" ca="1" si="14"/>
        <v>0</v>
      </c>
      <c r="Q7" s="4">
        <v>0</v>
      </c>
    </row>
    <row r="8" spans="1:17" ht="14" customHeight="1" x14ac:dyDescent="0.3">
      <c r="A8" s="5">
        <v>366</v>
      </c>
      <c r="B8" s="6">
        <f t="shared" ca="1" si="0"/>
        <v>1099.3378205128206</v>
      </c>
      <c r="C8" s="6">
        <f t="shared" ca="1" si="1"/>
        <v>869.17393162393159</v>
      </c>
      <c r="D8" s="6">
        <f t="shared" ca="1" si="2"/>
        <v>639.01004273504282</v>
      </c>
      <c r="E8" s="6">
        <f t="shared" si="3"/>
        <v>408.84615384615387</v>
      </c>
      <c r="F8" s="6">
        <f t="shared" ca="1" si="4"/>
        <v>178.68226495726498</v>
      </c>
      <c r="G8" s="6">
        <f t="shared" ca="1" si="5"/>
        <v>-51.481623931623915</v>
      </c>
      <c r="H8" s="6">
        <f t="shared" ca="1" si="6"/>
        <v>-281.64551282051281</v>
      </c>
      <c r="I8" s="7">
        <f t="shared" ca="1" si="8"/>
        <v>366</v>
      </c>
      <c r="J8" s="6">
        <f t="shared" ca="1" si="9"/>
        <v>206</v>
      </c>
      <c r="K8" s="4">
        <f t="shared" ca="1" si="10"/>
        <v>848.05874999999992</v>
      </c>
      <c r="L8" s="4">
        <f t="shared" ca="1" si="11"/>
        <v>651.90027777777777</v>
      </c>
      <c r="M8" s="4">
        <f t="shared" ca="1" si="12"/>
        <v>455.74180555555552</v>
      </c>
      <c r="N8" s="4">
        <f t="shared" ca="1" si="7"/>
        <v>259.58333333333331</v>
      </c>
      <c r="O8" s="4">
        <f t="shared" ca="1" si="13"/>
        <v>63.424861111111113</v>
      </c>
      <c r="P8" s="4">
        <f t="shared" ca="1" si="14"/>
        <v>0</v>
      </c>
      <c r="Q8" s="4">
        <v>0</v>
      </c>
    </row>
    <row r="9" spans="1:17" ht="14" customHeight="1" x14ac:dyDescent="0.3">
      <c r="A9" s="5">
        <v>326</v>
      </c>
      <c r="B9" s="6">
        <f t="shared" ca="1" si="0"/>
        <v>1099.3378205128206</v>
      </c>
      <c r="C9" s="6">
        <f t="shared" ca="1" si="1"/>
        <v>869.17393162393159</v>
      </c>
      <c r="D9" s="6">
        <f t="shared" ca="1" si="2"/>
        <v>639.01004273504282</v>
      </c>
      <c r="E9" s="6">
        <f t="shared" si="3"/>
        <v>408.84615384615387</v>
      </c>
      <c r="F9" s="6">
        <f t="shared" ca="1" si="4"/>
        <v>178.68226495726498</v>
      </c>
      <c r="G9" s="6">
        <f t="shared" ca="1" si="5"/>
        <v>-51.481623931623915</v>
      </c>
      <c r="H9" s="6">
        <f t="shared" ca="1" si="6"/>
        <v>-281.64551282051281</v>
      </c>
      <c r="I9" s="7">
        <f t="shared" ca="1" si="8"/>
        <v>326</v>
      </c>
      <c r="J9" s="6">
        <f t="shared" ca="1" si="9"/>
        <v>40</v>
      </c>
      <c r="K9" s="4">
        <f t="shared" ca="1" si="10"/>
        <v>848.05874999999992</v>
      </c>
      <c r="L9" s="4">
        <f t="shared" ca="1" si="11"/>
        <v>651.90027777777777</v>
      </c>
      <c r="M9" s="4">
        <f t="shared" ca="1" si="12"/>
        <v>455.74180555555552</v>
      </c>
      <c r="N9" s="4">
        <f t="shared" ca="1" si="7"/>
        <v>259.58333333333331</v>
      </c>
      <c r="O9" s="4">
        <f t="shared" ca="1" si="13"/>
        <v>63.424861111111113</v>
      </c>
      <c r="P9" s="4">
        <f t="shared" ca="1" si="14"/>
        <v>0</v>
      </c>
      <c r="Q9" s="4">
        <v>0</v>
      </c>
    </row>
    <row r="10" spans="1:17" ht="14" customHeight="1" x14ac:dyDescent="0.3">
      <c r="A10" s="5">
        <v>363</v>
      </c>
      <c r="B10" s="6">
        <f t="shared" ca="1" si="0"/>
        <v>1099.3378205128206</v>
      </c>
      <c r="C10" s="6">
        <f t="shared" ca="1" si="1"/>
        <v>869.17393162393159</v>
      </c>
      <c r="D10" s="6">
        <f t="shared" ca="1" si="2"/>
        <v>639.01004273504282</v>
      </c>
      <c r="E10" s="6">
        <f t="shared" si="3"/>
        <v>408.84615384615387</v>
      </c>
      <c r="F10" s="6">
        <f t="shared" ca="1" si="4"/>
        <v>178.68226495726498</v>
      </c>
      <c r="G10" s="6">
        <f t="shared" ca="1" si="5"/>
        <v>-51.481623931623915</v>
      </c>
      <c r="H10" s="6">
        <f t="shared" ca="1" si="6"/>
        <v>-281.64551282051281</v>
      </c>
      <c r="I10" s="7">
        <f t="shared" ca="1" si="8"/>
        <v>363</v>
      </c>
      <c r="J10" s="6">
        <f t="shared" ca="1" si="9"/>
        <v>37</v>
      </c>
      <c r="K10" s="4">
        <f t="shared" ca="1" si="10"/>
        <v>848.05874999999992</v>
      </c>
      <c r="L10" s="4">
        <f t="shared" ca="1" si="11"/>
        <v>651.90027777777777</v>
      </c>
      <c r="M10" s="4">
        <f t="shared" ca="1" si="12"/>
        <v>455.74180555555552</v>
      </c>
      <c r="N10" s="4">
        <f t="shared" ca="1" si="7"/>
        <v>259.58333333333331</v>
      </c>
      <c r="O10" s="4">
        <f t="shared" ca="1" si="13"/>
        <v>63.424861111111113</v>
      </c>
      <c r="P10" s="4">
        <f t="shared" ca="1" si="14"/>
        <v>0</v>
      </c>
      <c r="Q10" s="4">
        <v>0</v>
      </c>
    </row>
    <row r="11" spans="1:17" ht="14" customHeight="1" x14ac:dyDescent="0.3">
      <c r="A11" s="5">
        <v>572</v>
      </c>
      <c r="B11" s="6">
        <f t="shared" ca="1" si="0"/>
        <v>1099.3378205128206</v>
      </c>
      <c r="C11" s="6">
        <f t="shared" ca="1" si="1"/>
        <v>869.17393162393159</v>
      </c>
      <c r="D11" s="6">
        <f t="shared" ca="1" si="2"/>
        <v>639.01004273504282</v>
      </c>
      <c r="E11" s="6">
        <f t="shared" si="3"/>
        <v>408.84615384615387</v>
      </c>
      <c r="F11" s="6">
        <f t="shared" ca="1" si="4"/>
        <v>178.68226495726498</v>
      </c>
      <c r="G11" s="6">
        <f t="shared" ca="1" si="5"/>
        <v>-51.481623931623915</v>
      </c>
      <c r="H11" s="6">
        <f t="shared" ca="1" si="6"/>
        <v>-281.64551282051281</v>
      </c>
      <c r="I11" s="7">
        <f t="shared" ca="1" si="8"/>
        <v>572</v>
      </c>
      <c r="J11" s="6">
        <f t="shared" ca="1" si="9"/>
        <v>209</v>
      </c>
      <c r="K11" s="4">
        <f t="shared" ca="1" si="10"/>
        <v>848.05874999999992</v>
      </c>
      <c r="L11" s="4">
        <f t="shared" ca="1" si="11"/>
        <v>651.90027777777777</v>
      </c>
      <c r="M11" s="4">
        <f t="shared" ca="1" si="12"/>
        <v>455.74180555555552</v>
      </c>
      <c r="N11" s="4">
        <f t="shared" ca="1" si="7"/>
        <v>259.58333333333331</v>
      </c>
      <c r="O11" s="4">
        <f t="shared" ca="1" si="13"/>
        <v>63.424861111111113</v>
      </c>
      <c r="P11" s="4">
        <f t="shared" ca="1" si="14"/>
        <v>0</v>
      </c>
      <c r="Q11" s="4">
        <v>0</v>
      </c>
    </row>
    <row r="12" spans="1:17" ht="14" customHeight="1" x14ac:dyDescent="0.3">
      <c r="A12" s="5">
        <v>709</v>
      </c>
      <c r="B12" s="6">
        <f t="shared" ca="1" si="0"/>
        <v>1099.3378205128206</v>
      </c>
      <c r="C12" s="6">
        <f t="shared" ca="1" si="1"/>
        <v>869.17393162393159</v>
      </c>
      <c r="D12" s="6">
        <f t="shared" ca="1" si="2"/>
        <v>639.01004273504282</v>
      </c>
      <c r="E12" s="6">
        <f t="shared" si="3"/>
        <v>408.84615384615387</v>
      </c>
      <c r="F12" s="6">
        <f t="shared" ca="1" si="4"/>
        <v>178.68226495726498</v>
      </c>
      <c r="G12" s="6">
        <f t="shared" ca="1" si="5"/>
        <v>-51.481623931623915</v>
      </c>
      <c r="H12" s="6">
        <f t="shared" ca="1" si="6"/>
        <v>-281.64551282051281</v>
      </c>
      <c r="I12" s="7">
        <f t="shared" ca="1" si="8"/>
        <v>709</v>
      </c>
      <c r="J12" s="6">
        <f t="shared" ca="1" si="9"/>
        <v>137</v>
      </c>
      <c r="K12" s="4">
        <f t="shared" ca="1" si="10"/>
        <v>848.05874999999992</v>
      </c>
      <c r="L12" s="4">
        <f t="shared" ca="1" si="11"/>
        <v>651.90027777777777</v>
      </c>
      <c r="M12" s="4">
        <f t="shared" ca="1" si="12"/>
        <v>455.74180555555552</v>
      </c>
      <c r="N12" s="4">
        <f t="shared" ca="1" si="7"/>
        <v>259.58333333333331</v>
      </c>
      <c r="O12" s="4">
        <f t="shared" ca="1" si="13"/>
        <v>63.424861111111113</v>
      </c>
      <c r="P12" s="4">
        <f t="shared" ca="1" si="14"/>
        <v>0</v>
      </c>
      <c r="Q12" s="4">
        <v>0</v>
      </c>
    </row>
    <row r="13" spans="1:17" ht="14" customHeight="1" x14ac:dyDescent="0.3">
      <c r="A13" s="5">
        <v>51</v>
      </c>
      <c r="B13" s="6">
        <f t="shared" ca="1" si="0"/>
        <v>1099.3378205128206</v>
      </c>
      <c r="C13" s="6">
        <f t="shared" ca="1" si="1"/>
        <v>869.17393162393159</v>
      </c>
      <c r="D13" s="6">
        <f t="shared" ca="1" si="2"/>
        <v>639.01004273504282</v>
      </c>
      <c r="E13" s="6">
        <f t="shared" si="3"/>
        <v>408.84615384615387</v>
      </c>
      <c r="F13" s="6">
        <f t="shared" ca="1" si="4"/>
        <v>178.68226495726498</v>
      </c>
      <c r="G13" s="6">
        <f t="shared" ca="1" si="5"/>
        <v>-51.481623931623915</v>
      </c>
      <c r="H13" s="6">
        <f t="shared" ca="1" si="6"/>
        <v>-281.64551282051281</v>
      </c>
      <c r="I13" s="7">
        <f t="shared" ca="1" si="8"/>
        <v>51</v>
      </c>
      <c r="J13" s="6">
        <f t="shared" ca="1" si="9"/>
        <v>658</v>
      </c>
      <c r="K13" s="4">
        <f t="shared" ca="1" si="10"/>
        <v>848.05874999999992</v>
      </c>
      <c r="L13" s="4">
        <f t="shared" ca="1" si="11"/>
        <v>651.90027777777777</v>
      </c>
      <c r="M13" s="4">
        <f t="shared" ca="1" si="12"/>
        <v>455.74180555555552</v>
      </c>
      <c r="N13" s="4">
        <f t="shared" ca="1" si="7"/>
        <v>259.58333333333331</v>
      </c>
      <c r="O13" s="4">
        <f t="shared" ca="1" si="13"/>
        <v>63.424861111111113</v>
      </c>
      <c r="P13" s="4">
        <f t="shared" ca="1" si="14"/>
        <v>0</v>
      </c>
      <c r="Q13" s="4">
        <v>0</v>
      </c>
    </row>
    <row r="14" spans="1:17" ht="14" customHeight="1" x14ac:dyDescent="0.3">
      <c r="A14" s="5">
        <v>353</v>
      </c>
      <c r="B14" s="6">
        <f t="shared" ca="1" si="0"/>
        <v>1099.3378205128206</v>
      </c>
      <c r="C14" s="6">
        <f t="shared" ca="1" si="1"/>
        <v>869.17393162393159</v>
      </c>
      <c r="D14" s="6">
        <f t="shared" ca="1" si="2"/>
        <v>639.01004273504282</v>
      </c>
      <c r="E14" s="6">
        <f t="shared" si="3"/>
        <v>408.84615384615387</v>
      </c>
      <c r="F14" s="6">
        <f t="shared" ca="1" si="4"/>
        <v>178.68226495726498</v>
      </c>
      <c r="G14" s="6">
        <f t="shared" ca="1" si="5"/>
        <v>-51.481623931623915</v>
      </c>
      <c r="H14" s="6">
        <f t="shared" ca="1" si="6"/>
        <v>-281.64551282051281</v>
      </c>
      <c r="I14" s="7">
        <f t="shared" ca="1" si="8"/>
        <v>353</v>
      </c>
      <c r="J14" s="6">
        <f t="shared" ca="1" si="9"/>
        <v>302</v>
      </c>
      <c r="K14" s="4">
        <f t="shared" ca="1" si="10"/>
        <v>848.05874999999992</v>
      </c>
      <c r="L14" s="4">
        <f t="shared" ca="1" si="11"/>
        <v>651.90027777777777</v>
      </c>
      <c r="M14" s="4">
        <f t="shared" ca="1" si="12"/>
        <v>455.74180555555552</v>
      </c>
      <c r="N14" s="4">
        <f t="shared" ca="1" si="7"/>
        <v>259.58333333333331</v>
      </c>
      <c r="O14" s="4">
        <f t="shared" ca="1" si="13"/>
        <v>63.424861111111113</v>
      </c>
      <c r="P14" s="4">
        <f t="shared" ca="1" si="14"/>
        <v>0</v>
      </c>
      <c r="Q14" s="4">
        <v>0</v>
      </c>
    </row>
    <row r="15" spans="1:17" ht="14" customHeight="1" x14ac:dyDescent="0.2">
      <c r="A15" s="4"/>
      <c r="B15" s="4">
        <f t="shared" ca="1" si="0"/>
        <v>1099.3378205128206</v>
      </c>
      <c r="C15" s="4">
        <f t="shared" ca="1" si="1"/>
        <v>869.17393162393159</v>
      </c>
      <c r="D15" s="4">
        <f t="shared" ca="1" si="2"/>
        <v>639.01004273504282</v>
      </c>
      <c r="E15" s="4">
        <f t="shared" si="3"/>
        <v>408.84615384615387</v>
      </c>
      <c r="F15" s="4">
        <f t="shared" ca="1" si="4"/>
        <v>178.68226495726498</v>
      </c>
      <c r="G15" s="4">
        <f t="shared" ca="1" si="5"/>
        <v>-51.481623931623915</v>
      </c>
      <c r="H15" s="4">
        <f t="shared" ca="1" si="6"/>
        <v>-281.64551282051281</v>
      </c>
      <c r="I15">
        <f t="shared" ca="1" si="8"/>
        <v>353</v>
      </c>
      <c r="J15" t="str">
        <f t="shared" ca="1" si="9"/>
        <v/>
      </c>
      <c r="K15">
        <f t="shared" ca="1" si="10"/>
        <v>848.05874999999992</v>
      </c>
      <c r="L15">
        <f t="shared" ca="1" si="11"/>
        <v>651.90027777777777</v>
      </c>
      <c r="M15">
        <f t="shared" ca="1" si="12"/>
        <v>455.74180555555552</v>
      </c>
      <c r="N15" s="4">
        <f t="shared" ca="1" si="7"/>
        <v>259.58333333333331</v>
      </c>
      <c r="O15">
        <f t="shared" ca="1" si="13"/>
        <v>63.424861111111113</v>
      </c>
      <c r="P15">
        <f t="shared" ca="1" si="14"/>
        <v>0</v>
      </c>
      <c r="Q15">
        <v>0</v>
      </c>
    </row>
    <row r="16" spans="1:17" ht="14" customHeight="1" x14ac:dyDescent="0.2">
      <c r="A16" s="4"/>
      <c r="B16" s="4">
        <f t="shared" ca="1" si="0"/>
        <v>1099.3378205128206</v>
      </c>
      <c r="C16" s="4">
        <f t="shared" ca="1" si="1"/>
        <v>869.17393162393159</v>
      </c>
      <c r="D16" s="4">
        <f t="shared" ca="1" si="2"/>
        <v>639.01004273504282</v>
      </c>
      <c r="E16" s="4">
        <f t="shared" si="3"/>
        <v>408.84615384615387</v>
      </c>
      <c r="F16" s="4">
        <f t="shared" ca="1" si="4"/>
        <v>178.68226495726498</v>
      </c>
      <c r="G16" s="4">
        <f t="shared" ca="1" si="5"/>
        <v>-51.481623931623915</v>
      </c>
      <c r="H16" s="4">
        <f t="shared" ca="1" si="6"/>
        <v>-281.64551282051281</v>
      </c>
      <c r="I16">
        <f t="shared" ca="1" si="8"/>
        <v>353</v>
      </c>
      <c r="J16" t="str">
        <f t="shared" ca="1" si="9"/>
        <v/>
      </c>
      <c r="K16">
        <f t="shared" ca="1" si="10"/>
        <v>848.05874999999992</v>
      </c>
      <c r="L16">
        <f t="shared" ca="1" si="11"/>
        <v>651.90027777777777</v>
      </c>
      <c r="M16">
        <f t="shared" ca="1" si="12"/>
        <v>455.74180555555552</v>
      </c>
      <c r="N16" s="4">
        <f t="shared" ca="1" si="7"/>
        <v>259.58333333333331</v>
      </c>
      <c r="O16">
        <f t="shared" ca="1" si="13"/>
        <v>63.424861111111113</v>
      </c>
      <c r="P16">
        <f t="shared" ca="1" si="14"/>
        <v>0</v>
      </c>
      <c r="Q16">
        <v>0</v>
      </c>
    </row>
    <row r="17" spans="1:17" ht="14" customHeight="1" x14ac:dyDescent="0.2">
      <c r="A17" s="4"/>
      <c r="B17" s="4">
        <f t="shared" ca="1" si="0"/>
        <v>1099.3378205128206</v>
      </c>
      <c r="C17" s="4">
        <f t="shared" ca="1" si="1"/>
        <v>869.17393162393159</v>
      </c>
      <c r="D17" s="4">
        <f t="shared" ca="1" si="2"/>
        <v>639.01004273504282</v>
      </c>
      <c r="E17" s="4">
        <f t="shared" si="3"/>
        <v>408.84615384615387</v>
      </c>
      <c r="F17" s="4">
        <f t="shared" ca="1" si="4"/>
        <v>178.68226495726498</v>
      </c>
      <c r="G17" s="4">
        <f t="shared" ca="1" si="5"/>
        <v>-51.481623931623915</v>
      </c>
      <c r="H17" s="4">
        <f t="shared" ca="1" si="6"/>
        <v>-281.64551282051281</v>
      </c>
      <c r="I17">
        <f t="shared" ca="1" si="8"/>
        <v>353</v>
      </c>
      <c r="J17" t="str">
        <f t="shared" ca="1" si="9"/>
        <v/>
      </c>
      <c r="K17">
        <f t="shared" ca="1" si="10"/>
        <v>848.05874999999992</v>
      </c>
      <c r="L17">
        <f t="shared" ca="1" si="11"/>
        <v>651.90027777777777</v>
      </c>
      <c r="M17">
        <f t="shared" ca="1" si="12"/>
        <v>455.74180555555552</v>
      </c>
      <c r="N17" s="4">
        <f t="shared" ca="1" si="7"/>
        <v>259.58333333333331</v>
      </c>
      <c r="O17">
        <f t="shared" ca="1" si="13"/>
        <v>63.424861111111113</v>
      </c>
      <c r="P17">
        <f t="shared" ca="1" si="14"/>
        <v>0</v>
      </c>
      <c r="Q17">
        <v>0</v>
      </c>
    </row>
    <row r="18" spans="1:17" ht="14" customHeight="1" x14ac:dyDescent="0.2">
      <c r="A18" s="4"/>
      <c r="B18" s="4">
        <f t="shared" ca="1" si="0"/>
        <v>1099.3378205128206</v>
      </c>
      <c r="C18" s="4">
        <f t="shared" ca="1" si="1"/>
        <v>869.17393162393159</v>
      </c>
      <c r="D18" s="4">
        <f t="shared" ca="1" si="2"/>
        <v>639.01004273504282</v>
      </c>
      <c r="E18" s="4">
        <f t="shared" si="3"/>
        <v>408.84615384615387</v>
      </c>
      <c r="F18" s="4">
        <f t="shared" ca="1" si="4"/>
        <v>178.68226495726498</v>
      </c>
      <c r="G18" s="4">
        <f t="shared" ca="1" si="5"/>
        <v>-51.481623931623915</v>
      </c>
      <c r="H18" s="4">
        <f t="shared" ca="1" si="6"/>
        <v>-281.64551282051281</v>
      </c>
      <c r="I18">
        <f t="shared" ca="1" si="8"/>
        <v>353</v>
      </c>
      <c r="J18" t="str">
        <f t="shared" ca="1" si="9"/>
        <v/>
      </c>
      <c r="K18">
        <f t="shared" ca="1" si="10"/>
        <v>848.05874999999992</v>
      </c>
      <c r="L18">
        <f t="shared" ca="1" si="11"/>
        <v>651.90027777777777</v>
      </c>
      <c r="M18">
        <f t="shared" ca="1" si="12"/>
        <v>455.74180555555552</v>
      </c>
      <c r="N18" s="4">
        <f t="shared" ca="1" si="7"/>
        <v>259.58333333333331</v>
      </c>
      <c r="O18">
        <f t="shared" ca="1" si="13"/>
        <v>63.424861111111113</v>
      </c>
      <c r="P18">
        <f t="shared" ca="1" si="14"/>
        <v>0</v>
      </c>
      <c r="Q18">
        <v>0</v>
      </c>
    </row>
    <row r="19" spans="1:17" ht="14" customHeight="1" x14ac:dyDescent="0.2">
      <c r="A19" s="4"/>
      <c r="B19" s="4">
        <f t="shared" ca="1" si="0"/>
        <v>1099.3378205128206</v>
      </c>
      <c r="C19" s="4">
        <f t="shared" ca="1" si="1"/>
        <v>869.17393162393159</v>
      </c>
      <c r="D19" s="4">
        <f t="shared" ca="1" si="2"/>
        <v>639.01004273504282</v>
      </c>
      <c r="E19" s="4">
        <f t="shared" si="3"/>
        <v>408.84615384615387</v>
      </c>
      <c r="F19" s="4">
        <f t="shared" ca="1" si="4"/>
        <v>178.68226495726498</v>
      </c>
      <c r="G19" s="4">
        <f t="shared" ca="1" si="5"/>
        <v>-51.481623931623915</v>
      </c>
      <c r="H19" s="4">
        <f t="shared" ca="1" si="6"/>
        <v>-281.64551282051281</v>
      </c>
      <c r="I19">
        <f t="shared" ca="1" si="8"/>
        <v>353</v>
      </c>
      <c r="J19" t="str">
        <f t="shared" ca="1" si="9"/>
        <v/>
      </c>
      <c r="K19">
        <f t="shared" ca="1" si="10"/>
        <v>848.05874999999992</v>
      </c>
      <c r="L19">
        <f t="shared" ca="1" si="11"/>
        <v>651.90027777777777</v>
      </c>
      <c r="M19">
        <f t="shared" ca="1" si="12"/>
        <v>455.74180555555552</v>
      </c>
      <c r="N19" s="4">
        <f t="shared" ca="1" si="7"/>
        <v>259.58333333333331</v>
      </c>
      <c r="O19">
        <f t="shared" ca="1" si="13"/>
        <v>63.424861111111113</v>
      </c>
      <c r="P19">
        <f t="shared" ca="1" si="14"/>
        <v>0</v>
      </c>
      <c r="Q19">
        <v>0</v>
      </c>
    </row>
    <row r="20" spans="1:17" ht="14" customHeight="1" x14ac:dyDescent="0.2">
      <c r="A20" s="4"/>
      <c r="B20" s="4">
        <f t="shared" ca="1" si="0"/>
        <v>1099.3378205128206</v>
      </c>
      <c r="C20" s="4">
        <f t="shared" ca="1" si="1"/>
        <v>869.17393162393159</v>
      </c>
      <c r="D20" s="4">
        <f t="shared" ca="1" si="2"/>
        <v>639.01004273504282</v>
      </c>
      <c r="E20" s="4">
        <f t="shared" si="3"/>
        <v>408.84615384615387</v>
      </c>
      <c r="F20" s="4">
        <f t="shared" ca="1" si="4"/>
        <v>178.68226495726498</v>
      </c>
      <c r="G20" s="4">
        <f t="shared" ca="1" si="5"/>
        <v>-51.481623931623915</v>
      </c>
      <c r="H20" s="4">
        <f t="shared" ca="1" si="6"/>
        <v>-281.64551282051281</v>
      </c>
      <c r="I20">
        <f t="shared" ca="1" si="8"/>
        <v>353</v>
      </c>
      <c r="J20" t="str">
        <f t="shared" ca="1" si="9"/>
        <v/>
      </c>
      <c r="K20">
        <f t="shared" ca="1" si="10"/>
        <v>848.05874999999992</v>
      </c>
      <c r="L20">
        <f t="shared" ca="1" si="11"/>
        <v>651.90027777777777</v>
      </c>
      <c r="M20">
        <f t="shared" ca="1" si="12"/>
        <v>455.74180555555552</v>
      </c>
      <c r="N20" s="4">
        <f t="shared" ca="1" si="7"/>
        <v>259.58333333333331</v>
      </c>
      <c r="O20">
        <f t="shared" ca="1" si="13"/>
        <v>63.424861111111113</v>
      </c>
      <c r="P20">
        <f t="shared" ca="1" si="14"/>
        <v>0</v>
      </c>
      <c r="Q20">
        <v>0</v>
      </c>
    </row>
    <row r="21" spans="1:17" ht="14" customHeight="1" x14ac:dyDescent="0.2">
      <c r="A21" s="4"/>
      <c r="B21" s="4">
        <f t="shared" ca="1" si="0"/>
        <v>1099.3378205128206</v>
      </c>
      <c r="C21" s="4">
        <f t="shared" ca="1" si="1"/>
        <v>869.17393162393159</v>
      </c>
      <c r="D21" s="4">
        <f t="shared" ca="1" si="2"/>
        <v>639.01004273504282</v>
      </c>
      <c r="E21" s="4">
        <f t="shared" si="3"/>
        <v>408.84615384615387</v>
      </c>
      <c r="F21" s="4">
        <f t="shared" ca="1" si="4"/>
        <v>178.68226495726498</v>
      </c>
      <c r="G21" s="4">
        <f t="shared" ca="1" si="5"/>
        <v>-51.481623931623915</v>
      </c>
      <c r="H21" s="4">
        <f t="shared" ca="1" si="6"/>
        <v>-281.64551282051281</v>
      </c>
      <c r="I21">
        <f t="shared" ca="1" si="8"/>
        <v>353</v>
      </c>
      <c r="J21" t="str">
        <f t="shared" ca="1" si="9"/>
        <v/>
      </c>
      <c r="K21">
        <f t="shared" ca="1" si="10"/>
        <v>848.05874999999992</v>
      </c>
      <c r="L21">
        <f t="shared" ca="1" si="11"/>
        <v>651.90027777777777</v>
      </c>
      <c r="M21">
        <f t="shared" ca="1" si="12"/>
        <v>455.74180555555552</v>
      </c>
      <c r="N21" s="4">
        <f t="shared" ca="1" si="7"/>
        <v>259.58333333333331</v>
      </c>
      <c r="O21">
        <f t="shared" ca="1" si="13"/>
        <v>63.424861111111113</v>
      </c>
      <c r="P21">
        <f t="shared" ca="1" si="14"/>
        <v>0</v>
      </c>
      <c r="Q21">
        <v>0</v>
      </c>
    </row>
    <row r="22" spans="1:17" ht="14" customHeight="1" x14ac:dyDescent="0.2">
      <c r="A22" s="4"/>
      <c r="B22" s="4">
        <f t="shared" ca="1" si="0"/>
        <v>1099.3378205128206</v>
      </c>
      <c r="C22" s="4">
        <f t="shared" ca="1" si="1"/>
        <v>869.17393162393159</v>
      </c>
      <c r="D22" s="4">
        <f t="shared" ca="1" si="2"/>
        <v>639.01004273504282</v>
      </c>
      <c r="E22" s="4">
        <f t="shared" si="3"/>
        <v>408.84615384615387</v>
      </c>
      <c r="F22" s="4">
        <f t="shared" ca="1" si="4"/>
        <v>178.68226495726498</v>
      </c>
      <c r="G22" s="4">
        <f t="shared" ca="1" si="5"/>
        <v>-51.481623931623915</v>
      </c>
      <c r="H22" s="4">
        <f t="shared" ca="1" si="6"/>
        <v>-281.64551282051281</v>
      </c>
      <c r="I22">
        <f t="shared" ca="1" si="8"/>
        <v>353</v>
      </c>
      <c r="J22" t="str">
        <f t="shared" ca="1" si="9"/>
        <v/>
      </c>
      <c r="K22">
        <f t="shared" ca="1" si="10"/>
        <v>848.05874999999992</v>
      </c>
      <c r="L22">
        <f t="shared" ca="1" si="11"/>
        <v>651.90027777777777</v>
      </c>
      <c r="M22">
        <f t="shared" ca="1" si="12"/>
        <v>455.74180555555552</v>
      </c>
      <c r="N22" s="4">
        <f t="shared" ca="1" si="7"/>
        <v>259.58333333333331</v>
      </c>
      <c r="O22">
        <f t="shared" ca="1" si="13"/>
        <v>63.424861111111113</v>
      </c>
      <c r="P22">
        <f t="shared" ca="1" si="14"/>
        <v>0</v>
      </c>
      <c r="Q22">
        <v>0</v>
      </c>
    </row>
    <row r="23" spans="1:17" ht="14" customHeight="1" x14ac:dyDescent="0.2">
      <c r="A23" s="4"/>
      <c r="B23" s="4">
        <f t="shared" ca="1" si="0"/>
        <v>1099.3378205128206</v>
      </c>
      <c r="C23" s="4">
        <f t="shared" ca="1" si="1"/>
        <v>869.17393162393159</v>
      </c>
      <c r="D23" s="4">
        <f t="shared" ca="1" si="2"/>
        <v>639.01004273504282</v>
      </c>
      <c r="E23" s="4">
        <f t="shared" si="3"/>
        <v>408.84615384615387</v>
      </c>
      <c r="F23" s="4">
        <f t="shared" ca="1" si="4"/>
        <v>178.68226495726498</v>
      </c>
      <c r="G23" s="4">
        <f t="shared" ca="1" si="5"/>
        <v>-51.481623931623915</v>
      </c>
      <c r="H23" s="4">
        <f t="shared" ca="1" si="6"/>
        <v>-281.64551282051281</v>
      </c>
      <c r="I23">
        <f t="shared" ca="1" si="8"/>
        <v>353</v>
      </c>
      <c r="J23" t="str">
        <f t="shared" ca="1" si="9"/>
        <v/>
      </c>
      <c r="K23">
        <f t="shared" ca="1" si="10"/>
        <v>848.05874999999992</v>
      </c>
      <c r="L23">
        <f t="shared" ca="1" si="11"/>
        <v>651.90027777777777</v>
      </c>
      <c r="M23">
        <f t="shared" ca="1" si="12"/>
        <v>455.74180555555552</v>
      </c>
      <c r="N23" s="4">
        <f t="shared" ca="1" si="7"/>
        <v>259.58333333333331</v>
      </c>
      <c r="O23">
        <f t="shared" ca="1" si="13"/>
        <v>63.424861111111113</v>
      </c>
      <c r="P23">
        <f t="shared" ca="1" si="14"/>
        <v>0</v>
      </c>
      <c r="Q23">
        <v>0</v>
      </c>
    </row>
    <row r="24" spans="1:17" ht="14" customHeight="1" x14ac:dyDescent="0.2">
      <c r="A24" s="4"/>
      <c r="B24" s="4">
        <f t="shared" ca="1" si="0"/>
        <v>1099.3378205128206</v>
      </c>
      <c r="C24" s="4">
        <f t="shared" ca="1" si="1"/>
        <v>869.17393162393159</v>
      </c>
      <c r="D24" s="4">
        <f t="shared" ca="1" si="2"/>
        <v>639.01004273504282</v>
      </c>
      <c r="E24" s="4">
        <f t="shared" si="3"/>
        <v>408.84615384615387</v>
      </c>
      <c r="F24" s="4">
        <f t="shared" ca="1" si="4"/>
        <v>178.68226495726498</v>
      </c>
      <c r="G24" s="4">
        <f t="shared" ca="1" si="5"/>
        <v>-51.481623931623915</v>
      </c>
      <c r="H24" s="4">
        <f t="shared" ca="1" si="6"/>
        <v>-281.64551282051281</v>
      </c>
      <c r="I24">
        <f t="shared" ca="1" si="8"/>
        <v>353</v>
      </c>
      <c r="J24" t="str">
        <f t="shared" ca="1" si="9"/>
        <v/>
      </c>
      <c r="K24">
        <f t="shared" ca="1" si="10"/>
        <v>848.05874999999992</v>
      </c>
      <c r="L24">
        <f t="shared" ca="1" si="11"/>
        <v>651.90027777777777</v>
      </c>
      <c r="M24">
        <f t="shared" ca="1" si="12"/>
        <v>455.74180555555552</v>
      </c>
      <c r="N24" s="4">
        <f t="shared" ca="1" si="7"/>
        <v>259.58333333333331</v>
      </c>
      <c r="O24">
        <f t="shared" ca="1" si="13"/>
        <v>63.424861111111113</v>
      </c>
      <c r="P24">
        <f t="shared" ca="1" si="14"/>
        <v>0</v>
      </c>
      <c r="Q24">
        <v>0</v>
      </c>
    </row>
    <row r="25" spans="1:17" ht="14" customHeight="1" x14ac:dyDescent="0.2">
      <c r="A25" s="4"/>
      <c r="B25" s="4">
        <f t="shared" ca="1" si="0"/>
        <v>1099.3378205128206</v>
      </c>
      <c r="C25" s="4">
        <f t="shared" ca="1" si="1"/>
        <v>869.17393162393159</v>
      </c>
      <c r="D25" s="4">
        <f t="shared" ca="1" si="2"/>
        <v>639.01004273504282</v>
      </c>
      <c r="E25" s="4">
        <f t="shared" si="3"/>
        <v>408.84615384615387</v>
      </c>
      <c r="F25" s="4">
        <f t="shared" ca="1" si="4"/>
        <v>178.68226495726498</v>
      </c>
      <c r="G25" s="4">
        <f t="shared" ca="1" si="5"/>
        <v>-51.481623931623915</v>
      </c>
      <c r="H25" s="4">
        <f t="shared" ca="1" si="6"/>
        <v>-281.64551282051281</v>
      </c>
      <c r="I25">
        <f t="shared" ca="1" si="8"/>
        <v>353</v>
      </c>
      <c r="J25" t="str">
        <f t="shared" ca="1" si="9"/>
        <v/>
      </c>
      <c r="K25">
        <f t="shared" ca="1" si="10"/>
        <v>848.05874999999992</v>
      </c>
      <c r="L25">
        <f t="shared" ca="1" si="11"/>
        <v>651.90027777777777</v>
      </c>
      <c r="M25">
        <f t="shared" ca="1" si="12"/>
        <v>455.74180555555552</v>
      </c>
      <c r="N25" s="4">
        <f t="shared" ca="1" si="7"/>
        <v>259.58333333333331</v>
      </c>
      <c r="O25">
        <f t="shared" ca="1" si="13"/>
        <v>63.424861111111113</v>
      </c>
      <c r="P25">
        <f t="shared" ca="1" si="14"/>
        <v>0</v>
      </c>
      <c r="Q25">
        <v>0</v>
      </c>
    </row>
    <row r="26" spans="1:17" ht="14" customHeight="1" x14ac:dyDescent="0.2">
      <c r="A26" s="4"/>
      <c r="B26" s="4">
        <f t="shared" ca="1" si="0"/>
        <v>1099.3378205128206</v>
      </c>
      <c r="C26" s="4">
        <f t="shared" ca="1" si="1"/>
        <v>869.17393162393159</v>
      </c>
      <c r="D26" s="4">
        <f t="shared" ca="1" si="2"/>
        <v>639.01004273504282</v>
      </c>
      <c r="E26" s="4">
        <f t="shared" si="3"/>
        <v>408.84615384615387</v>
      </c>
      <c r="F26" s="4">
        <f t="shared" ca="1" si="4"/>
        <v>178.68226495726498</v>
      </c>
      <c r="G26" s="4">
        <f t="shared" ca="1" si="5"/>
        <v>-51.481623931623915</v>
      </c>
      <c r="H26" s="4">
        <f t="shared" ca="1" si="6"/>
        <v>-281.64551282051281</v>
      </c>
      <c r="I26">
        <f t="shared" ca="1" si="8"/>
        <v>353</v>
      </c>
      <c r="J26" t="str">
        <f t="shared" ca="1" si="9"/>
        <v/>
      </c>
      <c r="K26">
        <f t="shared" ca="1" si="10"/>
        <v>848.05874999999992</v>
      </c>
      <c r="L26">
        <f t="shared" ca="1" si="11"/>
        <v>651.90027777777777</v>
      </c>
      <c r="M26">
        <f t="shared" ca="1" si="12"/>
        <v>455.74180555555552</v>
      </c>
      <c r="N26" s="4">
        <f t="shared" ca="1" si="7"/>
        <v>259.58333333333331</v>
      </c>
      <c r="O26">
        <f t="shared" ca="1" si="13"/>
        <v>63.424861111111113</v>
      </c>
      <c r="P26">
        <f t="shared" ca="1" si="14"/>
        <v>0</v>
      </c>
      <c r="Q26">
        <v>0</v>
      </c>
    </row>
    <row r="27" spans="1:17" ht="14" customHeight="1" x14ac:dyDescent="0.2">
      <c r="A27" s="4"/>
      <c r="B27" s="4">
        <f t="shared" ca="1" si="0"/>
        <v>1099.3378205128206</v>
      </c>
      <c r="C27" s="4">
        <f t="shared" ca="1" si="1"/>
        <v>869.17393162393159</v>
      </c>
      <c r="D27" s="4">
        <f t="shared" ca="1" si="2"/>
        <v>639.01004273504282</v>
      </c>
      <c r="E27" s="4">
        <f t="shared" si="3"/>
        <v>408.84615384615387</v>
      </c>
      <c r="F27" s="4">
        <f t="shared" ca="1" si="4"/>
        <v>178.68226495726498</v>
      </c>
      <c r="G27" s="4">
        <f t="shared" ca="1" si="5"/>
        <v>-51.481623931623915</v>
      </c>
      <c r="H27" s="4">
        <f t="shared" ca="1" si="6"/>
        <v>-281.64551282051281</v>
      </c>
      <c r="I27">
        <f t="shared" ca="1" si="8"/>
        <v>353</v>
      </c>
      <c r="J27" t="str">
        <f t="shared" ca="1" si="9"/>
        <v/>
      </c>
      <c r="K27">
        <f t="shared" ca="1" si="10"/>
        <v>848.05874999999992</v>
      </c>
      <c r="L27">
        <f t="shared" ca="1" si="11"/>
        <v>651.90027777777777</v>
      </c>
      <c r="M27">
        <f t="shared" ca="1" si="12"/>
        <v>455.74180555555552</v>
      </c>
      <c r="N27" s="4">
        <f t="shared" ca="1" si="7"/>
        <v>259.58333333333331</v>
      </c>
      <c r="O27">
        <f t="shared" ca="1" si="13"/>
        <v>63.424861111111113</v>
      </c>
      <c r="P27">
        <f t="shared" ca="1" si="14"/>
        <v>0</v>
      </c>
      <c r="Q27">
        <v>0</v>
      </c>
    </row>
    <row r="28" spans="1:17" ht="14" customHeight="1" x14ac:dyDescent="0.2">
      <c r="A28" s="4"/>
      <c r="B28" s="4">
        <f t="shared" ca="1" si="0"/>
        <v>1099.3378205128206</v>
      </c>
      <c r="C28" s="4">
        <f t="shared" ca="1" si="1"/>
        <v>869.17393162393159</v>
      </c>
      <c r="D28" s="4">
        <f t="shared" ca="1" si="2"/>
        <v>639.01004273504282</v>
      </c>
      <c r="E28" s="4">
        <f t="shared" si="3"/>
        <v>408.84615384615387</v>
      </c>
      <c r="F28" s="4">
        <f t="shared" ca="1" si="4"/>
        <v>178.68226495726498</v>
      </c>
      <c r="G28" s="4">
        <f t="shared" ca="1" si="5"/>
        <v>-51.481623931623915</v>
      </c>
      <c r="H28" s="4">
        <f t="shared" ca="1" si="6"/>
        <v>-281.64551282051281</v>
      </c>
      <c r="I28">
        <f t="shared" ca="1" si="8"/>
        <v>353</v>
      </c>
      <c r="J28" t="str">
        <f t="shared" ca="1" si="9"/>
        <v/>
      </c>
      <c r="K28">
        <f t="shared" ca="1" si="10"/>
        <v>848.05874999999992</v>
      </c>
      <c r="L28">
        <f t="shared" ca="1" si="11"/>
        <v>651.90027777777777</v>
      </c>
      <c r="M28">
        <f t="shared" ca="1" si="12"/>
        <v>455.74180555555552</v>
      </c>
      <c r="N28" s="4">
        <f t="shared" ca="1" si="7"/>
        <v>259.58333333333331</v>
      </c>
      <c r="O28">
        <f t="shared" ca="1" si="13"/>
        <v>63.424861111111113</v>
      </c>
      <c r="P28">
        <f t="shared" ca="1" si="14"/>
        <v>0</v>
      </c>
      <c r="Q28">
        <v>0</v>
      </c>
    </row>
    <row r="29" spans="1:17" ht="14" customHeight="1" x14ac:dyDescent="0.2">
      <c r="A29" s="4"/>
      <c r="B29" s="4">
        <f t="shared" ca="1" si="0"/>
        <v>1099.3378205128206</v>
      </c>
      <c r="C29" s="4">
        <f t="shared" ca="1" si="1"/>
        <v>869.17393162393159</v>
      </c>
      <c r="D29" s="4">
        <f t="shared" ca="1" si="2"/>
        <v>639.01004273504282</v>
      </c>
      <c r="E29" s="4">
        <f t="shared" si="3"/>
        <v>408.84615384615387</v>
      </c>
      <c r="F29" s="4">
        <f t="shared" ca="1" si="4"/>
        <v>178.68226495726498</v>
      </c>
      <c r="G29" s="4">
        <f t="shared" ca="1" si="5"/>
        <v>-51.481623931623915</v>
      </c>
      <c r="H29" s="4">
        <f t="shared" ca="1" si="6"/>
        <v>-281.64551282051281</v>
      </c>
      <c r="I29">
        <f t="shared" ca="1" si="8"/>
        <v>353</v>
      </c>
      <c r="J29" t="str">
        <f t="shared" ca="1" si="9"/>
        <v/>
      </c>
      <c r="K29">
        <f t="shared" ca="1" si="10"/>
        <v>848.05874999999992</v>
      </c>
      <c r="L29">
        <f t="shared" ca="1" si="11"/>
        <v>651.90027777777777</v>
      </c>
      <c r="M29">
        <f t="shared" ca="1" si="12"/>
        <v>455.74180555555552</v>
      </c>
      <c r="N29" s="4">
        <f t="shared" ca="1" si="7"/>
        <v>259.58333333333331</v>
      </c>
      <c r="O29">
        <f t="shared" ca="1" si="13"/>
        <v>63.424861111111113</v>
      </c>
      <c r="P29">
        <f t="shared" ca="1" si="14"/>
        <v>0</v>
      </c>
      <c r="Q29">
        <v>0</v>
      </c>
    </row>
    <row r="30" spans="1:17" ht="14" customHeight="1" x14ac:dyDescent="0.2">
      <c r="A30" s="4"/>
      <c r="B30" s="4">
        <f t="shared" ca="1" si="0"/>
        <v>1099.3378205128206</v>
      </c>
      <c r="C30" s="4">
        <f t="shared" ca="1" si="1"/>
        <v>869.17393162393159</v>
      </c>
      <c r="D30" s="4">
        <f t="shared" ca="1" si="2"/>
        <v>639.01004273504282</v>
      </c>
      <c r="E30" s="4">
        <f t="shared" si="3"/>
        <v>408.84615384615387</v>
      </c>
      <c r="F30" s="4">
        <f t="shared" ca="1" si="4"/>
        <v>178.68226495726498</v>
      </c>
      <c r="G30" s="4">
        <f t="shared" ca="1" si="5"/>
        <v>-51.481623931623915</v>
      </c>
      <c r="H30" s="4">
        <f t="shared" ca="1" si="6"/>
        <v>-281.64551282051281</v>
      </c>
      <c r="I30">
        <f t="shared" ca="1" si="8"/>
        <v>353</v>
      </c>
      <c r="J30" t="str">
        <f t="shared" ca="1" si="9"/>
        <v/>
      </c>
      <c r="K30">
        <f t="shared" ca="1" si="10"/>
        <v>848.05874999999992</v>
      </c>
      <c r="L30">
        <f t="shared" ca="1" si="11"/>
        <v>651.90027777777777</v>
      </c>
      <c r="M30">
        <f t="shared" ca="1" si="12"/>
        <v>455.74180555555552</v>
      </c>
      <c r="N30" s="4">
        <f t="shared" ca="1" si="7"/>
        <v>259.58333333333331</v>
      </c>
      <c r="O30">
        <f t="shared" ca="1" si="13"/>
        <v>63.424861111111113</v>
      </c>
      <c r="P30">
        <f t="shared" ca="1" si="14"/>
        <v>0</v>
      </c>
      <c r="Q30">
        <v>0</v>
      </c>
    </row>
    <row r="31" spans="1:17" ht="14" customHeight="1" x14ac:dyDescent="0.2">
      <c r="A31" s="4"/>
      <c r="B31" s="4">
        <f t="shared" ca="1" si="0"/>
        <v>1099.3378205128206</v>
      </c>
      <c r="C31" s="4">
        <f t="shared" ca="1" si="1"/>
        <v>869.17393162393159</v>
      </c>
      <c r="D31" s="4">
        <f t="shared" ca="1" si="2"/>
        <v>639.01004273504282</v>
      </c>
      <c r="E31" s="4">
        <f t="shared" si="3"/>
        <v>408.84615384615387</v>
      </c>
      <c r="F31" s="4">
        <f t="shared" ca="1" si="4"/>
        <v>178.68226495726498</v>
      </c>
      <c r="G31" s="4">
        <f t="shared" ca="1" si="5"/>
        <v>-51.481623931623915</v>
      </c>
      <c r="H31" s="4">
        <f t="shared" ca="1" si="6"/>
        <v>-281.64551282051281</v>
      </c>
      <c r="I31">
        <f t="shared" ca="1" si="8"/>
        <v>353</v>
      </c>
      <c r="J31" t="str">
        <f t="shared" ca="1" si="9"/>
        <v/>
      </c>
      <c r="K31">
        <f t="shared" ca="1" si="10"/>
        <v>848.05874999999992</v>
      </c>
      <c r="L31">
        <f t="shared" ca="1" si="11"/>
        <v>651.90027777777777</v>
      </c>
      <c r="M31">
        <f t="shared" ca="1" si="12"/>
        <v>455.74180555555552</v>
      </c>
      <c r="N31" s="4">
        <f t="shared" ca="1" si="7"/>
        <v>259.58333333333331</v>
      </c>
      <c r="O31">
        <f t="shared" ca="1" si="13"/>
        <v>63.424861111111113</v>
      </c>
      <c r="P31">
        <f t="shared" ca="1" si="14"/>
        <v>0</v>
      </c>
      <c r="Q31">
        <v>0</v>
      </c>
    </row>
    <row r="32" spans="1:17" ht="14" customHeight="1" x14ac:dyDescent="0.2">
      <c r="A32" s="4"/>
      <c r="B32" s="4">
        <f t="shared" ca="1" si="0"/>
        <v>1099.3378205128206</v>
      </c>
      <c r="C32" s="4">
        <f t="shared" ca="1" si="1"/>
        <v>869.17393162393159</v>
      </c>
      <c r="D32" s="4">
        <f t="shared" ca="1" si="2"/>
        <v>639.01004273504282</v>
      </c>
      <c r="E32" s="4">
        <f t="shared" si="3"/>
        <v>408.84615384615387</v>
      </c>
      <c r="F32" s="4">
        <f t="shared" ca="1" si="4"/>
        <v>178.68226495726498</v>
      </c>
      <c r="G32" s="4">
        <f t="shared" ca="1" si="5"/>
        <v>-51.481623931623915</v>
      </c>
      <c r="H32" s="4">
        <f t="shared" ca="1" si="6"/>
        <v>-281.64551282051281</v>
      </c>
      <c r="I32">
        <f t="shared" ca="1" si="8"/>
        <v>353</v>
      </c>
      <c r="J32" t="str">
        <f t="shared" ca="1" si="9"/>
        <v/>
      </c>
      <c r="K32">
        <f t="shared" ca="1" si="10"/>
        <v>848.05874999999992</v>
      </c>
      <c r="L32">
        <f t="shared" ca="1" si="11"/>
        <v>651.90027777777777</v>
      </c>
      <c r="M32">
        <f t="shared" ca="1" si="12"/>
        <v>455.74180555555552</v>
      </c>
      <c r="N32" s="4">
        <f t="shared" ca="1" si="7"/>
        <v>259.58333333333331</v>
      </c>
      <c r="O32">
        <f t="shared" ca="1" si="13"/>
        <v>63.424861111111113</v>
      </c>
      <c r="P32">
        <f t="shared" ca="1" si="14"/>
        <v>0</v>
      </c>
      <c r="Q32">
        <v>0</v>
      </c>
    </row>
    <row r="33" spans="1:17" ht="14" customHeight="1" x14ac:dyDescent="0.2">
      <c r="A33" s="4"/>
      <c r="B33" s="4">
        <f t="shared" ca="1" si="0"/>
        <v>1099.3378205128206</v>
      </c>
      <c r="C33" s="4">
        <f t="shared" ca="1" si="1"/>
        <v>869.17393162393159</v>
      </c>
      <c r="D33" s="4">
        <f t="shared" ca="1" si="2"/>
        <v>639.01004273504282</v>
      </c>
      <c r="E33" s="4">
        <f t="shared" si="3"/>
        <v>408.84615384615387</v>
      </c>
      <c r="F33" s="4">
        <f t="shared" ca="1" si="4"/>
        <v>178.68226495726498</v>
      </c>
      <c r="G33" s="4">
        <f t="shared" ca="1" si="5"/>
        <v>-51.481623931623915</v>
      </c>
      <c r="H33" s="4">
        <f t="shared" ca="1" si="6"/>
        <v>-281.64551282051281</v>
      </c>
      <c r="I33">
        <f t="shared" ca="1" si="8"/>
        <v>353</v>
      </c>
      <c r="J33" t="str">
        <f t="shared" ca="1" si="9"/>
        <v/>
      </c>
      <c r="K33">
        <f t="shared" ca="1" si="10"/>
        <v>848.05874999999992</v>
      </c>
      <c r="L33">
        <f t="shared" ca="1" si="11"/>
        <v>651.90027777777777</v>
      </c>
      <c r="M33">
        <f t="shared" ca="1" si="12"/>
        <v>455.74180555555552</v>
      </c>
      <c r="N33" s="4">
        <f t="shared" ca="1" si="7"/>
        <v>259.58333333333331</v>
      </c>
      <c r="O33">
        <f t="shared" ca="1" si="13"/>
        <v>63.424861111111113</v>
      </c>
      <c r="P33">
        <f t="shared" ca="1" si="14"/>
        <v>0</v>
      </c>
      <c r="Q33">
        <v>0</v>
      </c>
    </row>
    <row r="34" spans="1:17" ht="14" customHeight="1" x14ac:dyDescent="0.2">
      <c r="A34" s="4"/>
      <c r="B34" s="4">
        <f t="shared" ca="1" si="0"/>
        <v>1099.3378205128206</v>
      </c>
      <c r="C34" s="4">
        <f t="shared" ca="1" si="1"/>
        <v>869.17393162393159</v>
      </c>
      <c r="D34" s="4">
        <f t="shared" ca="1" si="2"/>
        <v>639.01004273504282</v>
      </c>
      <c r="E34" s="4">
        <f t="shared" si="3"/>
        <v>408.84615384615387</v>
      </c>
      <c r="F34" s="4">
        <f t="shared" ca="1" si="4"/>
        <v>178.68226495726498</v>
      </c>
      <c r="G34" s="4">
        <f t="shared" ca="1" si="5"/>
        <v>-51.481623931623915</v>
      </c>
      <c r="H34" s="4">
        <f t="shared" ca="1" si="6"/>
        <v>-281.64551282051281</v>
      </c>
      <c r="I34">
        <f t="shared" ca="1" si="8"/>
        <v>353</v>
      </c>
      <c r="J34" t="str">
        <f t="shared" ca="1" si="9"/>
        <v/>
      </c>
      <c r="K34">
        <f t="shared" ca="1" si="10"/>
        <v>848.05874999999992</v>
      </c>
      <c r="L34">
        <f t="shared" ca="1" si="11"/>
        <v>651.90027777777777</v>
      </c>
      <c r="M34">
        <f t="shared" ca="1" si="12"/>
        <v>455.74180555555552</v>
      </c>
      <c r="N34" s="4">
        <f t="shared" ca="1" si="7"/>
        <v>259.58333333333331</v>
      </c>
      <c r="O34">
        <f t="shared" ca="1" si="13"/>
        <v>63.424861111111113</v>
      </c>
      <c r="P34">
        <f t="shared" ca="1" si="14"/>
        <v>0</v>
      </c>
      <c r="Q34">
        <v>0</v>
      </c>
    </row>
    <row r="35" spans="1:17" ht="14" customHeight="1" x14ac:dyDescent="0.2"/>
    <row r="36" spans="1:17" ht="14" customHeight="1" x14ac:dyDescent="0.2"/>
    <row r="37" spans="1:17" ht="14" customHeight="1" x14ac:dyDescent="0.2"/>
    <row r="38" spans="1:17" ht="14" customHeight="1" x14ac:dyDescent="0.2"/>
    <row r="39" spans="1:17" ht="14" customHeight="1" x14ac:dyDescent="0.2"/>
    <row r="40" spans="1:17" ht="14" customHeight="1" x14ac:dyDescent="0.2"/>
    <row r="41" spans="1:17" ht="14" customHeight="1" x14ac:dyDescent="0.2"/>
    <row r="42" spans="1:17" ht="14" customHeight="1" x14ac:dyDescent="0.2"/>
    <row r="43" spans="1:17" ht="14" customHeight="1" x14ac:dyDescent="0.2"/>
    <row r="44" spans="1:17" ht="14" customHeight="1" x14ac:dyDescent="0.2"/>
    <row r="45" spans="1:17" ht="14" customHeight="1" x14ac:dyDescent="0.2"/>
    <row r="46" spans="1:17" ht="14" customHeight="1" x14ac:dyDescent="0.2"/>
    <row r="47" spans="1:17" ht="14" customHeight="1" x14ac:dyDescent="0.2"/>
    <row r="48" spans="1:17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552B-A5E8-A948-8485-169CDC01250C}">
  <sheetPr>
    <tabColor rgb="FF66FF66"/>
    <pageSetUpPr fitToPage="1"/>
  </sheetPr>
  <dimension ref="A1:Q52"/>
  <sheetViews>
    <sheetView zoomScale="174" zoomScaleNormal="174" workbookViewId="0">
      <selection activeCell="B1" sqref="B1:Q36"/>
    </sheetView>
  </sheetViews>
  <sheetFormatPr baseColWidth="10" defaultRowHeight="15" x14ac:dyDescent="0.2"/>
  <cols>
    <col min="1" max="18" width="7.1640625" customWidth="1"/>
  </cols>
  <sheetData>
    <row r="1" spans="1:17" ht="14" customHeight="1" x14ac:dyDescent="0.3">
      <c r="A1" s="8" t="s">
        <v>7</v>
      </c>
      <c r="B1" s="9" t="s">
        <v>14</v>
      </c>
      <c r="C1" s="9" t="s">
        <v>16</v>
      </c>
      <c r="D1" s="9" t="s">
        <v>17</v>
      </c>
      <c r="E1" s="9" t="s">
        <v>11</v>
      </c>
      <c r="F1" s="9" t="s">
        <v>18</v>
      </c>
      <c r="G1" s="9" t="s">
        <v>19</v>
      </c>
      <c r="H1" s="9" t="s">
        <v>13</v>
      </c>
      <c r="I1" t="s">
        <v>15</v>
      </c>
      <c r="J1" s="9" t="s">
        <v>12</v>
      </c>
      <c r="K1" s="9" t="s">
        <v>14</v>
      </c>
      <c r="L1" s="9" t="s">
        <v>16</v>
      </c>
      <c r="M1" s="9" t="s">
        <v>17</v>
      </c>
      <c r="N1" s="9" t="s">
        <v>11</v>
      </c>
      <c r="O1" s="9" t="s">
        <v>18</v>
      </c>
      <c r="P1" s="9" t="s">
        <v>19</v>
      </c>
      <c r="Q1" s="9" t="s">
        <v>13</v>
      </c>
    </row>
    <row r="2" spans="1:17" ht="14" customHeight="1" x14ac:dyDescent="0.3">
      <c r="A2" s="10">
        <v>2.2234891676168762</v>
      </c>
      <c r="B2" s="11">
        <f t="shared" ref="B2:B34" ca="1" si="0">E2+2.66*N2</f>
        <v>8.6362340557979689</v>
      </c>
      <c r="C2" s="11">
        <f t="shared" ref="C2:C34" ca="1" si="1">E2+(2/3)*2.66*N2</f>
        <v>6.827698980586991</v>
      </c>
      <c r="D2" s="11">
        <f t="shared" ref="D2:D34" ca="1" si="2">E2+(1/3)*2.66*N2</f>
        <v>5.0191639053760122</v>
      </c>
      <c r="E2" s="11">
        <f t="shared" ref="E2:E34" si="3">AVERAGE($A$2:$A$14)</f>
        <v>3.2106288301650334</v>
      </c>
      <c r="F2" s="11">
        <f t="shared" ref="F2:F34" ca="1" si="4">E2-(1/3)*2.66*N2</f>
        <v>1.4020937549540549</v>
      </c>
      <c r="G2" s="11">
        <f t="shared" ref="G2:G34" ca="1" si="5">E2-(2/3)*2.66*N2</f>
        <v>-0.4064413202569237</v>
      </c>
      <c r="H2" s="11">
        <f t="shared" ref="H2:H34" ca="1" si="6">E2-2.66*N2</f>
        <v>-2.214976395467902</v>
      </c>
      <c r="I2" s="7">
        <f>A2</f>
        <v>2.2234891676168762</v>
      </c>
      <c r="J2" s="11"/>
      <c r="K2" s="9"/>
      <c r="L2" s="9"/>
      <c r="M2" s="9"/>
      <c r="N2" s="9">
        <f t="shared" ref="N2:N34" ca="1" si="7">AVERAGE($J$2:$J$14)</f>
        <v>2.0397012126439606</v>
      </c>
      <c r="O2" s="9"/>
      <c r="P2" s="9"/>
      <c r="Q2" s="9"/>
    </row>
    <row r="3" spans="1:17" ht="14" customHeight="1" x14ac:dyDescent="0.3">
      <c r="A3" s="10">
        <v>8.1334820598624269</v>
      </c>
      <c r="B3" s="11">
        <f t="shared" ca="1" si="0"/>
        <v>8.6362340557979689</v>
      </c>
      <c r="C3" s="11">
        <f t="shared" ca="1" si="1"/>
        <v>6.827698980586991</v>
      </c>
      <c r="D3" s="11">
        <f t="shared" ca="1" si="2"/>
        <v>5.0191639053760122</v>
      </c>
      <c r="E3" s="11">
        <f t="shared" si="3"/>
        <v>3.2106288301650334</v>
      </c>
      <c r="F3" s="11">
        <f t="shared" ca="1" si="4"/>
        <v>1.4020937549540549</v>
      </c>
      <c r="G3" s="11">
        <f t="shared" ca="1" si="5"/>
        <v>-0.4064413202569237</v>
      </c>
      <c r="H3" s="11">
        <f t="shared" ca="1" si="6"/>
        <v>-2.214976395467902</v>
      </c>
      <c r="I3" s="7">
        <f t="shared" ref="I3:I34" ca="1" si="8">IF(ISBLANK(A3),OFFSET(I3,-1,0,1,1),A3)</f>
        <v>8.1334820598624269</v>
      </c>
      <c r="J3" s="11">
        <f t="shared" ref="J3:J34" ca="1" si="9">IF(OR(OFFSET(J3,-1,-9,1,1)="",OFFSET(J3,0,-9,1,1)=""),"",IF(ISERROR(ABS(A3-OFFSET(J3,-1,-1,1,1))),"",ABS(A3-OFFSET(J3,-1,-1,1,1))))</f>
        <v>5.9099928922455511</v>
      </c>
      <c r="K3" s="9">
        <f t="shared" ref="K3:K34" ca="1" si="10">3.267*N3</f>
        <v>6.6637038617078188</v>
      </c>
      <c r="L3" s="9">
        <f t="shared" ref="L3:L34" ca="1" si="11">(2/3)*(K3-N3)+N3</f>
        <v>5.1223696453531993</v>
      </c>
      <c r="M3" s="9">
        <f t="shared" ref="M3:M34" ca="1" si="12">(1/3)*(K3-N3)+N3</f>
        <v>3.5810354289985797</v>
      </c>
      <c r="N3" s="9">
        <f t="shared" ca="1" si="7"/>
        <v>2.0397012126439606</v>
      </c>
      <c r="O3" s="9">
        <f t="shared" ref="O3:O34" ca="1" si="13">(MAX(N3-(1/3)*(K3-N3),0))</f>
        <v>0.49836699628934156</v>
      </c>
      <c r="P3" s="9">
        <f t="shared" ref="P3:P34" ca="1" si="14">MAX(N3-(2/3)*(K3-N3),0)</f>
        <v>0</v>
      </c>
      <c r="Q3" s="9">
        <v>0</v>
      </c>
    </row>
    <row r="4" spans="1:17" ht="14" customHeight="1" x14ac:dyDescent="0.3">
      <c r="A4" s="10">
        <v>3.429897704805295</v>
      </c>
      <c r="B4" s="11">
        <f t="shared" ca="1" si="0"/>
        <v>8.6362340557979689</v>
      </c>
      <c r="C4" s="11">
        <f t="shared" ca="1" si="1"/>
        <v>6.827698980586991</v>
      </c>
      <c r="D4" s="11">
        <f t="shared" ca="1" si="2"/>
        <v>5.0191639053760122</v>
      </c>
      <c r="E4" s="11">
        <f t="shared" si="3"/>
        <v>3.2106288301650334</v>
      </c>
      <c r="F4" s="11">
        <f t="shared" ca="1" si="4"/>
        <v>1.4020937549540549</v>
      </c>
      <c r="G4" s="11">
        <f t="shared" ca="1" si="5"/>
        <v>-0.4064413202569237</v>
      </c>
      <c r="H4" s="11">
        <f t="shared" ca="1" si="6"/>
        <v>-2.214976395467902</v>
      </c>
      <c r="I4" s="7">
        <f t="shared" ca="1" si="8"/>
        <v>3.429897704805295</v>
      </c>
      <c r="J4" s="11">
        <f t="shared" ca="1" si="9"/>
        <v>4.7035843550571315</v>
      </c>
      <c r="K4" s="9">
        <f t="shared" ca="1" si="10"/>
        <v>6.6637038617078188</v>
      </c>
      <c r="L4" s="9">
        <f t="shared" ca="1" si="11"/>
        <v>5.1223696453531993</v>
      </c>
      <c r="M4" s="9">
        <f t="shared" ca="1" si="12"/>
        <v>3.5810354289985797</v>
      </c>
      <c r="N4" s="9">
        <f t="shared" ca="1" si="7"/>
        <v>2.0397012126439606</v>
      </c>
      <c r="O4" s="9">
        <f t="shared" ca="1" si="13"/>
        <v>0.49836699628934156</v>
      </c>
      <c r="P4" s="9">
        <f t="shared" ca="1" si="14"/>
        <v>0</v>
      </c>
      <c r="Q4" s="9">
        <v>0</v>
      </c>
    </row>
    <row r="5" spans="1:17" ht="14" customHeight="1" x14ac:dyDescent="0.3">
      <c r="A5" s="10">
        <v>3.515625</v>
      </c>
      <c r="B5" s="11">
        <f t="shared" ca="1" si="0"/>
        <v>8.6362340557979689</v>
      </c>
      <c r="C5" s="11">
        <f t="shared" ca="1" si="1"/>
        <v>6.827698980586991</v>
      </c>
      <c r="D5" s="11">
        <f t="shared" ca="1" si="2"/>
        <v>5.0191639053760122</v>
      </c>
      <c r="E5" s="11">
        <f t="shared" si="3"/>
        <v>3.2106288301650334</v>
      </c>
      <c r="F5" s="11">
        <f t="shared" ca="1" si="4"/>
        <v>1.4020937549540549</v>
      </c>
      <c r="G5" s="11">
        <f t="shared" ca="1" si="5"/>
        <v>-0.4064413202569237</v>
      </c>
      <c r="H5" s="11">
        <f t="shared" ca="1" si="6"/>
        <v>-2.214976395467902</v>
      </c>
      <c r="I5" s="7">
        <f t="shared" ca="1" si="8"/>
        <v>3.515625</v>
      </c>
      <c r="J5" s="11">
        <f t="shared" ca="1" si="9"/>
        <v>8.5727295194705011E-2</v>
      </c>
      <c r="K5" s="9">
        <f t="shared" ca="1" si="10"/>
        <v>6.6637038617078188</v>
      </c>
      <c r="L5" s="9">
        <f t="shared" ca="1" si="11"/>
        <v>5.1223696453531993</v>
      </c>
      <c r="M5" s="9">
        <f t="shared" ca="1" si="12"/>
        <v>3.5810354289985797</v>
      </c>
      <c r="N5" s="9">
        <f t="shared" ca="1" si="7"/>
        <v>2.0397012126439606</v>
      </c>
      <c r="O5" s="9">
        <f t="shared" ca="1" si="13"/>
        <v>0.49836699628934156</v>
      </c>
      <c r="P5" s="9">
        <f t="shared" ca="1" si="14"/>
        <v>0</v>
      </c>
      <c r="Q5" s="9">
        <v>0</v>
      </c>
    </row>
    <row r="6" spans="1:17" ht="14" customHeight="1" x14ac:dyDescent="0.3">
      <c r="A6" s="10">
        <v>3.8859895624247289</v>
      </c>
      <c r="B6" s="11">
        <f t="shared" ca="1" si="0"/>
        <v>8.6362340557979689</v>
      </c>
      <c r="C6" s="11">
        <f t="shared" ca="1" si="1"/>
        <v>6.827698980586991</v>
      </c>
      <c r="D6" s="11">
        <f t="shared" ca="1" si="2"/>
        <v>5.0191639053760122</v>
      </c>
      <c r="E6" s="11">
        <f t="shared" si="3"/>
        <v>3.2106288301650334</v>
      </c>
      <c r="F6" s="11">
        <f t="shared" ca="1" si="4"/>
        <v>1.4020937549540549</v>
      </c>
      <c r="G6" s="11">
        <f t="shared" ca="1" si="5"/>
        <v>-0.4064413202569237</v>
      </c>
      <c r="H6" s="11">
        <f t="shared" ca="1" si="6"/>
        <v>-2.214976395467902</v>
      </c>
      <c r="I6" s="7">
        <f t="shared" ca="1" si="8"/>
        <v>3.8859895624247289</v>
      </c>
      <c r="J6" s="11">
        <f t="shared" ca="1" si="9"/>
        <v>0.37036456242472893</v>
      </c>
      <c r="K6" s="9">
        <f t="shared" ca="1" si="10"/>
        <v>6.6637038617078188</v>
      </c>
      <c r="L6" s="9">
        <f t="shared" ca="1" si="11"/>
        <v>5.1223696453531993</v>
      </c>
      <c r="M6" s="9">
        <f t="shared" ca="1" si="12"/>
        <v>3.5810354289985797</v>
      </c>
      <c r="N6" s="9">
        <f t="shared" ca="1" si="7"/>
        <v>2.0397012126439606</v>
      </c>
      <c r="O6" s="9">
        <f t="shared" ca="1" si="13"/>
        <v>0.49836699628934156</v>
      </c>
      <c r="P6" s="9">
        <f t="shared" ca="1" si="14"/>
        <v>0</v>
      </c>
      <c r="Q6" s="9">
        <v>0</v>
      </c>
    </row>
    <row r="7" spans="1:17" ht="14" customHeight="1" x14ac:dyDescent="0.3">
      <c r="A7" s="10">
        <v>1.236571605224515</v>
      </c>
      <c r="B7" s="11">
        <f t="shared" ca="1" si="0"/>
        <v>8.6362340557979689</v>
      </c>
      <c r="C7" s="11">
        <f t="shared" ca="1" si="1"/>
        <v>6.827698980586991</v>
      </c>
      <c r="D7" s="11">
        <f t="shared" ca="1" si="2"/>
        <v>5.0191639053760122</v>
      </c>
      <c r="E7" s="11">
        <f t="shared" si="3"/>
        <v>3.2106288301650334</v>
      </c>
      <c r="F7" s="11">
        <f t="shared" ca="1" si="4"/>
        <v>1.4020937549540549</v>
      </c>
      <c r="G7" s="11">
        <f t="shared" ca="1" si="5"/>
        <v>-0.4064413202569237</v>
      </c>
      <c r="H7" s="11">
        <f t="shared" ca="1" si="6"/>
        <v>-2.214976395467902</v>
      </c>
      <c r="I7" s="7">
        <f t="shared" ca="1" si="8"/>
        <v>1.236571605224515</v>
      </c>
      <c r="J7" s="11">
        <f t="shared" ca="1" si="9"/>
        <v>2.6494179572002139</v>
      </c>
      <c r="K7" s="9">
        <f t="shared" ca="1" si="10"/>
        <v>6.6637038617078188</v>
      </c>
      <c r="L7" s="9">
        <f t="shared" ca="1" si="11"/>
        <v>5.1223696453531993</v>
      </c>
      <c r="M7" s="9">
        <f t="shared" ca="1" si="12"/>
        <v>3.5810354289985797</v>
      </c>
      <c r="N7" s="9">
        <f t="shared" ca="1" si="7"/>
        <v>2.0397012126439606</v>
      </c>
      <c r="O7" s="9">
        <f t="shared" ca="1" si="13"/>
        <v>0.49836699628934156</v>
      </c>
      <c r="P7" s="9">
        <f t="shared" ca="1" si="14"/>
        <v>0</v>
      </c>
      <c r="Q7" s="9">
        <v>0</v>
      </c>
    </row>
    <row r="8" spans="1:17" ht="14" customHeight="1" x14ac:dyDescent="0.3">
      <c r="A8" s="10">
        <v>2.79410642033743</v>
      </c>
      <c r="B8" s="11">
        <f t="shared" ca="1" si="0"/>
        <v>8.6362340557979689</v>
      </c>
      <c r="C8" s="11">
        <f t="shared" ca="1" si="1"/>
        <v>6.827698980586991</v>
      </c>
      <c r="D8" s="11">
        <f t="shared" ca="1" si="2"/>
        <v>5.0191639053760122</v>
      </c>
      <c r="E8" s="11">
        <f t="shared" si="3"/>
        <v>3.2106288301650334</v>
      </c>
      <c r="F8" s="11">
        <f t="shared" ca="1" si="4"/>
        <v>1.4020937549540549</v>
      </c>
      <c r="G8" s="11">
        <f t="shared" ca="1" si="5"/>
        <v>-0.4064413202569237</v>
      </c>
      <c r="H8" s="11">
        <f t="shared" ca="1" si="6"/>
        <v>-2.214976395467902</v>
      </c>
      <c r="I8" s="7">
        <f t="shared" ca="1" si="8"/>
        <v>2.79410642033743</v>
      </c>
      <c r="J8" s="11">
        <f t="shared" ca="1" si="9"/>
        <v>1.5575348151129149</v>
      </c>
      <c r="K8" s="9">
        <f t="shared" ca="1" si="10"/>
        <v>6.6637038617078188</v>
      </c>
      <c r="L8" s="9">
        <f t="shared" ca="1" si="11"/>
        <v>5.1223696453531993</v>
      </c>
      <c r="M8" s="9">
        <f t="shared" ca="1" si="12"/>
        <v>3.5810354289985797</v>
      </c>
      <c r="N8" s="9">
        <f t="shared" ca="1" si="7"/>
        <v>2.0397012126439606</v>
      </c>
      <c r="O8" s="9">
        <f t="shared" ca="1" si="13"/>
        <v>0.49836699628934156</v>
      </c>
      <c r="P8" s="9">
        <f t="shared" ca="1" si="14"/>
        <v>0</v>
      </c>
      <c r="Q8" s="9">
        <v>0</v>
      </c>
    </row>
    <row r="9" spans="1:17" ht="14" customHeight="1" x14ac:dyDescent="0.3">
      <c r="A9" s="10">
        <v>2.4210917192721868</v>
      </c>
      <c r="B9" s="11">
        <f t="shared" ca="1" si="0"/>
        <v>8.6362340557979689</v>
      </c>
      <c r="C9" s="11">
        <f t="shared" ca="1" si="1"/>
        <v>6.827698980586991</v>
      </c>
      <c r="D9" s="11">
        <f t="shared" ca="1" si="2"/>
        <v>5.0191639053760122</v>
      </c>
      <c r="E9" s="11">
        <f t="shared" si="3"/>
        <v>3.2106288301650334</v>
      </c>
      <c r="F9" s="11">
        <f t="shared" ca="1" si="4"/>
        <v>1.4020937549540549</v>
      </c>
      <c r="G9" s="11">
        <f t="shared" ca="1" si="5"/>
        <v>-0.4064413202569237</v>
      </c>
      <c r="H9" s="11">
        <f t="shared" ca="1" si="6"/>
        <v>-2.214976395467902</v>
      </c>
      <c r="I9" s="7">
        <f t="shared" ca="1" si="8"/>
        <v>2.4210917192721868</v>
      </c>
      <c r="J9" s="11">
        <f t="shared" ca="1" si="9"/>
        <v>0.37301470106524315</v>
      </c>
      <c r="K9" s="9">
        <f t="shared" ca="1" si="10"/>
        <v>6.6637038617078188</v>
      </c>
      <c r="L9" s="9">
        <f t="shared" ca="1" si="11"/>
        <v>5.1223696453531993</v>
      </c>
      <c r="M9" s="9">
        <f t="shared" ca="1" si="12"/>
        <v>3.5810354289985797</v>
      </c>
      <c r="N9" s="9">
        <f t="shared" ca="1" si="7"/>
        <v>2.0397012126439606</v>
      </c>
      <c r="O9" s="9">
        <f t="shared" ca="1" si="13"/>
        <v>0.49836699628934156</v>
      </c>
      <c r="P9" s="9">
        <f t="shared" ca="1" si="14"/>
        <v>0</v>
      </c>
      <c r="Q9" s="9">
        <v>0</v>
      </c>
    </row>
    <row r="10" spans="1:17" ht="14" customHeight="1" x14ac:dyDescent="0.3">
      <c r="A10" s="10">
        <v>2.632151403088971</v>
      </c>
      <c r="B10" s="11">
        <f t="shared" ca="1" si="0"/>
        <v>8.6362340557979689</v>
      </c>
      <c r="C10" s="11">
        <f t="shared" ca="1" si="1"/>
        <v>6.827698980586991</v>
      </c>
      <c r="D10" s="11">
        <f t="shared" ca="1" si="2"/>
        <v>5.0191639053760122</v>
      </c>
      <c r="E10" s="11">
        <f t="shared" si="3"/>
        <v>3.2106288301650334</v>
      </c>
      <c r="F10" s="11">
        <f t="shared" ca="1" si="4"/>
        <v>1.4020937549540549</v>
      </c>
      <c r="G10" s="11">
        <f t="shared" ca="1" si="5"/>
        <v>-0.4064413202569237</v>
      </c>
      <c r="H10" s="11">
        <f t="shared" ca="1" si="6"/>
        <v>-2.214976395467902</v>
      </c>
      <c r="I10" s="7">
        <f t="shared" ca="1" si="8"/>
        <v>2.632151403088971</v>
      </c>
      <c r="J10" s="11">
        <f t="shared" ca="1" si="9"/>
        <v>0.21105968381678419</v>
      </c>
      <c r="K10" s="9">
        <f t="shared" ca="1" si="10"/>
        <v>6.6637038617078188</v>
      </c>
      <c r="L10" s="9">
        <f t="shared" ca="1" si="11"/>
        <v>5.1223696453531993</v>
      </c>
      <c r="M10" s="9">
        <f t="shared" ca="1" si="12"/>
        <v>3.5810354289985797</v>
      </c>
      <c r="N10" s="9">
        <f t="shared" ca="1" si="7"/>
        <v>2.0397012126439606</v>
      </c>
      <c r="O10" s="9">
        <f t="shared" ca="1" si="13"/>
        <v>0.49836699628934156</v>
      </c>
      <c r="P10" s="9">
        <f t="shared" ca="1" si="14"/>
        <v>0</v>
      </c>
      <c r="Q10" s="9">
        <v>0</v>
      </c>
    </row>
    <row r="11" spans="1:17" ht="14" customHeight="1" x14ac:dyDescent="0.3">
      <c r="A11" s="10">
        <v>4.041260421082379</v>
      </c>
      <c r="B11" s="11">
        <f t="shared" ca="1" si="0"/>
        <v>8.6362340557979689</v>
      </c>
      <c r="C11" s="11">
        <f t="shared" ca="1" si="1"/>
        <v>6.827698980586991</v>
      </c>
      <c r="D11" s="11">
        <f t="shared" ca="1" si="2"/>
        <v>5.0191639053760122</v>
      </c>
      <c r="E11" s="11">
        <f t="shared" si="3"/>
        <v>3.2106288301650334</v>
      </c>
      <c r="F11" s="11">
        <f t="shared" ca="1" si="4"/>
        <v>1.4020937549540549</v>
      </c>
      <c r="G11" s="11">
        <f t="shared" ca="1" si="5"/>
        <v>-0.4064413202569237</v>
      </c>
      <c r="H11" s="11">
        <f t="shared" ca="1" si="6"/>
        <v>-2.214976395467902</v>
      </c>
      <c r="I11" s="7">
        <f t="shared" ca="1" si="8"/>
        <v>4.041260421082379</v>
      </c>
      <c r="J11" s="11">
        <f t="shared" ca="1" si="9"/>
        <v>1.409109017993408</v>
      </c>
      <c r="K11" s="9">
        <f t="shared" ca="1" si="10"/>
        <v>6.6637038617078188</v>
      </c>
      <c r="L11" s="9">
        <f t="shared" ca="1" si="11"/>
        <v>5.1223696453531993</v>
      </c>
      <c r="M11" s="9">
        <f t="shared" ca="1" si="12"/>
        <v>3.5810354289985797</v>
      </c>
      <c r="N11" s="9">
        <f t="shared" ca="1" si="7"/>
        <v>2.0397012126439606</v>
      </c>
      <c r="O11" s="9">
        <f t="shared" ca="1" si="13"/>
        <v>0.49836699628934156</v>
      </c>
      <c r="P11" s="9">
        <f t="shared" ca="1" si="14"/>
        <v>0</v>
      </c>
      <c r="Q11" s="9">
        <v>0</v>
      </c>
    </row>
    <row r="12" spans="1:17" ht="14" customHeight="1" x14ac:dyDescent="0.3">
      <c r="A12" s="10">
        <v>4.8146136085834579</v>
      </c>
      <c r="B12" s="11">
        <f t="shared" ca="1" si="0"/>
        <v>8.6362340557979689</v>
      </c>
      <c r="C12" s="11">
        <f t="shared" ca="1" si="1"/>
        <v>6.827698980586991</v>
      </c>
      <c r="D12" s="11">
        <f t="shared" ca="1" si="2"/>
        <v>5.0191639053760122</v>
      </c>
      <c r="E12" s="11">
        <f t="shared" si="3"/>
        <v>3.2106288301650334</v>
      </c>
      <c r="F12" s="11">
        <f t="shared" ca="1" si="4"/>
        <v>1.4020937549540549</v>
      </c>
      <c r="G12" s="11">
        <f t="shared" ca="1" si="5"/>
        <v>-0.4064413202569237</v>
      </c>
      <c r="H12" s="11">
        <f t="shared" ca="1" si="6"/>
        <v>-2.214976395467902</v>
      </c>
      <c r="I12" s="7">
        <f t="shared" ca="1" si="8"/>
        <v>4.8146136085834579</v>
      </c>
      <c r="J12" s="11">
        <f t="shared" ca="1" si="9"/>
        <v>0.77335318750107884</v>
      </c>
      <c r="K12" s="9">
        <f t="shared" ca="1" si="10"/>
        <v>6.6637038617078188</v>
      </c>
      <c r="L12" s="9">
        <f t="shared" ca="1" si="11"/>
        <v>5.1223696453531993</v>
      </c>
      <c r="M12" s="9">
        <f t="shared" ca="1" si="12"/>
        <v>3.5810354289985797</v>
      </c>
      <c r="N12" s="9">
        <f t="shared" ca="1" si="7"/>
        <v>2.0397012126439606</v>
      </c>
      <c r="O12" s="9">
        <f t="shared" ca="1" si="13"/>
        <v>0.49836699628934156</v>
      </c>
      <c r="P12" s="9">
        <f t="shared" ca="1" si="14"/>
        <v>0</v>
      </c>
      <c r="Q12" s="9">
        <v>0</v>
      </c>
    </row>
    <row r="13" spans="1:17" ht="14" customHeight="1" x14ac:dyDescent="0.3">
      <c r="A13" s="10">
        <v>0.3304178814382896</v>
      </c>
      <c r="B13" s="11">
        <f t="shared" ca="1" si="0"/>
        <v>8.6362340557979689</v>
      </c>
      <c r="C13" s="11">
        <f t="shared" ca="1" si="1"/>
        <v>6.827698980586991</v>
      </c>
      <c r="D13" s="11">
        <f t="shared" ca="1" si="2"/>
        <v>5.0191639053760122</v>
      </c>
      <c r="E13" s="11">
        <f t="shared" si="3"/>
        <v>3.2106288301650334</v>
      </c>
      <c r="F13" s="11">
        <f t="shared" ca="1" si="4"/>
        <v>1.4020937549540549</v>
      </c>
      <c r="G13" s="11">
        <f t="shared" ca="1" si="5"/>
        <v>-0.4064413202569237</v>
      </c>
      <c r="H13" s="11">
        <f t="shared" ca="1" si="6"/>
        <v>-2.214976395467902</v>
      </c>
      <c r="I13" s="7">
        <f t="shared" ca="1" si="8"/>
        <v>0.3304178814382896</v>
      </c>
      <c r="J13" s="11">
        <f t="shared" ca="1" si="9"/>
        <v>4.4841957271451687</v>
      </c>
      <c r="K13" s="9">
        <f t="shared" ca="1" si="10"/>
        <v>6.6637038617078188</v>
      </c>
      <c r="L13" s="9">
        <f t="shared" ca="1" si="11"/>
        <v>5.1223696453531993</v>
      </c>
      <c r="M13" s="9">
        <f t="shared" ca="1" si="12"/>
        <v>3.5810354289985797</v>
      </c>
      <c r="N13" s="9">
        <f t="shared" ca="1" si="7"/>
        <v>2.0397012126439606</v>
      </c>
      <c r="O13" s="9">
        <f t="shared" ca="1" si="13"/>
        <v>0.49836699628934156</v>
      </c>
      <c r="P13" s="9">
        <f t="shared" ca="1" si="14"/>
        <v>0</v>
      </c>
      <c r="Q13" s="9">
        <v>0</v>
      </c>
    </row>
    <row r="14" spans="1:17" ht="14" customHeight="1" x14ac:dyDescent="0.3">
      <c r="A14" s="10">
        <v>2.2794782384088852</v>
      </c>
      <c r="B14" s="11">
        <f t="shared" ca="1" si="0"/>
        <v>8.6362340557979689</v>
      </c>
      <c r="C14" s="11">
        <f t="shared" ca="1" si="1"/>
        <v>6.827698980586991</v>
      </c>
      <c r="D14" s="11">
        <f t="shared" ca="1" si="2"/>
        <v>5.0191639053760122</v>
      </c>
      <c r="E14" s="11">
        <f t="shared" si="3"/>
        <v>3.2106288301650334</v>
      </c>
      <c r="F14" s="11">
        <f t="shared" ca="1" si="4"/>
        <v>1.4020937549540549</v>
      </c>
      <c r="G14" s="11">
        <f t="shared" ca="1" si="5"/>
        <v>-0.4064413202569237</v>
      </c>
      <c r="H14" s="11">
        <f t="shared" ca="1" si="6"/>
        <v>-2.214976395467902</v>
      </c>
      <c r="I14" s="7">
        <f t="shared" ca="1" si="8"/>
        <v>2.2794782384088852</v>
      </c>
      <c r="J14" s="11">
        <f t="shared" ca="1" si="9"/>
        <v>1.9490603569705955</v>
      </c>
      <c r="K14" s="9">
        <f t="shared" ca="1" si="10"/>
        <v>6.6637038617078188</v>
      </c>
      <c r="L14" s="9">
        <f t="shared" ca="1" si="11"/>
        <v>5.1223696453531993</v>
      </c>
      <c r="M14" s="9">
        <f t="shared" ca="1" si="12"/>
        <v>3.5810354289985797</v>
      </c>
      <c r="N14" s="9">
        <f t="shared" ca="1" si="7"/>
        <v>2.0397012126439606</v>
      </c>
      <c r="O14" s="9">
        <f t="shared" ca="1" si="13"/>
        <v>0.49836699628934156</v>
      </c>
      <c r="P14" s="9">
        <f t="shared" ca="1" si="14"/>
        <v>0</v>
      </c>
      <c r="Q14" s="9">
        <v>0</v>
      </c>
    </row>
    <row r="15" spans="1:17" ht="14" customHeight="1" x14ac:dyDescent="0.2">
      <c r="A15" s="9"/>
      <c r="B15" s="9">
        <f t="shared" ca="1" si="0"/>
        <v>8.6362340557979689</v>
      </c>
      <c r="C15" s="9">
        <f t="shared" ca="1" si="1"/>
        <v>6.827698980586991</v>
      </c>
      <c r="D15" s="9">
        <f t="shared" ca="1" si="2"/>
        <v>5.0191639053760122</v>
      </c>
      <c r="E15" s="9">
        <f t="shared" si="3"/>
        <v>3.2106288301650334</v>
      </c>
      <c r="F15" s="9">
        <f t="shared" ca="1" si="4"/>
        <v>1.4020937549540549</v>
      </c>
      <c r="G15" s="9">
        <f t="shared" ca="1" si="5"/>
        <v>-0.4064413202569237</v>
      </c>
      <c r="H15" s="9">
        <f t="shared" ca="1" si="6"/>
        <v>-2.214976395467902</v>
      </c>
      <c r="I15">
        <f t="shared" ca="1" si="8"/>
        <v>2.2794782384088852</v>
      </c>
      <c r="J15" t="str">
        <f t="shared" ca="1" si="9"/>
        <v/>
      </c>
      <c r="K15">
        <f t="shared" ca="1" si="10"/>
        <v>6.6637038617078188</v>
      </c>
      <c r="L15">
        <f t="shared" ca="1" si="11"/>
        <v>5.1223696453531993</v>
      </c>
      <c r="M15">
        <f t="shared" ca="1" si="12"/>
        <v>3.5810354289985797</v>
      </c>
      <c r="N15" s="9">
        <f t="shared" ca="1" si="7"/>
        <v>2.0397012126439606</v>
      </c>
      <c r="O15">
        <f t="shared" ca="1" si="13"/>
        <v>0.49836699628934156</v>
      </c>
      <c r="P15">
        <f t="shared" ca="1" si="14"/>
        <v>0</v>
      </c>
      <c r="Q15">
        <v>0</v>
      </c>
    </row>
    <row r="16" spans="1:17" ht="14" customHeight="1" x14ac:dyDescent="0.2">
      <c r="A16" s="9"/>
      <c r="B16" s="9">
        <f t="shared" ca="1" si="0"/>
        <v>8.6362340557979689</v>
      </c>
      <c r="C16" s="9">
        <f t="shared" ca="1" si="1"/>
        <v>6.827698980586991</v>
      </c>
      <c r="D16" s="9">
        <f t="shared" ca="1" si="2"/>
        <v>5.0191639053760122</v>
      </c>
      <c r="E16" s="9">
        <f t="shared" si="3"/>
        <v>3.2106288301650334</v>
      </c>
      <c r="F16" s="9">
        <f t="shared" ca="1" si="4"/>
        <v>1.4020937549540549</v>
      </c>
      <c r="G16" s="9">
        <f t="shared" ca="1" si="5"/>
        <v>-0.4064413202569237</v>
      </c>
      <c r="H16" s="9">
        <f t="shared" ca="1" si="6"/>
        <v>-2.214976395467902</v>
      </c>
      <c r="I16">
        <f t="shared" ca="1" si="8"/>
        <v>2.2794782384088852</v>
      </c>
      <c r="J16" t="str">
        <f t="shared" ca="1" si="9"/>
        <v/>
      </c>
      <c r="K16">
        <f t="shared" ca="1" si="10"/>
        <v>6.6637038617078188</v>
      </c>
      <c r="L16">
        <f t="shared" ca="1" si="11"/>
        <v>5.1223696453531993</v>
      </c>
      <c r="M16">
        <f t="shared" ca="1" si="12"/>
        <v>3.5810354289985797</v>
      </c>
      <c r="N16" s="9">
        <f t="shared" ca="1" si="7"/>
        <v>2.0397012126439606</v>
      </c>
      <c r="O16">
        <f t="shared" ca="1" si="13"/>
        <v>0.49836699628934156</v>
      </c>
      <c r="P16">
        <f t="shared" ca="1" si="14"/>
        <v>0</v>
      </c>
      <c r="Q16">
        <v>0</v>
      </c>
    </row>
    <row r="17" spans="1:17" ht="14" customHeight="1" x14ac:dyDescent="0.2">
      <c r="A17" s="9"/>
      <c r="B17" s="9">
        <f t="shared" ca="1" si="0"/>
        <v>8.6362340557979689</v>
      </c>
      <c r="C17" s="9">
        <f t="shared" ca="1" si="1"/>
        <v>6.827698980586991</v>
      </c>
      <c r="D17" s="9">
        <f t="shared" ca="1" si="2"/>
        <v>5.0191639053760122</v>
      </c>
      <c r="E17" s="9">
        <f t="shared" si="3"/>
        <v>3.2106288301650334</v>
      </c>
      <c r="F17" s="9">
        <f t="shared" ca="1" si="4"/>
        <v>1.4020937549540549</v>
      </c>
      <c r="G17" s="9">
        <f t="shared" ca="1" si="5"/>
        <v>-0.4064413202569237</v>
      </c>
      <c r="H17" s="9">
        <f t="shared" ca="1" si="6"/>
        <v>-2.214976395467902</v>
      </c>
      <c r="I17">
        <f t="shared" ca="1" si="8"/>
        <v>2.2794782384088852</v>
      </c>
      <c r="J17" t="str">
        <f t="shared" ca="1" si="9"/>
        <v/>
      </c>
      <c r="K17">
        <f t="shared" ca="1" si="10"/>
        <v>6.6637038617078188</v>
      </c>
      <c r="L17">
        <f t="shared" ca="1" si="11"/>
        <v>5.1223696453531993</v>
      </c>
      <c r="M17">
        <f t="shared" ca="1" si="12"/>
        <v>3.5810354289985797</v>
      </c>
      <c r="N17" s="9">
        <f t="shared" ca="1" si="7"/>
        <v>2.0397012126439606</v>
      </c>
      <c r="O17">
        <f t="shared" ca="1" si="13"/>
        <v>0.49836699628934156</v>
      </c>
      <c r="P17">
        <f t="shared" ca="1" si="14"/>
        <v>0</v>
      </c>
      <c r="Q17">
        <v>0</v>
      </c>
    </row>
    <row r="18" spans="1:17" ht="14" customHeight="1" x14ac:dyDescent="0.2">
      <c r="A18" s="9"/>
      <c r="B18" s="9">
        <f t="shared" ca="1" si="0"/>
        <v>8.6362340557979689</v>
      </c>
      <c r="C18" s="9">
        <f t="shared" ca="1" si="1"/>
        <v>6.827698980586991</v>
      </c>
      <c r="D18" s="9">
        <f t="shared" ca="1" si="2"/>
        <v>5.0191639053760122</v>
      </c>
      <c r="E18" s="9">
        <f t="shared" si="3"/>
        <v>3.2106288301650334</v>
      </c>
      <c r="F18" s="9">
        <f t="shared" ca="1" si="4"/>
        <v>1.4020937549540549</v>
      </c>
      <c r="G18" s="9">
        <f t="shared" ca="1" si="5"/>
        <v>-0.4064413202569237</v>
      </c>
      <c r="H18" s="9">
        <f t="shared" ca="1" si="6"/>
        <v>-2.214976395467902</v>
      </c>
      <c r="I18">
        <f t="shared" ca="1" si="8"/>
        <v>2.2794782384088852</v>
      </c>
      <c r="J18" t="str">
        <f t="shared" ca="1" si="9"/>
        <v/>
      </c>
      <c r="K18">
        <f t="shared" ca="1" si="10"/>
        <v>6.6637038617078188</v>
      </c>
      <c r="L18">
        <f t="shared" ca="1" si="11"/>
        <v>5.1223696453531993</v>
      </c>
      <c r="M18">
        <f t="shared" ca="1" si="12"/>
        <v>3.5810354289985797</v>
      </c>
      <c r="N18" s="9">
        <f t="shared" ca="1" si="7"/>
        <v>2.0397012126439606</v>
      </c>
      <c r="O18">
        <f t="shared" ca="1" si="13"/>
        <v>0.49836699628934156</v>
      </c>
      <c r="P18">
        <f t="shared" ca="1" si="14"/>
        <v>0</v>
      </c>
      <c r="Q18">
        <v>0</v>
      </c>
    </row>
    <row r="19" spans="1:17" ht="14" customHeight="1" x14ac:dyDescent="0.2">
      <c r="A19" s="9"/>
      <c r="B19" s="9">
        <f t="shared" ca="1" si="0"/>
        <v>8.6362340557979689</v>
      </c>
      <c r="C19" s="9">
        <f t="shared" ca="1" si="1"/>
        <v>6.827698980586991</v>
      </c>
      <c r="D19" s="9">
        <f t="shared" ca="1" si="2"/>
        <v>5.0191639053760122</v>
      </c>
      <c r="E19" s="9">
        <f t="shared" si="3"/>
        <v>3.2106288301650334</v>
      </c>
      <c r="F19" s="9">
        <f t="shared" ca="1" si="4"/>
        <v>1.4020937549540549</v>
      </c>
      <c r="G19" s="9">
        <f t="shared" ca="1" si="5"/>
        <v>-0.4064413202569237</v>
      </c>
      <c r="H19" s="9">
        <f t="shared" ca="1" si="6"/>
        <v>-2.214976395467902</v>
      </c>
      <c r="I19">
        <f t="shared" ca="1" si="8"/>
        <v>2.2794782384088852</v>
      </c>
      <c r="J19" t="str">
        <f t="shared" ca="1" si="9"/>
        <v/>
      </c>
      <c r="K19">
        <f t="shared" ca="1" si="10"/>
        <v>6.6637038617078188</v>
      </c>
      <c r="L19">
        <f t="shared" ca="1" si="11"/>
        <v>5.1223696453531993</v>
      </c>
      <c r="M19">
        <f t="shared" ca="1" si="12"/>
        <v>3.5810354289985797</v>
      </c>
      <c r="N19" s="9">
        <f t="shared" ca="1" si="7"/>
        <v>2.0397012126439606</v>
      </c>
      <c r="O19">
        <f t="shared" ca="1" si="13"/>
        <v>0.49836699628934156</v>
      </c>
      <c r="P19">
        <f t="shared" ca="1" si="14"/>
        <v>0</v>
      </c>
      <c r="Q19">
        <v>0</v>
      </c>
    </row>
    <row r="20" spans="1:17" ht="14" customHeight="1" x14ac:dyDescent="0.2">
      <c r="A20" s="9"/>
      <c r="B20" s="9">
        <f t="shared" ca="1" si="0"/>
        <v>8.6362340557979689</v>
      </c>
      <c r="C20" s="9">
        <f t="shared" ca="1" si="1"/>
        <v>6.827698980586991</v>
      </c>
      <c r="D20" s="9">
        <f t="shared" ca="1" si="2"/>
        <v>5.0191639053760122</v>
      </c>
      <c r="E20" s="9">
        <f t="shared" si="3"/>
        <v>3.2106288301650334</v>
      </c>
      <c r="F20" s="9">
        <f t="shared" ca="1" si="4"/>
        <v>1.4020937549540549</v>
      </c>
      <c r="G20" s="9">
        <f t="shared" ca="1" si="5"/>
        <v>-0.4064413202569237</v>
      </c>
      <c r="H20" s="9">
        <f t="shared" ca="1" si="6"/>
        <v>-2.214976395467902</v>
      </c>
      <c r="I20">
        <f t="shared" ca="1" si="8"/>
        <v>2.2794782384088852</v>
      </c>
      <c r="J20" t="str">
        <f t="shared" ca="1" si="9"/>
        <v/>
      </c>
      <c r="K20">
        <f t="shared" ca="1" si="10"/>
        <v>6.6637038617078188</v>
      </c>
      <c r="L20">
        <f t="shared" ca="1" si="11"/>
        <v>5.1223696453531993</v>
      </c>
      <c r="M20">
        <f t="shared" ca="1" si="12"/>
        <v>3.5810354289985797</v>
      </c>
      <c r="N20" s="9">
        <f t="shared" ca="1" si="7"/>
        <v>2.0397012126439606</v>
      </c>
      <c r="O20">
        <f t="shared" ca="1" si="13"/>
        <v>0.49836699628934156</v>
      </c>
      <c r="P20">
        <f t="shared" ca="1" si="14"/>
        <v>0</v>
      </c>
      <c r="Q20">
        <v>0</v>
      </c>
    </row>
    <row r="21" spans="1:17" ht="14" customHeight="1" x14ac:dyDescent="0.2">
      <c r="A21" s="9"/>
      <c r="B21" s="9">
        <f t="shared" ca="1" si="0"/>
        <v>8.6362340557979689</v>
      </c>
      <c r="C21" s="9">
        <f t="shared" ca="1" si="1"/>
        <v>6.827698980586991</v>
      </c>
      <c r="D21" s="9">
        <f t="shared" ca="1" si="2"/>
        <v>5.0191639053760122</v>
      </c>
      <c r="E21" s="9">
        <f t="shared" si="3"/>
        <v>3.2106288301650334</v>
      </c>
      <c r="F21" s="9">
        <f t="shared" ca="1" si="4"/>
        <v>1.4020937549540549</v>
      </c>
      <c r="G21" s="9">
        <f t="shared" ca="1" si="5"/>
        <v>-0.4064413202569237</v>
      </c>
      <c r="H21" s="9">
        <f t="shared" ca="1" si="6"/>
        <v>-2.214976395467902</v>
      </c>
      <c r="I21">
        <f t="shared" ca="1" si="8"/>
        <v>2.2794782384088852</v>
      </c>
      <c r="J21" t="str">
        <f t="shared" ca="1" si="9"/>
        <v/>
      </c>
      <c r="K21">
        <f t="shared" ca="1" si="10"/>
        <v>6.6637038617078188</v>
      </c>
      <c r="L21">
        <f t="shared" ca="1" si="11"/>
        <v>5.1223696453531993</v>
      </c>
      <c r="M21">
        <f t="shared" ca="1" si="12"/>
        <v>3.5810354289985797</v>
      </c>
      <c r="N21" s="9">
        <f t="shared" ca="1" si="7"/>
        <v>2.0397012126439606</v>
      </c>
      <c r="O21">
        <f t="shared" ca="1" si="13"/>
        <v>0.49836699628934156</v>
      </c>
      <c r="P21">
        <f t="shared" ca="1" si="14"/>
        <v>0</v>
      </c>
      <c r="Q21">
        <v>0</v>
      </c>
    </row>
    <row r="22" spans="1:17" ht="14" customHeight="1" x14ac:dyDescent="0.2">
      <c r="A22" s="9"/>
      <c r="B22" s="9">
        <f t="shared" ca="1" si="0"/>
        <v>8.6362340557979689</v>
      </c>
      <c r="C22" s="9">
        <f t="shared" ca="1" si="1"/>
        <v>6.827698980586991</v>
      </c>
      <c r="D22" s="9">
        <f t="shared" ca="1" si="2"/>
        <v>5.0191639053760122</v>
      </c>
      <c r="E22" s="9">
        <f t="shared" si="3"/>
        <v>3.2106288301650334</v>
      </c>
      <c r="F22" s="9">
        <f t="shared" ca="1" si="4"/>
        <v>1.4020937549540549</v>
      </c>
      <c r="G22" s="9">
        <f t="shared" ca="1" si="5"/>
        <v>-0.4064413202569237</v>
      </c>
      <c r="H22" s="9">
        <f t="shared" ca="1" si="6"/>
        <v>-2.214976395467902</v>
      </c>
      <c r="I22">
        <f t="shared" ca="1" si="8"/>
        <v>2.2794782384088852</v>
      </c>
      <c r="J22" t="str">
        <f t="shared" ca="1" si="9"/>
        <v/>
      </c>
      <c r="K22">
        <f t="shared" ca="1" si="10"/>
        <v>6.6637038617078188</v>
      </c>
      <c r="L22">
        <f t="shared" ca="1" si="11"/>
        <v>5.1223696453531993</v>
      </c>
      <c r="M22">
        <f t="shared" ca="1" si="12"/>
        <v>3.5810354289985797</v>
      </c>
      <c r="N22" s="9">
        <f t="shared" ca="1" si="7"/>
        <v>2.0397012126439606</v>
      </c>
      <c r="O22">
        <f t="shared" ca="1" si="13"/>
        <v>0.49836699628934156</v>
      </c>
      <c r="P22">
        <f t="shared" ca="1" si="14"/>
        <v>0</v>
      </c>
      <c r="Q22">
        <v>0</v>
      </c>
    </row>
    <row r="23" spans="1:17" ht="14" customHeight="1" x14ac:dyDescent="0.2">
      <c r="A23" s="9"/>
      <c r="B23" s="9">
        <f t="shared" ca="1" si="0"/>
        <v>8.6362340557979689</v>
      </c>
      <c r="C23" s="9">
        <f t="shared" ca="1" si="1"/>
        <v>6.827698980586991</v>
      </c>
      <c r="D23" s="9">
        <f t="shared" ca="1" si="2"/>
        <v>5.0191639053760122</v>
      </c>
      <c r="E23" s="9">
        <f t="shared" si="3"/>
        <v>3.2106288301650334</v>
      </c>
      <c r="F23" s="9">
        <f t="shared" ca="1" si="4"/>
        <v>1.4020937549540549</v>
      </c>
      <c r="G23" s="9">
        <f t="shared" ca="1" si="5"/>
        <v>-0.4064413202569237</v>
      </c>
      <c r="H23" s="9">
        <f t="shared" ca="1" si="6"/>
        <v>-2.214976395467902</v>
      </c>
      <c r="I23">
        <f t="shared" ca="1" si="8"/>
        <v>2.2794782384088852</v>
      </c>
      <c r="J23" t="str">
        <f t="shared" ca="1" si="9"/>
        <v/>
      </c>
      <c r="K23">
        <f t="shared" ca="1" si="10"/>
        <v>6.6637038617078188</v>
      </c>
      <c r="L23">
        <f t="shared" ca="1" si="11"/>
        <v>5.1223696453531993</v>
      </c>
      <c r="M23">
        <f t="shared" ca="1" si="12"/>
        <v>3.5810354289985797</v>
      </c>
      <c r="N23" s="9">
        <f t="shared" ca="1" si="7"/>
        <v>2.0397012126439606</v>
      </c>
      <c r="O23">
        <f t="shared" ca="1" si="13"/>
        <v>0.49836699628934156</v>
      </c>
      <c r="P23">
        <f t="shared" ca="1" si="14"/>
        <v>0</v>
      </c>
      <c r="Q23">
        <v>0</v>
      </c>
    </row>
    <row r="24" spans="1:17" ht="14" customHeight="1" x14ac:dyDescent="0.2">
      <c r="A24" s="9"/>
      <c r="B24" s="9">
        <f t="shared" ca="1" si="0"/>
        <v>8.6362340557979689</v>
      </c>
      <c r="C24" s="9">
        <f t="shared" ca="1" si="1"/>
        <v>6.827698980586991</v>
      </c>
      <c r="D24" s="9">
        <f t="shared" ca="1" si="2"/>
        <v>5.0191639053760122</v>
      </c>
      <c r="E24" s="9">
        <f t="shared" si="3"/>
        <v>3.2106288301650334</v>
      </c>
      <c r="F24" s="9">
        <f t="shared" ca="1" si="4"/>
        <v>1.4020937549540549</v>
      </c>
      <c r="G24" s="9">
        <f t="shared" ca="1" si="5"/>
        <v>-0.4064413202569237</v>
      </c>
      <c r="H24" s="9">
        <f t="shared" ca="1" si="6"/>
        <v>-2.214976395467902</v>
      </c>
      <c r="I24">
        <f t="shared" ca="1" si="8"/>
        <v>2.2794782384088852</v>
      </c>
      <c r="J24" t="str">
        <f t="shared" ca="1" si="9"/>
        <v/>
      </c>
      <c r="K24">
        <f t="shared" ca="1" si="10"/>
        <v>6.6637038617078188</v>
      </c>
      <c r="L24">
        <f t="shared" ca="1" si="11"/>
        <v>5.1223696453531993</v>
      </c>
      <c r="M24">
        <f t="shared" ca="1" si="12"/>
        <v>3.5810354289985797</v>
      </c>
      <c r="N24" s="9">
        <f t="shared" ca="1" si="7"/>
        <v>2.0397012126439606</v>
      </c>
      <c r="O24">
        <f t="shared" ca="1" si="13"/>
        <v>0.49836699628934156</v>
      </c>
      <c r="P24">
        <f t="shared" ca="1" si="14"/>
        <v>0</v>
      </c>
      <c r="Q24">
        <v>0</v>
      </c>
    </row>
    <row r="25" spans="1:17" ht="14" customHeight="1" x14ac:dyDescent="0.2">
      <c r="A25" s="9"/>
      <c r="B25" s="9">
        <f t="shared" ca="1" si="0"/>
        <v>8.6362340557979689</v>
      </c>
      <c r="C25" s="9">
        <f t="shared" ca="1" si="1"/>
        <v>6.827698980586991</v>
      </c>
      <c r="D25" s="9">
        <f t="shared" ca="1" si="2"/>
        <v>5.0191639053760122</v>
      </c>
      <c r="E25" s="9">
        <f t="shared" si="3"/>
        <v>3.2106288301650334</v>
      </c>
      <c r="F25" s="9">
        <f t="shared" ca="1" si="4"/>
        <v>1.4020937549540549</v>
      </c>
      <c r="G25" s="9">
        <f t="shared" ca="1" si="5"/>
        <v>-0.4064413202569237</v>
      </c>
      <c r="H25" s="9">
        <f t="shared" ca="1" si="6"/>
        <v>-2.214976395467902</v>
      </c>
      <c r="I25">
        <f t="shared" ca="1" si="8"/>
        <v>2.2794782384088852</v>
      </c>
      <c r="J25" t="str">
        <f t="shared" ca="1" si="9"/>
        <v/>
      </c>
      <c r="K25">
        <f t="shared" ca="1" si="10"/>
        <v>6.6637038617078188</v>
      </c>
      <c r="L25">
        <f t="shared" ca="1" si="11"/>
        <v>5.1223696453531993</v>
      </c>
      <c r="M25">
        <f t="shared" ca="1" si="12"/>
        <v>3.5810354289985797</v>
      </c>
      <c r="N25" s="9">
        <f t="shared" ca="1" si="7"/>
        <v>2.0397012126439606</v>
      </c>
      <c r="O25">
        <f t="shared" ca="1" si="13"/>
        <v>0.49836699628934156</v>
      </c>
      <c r="P25">
        <f t="shared" ca="1" si="14"/>
        <v>0</v>
      </c>
      <c r="Q25">
        <v>0</v>
      </c>
    </row>
    <row r="26" spans="1:17" ht="14" customHeight="1" x14ac:dyDescent="0.2">
      <c r="A26" s="9"/>
      <c r="B26" s="9">
        <f t="shared" ca="1" si="0"/>
        <v>8.6362340557979689</v>
      </c>
      <c r="C26" s="9">
        <f t="shared" ca="1" si="1"/>
        <v>6.827698980586991</v>
      </c>
      <c r="D26" s="9">
        <f t="shared" ca="1" si="2"/>
        <v>5.0191639053760122</v>
      </c>
      <c r="E26" s="9">
        <f t="shared" si="3"/>
        <v>3.2106288301650334</v>
      </c>
      <c r="F26" s="9">
        <f t="shared" ca="1" si="4"/>
        <v>1.4020937549540549</v>
      </c>
      <c r="G26" s="9">
        <f t="shared" ca="1" si="5"/>
        <v>-0.4064413202569237</v>
      </c>
      <c r="H26" s="9">
        <f t="shared" ca="1" si="6"/>
        <v>-2.214976395467902</v>
      </c>
      <c r="I26">
        <f t="shared" ca="1" si="8"/>
        <v>2.2794782384088852</v>
      </c>
      <c r="J26" t="str">
        <f t="shared" ca="1" si="9"/>
        <v/>
      </c>
      <c r="K26">
        <f t="shared" ca="1" si="10"/>
        <v>6.6637038617078188</v>
      </c>
      <c r="L26">
        <f t="shared" ca="1" si="11"/>
        <v>5.1223696453531993</v>
      </c>
      <c r="M26">
        <f t="shared" ca="1" si="12"/>
        <v>3.5810354289985797</v>
      </c>
      <c r="N26" s="9">
        <f t="shared" ca="1" si="7"/>
        <v>2.0397012126439606</v>
      </c>
      <c r="O26">
        <f t="shared" ca="1" si="13"/>
        <v>0.49836699628934156</v>
      </c>
      <c r="P26">
        <f t="shared" ca="1" si="14"/>
        <v>0</v>
      </c>
      <c r="Q26">
        <v>0</v>
      </c>
    </row>
    <row r="27" spans="1:17" ht="14" customHeight="1" x14ac:dyDescent="0.2">
      <c r="A27" s="9"/>
      <c r="B27" s="9">
        <f t="shared" ca="1" si="0"/>
        <v>8.6362340557979689</v>
      </c>
      <c r="C27" s="9">
        <f t="shared" ca="1" si="1"/>
        <v>6.827698980586991</v>
      </c>
      <c r="D27" s="9">
        <f t="shared" ca="1" si="2"/>
        <v>5.0191639053760122</v>
      </c>
      <c r="E27" s="9">
        <f t="shared" si="3"/>
        <v>3.2106288301650334</v>
      </c>
      <c r="F27" s="9">
        <f t="shared" ca="1" si="4"/>
        <v>1.4020937549540549</v>
      </c>
      <c r="G27" s="9">
        <f t="shared" ca="1" si="5"/>
        <v>-0.4064413202569237</v>
      </c>
      <c r="H27" s="9">
        <f t="shared" ca="1" si="6"/>
        <v>-2.214976395467902</v>
      </c>
      <c r="I27">
        <f t="shared" ca="1" si="8"/>
        <v>2.2794782384088852</v>
      </c>
      <c r="J27" t="str">
        <f t="shared" ca="1" si="9"/>
        <v/>
      </c>
      <c r="K27">
        <f t="shared" ca="1" si="10"/>
        <v>6.6637038617078188</v>
      </c>
      <c r="L27">
        <f t="shared" ca="1" si="11"/>
        <v>5.1223696453531993</v>
      </c>
      <c r="M27">
        <f t="shared" ca="1" si="12"/>
        <v>3.5810354289985797</v>
      </c>
      <c r="N27" s="9">
        <f t="shared" ca="1" si="7"/>
        <v>2.0397012126439606</v>
      </c>
      <c r="O27">
        <f t="shared" ca="1" si="13"/>
        <v>0.49836699628934156</v>
      </c>
      <c r="P27">
        <f t="shared" ca="1" si="14"/>
        <v>0</v>
      </c>
      <c r="Q27">
        <v>0</v>
      </c>
    </row>
    <row r="28" spans="1:17" ht="14" customHeight="1" x14ac:dyDescent="0.2">
      <c r="A28" s="9"/>
      <c r="B28" s="9">
        <f t="shared" ca="1" si="0"/>
        <v>8.6362340557979689</v>
      </c>
      <c r="C28" s="9">
        <f t="shared" ca="1" si="1"/>
        <v>6.827698980586991</v>
      </c>
      <c r="D28" s="9">
        <f t="shared" ca="1" si="2"/>
        <v>5.0191639053760122</v>
      </c>
      <c r="E28" s="9">
        <f t="shared" si="3"/>
        <v>3.2106288301650334</v>
      </c>
      <c r="F28" s="9">
        <f t="shared" ca="1" si="4"/>
        <v>1.4020937549540549</v>
      </c>
      <c r="G28" s="9">
        <f t="shared" ca="1" si="5"/>
        <v>-0.4064413202569237</v>
      </c>
      <c r="H28" s="9">
        <f t="shared" ca="1" si="6"/>
        <v>-2.214976395467902</v>
      </c>
      <c r="I28">
        <f t="shared" ca="1" si="8"/>
        <v>2.2794782384088852</v>
      </c>
      <c r="J28" t="str">
        <f t="shared" ca="1" si="9"/>
        <v/>
      </c>
      <c r="K28">
        <f t="shared" ca="1" si="10"/>
        <v>6.6637038617078188</v>
      </c>
      <c r="L28">
        <f t="shared" ca="1" si="11"/>
        <v>5.1223696453531993</v>
      </c>
      <c r="M28">
        <f t="shared" ca="1" si="12"/>
        <v>3.5810354289985797</v>
      </c>
      <c r="N28" s="9">
        <f t="shared" ca="1" si="7"/>
        <v>2.0397012126439606</v>
      </c>
      <c r="O28">
        <f t="shared" ca="1" si="13"/>
        <v>0.49836699628934156</v>
      </c>
      <c r="P28">
        <f t="shared" ca="1" si="14"/>
        <v>0</v>
      </c>
      <c r="Q28">
        <v>0</v>
      </c>
    </row>
    <row r="29" spans="1:17" ht="14" customHeight="1" x14ac:dyDescent="0.2">
      <c r="A29" s="9"/>
      <c r="B29" s="9">
        <f t="shared" ca="1" si="0"/>
        <v>8.6362340557979689</v>
      </c>
      <c r="C29" s="9">
        <f t="shared" ca="1" si="1"/>
        <v>6.827698980586991</v>
      </c>
      <c r="D29" s="9">
        <f t="shared" ca="1" si="2"/>
        <v>5.0191639053760122</v>
      </c>
      <c r="E29" s="9">
        <f t="shared" si="3"/>
        <v>3.2106288301650334</v>
      </c>
      <c r="F29" s="9">
        <f t="shared" ca="1" si="4"/>
        <v>1.4020937549540549</v>
      </c>
      <c r="G29" s="9">
        <f t="shared" ca="1" si="5"/>
        <v>-0.4064413202569237</v>
      </c>
      <c r="H29" s="9">
        <f t="shared" ca="1" si="6"/>
        <v>-2.214976395467902</v>
      </c>
      <c r="I29">
        <f t="shared" ca="1" si="8"/>
        <v>2.2794782384088852</v>
      </c>
      <c r="J29" t="str">
        <f t="shared" ca="1" si="9"/>
        <v/>
      </c>
      <c r="K29">
        <f t="shared" ca="1" si="10"/>
        <v>6.6637038617078188</v>
      </c>
      <c r="L29">
        <f t="shared" ca="1" si="11"/>
        <v>5.1223696453531993</v>
      </c>
      <c r="M29">
        <f t="shared" ca="1" si="12"/>
        <v>3.5810354289985797</v>
      </c>
      <c r="N29" s="9">
        <f t="shared" ca="1" si="7"/>
        <v>2.0397012126439606</v>
      </c>
      <c r="O29">
        <f t="shared" ca="1" si="13"/>
        <v>0.49836699628934156</v>
      </c>
      <c r="P29">
        <f t="shared" ca="1" si="14"/>
        <v>0</v>
      </c>
      <c r="Q29">
        <v>0</v>
      </c>
    </row>
    <row r="30" spans="1:17" ht="14" customHeight="1" x14ac:dyDescent="0.2">
      <c r="A30" s="9"/>
      <c r="B30" s="9">
        <f t="shared" ca="1" si="0"/>
        <v>8.6362340557979689</v>
      </c>
      <c r="C30" s="9">
        <f t="shared" ca="1" si="1"/>
        <v>6.827698980586991</v>
      </c>
      <c r="D30" s="9">
        <f t="shared" ca="1" si="2"/>
        <v>5.0191639053760122</v>
      </c>
      <c r="E30" s="9">
        <f t="shared" si="3"/>
        <v>3.2106288301650334</v>
      </c>
      <c r="F30" s="9">
        <f t="shared" ca="1" si="4"/>
        <v>1.4020937549540549</v>
      </c>
      <c r="G30" s="9">
        <f t="shared" ca="1" si="5"/>
        <v>-0.4064413202569237</v>
      </c>
      <c r="H30" s="9">
        <f t="shared" ca="1" si="6"/>
        <v>-2.214976395467902</v>
      </c>
      <c r="I30">
        <f t="shared" ca="1" si="8"/>
        <v>2.2794782384088852</v>
      </c>
      <c r="J30" t="str">
        <f t="shared" ca="1" si="9"/>
        <v/>
      </c>
      <c r="K30">
        <f t="shared" ca="1" si="10"/>
        <v>6.6637038617078188</v>
      </c>
      <c r="L30">
        <f t="shared" ca="1" si="11"/>
        <v>5.1223696453531993</v>
      </c>
      <c r="M30">
        <f t="shared" ca="1" si="12"/>
        <v>3.5810354289985797</v>
      </c>
      <c r="N30" s="9">
        <f t="shared" ca="1" si="7"/>
        <v>2.0397012126439606</v>
      </c>
      <c r="O30">
        <f t="shared" ca="1" si="13"/>
        <v>0.49836699628934156</v>
      </c>
      <c r="P30">
        <f t="shared" ca="1" si="14"/>
        <v>0</v>
      </c>
      <c r="Q30">
        <v>0</v>
      </c>
    </row>
    <row r="31" spans="1:17" ht="14" customHeight="1" x14ac:dyDescent="0.2">
      <c r="A31" s="9"/>
      <c r="B31" s="9">
        <f t="shared" ca="1" si="0"/>
        <v>8.6362340557979689</v>
      </c>
      <c r="C31" s="9">
        <f t="shared" ca="1" si="1"/>
        <v>6.827698980586991</v>
      </c>
      <c r="D31" s="9">
        <f t="shared" ca="1" si="2"/>
        <v>5.0191639053760122</v>
      </c>
      <c r="E31" s="9">
        <f t="shared" si="3"/>
        <v>3.2106288301650334</v>
      </c>
      <c r="F31" s="9">
        <f t="shared" ca="1" si="4"/>
        <v>1.4020937549540549</v>
      </c>
      <c r="G31" s="9">
        <f t="shared" ca="1" si="5"/>
        <v>-0.4064413202569237</v>
      </c>
      <c r="H31" s="9">
        <f t="shared" ca="1" si="6"/>
        <v>-2.214976395467902</v>
      </c>
      <c r="I31">
        <f t="shared" ca="1" si="8"/>
        <v>2.2794782384088852</v>
      </c>
      <c r="J31" t="str">
        <f t="shared" ca="1" si="9"/>
        <v/>
      </c>
      <c r="K31">
        <f t="shared" ca="1" si="10"/>
        <v>6.6637038617078188</v>
      </c>
      <c r="L31">
        <f t="shared" ca="1" si="11"/>
        <v>5.1223696453531993</v>
      </c>
      <c r="M31">
        <f t="shared" ca="1" si="12"/>
        <v>3.5810354289985797</v>
      </c>
      <c r="N31" s="9">
        <f t="shared" ca="1" si="7"/>
        <v>2.0397012126439606</v>
      </c>
      <c r="O31">
        <f t="shared" ca="1" si="13"/>
        <v>0.49836699628934156</v>
      </c>
      <c r="P31">
        <f t="shared" ca="1" si="14"/>
        <v>0</v>
      </c>
      <c r="Q31">
        <v>0</v>
      </c>
    </row>
    <row r="32" spans="1:17" ht="14" customHeight="1" x14ac:dyDescent="0.2">
      <c r="A32" s="9"/>
      <c r="B32" s="9">
        <f t="shared" ca="1" si="0"/>
        <v>8.6362340557979689</v>
      </c>
      <c r="C32" s="9">
        <f t="shared" ca="1" si="1"/>
        <v>6.827698980586991</v>
      </c>
      <c r="D32" s="9">
        <f t="shared" ca="1" si="2"/>
        <v>5.0191639053760122</v>
      </c>
      <c r="E32" s="9">
        <f t="shared" si="3"/>
        <v>3.2106288301650334</v>
      </c>
      <c r="F32" s="9">
        <f t="shared" ca="1" si="4"/>
        <v>1.4020937549540549</v>
      </c>
      <c r="G32" s="9">
        <f t="shared" ca="1" si="5"/>
        <v>-0.4064413202569237</v>
      </c>
      <c r="H32" s="9">
        <f t="shared" ca="1" si="6"/>
        <v>-2.214976395467902</v>
      </c>
      <c r="I32">
        <f t="shared" ca="1" si="8"/>
        <v>2.2794782384088852</v>
      </c>
      <c r="J32" t="str">
        <f t="shared" ca="1" si="9"/>
        <v/>
      </c>
      <c r="K32">
        <f t="shared" ca="1" si="10"/>
        <v>6.6637038617078188</v>
      </c>
      <c r="L32">
        <f t="shared" ca="1" si="11"/>
        <v>5.1223696453531993</v>
      </c>
      <c r="M32">
        <f t="shared" ca="1" si="12"/>
        <v>3.5810354289985797</v>
      </c>
      <c r="N32" s="9">
        <f t="shared" ca="1" si="7"/>
        <v>2.0397012126439606</v>
      </c>
      <c r="O32">
        <f t="shared" ca="1" si="13"/>
        <v>0.49836699628934156</v>
      </c>
      <c r="P32">
        <f t="shared" ca="1" si="14"/>
        <v>0</v>
      </c>
      <c r="Q32">
        <v>0</v>
      </c>
    </row>
    <row r="33" spans="1:17" ht="14" customHeight="1" x14ac:dyDescent="0.2">
      <c r="A33" s="9"/>
      <c r="B33" s="9">
        <f t="shared" ca="1" si="0"/>
        <v>8.6362340557979689</v>
      </c>
      <c r="C33" s="9">
        <f t="shared" ca="1" si="1"/>
        <v>6.827698980586991</v>
      </c>
      <c r="D33" s="9">
        <f t="shared" ca="1" si="2"/>
        <v>5.0191639053760122</v>
      </c>
      <c r="E33" s="9">
        <f t="shared" si="3"/>
        <v>3.2106288301650334</v>
      </c>
      <c r="F33" s="9">
        <f t="shared" ca="1" si="4"/>
        <v>1.4020937549540549</v>
      </c>
      <c r="G33" s="9">
        <f t="shared" ca="1" si="5"/>
        <v>-0.4064413202569237</v>
      </c>
      <c r="H33" s="9">
        <f t="shared" ca="1" si="6"/>
        <v>-2.214976395467902</v>
      </c>
      <c r="I33">
        <f t="shared" ca="1" si="8"/>
        <v>2.2794782384088852</v>
      </c>
      <c r="J33" t="str">
        <f t="shared" ca="1" si="9"/>
        <v/>
      </c>
      <c r="K33">
        <f t="shared" ca="1" si="10"/>
        <v>6.6637038617078188</v>
      </c>
      <c r="L33">
        <f t="shared" ca="1" si="11"/>
        <v>5.1223696453531993</v>
      </c>
      <c r="M33">
        <f t="shared" ca="1" si="12"/>
        <v>3.5810354289985797</v>
      </c>
      <c r="N33" s="9">
        <f t="shared" ca="1" si="7"/>
        <v>2.0397012126439606</v>
      </c>
      <c r="O33">
        <f t="shared" ca="1" si="13"/>
        <v>0.49836699628934156</v>
      </c>
      <c r="P33">
        <f t="shared" ca="1" si="14"/>
        <v>0</v>
      </c>
      <c r="Q33">
        <v>0</v>
      </c>
    </row>
    <row r="34" spans="1:17" ht="14" customHeight="1" x14ac:dyDescent="0.2">
      <c r="A34" s="9"/>
      <c r="B34" s="9">
        <f t="shared" ca="1" si="0"/>
        <v>8.6362340557979689</v>
      </c>
      <c r="C34" s="9">
        <f t="shared" ca="1" si="1"/>
        <v>6.827698980586991</v>
      </c>
      <c r="D34" s="9">
        <f t="shared" ca="1" si="2"/>
        <v>5.0191639053760122</v>
      </c>
      <c r="E34" s="9">
        <f t="shared" si="3"/>
        <v>3.2106288301650334</v>
      </c>
      <c r="F34" s="9">
        <f t="shared" ca="1" si="4"/>
        <v>1.4020937549540549</v>
      </c>
      <c r="G34" s="9">
        <f t="shared" ca="1" si="5"/>
        <v>-0.4064413202569237</v>
      </c>
      <c r="H34" s="9">
        <f t="shared" ca="1" si="6"/>
        <v>-2.214976395467902</v>
      </c>
      <c r="I34">
        <f t="shared" ca="1" si="8"/>
        <v>2.2794782384088852</v>
      </c>
      <c r="J34" t="str">
        <f t="shared" ca="1" si="9"/>
        <v/>
      </c>
      <c r="K34">
        <f t="shared" ca="1" si="10"/>
        <v>6.6637038617078188</v>
      </c>
      <c r="L34">
        <f t="shared" ca="1" si="11"/>
        <v>5.1223696453531993</v>
      </c>
      <c r="M34">
        <f t="shared" ca="1" si="12"/>
        <v>3.5810354289985797</v>
      </c>
      <c r="N34" s="9">
        <f t="shared" ca="1" si="7"/>
        <v>2.0397012126439606</v>
      </c>
      <c r="O34">
        <f t="shared" ca="1" si="13"/>
        <v>0.49836699628934156</v>
      </c>
      <c r="P34">
        <f t="shared" ca="1" si="14"/>
        <v>0</v>
      </c>
      <c r="Q34">
        <v>0</v>
      </c>
    </row>
    <row r="35" spans="1:17" ht="14" customHeight="1" x14ac:dyDescent="0.2"/>
    <row r="36" spans="1:17" ht="14" customHeight="1" x14ac:dyDescent="0.2"/>
    <row r="37" spans="1:17" ht="14" customHeight="1" x14ac:dyDescent="0.2"/>
    <row r="38" spans="1:17" ht="14" customHeight="1" x14ac:dyDescent="0.2"/>
    <row r="39" spans="1:17" ht="14" customHeight="1" x14ac:dyDescent="0.2"/>
    <row r="40" spans="1:17" ht="14" customHeight="1" x14ac:dyDescent="0.2"/>
    <row r="41" spans="1:17" ht="14" customHeight="1" x14ac:dyDescent="0.2"/>
    <row r="42" spans="1:17" ht="14" customHeight="1" x14ac:dyDescent="0.2"/>
    <row r="43" spans="1:17" ht="14" customHeight="1" x14ac:dyDescent="0.2"/>
    <row r="44" spans="1:17" ht="14" customHeight="1" x14ac:dyDescent="0.2"/>
    <row r="45" spans="1:17" ht="14" customHeight="1" x14ac:dyDescent="0.2"/>
    <row r="46" spans="1:17" ht="14" customHeight="1" x14ac:dyDescent="0.2"/>
    <row r="47" spans="1:17" ht="14" customHeight="1" x14ac:dyDescent="0.2"/>
    <row r="48" spans="1:17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RAW-Schertz Housing 2009-2022</vt:lpstr>
      <vt:lpstr>Schertz Housing 2009-20 XmR </vt:lpstr>
      <vt:lpstr>RAW-Schertz Housing 200 XmR </vt:lpstr>
      <vt:lpstr>RAW-Schertz Housing 200 XmR 7</vt:lpstr>
      <vt:lpstr>'RAW-Schertz Housing 200 XmR '!Print_Area</vt:lpstr>
      <vt:lpstr>'RAW-Schertz Housing 200 XmR 7'!Print_Area</vt:lpstr>
      <vt:lpstr>'Schertz Housing 2009-20 XmR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estimate Data</dc:title>
  <dc:creator>QI Macros</dc:creator>
  <dc:description>
_x000d_QI Macros 2025.01
_x000d_qimacros.com</dc:description>
  <cp:lastModifiedBy>D S</cp:lastModifiedBy>
  <dcterms:created xsi:type="dcterms:W3CDTF">2025-12-30T19:57:46Z</dcterms:created>
  <dcterms:modified xsi:type="dcterms:W3CDTF">2025-12-31T01:32:20Z</dcterms:modified>
</cp:coreProperties>
</file>
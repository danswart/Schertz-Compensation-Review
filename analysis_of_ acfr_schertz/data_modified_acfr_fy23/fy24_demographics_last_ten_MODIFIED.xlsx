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D/R Working Directory/acfr_schertz/ACFR FY23/ACFR Modified/"/>
    </mc:Choice>
  </mc:AlternateContent>
  <xr:revisionPtr revIDLastSave="0" documentId="13_ncr:1_{6518A35A-B193-E341-85AB-9F8D4A37338D}" xr6:coauthVersionLast="47" xr6:coauthVersionMax="47" xr10:uidLastSave="{00000000-0000-0000-0000-000000000000}"/>
  <bookViews>
    <workbookView xWindow="0" yWindow="500" windowWidth="40960" windowHeight="22540" activeTab="4" xr2:uid="{E3CE3728-F1B6-954D-AACE-A546D484163C}"/>
  </bookViews>
  <sheets>
    <sheet name="Unemployment Rate 2013-2024XmR " sheetId="5" r:id="rId1"/>
    <sheet name="Pop Growth 2013-2024 Trend XmR" sheetId="8" r:id="rId2"/>
    <sheet name="Per Cap Personal Inc 2013-2024" sheetId="14" r:id="rId3"/>
    <sheet name="Demographics Last 10yr Modif" sheetId="18" r:id="rId4"/>
    <sheet name="Demographics Last 10yr Modified" sheetId="1" r:id="rId5"/>
  </sheets>
  <definedNames>
    <definedName name="_xlnm.Print_Area" localSheetId="4">'Demographics Last 10yr Modified'!$A$1:$H$34</definedName>
    <definedName name="_xlnm.Print_Area" localSheetId="2">'Per Cap Personal Inc 2013-2024'!$C$1:$T$36</definedName>
    <definedName name="_xlnm.Print_Area" localSheetId="1">'Pop Growth 2013-2024 Trend XmR'!$C$1:$T$36</definedName>
    <definedName name="_xlnm.Print_Area" localSheetId="0">'Unemployment Rate 2013-2024XmR '!$C$1:$R$36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" i="14" l="1"/>
  <c r="X1" i="14"/>
  <c r="V1" i="14"/>
  <c r="F2" i="14"/>
  <c r="F3" i="14"/>
  <c r="F4" i="14"/>
  <c r="F5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S3" i="14"/>
  <c r="S4" i="14"/>
  <c r="S5" i="14"/>
  <c r="S6" i="14"/>
  <c r="S7" i="14"/>
  <c r="S8" i="14"/>
  <c r="S9" i="14"/>
  <c r="S10" i="14"/>
  <c r="S11" i="14"/>
  <c r="S12" i="14"/>
  <c r="S13" i="14"/>
  <c r="S14" i="14"/>
  <c r="S15" i="14"/>
  <c r="S16" i="14"/>
  <c r="S17" i="14"/>
  <c r="S18" i="14"/>
  <c r="S19" i="14"/>
  <c r="S20" i="14"/>
  <c r="S21" i="14"/>
  <c r="S22" i="14"/>
  <c r="S23" i="14"/>
  <c r="S24" i="14"/>
  <c r="S25" i="14"/>
  <c r="S26" i="14"/>
  <c r="S27" i="14"/>
  <c r="S28" i="14"/>
  <c r="S29" i="14"/>
  <c r="S30" i="14"/>
  <c r="S31" i="14"/>
  <c r="S32" i="14"/>
  <c r="S33" i="14"/>
  <c r="K3" i="14"/>
  <c r="K15" i="14"/>
  <c r="K16" i="14"/>
  <c r="K17" i="14"/>
  <c r="K18" i="14"/>
  <c r="K19" i="14"/>
  <c r="K20" i="14"/>
  <c r="K21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J3" i="14"/>
  <c r="K4" i="14" s="1"/>
  <c r="J4" i="14"/>
  <c r="K5" i="14" s="1"/>
  <c r="J5" i="14"/>
  <c r="K6" i="14" s="1"/>
  <c r="J6" i="14"/>
  <c r="K7" i="14" s="1"/>
  <c r="J7" i="14"/>
  <c r="K8" i="14" s="1"/>
  <c r="J8" i="14"/>
  <c r="K9" i="14" s="1"/>
  <c r="J9" i="14"/>
  <c r="K10" i="14" s="1"/>
  <c r="J10" i="14"/>
  <c r="K11" i="14" s="1"/>
  <c r="J11" i="14"/>
  <c r="K12" i="14" s="1"/>
  <c r="J12" i="14"/>
  <c r="K13" i="14" s="1"/>
  <c r="J13" i="14"/>
  <c r="J14" i="14" s="1"/>
  <c r="J15" i="14" s="1"/>
  <c r="J16" i="14" s="1"/>
  <c r="J17" i="14" s="1"/>
  <c r="J18" i="14" s="1"/>
  <c r="J19" i="14" s="1"/>
  <c r="J20" i="14" s="1"/>
  <c r="J21" i="14" s="1"/>
  <c r="J22" i="14" s="1"/>
  <c r="J23" i="14" s="1"/>
  <c r="J24" i="14" s="1"/>
  <c r="J25" i="14" s="1"/>
  <c r="J26" i="14" s="1"/>
  <c r="J27" i="14" s="1"/>
  <c r="J28" i="14" s="1"/>
  <c r="J29" i="14" s="1"/>
  <c r="J30" i="14" s="1"/>
  <c r="J31" i="14" s="1"/>
  <c r="J32" i="14" s="1"/>
  <c r="J33" i="14" s="1"/>
  <c r="J2" i="14"/>
  <c r="Z1" i="8"/>
  <c r="X1" i="8"/>
  <c r="V1" i="8"/>
  <c r="F2" i="8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S3" i="8"/>
  <c r="S4" i="8"/>
  <c r="S5" i="8"/>
  <c r="S6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 s="1"/>
  <c r="K3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J3" i="8"/>
  <c r="K4" i="8" s="1"/>
  <c r="J4" i="8"/>
  <c r="K5" i="8" s="1"/>
  <c r="J5" i="8"/>
  <c r="K6" i="8" s="1"/>
  <c r="J6" i="8"/>
  <c r="K7" i="8" s="1"/>
  <c r="J7" i="8"/>
  <c r="K8" i="8" s="1"/>
  <c r="J8" i="8"/>
  <c r="K9" i="8" s="1"/>
  <c r="J9" i="8"/>
  <c r="K10" i="8" s="1"/>
  <c r="J10" i="8"/>
  <c r="K11" i="8" s="1"/>
  <c r="J11" i="8"/>
  <c r="K12" i="8" s="1"/>
  <c r="J12" i="8"/>
  <c r="K13" i="8" s="1"/>
  <c r="J13" i="8"/>
  <c r="J14" i="8" s="1"/>
  <c r="J15" i="8" s="1"/>
  <c r="J16" i="8" s="1"/>
  <c r="J17" i="8" s="1"/>
  <c r="J18" i="8" s="1"/>
  <c r="J19" i="8" s="1"/>
  <c r="J20" i="8" s="1"/>
  <c r="J21" i="8" s="1"/>
  <c r="J22" i="8" s="1"/>
  <c r="J23" i="8" s="1"/>
  <c r="J24" i="8" s="1"/>
  <c r="J25" i="8" s="1"/>
  <c r="J26" i="8" s="1"/>
  <c r="J27" i="8" s="1"/>
  <c r="J28" i="8" s="1"/>
  <c r="J29" i="8" s="1"/>
  <c r="J30" i="8" s="1"/>
  <c r="J31" i="8" s="1"/>
  <c r="J32" i="8" s="1"/>
  <c r="J33" i="8" s="1"/>
  <c r="J2" i="8"/>
  <c r="F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K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J3" i="5"/>
  <c r="K4" i="5" s="1"/>
  <c r="J4" i="5"/>
  <c r="K5" i="5" s="1"/>
  <c r="J5" i="5"/>
  <c r="K6" i="5" s="1"/>
  <c r="J6" i="5"/>
  <c r="K7" i="5" s="1"/>
  <c r="J7" i="5"/>
  <c r="K8" i="5" s="1"/>
  <c r="J8" i="5"/>
  <c r="K9" i="5" s="1"/>
  <c r="J9" i="5"/>
  <c r="K10" i="5" s="1"/>
  <c r="J10" i="5"/>
  <c r="K11" i="5" s="1"/>
  <c r="J11" i="5"/>
  <c r="K12" i="5" s="1"/>
  <c r="J12" i="5"/>
  <c r="K13" i="5" s="1"/>
  <c r="J13" i="5"/>
  <c r="J14" i="5" s="1"/>
  <c r="J15" i="5" s="1"/>
  <c r="J16" i="5" s="1"/>
  <c r="J17" i="5" s="1"/>
  <c r="J18" i="5" s="1"/>
  <c r="J19" i="5" s="1"/>
  <c r="J20" i="5" s="1"/>
  <c r="J21" i="5" s="1"/>
  <c r="J22" i="5" s="1"/>
  <c r="J23" i="5" s="1"/>
  <c r="J24" i="5" s="1"/>
  <c r="J25" i="5" s="1"/>
  <c r="J26" i="5" s="1"/>
  <c r="J27" i="5" s="1"/>
  <c r="J28" i="5" s="1"/>
  <c r="J29" i="5" s="1"/>
  <c r="J30" i="5" s="1"/>
  <c r="J31" i="5" s="1"/>
  <c r="J32" i="5" s="1"/>
  <c r="J33" i="5" s="1"/>
  <c r="J2" i="5"/>
  <c r="B17" i="1"/>
  <c r="B16" i="1" s="1"/>
  <c r="O2" i="14" l="1"/>
  <c r="O3" i="14"/>
  <c r="O4" i="14"/>
  <c r="O5" i="14"/>
  <c r="O6" i="14"/>
  <c r="O7" i="14"/>
  <c r="O8" i="14"/>
  <c r="O9" i="14"/>
  <c r="O10" i="14"/>
  <c r="O11" i="14"/>
  <c r="O12" i="14"/>
  <c r="O13" i="14"/>
  <c r="O14" i="14"/>
  <c r="O15" i="14"/>
  <c r="O16" i="14"/>
  <c r="O17" i="14"/>
  <c r="O18" i="14"/>
  <c r="O19" i="14"/>
  <c r="O20" i="14"/>
  <c r="O21" i="14"/>
  <c r="O22" i="14"/>
  <c r="O23" i="14"/>
  <c r="O24" i="14"/>
  <c r="O25" i="14"/>
  <c r="O26" i="14"/>
  <c r="O27" i="14"/>
  <c r="O28" i="14"/>
  <c r="O29" i="14"/>
  <c r="O30" i="14"/>
  <c r="O31" i="14"/>
  <c r="O32" i="14"/>
  <c r="O33" i="14"/>
  <c r="O2" i="8"/>
  <c r="O3" i="8"/>
  <c r="O4" i="8"/>
  <c r="O5" i="8"/>
  <c r="O6" i="8"/>
  <c r="O7" i="8"/>
  <c r="O8" i="8"/>
  <c r="O9" i="8"/>
  <c r="O10" i="8"/>
  <c r="O11" i="8"/>
  <c r="O12" i="8"/>
  <c r="O14" i="8"/>
  <c r="O15" i="8"/>
  <c r="O16" i="8"/>
  <c r="O17" i="8"/>
  <c r="O18" i="8"/>
  <c r="O19" i="8"/>
  <c r="O20" i="8"/>
  <c r="O21" i="8"/>
  <c r="O22" i="8"/>
  <c r="O23" i="8"/>
  <c r="O24" i="8"/>
  <c r="O25" i="8"/>
  <c r="O27" i="8"/>
  <c r="O28" i="8"/>
  <c r="O31" i="8"/>
  <c r="O33" i="8"/>
  <c r="O13" i="8"/>
  <c r="O26" i="8"/>
  <c r="O29" i="8"/>
  <c r="O30" i="8"/>
  <c r="O32" i="8"/>
  <c r="O2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H2" i="14" l="1"/>
  <c r="I2" i="14"/>
  <c r="H3" i="14"/>
  <c r="I3" i="14"/>
  <c r="H4" i="14"/>
  <c r="I4" i="14"/>
  <c r="H5" i="14"/>
  <c r="I5" i="14"/>
  <c r="H6" i="14"/>
  <c r="I6" i="14"/>
  <c r="H7" i="14"/>
  <c r="I7" i="14"/>
  <c r="H8" i="14"/>
  <c r="I8" i="14"/>
  <c r="H9" i="14"/>
  <c r="I9" i="14"/>
  <c r="H10" i="14"/>
  <c r="I10" i="14"/>
  <c r="H11" i="14"/>
  <c r="I11" i="14"/>
  <c r="H12" i="14"/>
  <c r="I12" i="14"/>
  <c r="H13" i="14"/>
  <c r="I13" i="14"/>
  <c r="H14" i="14"/>
  <c r="I14" i="14"/>
  <c r="H15" i="14"/>
  <c r="I15" i="14"/>
  <c r="H16" i="14"/>
  <c r="I16" i="14"/>
  <c r="H17" i="14"/>
  <c r="I17" i="14"/>
  <c r="H18" i="14"/>
  <c r="I18" i="14"/>
  <c r="H19" i="14"/>
  <c r="I19" i="14"/>
  <c r="H20" i="14"/>
  <c r="I20" i="14"/>
  <c r="H21" i="14"/>
  <c r="I21" i="14"/>
  <c r="H22" i="14"/>
  <c r="I22" i="14"/>
  <c r="H23" i="14"/>
  <c r="I23" i="14"/>
  <c r="H24" i="14"/>
  <c r="I24" i="14"/>
  <c r="H25" i="14"/>
  <c r="I25" i="14"/>
  <c r="H26" i="14"/>
  <c r="I26" i="14"/>
  <c r="H27" i="14"/>
  <c r="I27" i="14"/>
  <c r="H28" i="14"/>
  <c r="I28" i="14"/>
  <c r="H29" i="14"/>
  <c r="I29" i="14"/>
  <c r="H30" i="14"/>
  <c r="I30" i="14"/>
  <c r="H31" i="14"/>
  <c r="I31" i="14"/>
  <c r="H32" i="14"/>
  <c r="I32" i="14"/>
  <c r="H33" i="14"/>
  <c r="I33" i="14"/>
  <c r="E2" i="14"/>
  <c r="G2" i="14"/>
  <c r="E3" i="14"/>
  <c r="G3" i="14"/>
  <c r="E4" i="14"/>
  <c r="G4" i="14"/>
  <c r="E5" i="14"/>
  <c r="G5" i="14"/>
  <c r="E6" i="14"/>
  <c r="G6" i="14"/>
  <c r="E7" i="14"/>
  <c r="G7" i="14"/>
  <c r="E8" i="14"/>
  <c r="G8" i="14"/>
  <c r="E9" i="14"/>
  <c r="G9" i="14"/>
  <c r="E10" i="14"/>
  <c r="G10" i="14"/>
  <c r="E11" i="14"/>
  <c r="G11" i="14"/>
  <c r="E12" i="14"/>
  <c r="G12" i="14"/>
  <c r="E13" i="14"/>
  <c r="G13" i="14"/>
  <c r="E14" i="14"/>
  <c r="G14" i="14"/>
  <c r="E15" i="14"/>
  <c r="G15" i="14"/>
  <c r="E16" i="14"/>
  <c r="G16" i="14"/>
  <c r="E17" i="14"/>
  <c r="G17" i="14"/>
  <c r="E18" i="14"/>
  <c r="G18" i="14"/>
  <c r="E19" i="14"/>
  <c r="G19" i="14"/>
  <c r="E20" i="14"/>
  <c r="G20" i="14"/>
  <c r="E21" i="14"/>
  <c r="G21" i="14"/>
  <c r="E22" i="14"/>
  <c r="G22" i="14"/>
  <c r="E23" i="14"/>
  <c r="G23" i="14"/>
  <c r="E24" i="14"/>
  <c r="G24" i="14"/>
  <c r="E25" i="14"/>
  <c r="G25" i="14"/>
  <c r="E26" i="14"/>
  <c r="G26" i="14"/>
  <c r="E27" i="14"/>
  <c r="G27" i="14"/>
  <c r="E28" i="14"/>
  <c r="G28" i="14"/>
  <c r="E29" i="14"/>
  <c r="G29" i="14"/>
  <c r="E30" i="14"/>
  <c r="G30" i="14"/>
  <c r="E31" i="14"/>
  <c r="G31" i="14"/>
  <c r="E32" i="14"/>
  <c r="G32" i="14"/>
  <c r="E33" i="14"/>
  <c r="G33" i="14"/>
  <c r="C2" i="14"/>
  <c r="D2" i="14"/>
  <c r="C3" i="14"/>
  <c r="D3" i="14"/>
  <c r="C4" i="14"/>
  <c r="D4" i="14"/>
  <c r="C5" i="14"/>
  <c r="D5" i="14"/>
  <c r="C6" i="14"/>
  <c r="D6" i="14"/>
  <c r="C7" i="14"/>
  <c r="D7" i="14"/>
  <c r="C8" i="14"/>
  <c r="D8" i="14"/>
  <c r="C9" i="14"/>
  <c r="D9" i="14"/>
  <c r="C10" i="14"/>
  <c r="D10" i="14"/>
  <c r="C11" i="14"/>
  <c r="D11" i="14"/>
  <c r="C12" i="14"/>
  <c r="D12" i="14"/>
  <c r="C13" i="14"/>
  <c r="D13" i="14"/>
  <c r="C14" i="14"/>
  <c r="D14" i="14"/>
  <c r="C15" i="14"/>
  <c r="D15" i="14"/>
  <c r="C16" i="14"/>
  <c r="D16" i="14"/>
  <c r="C17" i="14"/>
  <c r="D17" i="14"/>
  <c r="C18" i="14"/>
  <c r="D18" i="14"/>
  <c r="C19" i="14"/>
  <c r="D19" i="14"/>
  <c r="C20" i="14"/>
  <c r="D20" i="14"/>
  <c r="C21" i="14"/>
  <c r="D21" i="14"/>
  <c r="C22" i="14"/>
  <c r="D22" i="14"/>
  <c r="C23" i="14"/>
  <c r="D23" i="14"/>
  <c r="C24" i="14"/>
  <c r="D24" i="14"/>
  <c r="C25" i="14"/>
  <c r="D25" i="14"/>
  <c r="C26" i="14"/>
  <c r="D26" i="14"/>
  <c r="C27" i="14"/>
  <c r="D27" i="14"/>
  <c r="C28" i="14"/>
  <c r="D28" i="14"/>
  <c r="C29" i="14"/>
  <c r="D29" i="14"/>
  <c r="C30" i="14"/>
  <c r="D30" i="14"/>
  <c r="C31" i="14"/>
  <c r="D31" i="14"/>
  <c r="C32" i="14"/>
  <c r="D32" i="14"/>
  <c r="C33" i="14"/>
  <c r="D33" i="14"/>
  <c r="L3" i="14"/>
  <c r="P3" i="14"/>
  <c r="L4" i="14"/>
  <c r="P4" i="14"/>
  <c r="L5" i="14"/>
  <c r="L6" i="14"/>
  <c r="P6" i="14"/>
  <c r="L7" i="14"/>
  <c r="P7" i="14"/>
  <c r="L8" i="14"/>
  <c r="L9" i="14"/>
  <c r="P9" i="14"/>
  <c r="L10" i="14"/>
  <c r="P10" i="14" s="1"/>
  <c r="L11" i="14"/>
  <c r="P11" i="14" s="1"/>
  <c r="L12" i="14"/>
  <c r="P12" i="14"/>
  <c r="L13" i="14"/>
  <c r="P13" i="14" s="1"/>
  <c r="L14" i="14"/>
  <c r="L15" i="14"/>
  <c r="P15" i="14" s="1"/>
  <c r="L16" i="14"/>
  <c r="P16" i="14" s="1"/>
  <c r="L17" i="14"/>
  <c r="P17" i="14" s="1"/>
  <c r="L18" i="14"/>
  <c r="P18" i="14"/>
  <c r="L19" i="14"/>
  <c r="P19" i="14"/>
  <c r="L20" i="14"/>
  <c r="P20" i="14" s="1"/>
  <c r="L21" i="14"/>
  <c r="P21" i="14" s="1"/>
  <c r="L22" i="14"/>
  <c r="P22" i="14" s="1"/>
  <c r="L23" i="14"/>
  <c r="P23" i="14" s="1"/>
  <c r="L24" i="14"/>
  <c r="L25" i="14"/>
  <c r="P25" i="14" s="1"/>
  <c r="L26" i="14"/>
  <c r="P26" i="14" s="1"/>
  <c r="L27" i="14"/>
  <c r="P27" i="14" s="1"/>
  <c r="L28" i="14"/>
  <c r="P28" i="14" s="1"/>
  <c r="L29" i="14"/>
  <c r="P29" i="14" s="1"/>
  <c r="L30" i="14"/>
  <c r="P30" i="14" s="1"/>
  <c r="L31" i="14"/>
  <c r="P31" i="14" s="1"/>
  <c r="L32" i="14"/>
  <c r="P32" i="14" s="1"/>
  <c r="L33" i="14"/>
  <c r="P33" i="14" s="1"/>
  <c r="H2" i="8"/>
  <c r="I2" i="8"/>
  <c r="H3" i="8"/>
  <c r="I3" i="8"/>
  <c r="H4" i="8"/>
  <c r="I4" i="8"/>
  <c r="H5" i="8"/>
  <c r="I5" i="8"/>
  <c r="H6" i="8"/>
  <c r="I6" i="8"/>
  <c r="H7" i="8"/>
  <c r="I7" i="8"/>
  <c r="H8" i="8"/>
  <c r="I8" i="8"/>
  <c r="H9" i="8"/>
  <c r="I9" i="8"/>
  <c r="H10" i="8"/>
  <c r="I10" i="8"/>
  <c r="H11" i="8"/>
  <c r="I11" i="8"/>
  <c r="H12" i="8"/>
  <c r="I12" i="8"/>
  <c r="H14" i="8"/>
  <c r="I14" i="8"/>
  <c r="H15" i="8"/>
  <c r="I15" i="8"/>
  <c r="H16" i="8"/>
  <c r="I16" i="8"/>
  <c r="H17" i="8"/>
  <c r="I17" i="8"/>
  <c r="H18" i="8"/>
  <c r="I18" i="8"/>
  <c r="H19" i="8"/>
  <c r="I19" i="8"/>
  <c r="H20" i="8"/>
  <c r="I20" i="8"/>
  <c r="H21" i="8"/>
  <c r="I21" i="8"/>
  <c r="H22" i="8"/>
  <c r="I22" i="8"/>
  <c r="H23" i="8"/>
  <c r="I23" i="8"/>
  <c r="H24" i="8"/>
  <c r="I24" i="8"/>
  <c r="H25" i="8"/>
  <c r="I25" i="8"/>
  <c r="H27" i="8"/>
  <c r="I27" i="8"/>
  <c r="H28" i="8"/>
  <c r="I28" i="8"/>
  <c r="H31" i="8"/>
  <c r="I31" i="8"/>
  <c r="H33" i="8"/>
  <c r="I33" i="8"/>
  <c r="H13" i="8"/>
  <c r="I13" i="8"/>
  <c r="H26" i="8"/>
  <c r="I26" i="8"/>
  <c r="H29" i="8"/>
  <c r="I29" i="8"/>
  <c r="H30" i="8"/>
  <c r="I30" i="8"/>
  <c r="H32" i="8"/>
  <c r="I32" i="8"/>
  <c r="E2" i="8"/>
  <c r="G2" i="8"/>
  <c r="E3" i="8"/>
  <c r="G3" i="8"/>
  <c r="E4" i="8"/>
  <c r="G4" i="8"/>
  <c r="E5" i="8"/>
  <c r="G5" i="8"/>
  <c r="E6" i="8"/>
  <c r="G6" i="8"/>
  <c r="E7" i="8"/>
  <c r="G7" i="8"/>
  <c r="E8" i="8"/>
  <c r="G8" i="8"/>
  <c r="E9" i="8"/>
  <c r="G9" i="8"/>
  <c r="E10" i="8"/>
  <c r="G10" i="8"/>
  <c r="E11" i="8"/>
  <c r="G11" i="8"/>
  <c r="E12" i="8"/>
  <c r="G12" i="8"/>
  <c r="E14" i="8"/>
  <c r="G14" i="8"/>
  <c r="E15" i="8"/>
  <c r="G15" i="8"/>
  <c r="E16" i="8"/>
  <c r="G16" i="8"/>
  <c r="E17" i="8"/>
  <c r="G17" i="8"/>
  <c r="E18" i="8"/>
  <c r="G18" i="8"/>
  <c r="E19" i="8"/>
  <c r="G19" i="8"/>
  <c r="E20" i="8"/>
  <c r="G20" i="8"/>
  <c r="E21" i="8"/>
  <c r="G21" i="8"/>
  <c r="E22" i="8"/>
  <c r="G22" i="8"/>
  <c r="E23" i="8"/>
  <c r="G23" i="8"/>
  <c r="E24" i="8"/>
  <c r="G24" i="8"/>
  <c r="E25" i="8"/>
  <c r="G25" i="8"/>
  <c r="E27" i="8"/>
  <c r="G27" i="8"/>
  <c r="E28" i="8"/>
  <c r="G28" i="8"/>
  <c r="E31" i="8"/>
  <c r="G31" i="8"/>
  <c r="E33" i="8"/>
  <c r="G33" i="8"/>
  <c r="E13" i="8"/>
  <c r="G13" i="8"/>
  <c r="E26" i="8"/>
  <c r="G26" i="8"/>
  <c r="E29" i="8"/>
  <c r="G29" i="8"/>
  <c r="E30" i="8"/>
  <c r="G30" i="8"/>
  <c r="E32" i="8"/>
  <c r="G32" i="8"/>
  <c r="C2" i="8"/>
  <c r="D2" i="8"/>
  <c r="C3" i="8"/>
  <c r="D3" i="8"/>
  <c r="C4" i="8"/>
  <c r="D4" i="8"/>
  <c r="C5" i="8"/>
  <c r="D5" i="8"/>
  <c r="C6" i="8"/>
  <c r="D6" i="8"/>
  <c r="C7" i="8"/>
  <c r="D7" i="8"/>
  <c r="C8" i="8"/>
  <c r="D8" i="8"/>
  <c r="C9" i="8"/>
  <c r="D9" i="8"/>
  <c r="C10" i="8"/>
  <c r="D10" i="8"/>
  <c r="C11" i="8"/>
  <c r="D11" i="8"/>
  <c r="C12" i="8"/>
  <c r="D12" i="8"/>
  <c r="C14" i="8"/>
  <c r="D14" i="8"/>
  <c r="C15" i="8"/>
  <c r="D15" i="8"/>
  <c r="C16" i="8"/>
  <c r="D16" i="8"/>
  <c r="C17" i="8"/>
  <c r="D17" i="8"/>
  <c r="C18" i="8"/>
  <c r="D18" i="8"/>
  <c r="C19" i="8"/>
  <c r="D19" i="8"/>
  <c r="C20" i="8"/>
  <c r="D20" i="8"/>
  <c r="C21" i="8"/>
  <c r="D21" i="8"/>
  <c r="C22" i="8"/>
  <c r="D22" i="8"/>
  <c r="C23" i="8"/>
  <c r="D23" i="8"/>
  <c r="C24" i="8"/>
  <c r="D24" i="8"/>
  <c r="C25" i="8"/>
  <c r="D25" i="8"/>
  <c r="C27" i="8"/>
  <c r="D27" i="8"/>
  <c r="C28" i="8"/>
  <c r="D28" i="8"/>
  <c r="C31" i="8"/>
  <c r="D31" i="8"/>
  <c r="C33" i="8"/>
  <c r="D33" i="8"/>
  <c r="C13" i="8"/>
  <c r="D13" i="8"/>
  <c r="C26" i="8"/>
  <c r="D26" i="8"/>
  <c r="C29" i="8"/>
  <c r="D29" i="8"/>
  <c r="C30" i="8"/>
  <c r="D30" i="8"/>
  <c r="C32" i="8"/>
  <c r="D32" i="8"/>
  <c r="L3" i="8"/>
  <c r="L4" i="8"/>
  <c r="P4" i="8" s="1"/>
  <c r="L5" i="8"/>
  <c r="P5" i="8" s="1"/>
  <c r="L6" i="8"/>
  <c r="P6" i="8" s="1"/>
  <c r="L7" i="8"/>
  <c r="P7" i="8" s="1"/>
  <c r="L8" i="8"/>
  <c r="P8" i="8" s="1"/>
  <c r="L9" i="8"/>
  <c r="P9" i="8" s="1"/>
  <c r="L10" i="8"/>
  <c r="P10" i="8" s="1"/>
  <c r="L11" i="8"/>
  <c r="P11" i="8" s="1"/>
  <c r="L12" i="8"/>
  <c r="P12" i="8" s="1"/>
  <c r="L14" i="8"/>
  <c r="P14" i="8" s="1"/>
  <c r="L15" i="8"/>
  <c r="P15" i="8" s="1"/>
  <c r="L16" i="8"/>
  <c r="P16" i="8" s="1"/>
  <c r="L17" i="8"/>
  <c r="P17" i="8" s="1"/>
  <c r="L18" i="8"/>
  <c r="P18" i="8"/>
  <c r="L19" i="8"/>
  <c r="P19" i="8" s="1"/>
  <c r="L20" i="8"/>
  <c r="P20" i="8" s="1"/>
  <c r="L21" i="8"/>
  <c r="P21" i="8" s="1"/>
  <c r="L22" i="8"/>
  <c r="P22" i="8" s="1"/>
  <c r="L23" i="8"/>
  <c r="P23" i="8"/>
  <c r="L24" i="8"/>
  <c r="P24" i="8" s="1"/>
  <c r="L25" i="8"/>
  <c r="P25" i="8" s="1"/>
  <c r="L27" i="8"/>
  <c r="P27" i="8" s="1"/>
  <c r="L28" i="8"/>
  <c r="P28" i="8" s="1"/>
  <c r="L31" i="8"/>
  <c r="P31" i="8" s="1"/>
  <c r="L33" i="8"/>
  <c r="P33" i="8" s="1"/>
  <c r="L13" i="8"/>
  <c r="P13" i="8" s="1"/>
  <c r="L26" i="8"/>
  <c r="P26" i="8" s="1"/>
  <c r="L29" i="8"/>
  <c r="P29" i="8" s="1"/>
  <c r="L30" i="8"/>
  <c r="P30" i="8" s="1"/>
  <c r="L32" i="8"/>
  <c r="P32" i="8" s="1"/>
  <c r="H2" i="5"/>
  <c r="I2" i="5"/>
  <c r="H3" i="5"/>
  <c r="I3" i="5"/>
  <c r="H4" i="5"/>
  <c r="I4" i="5"/>
  <c r="H5" i="5"/>
  <c r="I5" i="5"/>
  <c r="H6" i="5"/>
  <c r="I6" i="5"/>
  <c r="H7" i="5"/>
  <c r="I7" i="5"/>
  <c r="H8" i="5"/>
  <c r="I8" i="5"/>
  <c r="H9" i="5"/>
  <c r="I9" i="5"/>
  <c r="H10" i="5"/>
  <c r="I10" i="5"/>
  <c r="H11" i="5"/>
  <c r="I11" i="5"/>
  <c r="H12" i="5"/>
  <c r="I12" i="5"/>
  <c r="H13" i="5"/>
  <c r="I13" i="5"/>
  <c r="H14" i="5"/>
  <c r="I14" i="5"/>
  <c r="H15" i="5"/>
  <c r="I15" i="5"/>
  <c r="H16" i="5"/>
  <c r="I16" i="5"/>
  <c r="H17" i="5"/>
  <c r="I17" i="5"/>
  <c r="H18" i="5"/>
  <c r="I18" i="5"/>
  <c r="H19" i="5"/>
  <c r="I19" i="5"/>
  <c r="H20" i="5"/>
  <c r="I20" i="5"/>
  <c r="H21" i="5"/>
  <c r="I21" i="5"/>
  <c r="H22" i="5"/>
  <c r="I22" i="5"/>
  <c r="H23" i="5"/>
  <c r="I23" i="5"/>
  <c r="H24" i="5"/>
  <c r="I24" i="5"/>
  <c r="H25" i="5"/>
  <c r="I25" i="5"/>
  <c r="H26" i="5"/>
  <c r="I26" i="5"/>
  <c r="H27" i="5"/>
  <c r="I27" i="5"/>
  <c r="H28" i="5"/>
  <c r="I28" i="5"/>
  <c r="H29" i="5"/>
  <c r="I29" i="5"/>
  <c r="H30" i="5"/>
  <c r="I30" i="5"/>
  <c r="H31" i="5"/>
  <c r="I31" i="5"/>
  <c r="H32" i="5"/>
  <c r="I32" i="5"/>
  <c r="H33" i="5"/>
  <c r="I33" i="5"/>
  <c r="E2" i="5"/>
  <c r="G2" i="5"/>
  <c r="E3" i="5"/>
  <c r="G3" i="5"/>
  <c r="E4" i="5"/>
  <c r="G4" i="5"/>
  <c r="E5" i="5"/>
  <c r="G5" i="5"/>
  <c r="E6" i="5"/>
  <c r="G6" i="5"/>
  <c r="E7" i="5"/>
  <c r="G7" i="5"/>
  <c r="E8" i="5"/>
  <c r="G8" i="5"/>
  <c r="E9" i="5"/>
  <c r="G9" i="5"/>
  <c r="E10" i="5"/>
  <c r="G10" i="5"/>
  <c r="E11" i="5"/>
  <c r="G11" i="5"/>
  <c r="E12" i="5"/>
  <c r="G12" i="5"/>
  <c r="E13" i="5"/>
  <c r="G13" i="5"/>
  <c r="E14" i="5"/>
  <c r="G14" i="5"/>
  <c r="E15" i="5"/>
  <c r="G15" i="5"/>
  <c r="E16" i="5"/>
  <c r="G16" i="5"/>
  <c r="E17" i="5"/>
  <c r="G17" i="5"/>
  <c r="E18" i="5"/>
  <c r="G18" i="5"/>
  <c r="E19" i="5"/>
  <c r="G19" i="5"/>
  <c r="E20" i="5"/>
  <c r="G20" i="5"/>
  <c r="E21" i="5"/>
  <c r="G21" i="5"/>
  <c r="E22" i="5"/>
  <c r="G22" i="5"/>
  <c r="E23" i="5"/>
  <c r="G23" i="5"/>
  <c r="E24" i="5"/>
  <c r="G24" i="5"/>
  <c r="E25" i="5"/>
  <c r="G25" i="5"/>
  <c r="E26" i="5"/>
  <c r="G26" i="5"/>
  <c r="E27" i="5"/>
  <c r="G27" i="5"/>
  <c r="E28" i="5"/>
  <c r="G28" i="5"/>
  <c r="E29" i="5"/>
  <c r="G29" i="5"/>
  <c r="E30" i="5"/>
  <c r="G30" i="5"/>
  <c r="E31" i="5"/>
  <c r="G31" i="5"/>
  <c r="E32" i="5"/>
  <c r="G32" i="5"/>
  <c r="E33" i="5"/>
  <c r="G33" i="5"/>
  <c r="C2" i="5"/>
  <c r="D2" i="5"/>
  <c r="C3" i="5"/>
  <c r="D3" i="5"/>
  <c r="C4" i="5"/>
  <c r="D4" i="5"/>
  <c r="C5" i="5"/>
  <c r="D5" i="5"/>
  <c r="C6" i="5"/>
  <c r="D6" i="5"/>
  <c r="C7" i="5"/>
  <c r="D7" i="5"/>
  <c r="C8" i="5"/>
  <c r="D8" i="5"/>
  <c r="C9" i="5"/>
  <c r="D9" i="5"/>
  <c r="C10" i="5"/>
  <c r="D10" i="5"/>
  <c r="C11" i="5"/>
  <c r="D11" i="5"/>
  <c r="C12" i="5"/>
  <c r="D12" i="5"/>
  <c r="C13" i="5"/>
  <c r="D13" i="5"/>
  <c r="C14" i="5"/>
  <c r="D14" i="5"/>
  <c r="C15" i="5"/>
  <c r="D15" i="5"/>
  <c r="C16" i="5"/>
  <c r="D16" i="5"/>
  <c r="C17" i="5"/>
  <c r="D17" i="5"/>
  <c r="C18" i="5"/>
  <c r="D18" i="5"/>
  <c r="C19" i="5"/>
  <c r="D19" i="5"/>
  <c r="C20" i="5"/>
  <c r="D20" i="5"/>
  <c r="C21" i="5"/>
  <c r="D21" i="5"/>
  <c r="C22" i="5"/>
  <c r="D22" i="5"/>
  <c r="C23" i="5"/>
  <c r="D23" i="5"/>
  <c r="C24" i="5"/>
  <c r="D24" i="5"/>
  <c r="C25" i="5"/>
  <c r="D25" i="5"/>
  <c r="C26" i="5"/>
  <c r="D26" i="5"/>
  <c r="C27" i="5"/>
  <c r="D27" i="5"/>
  <c r="C28" i="5"/>
  <c r="D28" i="5"/>
  <c r="C29" i="5"/>
  <c r="D29" i="5"/>
  <c r="C30" i="5"/>
  <c r="D30" i="5"/>
  <c r="C31" i="5"/>
  <c r="D31" i="5"/>
  <c r="C32" i="5"/>
  <c r="D32" i="5"/>
  <c r="C33" i="5"/>
  <c r="D33" i="5"/>
  <c r="L3" i="5"/>
  <c r="P3" i="5" s="1"/>
  <c r="L4" i="5"/>
  <c r="P4" i="5" s="1"/>
  <c r="L5" i="5"/>
  <c r="P5" i="5" s="1"/>
  <c r="L6" i="5"/>
  <c r="P6" i="5" s="1"/>
  <c r="L7" i="5"/>
  <c r="P7" i="5" s="1"/>
  <c r="L8" i="5"/>
  <c r="P8" i="5" s="1"/>
  <c r="L9" i="5"/>
  <c r="P9" i="5" s="1"/>
  <c r="L10" i="5"/>
  <c r="P10" i="5" s="1"/>
  <c r="L11" i="5"/>
  <c r="P11" i="5" s="1"/>
  <c r="L12" i="5"/>
  <c r="P12" i="5" s="1"/>
  <c r="L13" i="5"/>
  <c r="P13" i="5" s="1"/>
  <c r="L14" i="5"/>
  <c r="P14" i="5" s="1"/>
  <c r="L15" i="5"/>
  <c r="P15" i="5" s="1"/>
  <c r="L16" i="5"/>
  <c r="P16" i="5" s="1"/>
  <c r="L17" i="5"/>
  <c r="L18" i="5"/>
  <c r="L19" i="5"/>
  <c r="P19" i="5" s="1"/>
  <c r="L20" i="5"/>
  <c r="P20" i="5" s="1"/>
  <c r="L21" i="5"/>
  <c r="P21" i="5" s="1"/>
  <c r="L22" i="5"/>
  <c r="P22" i="5" s="1"/>
  <c r="L23" i="5"/>
  <c r="L24" i="5"/>
  <c r="P24" i="5" s="1"/>
  <c r="L25" i="5"/>
  <c r="P25" i="5" s="1"/>
  <c r="L26" i="5"/>
  <c r="L27" i="5"/>
  <c r="P27" i="5" s="1"/>
  <c r="L28" i="5"/>
  <c r="P28" i="5" s="1"/>
  <c r="L29" i="5"/>
  <c r="P29" i="5" s="1"/>
  <c r="L30" i="5"/>
  <c r="P30" i="5" s="1"/>
  <c r="L31" i="5"/>
  <c r="P31" i="5" s="1"/>
  <c r="L32" i="5"/>
  <c r="P32" i="5" s="1"/>
  <c r="L33" i="5"/>
  <c r="P33" i="5" s="1"/>
  <c r="M18" i="5"/>
  <c r="N18" i="5"/>
  <c r="M19" i="5"/>
  <c r="M24" i="14" l="1"/>
  <c r="P24" i="14"/>
  <c r="N8" i="14"/>
  <c r="P8" i="14"/>
  <c r="Q3" i="14"/>
  <c r="M3" i="14"/>
  <c r="N3" i="14"/>
  <c r="Q4" i="14"/>
  <c r="M4" i="14"/>
  <c r="N4" i="14"/>
  <c r="M5" i="14"/>
  <c r="N5" i="14"/>
  <c r="Q6" i="14"/>
  <c r="M6" i="14"/>
  <c r="N6" i="14"/>
  <c r="Q7" i="14"/>
  <c r="M7" i="14"/>
  <c r="N7" i="14"/>
  <c r="Q8" i="14"/>
  <c r="M8" i="14"/>
  <c r="Q9" i="14"/>
  <c r="M9" i="14"/>
  <c r="N9" i="14"/>
  <c r="Q10" i="14"/>
  <c r="M10" i="14"/>
  <c r="N10" i="14"/>
  <c r="Q11" i="14"/>
  <c r="M11" i="14"/>
  <c r="N11" i="14"/>
  <c r="Q12" i="14"/>
  <c r="M12" i="14"/>
  <c r="N12" i="14"/>
  <c r="Q13" i="14"/>
  <c r="M13" i="14"/>
  <c r="N13" i="14"/>
  <c r="M14" i="14"/>
  <c r="N14" i="14"/>
  <c r="Q5" i="14"/>
  <c r="P5" i="14"/>
  <c r="Q15" i="14"/>
  <c r="M15" i="14"/>
  <c r="N15" i="14"/>
  <c r="Q16" i="14"/>
  <c r="M16" i="14"/>
  <c r="N16" i="14"/>
  <c r="Q17" i="14"/>
  <c r="M17" i="14"/>
  <c r="N17" i="14"/>
  <c r="Q18" i="14"/>
  <c r="M18" i="14"/>
  <c r="N18" i="14"/>
  <c r="Q19" i="14"/>
  <c r="M19" i="14"/>
  <c r="N19" i="14"/>
  <c r="Q20" i="14"/>
  <c r="M20" i="14"/>
  <c r="N20" i="14"/>
  <c r="Q21" i="14"/>
  <c r="M21" i="14"/>
  <c r="N21" i="14"/>
  <c r="Q22" i="14"/>
  <c r="M22" i="14"/>
  <c r="N22" i="14"/>
  <c r="Q23" i="14"/>
  <c r="M23" i="14"/>
  <c r="N23" i="14"/>
  <c r="Q14" i="14"/>
  <c r="P14" i="14"/>
  <c r="N24" i="14"/>
  <c r="Q24" i="14"/>
  <c r="N25" i="14"/>
  <c r="Q25" i="14"/>
  <c r="M25" i="14"/>
  <c r="Q26" i="14"/>
  <c r="N26" i="14"/>
  <c r="M26" i="14"/>
  <c r="Q27" i="14"/>
  <c r="N27" i="14"/>
  <c r="M27" i="14"/>
  <c r="Q28" i="14"/>
  <c r="N28" i="14"/>
  <c r="M28" i="14"/>
  <c r="Q29" i="14"/>
  <c r="N29" i="14"/>
  <c r="M29" i="14"/>
  <c r="Q30" i="14"/>
  <c r="M30" i="14"/>
  <c r="N30" i="14"/>
  <c r="M31" i="14"/>
  <c r="N31" i="14"/>
  <c r="Q31" i="14"/>
  <c r="M32" i="14"/>
  <c r="N32" i="14"/>
  <c r="Q32" i="14"/>
  <c r="N33" i="14"/>
  <c r="M33" i="14"/>
  <c r="Q33" i="14"/>
  <c r="M3" i="8"/>
  <c r="P3" i="8"/>
  <c r="Q18" i="5"/>
  <c r="P18" i="5"/>
  <c r="N26" i="5"/>
  <c r="P26" i="5"/>
  <c r="N3" i="8"/>
  <c r="Q3" i="8"/>
  <c r="M4" i="8"/>
  <c r="N4" i="8"/>
  <c r="Q4" i="8"/>
  <c r="M5" i="8"/>
  <c r="N5" i="8"/>
  <c r="Q5" i="8"/>
  <c r="M6" i="8"/>
  <c r="N6" i="8"/>
  <c r="Q6" i="8"/>
  <c r="M7" i="8"/>
  <c r="N7" i="8"/>
  <c r="Q7" i="8"/>
  <c r="M8" i="8"/>
  <c r="N8" i="8"/>
  <c r="Q8" i="8"/>
  <c r="M9" i="8"/>
  <c r="N9" i="8"/>
  <c r="Q9" i="8"/>
  <c r="Q10" i="8"/>
  <c r="N10" i="8"/>
  <c r="M10" i="8"/>
  <c r="Q11" i="8"/>
  <c r="N11" i="8"/>
  <c r="M11" i="8"/>
  <c r="Q12" i="8"/>
  <c r="N12" i="8"/>
  <c r="M12" i="8"/>
  <c r="N14" i="8"/>
  <c r="Q14" i="8"/>
  <c r="M14" i="8"/>
  <c r="M15" i="8"/>
  <c r="Q15" i="8"/>
  <c r="N15" i="8"/>
  <c r="M16" i="8"/>
  <c r="N16" i="8"/>
  <c r="Q16" i="8"/>
  <c r="M17" i="8"/>
  <c r="N17" i="8"/>
  <c r="Q17" i="8"/>
  <c r="M18" i="8"/>
  <c r="N18" i="8"/>
  <c r="Q18" i="8"/>
  <c r="Q19" i="8"/>
  <c r="N19" i="8"/>
  <c r="M19" i="8"/>
  <c r="Q20" i="8"/>
  <c r="N20" i="8"/>
  <c r="M20" i="8"/>
  <c r="Q21" i="8"/>
  <c r="M21" i="8"/>
  <c r="N21" i="8"/>
  <c r="N22" i="8"/>
  <c r="Q22" i="8"/>
  <c r="M22" i="8"/>
  <c r="N23" i="8"/>
  <c r="M23" i="8"/>
  <c r="Q23" i="8"/>
  <c r="N24" i="8"/>
  <c r="M24" i="8"/>
  <c r="Q24" i="8"/>
  <c r="N25" i="8"/>
  <c r="M25" i="8"/>
  <c r="Q25" i="8"/>
  <c r="N27" i="8"/>
  <c r="M27" i="8"/>
  <c r="Q27" i="8"/>
  <c r="N28" i="8"/>
  <c r="Q28" i="8"/>
  <c r="M28" i="8"/>
  <c r="Q31" i="8"/>
  <c r="N31" i="8"/>
  <c r="M31" i="8"/>
  <c r="Q33" i="8"/>
  <c r="N33" i="8"/>
  <c r="M33" i="8"/>
  <c r="Q13" i="8"/>
  <c r="N13" i="8"/>
  <c r="M13" i="8"/>
  <c r="N26" i="8"/>
  <c r="Q26" i="8"/>
  <c r="M26" i="8"/>
  <c r="N29" i="8"/>
  <c r="M29" i="8"/>
  <c r="Q29" i="8"/>
  <c r="N30" i="8"/>
  <c r="M30" i="8"/>
  <c r="Q30" i="8"/>
  <c r="N32" i="8"/>
  <c r="M32" i="8"/>
  <c r="Q32" i="8"/>
  <c r="Q19" i="5"/>
  <c r="N19" i="5"/>
  <c r="Q20" i="5"/>
  <c r="M20" i="5"/>
  <c r="N20" i="5"/>
  <c r="Q21" i="5"/>
  <c r="M21" i="5"/>
  <c r="N21" i="5"/>
  <c r="Q22" i="5"/>
  <c r="M22" i="5"/>
  <c r="N22" i="5"/>
  <c r="M23" i="5"/>
  <c r="N23" i="5"/>
  <c r="Q24" i="5"/>
  <c r="M24" i="5"/>
  <c r="N24" i="5"/>
  <c r="Q25" i="5"/>
  <c r="M25" i="5"/>
  <c r="N25" i="5"/>
  <c r="Q13" i="5"/>
  <c r="M13" i="5"/>
  <c r="N13" i="5"/>
  <c r="Q14" i="5"/>
  <c r="M14" i="5"/>
  <c r="N14" i="5"/>
  <c r="Q15" i="5"/>
  <c r="M15" i="5"/>
  <c r="N15" i="5"/>
  <c r="Q16" i="5"/>
  <c r="M16" i="5"/>
  <c r="N16" i="5"/>
  <c r="Q17" i="5"/>
  <c r="P17" i="5"/>
  <c r="M17" i="5"/>
  <c r="N17" i="5"/>
  <c r="Q23" i="5"/>
  <c r="P23" i="5"/>
  <c r="M3" i="5"/>
  <c r="N3" i="5"/>
  <c r="Q3" i="5"/>
  <c r="M4" i="5"/>
  <c r="N4" i="5"/>
  <c r="Q4" i="5"/>
  <c r="M5" i="5"/>
  <c r="N5" i="5"/>
  <c r="Q5" i="5"/>
  <c r="M6" i="5"/>
  <c r="N6" i="5"/>
  <c r="Q6" i="5"/>
  <c r="M7" i="5"/>
  <c r="N7" i="5"/>
  <c r="Q7" i="5"/>
  <c r="Q8" i="5"/>
  <c r="M8" i="5"/>
  <c r="N8" i="5"/>
  <c r="M9" i="5"/>
  <c r="N9" i="5"/>
  <c r="Q9" i="5"/>
  <c r="N10" i="5"/>
  <c r="M10" i="5"/>
  <c r="Q10" i="5"/>
  <c r="N11" i="5"/>
  <c r="M11" i="5"/>
  <c r="Q11" i="5"/>
  <c r="M12" i="5"/>
  <c r="N12" i="5"/>
  <c r="Q12" i="5"/>
  <c r="M26" i="5"/>
  <c r="Q26" i="5"/>
  <c r="Q27" i="5"/>
  <c r="N27" i="5"/>
  <c r="M27" i="5"/>
  <c r="Q28" i="5"/>
  <c r="N28" i="5"/>
  <c r="M28" i="5"/>
  <c r="M29" i="5"/>
  <c r="N29" i="5"/>
  <c r="Q29" i="5"/>
  <c r="M30" i="5"/>
  <c r="N30" i="5"/>
  <c r="Q30" i="5"/>
  <c r="M31" i="5"/>
  <c r="Q31" i="5"/>
  <c r="N31" i="5"/>
  <c r="N32" i="5"/>
  <c r="Q32" i="5"/>
  <c r="M32" i="5"/>
  <c r="Q33" i="5"/>
  <c r="N33" i="5"/>
  <c r="M33" i="5"/>
</calcChain>
</file>

<file path=xl/sharedStrings.xml><?xml version="1.0" encoding="utf-8"?>
<sst xmlns="http://schemas.openxmlformats.org/spreadsheetml/2006/main" count="81" uniqueCount="28">
  <si>
    <t>CITY OF SCHERTZ, TEXAS</t>
  </si>
  <si>
    <t>DEMOGRAPHIC AND ECONOMIC STATISTICS</t>
  </si>
  <si>
    <t>LAST TEN FISCAL YEARS</t>
  </si>
  <si>
    <t>Fiscal Year</t>
  </si>
  <si>
    <t>Population</t>
  </si>
  <si>
    <t>Personal
Income</t>
  </si>
  <si>
    <t>Per Capita Personal
Income</t>
  </si>
  <si>
    <t>Median
Age</t>
  </si>
  <si>
    <t>Education
Level in
Years of
Schooling</t>
  </si>
  <si>
    <t>School
Enrollment</t>
  </si>
  <si>
    <t>Unemployment
Rate</t>
  </si>
  <si>
    <t>LastCell</t>
  </si>
  <si>
    <t>Range</t>
  </si>
  <si>
    <t>UCL</t>
  </si>
  <si>
    <t xml:space="preserve"> +2 Sigma</t>
  </si>
  <si>
    <t xml:space="preserve"> +1 Sigma</t>
  </si>
  <si>
    <t>Average</t>
  </si>
  <si>
    <t xml:space="preserve"> -1 Sigma</t>
  </si>
  <si>
    <t xml:space="preserve"> -2 Sigma</t>
  </si>
  <si>
    <t>LCL</t>
  </si>
  <si>
    <t>t^2</t>
  </si>
  <si>
    <t>Slope</t>
  </si>
  <si>
    <t>bValue</t>
  </si>
  <si>
    <t>Rxy</t>
  </si>
  <si>
    <t>Per Capita</t>
  </si>
  <si>
    <t>City of Shertz</t>
  </si>
  <si>
    <t>per US Census</t>
  </si>
  <si>
    <t>in 2024 $$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</si>
</sst>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164" formatCode="0.0000"/>
    <numFmt numFmtId="165" formatCode="&quot;$&quot;_(* #,##0_);&quot;$&quot;\(* #,##0\);&quot;$&quot;_(* &quot;-&quot;???_);_(@_)"/>
    <numFmt numFmtId="166" formatCode="_(* #,##0.0_);_(* \(#,##0.0\);_(* &quot;-&quot;?_);_(@_)"/>
    <numFmt numFmtId="167" formatCode="0.0%"/>
  </numFmts>
  <fonts count="6" x14ac:knownFonts="1">
    <font>
      <sz val="11"/>
      <name val="Times New Roman"/>
      <family val="1"/>
    </font>
    <font>
      <sz val="11"/>
      <name val="Times New Roman"/>
      <family val="1"/>
    </font>
    <font>
      <b/>
      <sz val="9"/>
      <name val="Verdana"/>
      <family val="2"/>
    </font>
    <font>
      <sz val="9"/>
      <name val="Verdana"/>
      <family val="2"/>
    </font>
    <font>
      <sz val="10"/>
      <name val="Arial"/>
      <family val="2"/>
    </font>
    <font>
      <i/>
      <sz val="9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30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 wrapText="1"/>
    </xf>
    <xf numFmtId="41" fontId="3" fillId="0" borderId="0" xfId="2" applyNumberFormat="1" applyFont="1"/>
    <xf numFmtId="41" fontId="3" fillId="0" borderId="0" xfId="0" applyNumberFormat="1" applyFont="1"/>
    <xf numFmtId="165" fontId="3" fillId="0" borderId="0" xfId="0" applyNumberFormat="1" applyFont="1"/>
    <xf numFmtId="166" fontId="3" fillId="0" borderId="0" xfId="0" applyNumberFormat="1" applyFont="1"/>
    <xf numFmtId="167" fontId="3" fillId="0" borderId="0" xfId="0" applyNumberFormat="1" applyFont="1" applyAlignment="1">
      <alignment horizontal="center"/>
    </xf>
    <xf numFmtId="0" fontId="3" fillId="0" borderId="0" xfId="2" applyFont="1"/>
    <xf numFmtId="166" fontId="3" fillId="0" borderId="0" xfId="2" applyNumberFormat="1" applyFont="1"/>
    <xf numFmtId="167" fontId="3" fillId="0" borderId="0" xfId="2" applyNumberFormat="1" applyFont="1" applyAlignment="1">
      <alignment horizontal="center"/>
    </xf>
    <xf numFmtId="9" fontId="3" fillId="0" borderId="0" xfId="1" applyFont="1" applyFill="1"/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horizontal="justify" vertical="top" wrapText="1"/>
    </xf>
    <xf numFmtId="0" fontId="5" fillId="0" borderId="0" xfId="0" applyFont="1"/>
    <xf numFmtId="9" fontId="3" fillId="0" borderId="0" xfId="1" applyFont="1"/>
    <xf numFmtId="167" fontId="0" fillId="0" borderId="0" xfId="0" applyNumberFormat="1"/>
    <xf numFmtId="167" fontId="3" fillId="0" borderId="1" xfId="0" applyNumberFormat="1" applyFont="1" applyBorder="1" applyAlignment="1">
      <alignment horizontal="center" wrapText="1"/>
    </xf>
    <xf numFmtId="41" fontId="0" fillId="0" borderId="0" xfId="0" applyNumberFormat="1"/>
    <xf numFmtId="41" fontId="3" fillId="0" borderId="1" xfId="0" applyNumberFormat="1" applyFont="1" applyBorder="1" applyAlignment="1">
      <alignment horizontal="center"/>
    </xf>
    <xf numFmtId="41" fontId="3" fillId="0" borderId="1" xfId="0" applyNumberFormat="1" applyFont="1" applyBorder="1" applyAlignment="1">
      <alignment horizontal="center" wrapText="1"/>
    </xf>
    <xf numFmtId="0" fontId="0" fillId="0" borderId="1" xfId="0" applyBorder="1"/>
    <xf numFmtId="1" fontId="3" fillId="0" borderId="0" xfId="2" applyNumberFormat="1" applyFont="1"/>
    <xf numFmtId="1" fontId="0" fillId="0" borderId="0" xfId="0" applyNumberFormat="1"/>
    <xf numFmtId="1" fontId="3" fillId="0" borderId="0" xfId="0" applyNumberFormat="1" applyFont="1"/>
    <xf numFmtId="0" fontId="3" fillId="0" borderId="0" xfId="2" applyFont="1" applyAlignment="1">
      <alignment horizontal="center"/>
    </xf>
  </cellXfs>
  <cellStyles count="3">
    <cellStyle name="Normal" xfId="0" builtinId="0"/>
    <cellStyle name="Normal 2 2" xfId="2" xr:uid="{E2EDCB0A-1706-404C-817A-C610116E1CDD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4.xml"/><Relationship Id="rId4" Type="http://schemas.openxmlformats.org/officeDocument/2006/relationships/chartsheet" Target="chartsheets/sheet1.xml"/><Relationship Id="rId9" Type="http://schemas.openxmlformats.org/officeDocument/2006/relationships/calcChain" Target="calcChain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 u="none" strike="noStrike" kern="1200" baseline="0">
                <a:solidFill>
                  <a:srgbClr val="000000"/>
                </a:solidFill>
                <a:latin typeface=" +mn-lt"/>
              </a:rPr>
              <a:t>Schertz Unemployment Rate </a:t>
            </a:r>
            <a:r>
              <a:rPr lang="en-US" sz="2000" b="1" i="0">
                <a:solidFill>
                  <a:srgbClr val="000000"/>
                </a:solidFill>
                <a:latin typeface=" +mn-lt"/>
              </a:rPr>
              <a:t> - mR Chart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'Unemployment Rate 2013-2024XmR '!$K$1</c:f>
              <c:strCache>
                <c:ptCount val="1"/>
                <c:pt idx="0">
                  <c:v>Range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cat>
            <c:numRef>
              <c:f>'Unemployment Rate 2013-2024XmR '!$A$2:$A$13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'Unemployment Rate 2013-2024XmR '!$K$2:$K$13</c:f>
              <c:numCache>
                <c:formatCode>0.0%</c:formatCode>
                <c:ptCount val="12"/>
                <c:pt idx="1">
                  <c:v>4.0000000000000036E-3</c:v>
                </c:pt>
                <c:pt idx="2">
                  <c:v>1.8999999999999996E-2</c:v>
                </c:pt>
                <c:pt idx="3">
                  <c:v>2.0000000000000018E-3</c:v>
                </c:pt>
                <c:pt idx="4">
                  <c:v>3.9999999999999966E-3</c:v>
                </c:pt>
                <c:pt idx="5">
                  <c:v>5.9999999999999984E-3</c:v>
                </c:pt>
                <c:pt idx="6">
                  <c:v>5.000000000000001E-3</c:v>
                </c:pt>
                <c:pt idx="7">
                  <c:v>2.3999999999999997E-2</c:v>
                </c:pt>
                <c:pt idx="8">
                  <c:v>1.1999999999999997E-2</c:v>
                </c:pt>
                <c:pt idx="9">
                  <c:v>5.9999999999999984E-3</c:v>
                </c:pt>
                <c:pt idx="10">
                  <c:v>2.9999999999999957E-3</c:v>
                </c:pt>
                <c:pt idx="11">
                  <c:v>3.9999999999999966E-3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85-CE48-BE47-78CD2F91B7C5}"/>
            </c:ext>
          </c:extLst>
        </c:ser>
        <c:ser>
          <c:idx val="1"/>
          <c:order val="1"/>
          <c:tx>
            <c:strRef>
              <c:f>'Unemployment Rate 2013-2024XmR '!$L$1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476E-2"/>
                  <c:y val="-2.0175437342319861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%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CC85-CE48-BE47-78CD2F91B7C5}"/>
                </c:ext>
              </c:extLst>
            </c:dLbl>
            <c:dLbl>
              <c:idx val="10"/>
              <c:layout>
                <c:manualLayout>
                  <c:x val="-1.4638026388327476E-2"/>
                  <c:y val="-2.0175437342319861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C85-CE48-BE47-78CD2F91B7C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'Unemployment Rate 2013-2024XmR '!$A$2:$A$13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'Unemployment Rate 2013-2024XmR '!$L$2:$L$13</c:f>
              <c:numCache>
                <c:formatCode>0.0%</c:formatCode>
                <c:ptCount val="12"/>
                <c:pt idx="1">
                  <c:v>2.6433000000000002E-2</c:v>
                </c:pt>
                <c:pt idx="2">
                  <c:v>2.6433000000000002E-2</c:v>
                </c:pt>
                <c:pt idx="3">
                  <c:v>2.6433000000000002E-2</c:v>
                </c:pt>
                <c:pt idx="4">
                  <c:v>2.6433000000000002E-2</c:v>
                </c:pt>
                <c:pt idx="5">
                  <c:v>2.6433000000000002E-2</c:v>
                </c:pt>
                <c:pt idx="6">
                  <c:v>2.6433000000000002E-2</c:v>
                </c:pt>
                <c:pt idx="7">
                  <c:v>2.6433000000000002E-2</c:v>
                </c:pt>
                <c:pt idx="8">
                  <c:v>2.6433000000000002E-2</c:v>
                </c:pt>
                <c:pt idx="9">
                  <c:v>2.6433000000000002E-2</c:v>
                </c:pt>
                <c:pt idx="10">
                  <c:v>2.6433000000000002E-2</c:v>
                </c:pt>
                <c:pt idx="11">
                  <c:v>2.6433000000000002E-2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C85-CE48-BE47-78CD2F91B7C5}"/>
            </c:ext>
          </c:extLst>
        </c:ser>
        <c:ser>
          <c:idx val="2"/>
          <c:order val="2"/>
          <c:tx>
            <c:strRef>
              <c:f>'Unemployment Rate 2013-2024XmR '!$M$1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'Unemployment Rate 2013-2024XmR '!$A$2:$A$13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'Unemployment Rate 2013-2024XmR '!$M$2:$M$13</c:f>
              <c:numCache>
                <c:formatCode>0.0%</c:formatCode>
                <c:ptCount val="12"/>
                <c:pt idx="1">
                  <c:v>2.0318969696969696E-2</c:v>
                </c:pt>
                <c:pt idx="2">
                  <c:v>2.0318969696969696E-2</c:v>
                </c:pt>
                <c:pt idx="3">
                  <c:v>2.0318969696969696E-2</c:v>
                </c:pt>
                <c:pt idx="4">
                  <c:v>2.0318969696969696E-2</c:v>
                </c:pt>
                <c:pt idx="5">
                  <c:v>2.0318969696969696E-2</c:v>
                </c:pt>
                <c:pt idx="6">
                  <c:v>2.0318969696969696E-2</c:v>
                </c:pt>
                <c:pt idx="7">
                  <c:v>2.0318969696969696E-2</c:v>
                </c:pt>
                <c:pt idx="8">
                  <c:v>2.0318969696969696E-2</c:v>
                </c:pt>
                <c:pt idx="9">
                  <c:v>2.0318969696969696E-2</c:v>
                </c:pt>
                <c:pt idx="10">
                  <c:v>2.0318969696969696E-2</c:v>
                </c:pt>
                <c:pt idx="11">
                  <c:v>2.0318969696969696E-2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C85-CE48-BE47-78CD2F91B7C5}"/>
            </c:ext>
          </c:extLst>
        </c:ser>
        <c:ser>
          <c:idx val="3"/>
          <c:order val="3"/>
          <c:tx>
            <c:strRef>
              <c:f>'Unemployment Rate 2013-2024XmR '!$N$1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'Unemployment Rate 2013-2024XmR '!$A$2:$A$13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'Unemployment Rate 2013-2024XmR '!$N$2:$N$13</c:f>
              <c:numCache>
                <c:formatCode>0.0%</c:formatCode>
                <c:ptCount val="12"/>
                <c:pt idx="1">
                  <c:v>1.4204939393939395E-2</c:v>
                </c:pt>
                <c:pt idx="2">
                  <c:v>1.4204939393939395E-2</c:v>
                </c:pt>
                <c:pt idx="3">
                  <c:v>1.4204939393939395E-2</c:v>
                </c:pt>
                <c:pt idx="4">
                  <c:v>1.4204939393939395E-2</c:v>
                </c:pt>
                <c:pt idx="5">
                  <c:v>1.4204939393939395E-2</c:v>
                </c:pt>
                <c:pt idx="6">
                  <c:v>1.4204939393939395E-2</c:v>
                </c:pt>
                <c:pt idx="7">
                  <c:v>1.4204939393939395E-2</c:v>
                </c:pt>
                <c:pt idx="8">
                  <c:v>1.4204939393939395E-2</c:v>
                </c:pt>
                <c:pt idx="9">
                  <c:v>1.4204939393939395E-2</c:v>
                </c:pt>
                <c:pt idx="10">
                  <c:v>1.4204939393939395E-2</c:v>
                </c:pt>
                <c:pt idx="11">
                  <c:v>1.4204939393939395E-2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C85-CE48-BE47-78CD2F91B7C5}"/>
            </c:ext>
          </c:extLst>
        </c:ser>
        <c:ser>
          <c:idx val="4"/>
          <c:order val="4"/>
          <c:tx>
            <c:strRef>
              <c:f>'Unemployment Rate 2013-2024XmR '!$O$1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Pt>
            <c:idx val="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7-CC85-CE48-BE47-78CD2F91B7C5}"/>
              </c:ext>
            </c:extLst>
          </c:dPt>
          <c:dPt>
            <c:idx val="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9-CC85-CE48-BE47-78CD2F91B7C5}"/>
              </c:ext>
            </c:extLst>
          </c:dPt>
          <c:dPt>
            <c:idx val="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B-CC85-CE48-BE47-78CD2F91B7C5}"/>
              </c:ext>
            </c:extLst>
          </c:dPt>
          <c:dPt>
            <c:idx val="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D-CC85-CE48-BE47-78CD2F91B7C5}"/>
              </c:ext>
            </c:extLst>
          </c:dPt>
          <c:dPt>
            <c:idx val="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F-CC85-CE48-BE47-78CD2F91B7C5}"/>
              </c:ext>
            </c:extLst>
          </c:dPt>
          <c:dPt>
            <c:idx val="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1-CC85-CE48-BE47-78CD2F91B7C5}"/>
              </c:ext>
            </c:extLst>
          </c:dPt>
          <c:dPt>
            <c:idx val="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3-CC85-CE48-BE47-78CD2F91B7C5}"/>
              </c:ext>
            </c:extLst>
          </c:dPt>
          <c:dPt>
            <c:idx val="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5-CC85-CE48-BE47-78CD2F91B7C5}"/>
              </c:ext>
            </c:extLst>
          </c:dPt>
          <c:dPt>
            <c:idx val="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7-CC85-CE48-BE47-78CD2F91B7C5}"/>
              </c:ext>
            </c:extLst>
          </c:dPt>
          <c:dPt>
            <c:idx val="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9-CC85-CE48-BE47-78CD2F91B7C5}"/>
              </c:ext>
            </c:extLst>
          </c:dPt>
          <c:dPt>
            <c:idx val="1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B-CC85-CE48-BE47-78CD2F91B7C5}"/>
              </c:ext>
            </c:extLst>
          </c:dPt>
          <c:dPt>
            <c:idx val="1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D-CC85-CE48-BE47-78CD2F91B7C5}"/>
              </c:ext>
            </c:extLst>
          </c:dPt>
          <c:dLbls>
            <c:dLbl>
              <c:idx val="1"/>
              <c:layout>
                <c:manualLayout>
                  <c:x val="-1.4638026388327476E-2"/>
                  <c:y val="-2.0175437342319972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%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CC85-CE48-BE47-78CD2F91B7C5}"/>
                </c:ext>
              </c:extLst>
            </c:dLbl>
            <c:dLbl>
              <c:idx val="10"/>
              <c:layout>
                <c:manualLayout>
                  <c:x val="-1.4638026388327476E-2"/>
                  <c:y val="-2.0175437342319972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CC85-CE48-BE47-78CD2F91B7C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'Unemployment Rate 2013-2024XmR '!$A$2:$A$13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'Unemployment Rate 2013-2024XmR '!$O$2:$O$13</c:f>
              <c:numCache>
                <c:formatCode>0.0%</c:formatCode>
                <c:ptCount val="12"/>
                <c:pt idx="0">
                  <c:v>8.0909090909090913E-3</c:v>
                </c:pt>
                <c:pt idx="1">
                  <c:v>8.0909090909090913E-3</c:v>
                </c:pt>
                <c:pt idx="2">
                  <c:v>8.0909090909090913E-3</c:v>
                </c:pt>
                <c:pt idx="3">
                  <c:v>8.0909090909090913E-3</c:v>
                </c:pt>
                <c:pt idx="4">
                  <c:v>8.0909090909090913E-3</c:v>
                </c:pt>
                <c:pt idx="5">
                  <c:v>8.0909090909090913E-3</c:v>
                </c:pt>
                <c:pt idx="6">
                  <c:v>8.0909090909090913E-3</c:v>
                </c:pt>
                <c:pt idx="7">
                  <c:v>8.0909090909090913E-3</c:v>
                </c:pt>
                <c:pt idx="8">
                  <c:v>8.0909090909090913E-3</c:v>
                </c:pt>
                <c:pt idx="9">
                  <c:v>8.0909090909090913E-3</c:v>
                </c:pt>
                <c:pt idx="10">
                  <c:v>8.0909090909090913E-3</c:v>
                </c:pt>
                <c:pt idx="11">
                  <c:v>8.0909090909090913E-3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CC85-CE48-BE47-78CD2F91B7C5}"/>
            </c:ext>
          </c:extLst>
        </c:ser>
        <c:ser>
          <c:idx val="5"/>
          <c:order val="5"/>
          <c:tx>
            <c:strRef>
              <c:f>'Unemployment Rate 2013-2024XmR '!$P$1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'Unemployment Rate 2013-2024XmR '!$A$2:$A$13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'Unemployment Rate 2013-2024XmR '!$P$2:$P$13</c:f>
              <c:numCache>
                <c:formatCode>0.0%</c:formatCode>
                <c:ptCount val="12"/>
                <c:pt idx="1">
                  <c:v>1.9768787878787879E-3</c:v>
                </c:pt>
                <c:pt idx="2">
                  <c:v>1.9768787878787879E-3</c:v>
                </c:pt>
                <c:pt idx="3">
                  <c:v>1.9768787878787879E-3</c:v>
                </c:pt>
                <c:pt idx="4">
                  <c:v>1.9768787878787879E-3</c:v>
                </c:pt>
                <c:pt idx="5">
                  <c:v>1.9768787878787879E-3</c:v>
                </c:pt>
                <c:pt idx="6">
                  <c:v>1.9768787878787879E-3</c:v>
                </c:pt>
                <c:pt idx="7">
                  <c:v>1.9768787878787879E-3</c:v>
                </c:pt>
                <c:pt idx="8">
                  <c:v>1.9768787878787879E-3</c:v>
                </c:pt>
                <c:pt idx="9">
                  <c:v>1.9768787878787879E-3</c:v>
                </c:pt>
                <c:pt idx="10">
                  <c:v>1.9768787878787879E-3</c:v>
                </c:pt>
                <c:pt idx="11">
                  <c:v>1.9768787878787879E-3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CC85-CE48-BE47-78CD2F91B7C5}"/>
            </c:ext>
          </c:extLst>
        </c:ser>
        <c:ser>
          <c:idx val="6"/>
          <c:order val="6"/>
          <c:tx>
            <c:strRef>
              <c:f>'Unemployment Rate 2013-2024XmR '!$Q$1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'Unemployment Rate 2013-2024XmR '!$A$2:$A$13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'Unemployment Rate 2013-2024XmR '!$Q$2:$Q$13</c:f>
              <c:numCache>
                <c:formatCode>0.0%</c:formatCode>
                <c:ptCount val="12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CC85-CE48-BE47-78CD2F91B7C5}"/>
            </c:ext>
          </c:extLst>
        </c:ser>
        <c:ser>
          <c:idx val="7"/>
          <c:order val="7"/>
          <c:tx>
            <c:strRef>
              <c:f>'Unemployment Rate 2013-2024XmR '!$R$1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cat>
            <c:numRef>
              <c:f>'Unemployment Rate 2013-2024XmR '!$A$2:$A$13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'Unemployment Rate 2013-2024XmR '!$R$2:$R$13</c:f>
              <c:numCache>
                <c:formatCode>0.0%</c:formatCode>
                <c:ptCount val="12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CC85-CE48-BE47-78CD2F91B7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6893600"/>
        <c:axId val="866895312"/>
      </c:lineChart>
      <c:catAx>
        <c:axId val="8668936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Fiscal 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66895312"/>
        <c:crosses val="autoZero"/>
        <c:auto val="0"/>
        <c:lblAlgn val="ctr"/>
        <c:lblOffset val="100"/>
        <c:noMultiLvlLbl val="0"/>
      </c:catAx>
      <c:valAx>
        <c:axId val="8668953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 +mn-lt"/>
                  </a:rPr>
                  <a:t>Range</a:t>
                </a:r>
              </a:p>
            </c:rich>
          </c:tx>
          <c:overlay val="0"/>
        </c:title>
        <c:numFmt formatCode="0.0%" sourceLinked="1"/>
        <c:majorTickMark val="out"/>
        <c:minorTickMark val="none"/>
        <c:tickLblPos val="nextTo"/>
        <c:crossAx val="866893600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>
                <a:solidFill>
                  <a:srgbClr val="000000"/>
                </a:solidFill>
                <a:latin typeface=" +mn-lt"/>
              </a:rPr>
              <a:t>Expectation Chart</a:t>
            </a:r>
          </a:p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>
                <a:solidFill>
                  <a:srgbClr val="000000"/>
                </a:solidFill>
                <a:latin typeface=" +mn-lt"/>
              </a:rPr>
              <a:t>Schertz Unemployment Rate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'Unemployment Rate 2013-2024XmR '!$B$1</c:f>
              <c:strCache>
                <c:ptCount val="1"/>
                <c:pt idx="0">
                  <c:v>Unemployment
Rate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cat>
            <c:numRef>
              <c:f>'Unemployment Rate 2013-2024XmR '!$A$2:$A$13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'Unemployment Rate 2013-2024XmR '!$B$2:$B$13</c:f>
              <c:numCache>
                <c:formatCode>0.0%</c:formatCode>
                <c:ptCount val="12"/>
                <c:pt idx="0">
                  <c:v>5.5E-2</c:v>
                </c:pt>
                <c:pt idx="1">
                  <c:v>5.0999999999999997E-2</c:v>
                </c:pt>
                <c:pt idx="2">
                  <c:v>3.2000000000000001E-2</c:v>
                </c:pt>
                <c:pt idx="3">
                  <c:v>3.4000000000000002E-2</c:v>
                </c:pt>
                <c:pt idx="4">
                  <c:v>3.7999999999999999E-2</c:v>
                </c:pt>
                <c:pt idx="5">
                  <c:v>3.2000000000000001E-2</c:v>
                </c:pt>
                <c:pt idx="6">
                  <c:v>2.7E-2</c:v>
                </c:pt>
                <c:pt idx="7">
                  <c:v>5.0999999999999997E-2</c:v>
                </c:pt>
                <c:pt idx="8">
                  <c:v>3.9E-2</c:v>
                </c:pt>
                <c:pt idx="9">
                  <c:v>3.3000000000000002E-2</c:v>
                </c:pt>
                <c:pt idx="10">
                  <c:v>3.5999999999999997E-2</c:v>
                </c:pt>
                <c:pt idx="11">
                  <c:v>3.2000000000000001E-2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49-7445-9A0B-F7DAC3B8082C}"/>
            </c:ext>
          </c:extLst>
        </c:ser>
        <c:ser>
          <c:idx val="1"/>
          <c:order val="1"/>
          <c:tx>
            <c:strRef>
              <c:f>'Unemployment Rate 2013-2024XmR '!$C$1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504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%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B049-7445-9A0B-F7DAC3B8082C}"/>
                </c:ext>
              </c:extLst>
            </c:dLbl>
            <c:dLbl>
              <c:idx val="10"/>
              <c:layout>
                <c:manualLayout>
                  <c:x val="-1.4638026388327369E-2"/>
                  <c:y val="-2.0175437342319823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049-7445-9A0B-F7DAC3B8082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'Unemployment Rate 2013-2024XmR '!$A$2:$A$13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'Unemployment Rate 2013-2024XmR '!$C$2:$C$13</c:f>
              <c:numCache>
                <c:formatCode>0.0%</c:formatCode>
                <c:ptCount val="12"/>
                <c:pt idx="0">
                  <c:v>5.9855151515151514E-2</c:v>
                </c:pt>
                <c:pt idx="1">
                  <c:v>5.9855151515151514E-2</c:v>
                </c:pt>
                <c:pt idx="2">
                  <c:v>5.9855151515151514E-2</c:v>
                </c:pt>
                <c:pt idx="3">
                  <c:v>5.9855151515151514E-2</c:v>
                </c:pt>
                <c:pt idx="4">
                  <c:v>5.9855151515151514E-2</c:v>
                </c:pt>
                <c:pt idx="5">
                  <c:v>5.9855151515151514E-2</c:v>
                </c:pt>
                <c:pt idx="6">
                  <c:v>5.9855151515151514E-2</c:v>
                </c:pt>
                <c:pt idx="7">
                  <c:v>5.9855151515151514E-2</c:v>
                </c:pt>
                <c:pt idx="8">
                  <c:v>5.9855151515151514E-2</c:v>
                </c:pt>
                <c:pt idx="9">
                  <c:v>5.9855151515151514E-2</c:v>
                </c:pt>
                <c:pt idx="10">
                  <c:v>5.9855151515151514E-2</c:v>
                </c:pt>
                <c:pt idx="11">
                  <c:v>5.9855151515151514E-2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49-7445-9A0B-F7DAC3B8082C}"/>
            </c:ext>
          </c:extLst>
        </c:ser>
        <c:ser>
          <c:idx val="2"/>
          <c:order val="2"/>
          <c:tx>
            <c:strRef>
              <c:f>'Unemployment Rate 2013-2024XmR '!$D$1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'Unemployment Rate 2013-2024XmR '!$A$2:$A$13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'Unemployment Rate 2013-2024XmR '!$D$2:$D$13</c:f>
              <c:numCache>
                <c:formatCode>0.0%</c:formatCode>
                <c:ptCount val="12"/>
                <c:pt idx="0">
                  <c:v>5.2681212121212122E-2</c:v>
                </c:pt>
                <c:pt idx="1">
                  <c:v>5.2681212121212122E-2</c:v>
                </c:pt>
                <c:pt idx="2">
                  <c:v>5.2681212121212122E-2</c:v>
                </c:pt>
                <c:pt idx="3">
                  <c:v>5.2681212121212122E-2</c:v>
                </c:pt>
                <c:pt idx="4">
                  <c:v>5.2681212121212122E-2</c:v>
                </c:pt>
                <c:pt idx="5">
                  <c:v>5.2681212121212122E-2</c:v>
                </c:pt>
                <c:pt idx="6">
                  <c:v>5.2681212121212122E-2</c:v>
                </c:pt>
                <c:pt idx="7">
                  <c:v>5.2681212121212122E-2</c:v>
                </c:pt>
                <c:pt idx="8">
                  <c:v>5.2681212121212122E-2</c:v>
                </c:pt>
                <c:pt idx="9">
                  <c:v>5.2681212121212122E-2</c:v>
                </c:pt>
                <c:pt idx="10">
                  <c:v>5.2681212121212122E-2</c:v>
                </c:pt>
                <c:pt idx="11">
                  <c:v>5.2681212121212122E-2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49-7445-9A0B-F7DAC3B8082C}"/>
            </c:ext>
          </c:extLst>
        </c:ser>
        <c:ser>
          <c:idx val="3"/>
          <c:order val="3"/>
          <c:tx>
            <c:strRef>
              <c:f>'Unemployment Rate 2013-2024XmR '!$E$1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'Unemployment Rate 2013-2024XmR '!$A$2:$A$13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'Unemployment Rate 2013-2024XmR '!$E$2:$E$13</c:f>
              <c:numCache>
                <c:formatCode>0.0%</c:formatCode>
                <c:ptCount val="12"/>
                <c:pt idx="0">
                  <c:v>4.5507272727272723E-2</c:v>
                </c:pt>
                <c:pt idx="1">
                  <c:v>4.5507272727272723E-2</c:v>
                </c:pt>
                <c:pt idx="2">
                  <c:v>4.5507272727272723E-2</c:v>
                </c:pt>
                <c:pt idx="3">
                  <c:v>4.5507272727272723E-2</c:v>
                </c:pt>
                <c:pt idx="4">
                  <c:v>4.5507272727272723E-2</c:v>
                </c:pt>
                <c:pt idx="5">
                  <c:v>4.5507272727272723E-2</c:v>
                </c:pt>
                <c:pt idx="6">
                  <c:v>4.5507272727272723E-2</c:v>
                </c:pt>
                <c:pt idx="7">
                  <c:v>4.5507272727272723E-2</c:v>
                </c:pt>
                <c:pt idx="8">
                  <c:v>4.5507272727272723E-2</c:v>
                </c:pt>
                <c:pt idx="9">
                  <c:v>4.5507272727272723E-2</c:v>
                </c:pt>
                <c:pt idx="10">
                  <c:v>4.5507272727272723E-2</c:v>
                </c:pt>
                <c:pt idx="11">
                  <c:v>4.5507272727272723E-2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049-7445-9A0B-F7DAC3B8082C}"/>
            </c:ext>
          </c:extLst>
        </c:ser>
        <c:ser>
          <c:idx val="4"/>
          <c:order val="4"/>
          <c:tx>
            <c:strRef>
              <c:f>'Unemployment Rate 2013-2024XmR '!$F$1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Pt>
            <c:idx val="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7-B049-7445-9A0B-F7DAC3B8082C}"/>
              </c:ext>
            </c:extLst>
          </c:dPt>
          <c:dPt>
            <c:idx val="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9-B049-7445-9A0B-F7DAC3B8082C}"/>
              </c:ext>
            </c:extLst>
          </c:dPt>
          <c:dPt>
            <c:idx val="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B-B049-7445-9A0B-F7DAC3B8082C}"/>
              </c:ext>
            </c:extLst>
          </c:dPt>
          <c:dPt>
            <c:idx val="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D-B049-7445-9A0B-F7DAC3B8082C}"/>
              </c:ext>
            </c:extLst>
          </c:dPt>
          <c:dPt>
            <c:idx val="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F-B049-7445-9A0B-F7DAC3B8082C}"/>
              </c:ext>
            </c:extLst>
          </c:dPt>
          <c:dPt>
            <c:idx val="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1-B049-7445-9A0B-F7DAC3B8082C}"/>
              </c:ext>
            </c:extLst>
          </c:dPt>
          <c:dPt>
            <c:idx val="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3-B049-7445-9A0B-F7DAC3B8082C}"/>
              </c:ext>
            </c:extLst>
          </c:dPt>
          <c:dPt>
            <c:idx val="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5-B049-7445-9A0B-F7DAC3B8082C}"/>
              </c:ext>
            </c:extLst>
          </c:dPt>
          <c:dPt>
            <c:idx val="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7-B049-7445-9A0B-F7DAC3B8082C}"/>
              </c:ext>
            </c:extLst>
          </c:dPt>
          <c:dPt>
            <c:idx val="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9-B049-7445-9A0B-F7DAC3B8082C}"/>
              </c:ext>
            </c:extLst>
          </c:dPt>
          <c:dPt>
            <c:idx val="1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B-B049-7445-9A0B-F7DAC3B8082C}"/>
              </c:ext>
            </c:extLst>
          </c:dPt>
          <c:dPt>
            <c:idx val="1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D-B049-7445-9A0B-F7DAC3B8082C}"/>
              </c:ext>
            </c:extLst>
          </c:dPt>
          <c:dLbls>
            <c:dLbl>
              <c:idx val="1"/>
              <c:layout>
                <c:manualLayout>
                  <c:x val="-1.4638026388327504E-2"/>
                  <c:y val="-2.0175437342319896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%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B049-7445-9A0B-F7DAC3B8082C}"/>
                </c:ext>
              </c:extLst>
            </c:dLbl>
            <c:dLbl>
              <c:idx val="10"/>
              <c:layout>
                <c:manualLayout>
                  <c:x val="-1.4638026388327369E-2"/>
                  <c:y val="-2.0175437342319896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B049-7445-9A0B-F7DAC3B8082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'Unemployment Rate 2013-2024XmR '!$A$2:$A$13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'Unemployment Rate 2013-2024XmR '!$F$2:$F$13</c:f>
              <c:numCache>
                <c:formatCode>0.0%</c:formatCode>
                <c:ptCount val="12"/>
                <c:pt idx="0">
                  <c:v>3.833333333333333E-2</c:v>
                </c:pt>
                <c:pt idx="1">
                  <c:v>3.833333333333333E-2</c:v>
                </c:pt>
                <c:pt idx="2">
                  <c:v>3.833333333333333E-2</c:v>
                </c:pt>
                <c:pt idx="3">
                  <c:v>3.833333333333333E-2</c:v>
                </c:pt>
                <c:pt idx="4">
                  <c:v>3.833333333333333E-2</c:v>
                </c:pt>
                <c:pt idx="5">
                  <c:v>3.833333333333333E-2</c:v>
                </c:pt>
                <c:pt idx="6">
                  <c:v>3.833333333333333E-2</c:v>
                </c:pt>
                <c:pt idx="7">
                  <c:v>3.833333333333333E-2</c:v>
                </c:pt>
                <c:pt idx="8">
                  <c:v>3.833333333333333E-2</c:v>
                </c:pt>
                <c:pt idx="9">
                  <c:v>3.833333333333333E-2</c:v>
                </c:pt>
                <c:pt idx="10">
                  <c:v>3.833333333333333E-2</c:v>
                </c:pt>
                <c:pt idx="11">
                  <c:v>3.833333333333333E-2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B049-7445-9A0B-F7DAC3B8082C}"/>
            </c:ext>
          </c:extLst>
        </c:ser>
        <c:ser>
          <c:idx val="5"/>
          <c:order val="5"/>
          <c:tx>
            <c:strRef>
              <c:f>'Unemployment Rate 2013-2024XmR '!$G$1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'Unemployment Rate 2013-2024XmR '!$A$2:$A$13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'Unemployment Rate 2013-2024XmR '!$G$2:$G$13</c:f>
              <c:numCache>
                <c:formatCode>0.0%</c:formatCode>
                <c:ptCount val="12"/>
                <c:pt idx="0">
                  <c:v>3.1159393939393935E-2</c:v>
                </c:pt>
                <c:pt idx="1">
                  <c:v>3.1159393939393935E-2</c:v>
                </c:pt>
                <c:pt idx="2">
                  <c:v>3.1159393939393935E-2</c:v>
                </c:pt>
                <c:pt idx="3">
                  <c:v>3.1159393939393935E-2</c:v>
                </c:pt>
                <c:pt idx="4">
                  <c:v>3.1159393939393935E-2</c:v>
                </c:pt>
                <c:pt idx="5">
                  <c:v>3.1159393939393935E-2</c:v>
                </c:pt>
                <c:pt idx="6">
                  <c:v>3.1159393939393935E-2</c:v>
                </c:pt>
                <c:pt idx="7">
                  <c:v>3.1159393939393935E-2</c:v>
                </c:pt>
                <c:pt idx="8">
                  <c:v>3.1159393939393935E-2</c:v>
                </c:pt>
                <c:pt idx="9">
                  <c:v>3.1159393939393935E-2</c:v>
                </c:pt>
                <c:pt idx="10">
                  <c:v>3.1159393939393935E-2</c:v>
                </c:pt>
                <c:pt idx="11">
                  <c:v>3.1159393939393935E-2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B049-7445-9A0B-F7DAC3B8082C}"/>
            </c:ext>
          </c:extLst>
        </c:ser>
        <c:ser>
          <c:idx val="6"/>
          <c:order val="6"/>
          <c:tx>
            <c:strRef>
              <c:f>'Unemployment Rate 2013-2024XmR '!$H$1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'Unemployment Rate 2013-2024XmR '!$A$2:$A$13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'Unemployment Rate 2013-2024XmR '!$H$2:$H$13</c:f>
              <c:numCache>
                <c:formatCode>0.0%</c:formatCode>
                <c:ptCount val="12"/>
                <c:pt idx="0">
                  <c:v>2.3985454545454539E-2</c:v>
                </c:pt>
                <c:pt idx="1">
                  <c:v>2.3985454545454539E-2</c:v>
                </c:pt>
                <c:pt idx="2">
                  <c:v>2.3985454545454539E-2</c:v>
                </c:pt>
                <c:pt idx="3">
                  <c:v>2.3985454545454539E-2</c:v>
                </c:pt>
                <c:pt idx="4">
                  <c:v>2.3985454545454539E-2</c:v>
                </c:pt>
                <c:pt idx="5">
                  <c:v>2.3985454545454539E-2</c:v>
                </c:pt>
                <c:pt idx="6">
                  <c:v>2.3985454545454539E-2</c:v>
                </c:pt>
                <c:pt idx="7">
                  <c:v>2.3985454545454539E-2</c:v>
                </c:pt>
                <c:pt idx="8">
                  <c:v>2.3985454545454539E-2</c:v>
                </c:pt>
                <c:pt idx="9">
                  <c:v>2.3985454545454539E-2</c:v>
                </c:pt>
                <c:pt idx="10">
                  <c:v>2.3985454545454539E-2</c:v>
                </c:pt>
                <c:pt idx="11">
                  <c:v>2.3985454545454539E-2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B049-7445-9A0B-F7DAC3B8082C}"/>
            </c:ext>
          </c:extLst>
        </c:ser>
        <c:ser>
          <c:idx val="7"/>
          <c:order val="7"/>
          <c:tx>
            <c:strRef>
              <c:f>'Unemployment Rate 2013-2024XmR '!$I$1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504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LCL</a:t>
                    </a:r>
                  </a:p>
                </c:rich>
              </c:tx>
              <c:numFmt formatCode="0.0%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1-B049-7445-9A0B-F7DAC3B8082C}"/>
                </c:ext>
              </c:extLst>
            </c:dLbl>
            <c:dLbl>
              <c:idx val="10"/>
              <c:layout>
                <c:manualLayout>
                  <c:x val="-1.4638026388327369E-2"/>
                  <c:y val="-2.0175437342319823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B049-7445-9A0B-F7DAC3B8082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'Unemployment Rate 2013-2024XmR '!$A$2:$A$13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'Unemployment Rate 2013-2024XmR '!$I$2:$I$13</c:f>
              <c:numCache>
                <c:formatCode>0.0%</c:formatCode>
                <c:ptCount val="12"/>
                <c:pt idx="0">
                  <c:v>1.6811515151515147E-2</c:v>
                </c:pt>
                <c:pt idx="1">
                  <c:v>1.6811515151515147E-2</c:v>
                </c:pt>
                <c:pt idx="2">
                  <c:v>1.6811515151515147E-2</c:v>
                </c:pt>
                <c:pt idx="3">
                  <c:v>1.6811515151515147E-2</c:v>
                </c:pt>
                <c:pt idx="4">
                  <c:v>1.6811515151515147E-2</c:v>
                </c:pt>
                <c:pt idx="5">
                  <c:v>1.6811515151515147E-2</c:v>
                </c:pt>
                <c:pt idx="6">
                  <c:v>1.6811515151515147E-2</c:v>
                </c:pt>
                <c:pt idx="7">
                  <c:v>1.6811515151515147E-2</c:v>
                </c:pt>
                <c:pt idx="8">
                  <c:v>1.6811515151515147E-2</c:v>
                </c:pt>
                <c:pt idx="9">
                  <c:v>1.6811515151515147E-2</c:v>
                </c:pt>
                <c:pt idx="10">
                  <c:v>1.6811515151515147E-2</c:v>
                </c:pt>
                <c:pt idx="11">
                  <c:v>1.6811515151515147E-2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B049-7445-9A0B-F7DAC3B808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0541264"/>
        <c:axId val="870542976"/>
      </c:lineChart>
      <c:catAx>
        <c:axId val="8705412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Fiscal 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70542976"/>
        <c:crosses val="autoZero"/>
        <c:auto val="0"/>
        <c:lblAlgn val="ctr"/>
        <c:lblOffset val="100"/>
        <c:noMultiLvlLbl val="0"/>
      </c:catAx>
      <c:valAx>
        <c:axId val="870542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 +mn-lt"/>
                  </a:rPr>
                  <a:t>Demographics Last 10yr Modified Unemployment
Rate</a:t>
                </a:r>
              </a:p>
            </c:rich>
          </c:tx>
          <c:overlay val="0"/>
        </c:title>
        <c:numFmt formatCode="0.0%" sourceLinked="1"/>
        <c:majorTickMark val="out"/>
        <c:minorTickMark val="none"/>
        <c:tickLblPos val="nextTo"/>
        <c:crossAx val="870541264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>
                <a:solidFill>
                  <a:srgbClr val="000000"/>
                </a:solidFill>
                <a:latin typeface=" +mn-lt"/>
              </a:rPr>
              <a:t>Schertz Population - R Chart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'Pop Growth 2013-2024 Trend XmR'!$K$1</c:f>
              <c:strCache>
                <c:ptCount val="1"/>
                <c:pt idx="0">
                  <c:v> Range 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cat>
            <c:numRef>
              <c:f>'Pop Growth 2013-2024 Trend XmR'!$A$2:$A$13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'Pop Growth 2013-2024 Trend XmR'!$K$2:$K$13</c:f>
              <c:numCache>
                <c:formatCode>_(* #,##0_);_(* \(#,##0\);_(* "-"_);_(@_)</c:formatCode>
                <c:ptCount val="12"/>
                <c:pt idx="1">
                  <c:v>548</c:v>
                </c:pt>
                <c:pt idx="2">
                  <c:v>1388</c:v>
                </c:pt>
                <c:pt idx="3">
                  <c:v>73</c:v>
                </c:pt>
                <c:pt idx="4">
                  <c:v>1515</c:v>
                </c:pt>
                <c:pt idx="5">
                  <c:v>1729</c:v>
                </c:pt>
                <c:pt idx="6">
                  <c:v>766</c:v>
                </c:pt>
                <c:pt idx="7">
                  <c:v>52</c:v>
                </c:pt>
                <c:pt idx="8">
                  <c:v>1683.3333333333285</c:v>
                </c:pt>
                <c:pt idx="9">
                  <c:v>336.66666666666424</c:v>
                </c:pt>
                <c:pt idx="10">
                  <c:v>336.66666666666424</c:v>
                </c:pt>
                <c:pt idx="11">
                  <c:v>229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64-F248-868A-E6C6B5FDBB0A}"/>
            </c:ext>
          </c:extLst>
        </c:ser>
        <c:ser>
          <c:idx val="1"/>
          <c:order val="1"/>
          <c:tx>
            <c:strRef>
              <c:f>'Pop Growth 2013-2024 Trend XmR'!$L$1</c:f>
              <c:strCache>
                <c:ptCount val="1"/>
                <c:pt idx="0">
                  <c:v> UCL 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476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6F64-F248-868A-E6C6B5FDBB0A}"/>
                </c:ext>
              </c:extLst>
            </c:dLbl>
            <c:dLbl>
              <c:idx val="10"/>
              <c:layout>
                <c:manualLayout>
                  <c:x val="-1.4638026388327476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F64-F248-868A-E6C6B5FDBB0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'Pop Growth 2013-2024 Trend XmR'!$A$2:$A$13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'Pop Growth 2013-2024 Trend XmR'!$L$2:$L$13</c:f>
              <c:numCache>
                <c:formatCode>_(* #,##0_);_(* \(#,##0\);_(* "-"_);_(@_)</c:formatCode>
                <c:ptCount val="12"/>
                <c:pt idx="1">
                  <c:v>2571.029999999997</c:v>
                </c:pt>
                <c:pt idx="2">
                  <c:v>2571.029999999997</c:v>
                </c:pt>
                <c:pt idx="3">
                  <c:v>2571.029999999997</c:v>
                </c:pt>
                <c:pt idx="4">
                  <c:v>2571.029999999997</c:v>
                </c:pt>
                <c:pt idx="5">
                  <c:v>2571.029999999997</c:v>
                </c:pt>
                <c:pt idx="6">
                  <c:v>2571.029999999997</c:v>
                </c:pt>
                <c:pt idx="7">
                  <c:v>2571.029999999997</c:v>
                </c:pt>
                <c:pt idx="8">
                  <c:v>2571.029999999997</c:v>
                </c:pt>
                <c:pt idx="9">
                  <c:v>2571.029999999997</c:v>
                </c:pt>
                <c:pt idx="10">
                  <c:v>2571.029999999997</c:v>
                </c:pt>
                <c:pt idx="11">
                  <c:v>2571.029999999997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F64-F248-868A-E6C6B5FDBB0A}"/>
            </c:ext>
          </c:extLst>
        </c:ser>
        <c:ser>
          <c:idx val="2"/>
          <c:order val="2"/>
          <c:tx>
            <c:strRef>
              <c:f>'Pop Growth 2013-2024 Trend XmR'!$M$1</c:f>
              <c:strCache>
                <c:ptCount val="1"/>
                <c:pt idx="0">
                  <c:v>  +2 Sigma 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'Pop Growth 2013-2024 Trend XmR'!$A$2:$A$13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'Pop Growth 2013-2024 Trend XmR'!$M$2:$M$13</c:f>
              <c:numCache>
                <c:formatCode>_(* #,##0_);_(* \(#,##0\);_(* "-"_);_(@_)</c:formatCode>
                <c:ptCount val="12"/>
                <c:pt idx="1">
                  <c:v>1976.34323232323</c:v>
                </c:pt>
                <c:pt idx="2">
                  <c:v>1976.34323232323</c:v>
                </c:pt>
                <c:pt idx="3">
                  <c:v>1976.34323232323</c:v>
                </c:pt>
                <c:pt idx="4">
                  <c:v>1976.34323232323</c:v>
                </c:pt>
                <c:pt idx="5">
                  <c:v>1976.34323232323</c:v>
                </c:pt>
                <c:pt idx="6">
                  <c:v>1976.34323232323</c:v>
                </c:pt>
                <c:pt idx="7">
                  <c:v>1976.34323232323</c:v>
                </c:pt>
                <c:pt idx="8">
                  <c:v>1976.34323232323</c:v>
                </c:pt>
                <c:pt idx="9">
                  <c:v>1976.34323232323</c:v>
                </c:pt>
                <c:pt idx="10">
                  <c:v>1976.34323232323</c:v>
                </c:pt>
                <c:pt idx="11">
                  <c:v>1976.34323232323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F64-F248-868A-E6C6B5FDBB0A}"/>
            </c:ext>
          </c:extLst>
        </c:ser>
        <c:ser>
          <c:idx val="3"/>
          <c:order val="3"/>
          <c:tx>
            <c:strRef>
              <c:f>'Pop Growth 2013-2024 Trend XmR'!$N$1</c:f>
              <c:strCache>
                <c:ptCount val="1"/>
                <c:pt idx="0">
                  <c:v>  +1 Sigma 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'Pop Growth 2013-2024 Trend XmR'!$A$2:$A$13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'Pop Growth 2013-2024 Trend XmR'!$N$2:$N$13</c:f>
              <c:numCache>
                <c:formatCode>_(* #,##0_);_(* \(#,##0\);_(* "-"_);_(@_)</c:formatCode>
                <c:ptCount val="12"/>
                <c:pt idx="1">
                  <c:v>1381.6564646464631</c:v>
                </c:pt>
                <c:pt idx="2">
                  <c:v>1381.6564646464631</c:v>
                </c:pt>
                <c:pt idx="3">
                  <c:v>1381.6564646464631</c:v>
                </c:pt>
                <c:pt idx="4">
                  <c:v>1381.6564646464631</c:v>
                </c:pt>
                <c:pt idx="5">
                  <c:v>1381.6564646464631</c:v>
                </c:pt>
                <c:pt idx="6">
                  <c:v>1381.6564646464631</c:v>
                </c:pt>
                <c:pt idx="7">
                  <c:v>1381.6564646464631</c:v>
                </c:pt>
                <c:pt idx="8">
                  <c:v>1381.6564646464631</c:v>
                </c:pt>
                <c:pt idx="9">
                  <c:v>1381.6564646464631</c:v>
                </c:pt>
                <c:pt idx="10">
                  <c:v>1381.6564646464631</c:v>
                </c:pt>
                <c:pt idx="11">
                  <c:v>1381.6564646464631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F64-F248-868A-E6C6B5FDBB0A}"/>
            </c:ext>
          </c:extLst>
        </c:ser>
        <c:ser>
          <c:idx val="4"/>
          <c:order val="4"/>
          <c:tx>
            <c:strRef>
              <c:f>'Pop Growth 2013-2024 Trend XmR'!$O$1</c:f>
              <c:strCache>
                <c:ptCount val="1"/>
                <c:pt idx="0">
                  <c:v> Average 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Pt>
            <c:idx val="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7-6F64-F248-868A-E6C6B5FDBB0A}"/>
              </c:ext>
            </c:extLst>
          </c:dPt>
          <c:dPt>
            <c:idx val="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9-6F64-F248-868A-E6C6B5FDBB0A}"/>
              </c:ext>
            </c:extLst>
          </c:dPt>
          <c:dPt>
            <c:idx val="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B-6F64-F248-868A-E6C6B5FDBB0A}"/>
              </c:ext>
            </c:extLst>
          </c:dPt>
          <c:dPt>
            <c:idx val="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D-6F64-F248-868A-E6C6B5FDBB0A}"/>
              </c:ext>
            </c:extLst>
          </c:dPt>
          <c:dPt>
            <c:idx val="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F-6F64-F248-868A-E6C6B5FDBB0A}"/>
              </c:ext>
            </c:extLst>
          </c:dPt>
          <c:dPt>
            <c:idx val="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1-6F64-F248-868A-E6C6B5FDBB0A}"/>
              </c:ext>
            </c:extLst>
          </c:dPt>
          <c:dPt>
            <c:idx val="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3-6F64-F248-868A-E6C6B5FDBB0A}"/>
              </c:ext>
            </c:extLst>
          </c:dPt>
          <c:dPt>
            <c:idx val="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5-6F64-F248-868A-E6C6B5FDBB0A}"/>
              </c:ext>
            </c:extLst>
          </c:dPt>
          <c:dPt>
            <c:idx val="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7-6F64-F248-868A-E6C6B5FDBB0A}"/>
              </c:ext>
            </c:extLst>
          </c:dPt>
          <c:dPt>
            <c:idx val="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9-6F64-F248-868A-E6C6B5FDBB0A}"/>
              </c:ext>
            </c:extLst>
          </c:dPt>
          <c:dPt>
            <c:idx val="1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B-6F64-F248-868A-E6C6B5FDBB0A}"/>
              </c:ext>
            </c:extLst>
          </c:dPt>
          <c:dPt>
            <c:idx val="1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D-6F64-F248-868A-E6C6B5FDBB0A}"/>
              </c:ext>
            </c:extLst>
          </c:dPt>
          <c:dLbls>
            <c:dLbl>
              <c:idx val="1"/>
              <c:layout>
                <c:manualLayout>
                  <c:x val="-1.4638026388327476E-2"/>
                  <c:y val="-2.0175437342319896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6F64-F248-868A-E6C6B5FDBB0A}"/>
                </c:ext>
              </c:extLst>
            </c:dLbl>
            <c:dLbl>
              <c:idx val="10"/>
              <c:layout>
                <c:manualLayout>
                  <c:x val="-1.4638026388327476E-2"/>
                  <c:y val="-2.0175437342319896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6F64-F248-868A-E6C6B5FDBB0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'Pop Growth 2013-2024 Trend XmR'!$A$2:$A$13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'Pop Growth 2013-2024 Trend XmR'!$O$2:$O$13</c:f>
              <c:numCache>
                <c:formatCode>_(* #,##0_);_(* \(#,##0\);_(* "-"_);_(@_)</c:formatCode>
                <c:ptCount val="12"/>
                <c:pt idx="0">
                  <c:v>786.96969696969609</c:v>
                </c:pt>
                <c:pt idx="1">
                  <c:v>786.96969696969609</c:v>
                </c:pt>
                <c:pt idx="2">
                  <c:v>786.96969696969609</c:v>
                </c:pt>
                <c:pt idx="3">
                  <c:v>786.96969696969609</c:v>
                </c:pt>
                <c:pt idx="4">
                  <c:v>786.96969696969609</c:v>
                </c:pt>
                <c:pt idx="5">
                  <c:v>786.96969696969609</c:v>
                </c:pt>
                <c:pt idx="6">
                  <c:v>786.96969696969609</c:v>
                </c:pt>
                <c:pt idx="7">
                  <c:v>786.96969696969609</c:v>
                </c:pt>
                <c:pt idx="8">
                  <c:v>786.96969696969609</c:v>
                </c:pt>
                <c:pt idx="9">
                  <c:v>786.96969696969609</c:v>
                </c:pt>
                <c:pt idx="10">
                  <c:v>786.96969696969609</c:v>
                </c:pt>
                <c:pt idx="11">
                  <c:v>786.96969696969609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6F64-F248-868A-E6C6B5FDBB0A}"/>
            </c:ext>
          </c:extLst>
        </c:ser>
        <c:ser>
          <c:idx val="5"/>
          <c:order val="5"/>
          <c:tx>
            <c:strRef>
              <c:f>'Pop Growth 2013-2024 Trend XmR'!$P$1</c:f>
              <c:strCache>
                <c:ptCount val="1"/>
                <c:pt idx="0">
                  <c:v>  -1 Sigma 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'Pop Growth 2013-2024 Trend XmR'!$A$2:$A$13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'Pop Growth 2013-2024 Trend XmR'!$P$2:$P$13</c:f>
              <c:numCache>
                <c:formatCode>_(* #,##0_);_(* \(#,##0\);_(* "-"_);_(@_)</c:formatCode>
                <c:ptCount val="12"/>
                <c:pt idx="1">
                  <c:v>192.28292929292911</c:v>
                </c:pt>
                <c:pt idx="2">
                  <c:v>192.28292929292911</c:v>
                </c:pt>
                <c:pt idx="3">
                  <c:v>192.28292929292911</c:v>
                </c:pt>
                <c:pt idx="4">
                  <c:v>192.28292929292911</c:v>
                </c:pt>
                <c:pt idx="5">
                  <c:v>192.28292929292911</c:v>
                </c:pt>
                <c:pt idx="6">
                  <c:v>192.28292929292911</c:v>
                </c:pt>
                <c:pt idx="7">
                  <c:v>192.28292929292911</c:v>
                </c:pt>
                <c:pt idx="8">
                  <c:v>192.28292929292911</c:v>
                </c:pt>
                <c:pt idx="9">
                  <c:v>192.28292929292911</c:v>
                </c:pt>
                <c:pt idx="10">
                  <c:v>192.28292929292911</c:v>
                </c:pt>
                <c:pt idx="11">
                  <c:v>192.28292929292911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6F64-F248-868A-E6C6B5FDBB0A}"/>
            </c:ext>
          </c:extLst>
        </c:ser>
        <c:ser>
          <c:idx val="6"/>
          <c:order val="6"/>
          <c:tx>
            <c:strRef>
              <c:f>'Pop Growth 2013-2024 Trend XmR'!$Q$1</c:f>
              <c:strCache>
                <c:ptCount val="1"/>
                <c:pt idx="0">
                  <c:v>  -2 Sigma 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'Pop Growth 2013-2024 Trend XmR'!$A$2:$A$13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'Pop Growth 2013-2024 Trend XmR'!$Q$2:$Q$13</c:f>
              <c:numCache>
                <c:formatCode>_(* #,##0_);_(* \(#,##0\);_(* "-"_);_(@_)</c:formatCode>
                <c:ptCount val="12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6F64-F248-868A-E6C6B5FDBB0A}"/>
            </c:ext>
          </c:extLst>
        </c:ser>
        <c:ser>
          <c:idx val="7"/>
          <c:order val="7"/>
          <c:tx>
            <c:strRef>
              <c:f>'Pop Growth 2013-2024 Trend XmR'!$R$1</c:f>
              <c:strCache>
                <c:ptCount val="1"/>
                <c:pt idx="0">
                  <c:v> LCL 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cat>
            <c:numRef>
              <c:f>'Pop Growth 2013-2024 Trend XmR'!$A$2:$A$13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'Pop Growth 2013-2024 Trend XmR'!$R$2:$R$13</c:f>
              <c:numCache>
                <c:formatCode>_(* #,##0_);_(* \(#,##0\);_(* "-"_);_(@_)</c:formatCode>
                <c:ptCount val="12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6F64-F248-868A-E6C6B5FDB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7169856"/>
        <c:axId val="866736224"/>
      </c:lineChart>
      <c:catAx>
        <c:axId val="867169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Fiscal 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66736224"/>
        <c:crosses val="autoZero"/>
        <c:auto val="0"/>
        <c:lblAlgn val="ctr"/>
        <c:lblOffset val="100"/>
        <c:noMultiLvlLbl val="0"/>
      </c:catAx>
      <c:valAx>
        <c:axId val="8667362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 +mn-lt"/>
                  </a:rPr>
                  <a:t>Range</a:t>
                </a:r>
              </a:p>
            </c:rich>
          </c:tx>
          <c:overlay val="0"/>
        </c:title>
        <c:numFmt formatCode="_(* #,##0_);_(* \(#,##0\);_(* &quot;-&quot;_);_(@_)" sourceLinked="1"/>
        <c:majorTickMark val="out"/>
        <c:minorTickMark val="none"/>
        <c:tickLblPos val="nextTo"/>
        <c:crossAx val="867169856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>
                <a:solidFill>
                  <a:srgbClr val="000000"/>
                </a:solidFill>
                <a:latin typeface=" +mn-lt"/>
              </a:rPr>
              <a:t>Trended Expectation Chart</a:t>
            </a:r>
          </a:p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>
                <a:solidFill>
                  <a:srgbClr val="000000"/>
                </a:solidFill>
                <a:latin typeface=" +mn-lt"/>
              </a:rPr>
              <a:t>Schertz 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'Pop Growth 2013-2024 Trend XmR'!$B$1</c:f>
              <c:strCache>
                <c:ptCount val="1"/>
                <c:pt idx="0">
                  <c:v> Population 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cat>
            <c:numRef>
              <c:f>'Pop Growth 2013-2024 Trend XmR'!$A$2:$A$13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'Pop Growth 2013-2024 Trend XmR'!$B$2:$B$13</c:f>
              <c:numCache>
                <c:formatCode>_(* #,##0_);_(* \(#,##0\);_(* "-"_);_(@_)</c:formatCode>
                <c:ptCount val="12"/>
                <c:pt idx="0">
                  <c:v>35929</c:v>
                </c:pt>
                <c:pt idx="1">
                  <c:v>36477</c:v>
                </c:pt>
                <c:pt idx="2">
                  <c:v>37865</c:v>
                </c:pt>
                <c:pt idx="3">
                  <c:v>37938</c:v>
                </c:pt>
                <c:pt idx="4">
                  <c:v>39453</c:v>
                </c:pt>
                <c:pt idx="5">
                  <c:v>41182</c:v>
                </c:pt>
                <c:pt idx="6">
                  <c:v>41948</c:v>
                </c:pt>
                <c:pt idx="7">
                  <c:v>42000</c:v>
                </c:pt>
                <c:pt idx="8">
                  <c:v>43683.333333333328</c:v>
                </c:pt>
                <c:pt idx="9">
                  <c:v>43346.666666666664</c:v>
                </c:pt>
                <c:pt idx="10">
                  <c:v>43010</c:v>
                </c:pt>
                <c:pt idx="11">
                  <c:v>43239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F0-1546-B511-812CC6029243}"/>
            </c:ext>
          </c:extLst>
        </c:ser>
        <c:ser>
          <c:idx val="1"/>
          <c:order val="1"/>
          <c:tx>
            <c:strRef>
              <c:f>'Pop Growth 2013-2024 Trend XmR'!$C$1</c:f>
              <c:strCache>
                <c:ptCount val="1"/>
                <c:pt idx="0">
                  <c:v> UCL 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476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58F0-1546-B511-812CC6029243}"/>
                </c:ext>
              </c:extLst>
            </c:dLbl>
            <c:dLbl>
              <c:idx val="10"/>
              <c:layout>
                <c:manualLayout>
                  <c:x val="-1.4638026388327584E-2"/>
                  <c:y val="-2.017543734231984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F0-1546-B511-812CC602924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'Pop Growth 2013-2024 Trend XmR'!$A$2:$A$13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'Pop Growth 2013-2024 Trend XmR'!$C$2:$C$13</c:f>
              <c:numCache>
                <c:formatCode>_(* #,##0_);_(* \(#,##0\);_(* "-"_);_(@_)</c:formatCode>
                <c:ptCount val="12"/>
                <c:pt idx="0">
                  <c:v>38470.172727272729</c:v>
                </c:pt>
                <c:pt idx="1">
                  <c:v>39220.915151515153</c:v>
                </c:pt>
                <c:pt idx="2">
                  <c:v>39971.657575757577</c:v>
                </c:pt>
                <c:pt idx="3">
                  <c:v>40722.400000000001</c:v>
                </c:pt>
                <c:pt idx="4">
                  <c:v>41473.142424242425</c:v>
                </c:pt>
                <c:pt idx="5">
                  <c:v>42223.884848484849</c:v>
                </c:pt>
                <c:pt idx="6">
                  <c:v>42974.627272727274</c:v>
                </c:pt>
                <c:pt idx="7">
                  <c:v>43725.369696969698</c:v>
                </c:pt>
                <c:pt idx="8">
                  <c:v>44476.112121212122</c:v>
                </c:pt>
                <c:pt idx="9">
                  <c:v>45226.854545454546</c:v>
                </c:pt>
                <c:pt idx="10">
                  <c:v>45977.59696969697</c:v>
                </c:pt>
                <c:pt idx="11">
                  <c:v>46728.339393939394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8F0-1546-B511-812CC6029243}"/>
            </c:ext>
          </c:extLst>
        </c:ser>
        <c:ser>
          <c:idx val="2"/>
          <c:order val="2"/>
          <c:tx>
            <c:strRef>
              <c:f>'Pop Growth 2013-2024 Trend XmR'!$D$1</c:f>
              <c:strCache>
                <c:ptCount val="1"/>
                <c:pt idx="0">
                  <c:v>  +2 Sigma 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'Pop Growth 2013-2024 Trend XmR'!$A$2:$A$13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'Pop Growth 2013-2024 Trend XmR'!$D$2:$D$13</c:f>
              <c:numCache>
                <c:formatCode>_(* #,##0_);_(* \(#,##0\);_(* "-"_);_(@_)</c:formatCode>
                <c:ptCount val="12"/>
                <c:pt idx="0">
                  <c:v>37772.392929292932</c:v>
                </c:pt>
                <c:pt idx="1">
                  <c:v>38523.135353535356</c:v>
                </c:pt>
                <c:pt idx="2">
                  <c:v>39273.87777777778</c:v>
                </c:pt>
                <c:pt idx="3">
                  <c:v>40024.620202020204</c:v>
                </c:pt>
                <c:pt idx="4">
                  <c:v>40775.362626262628</c:v>
                </c:pt>
                <c:pt idx="5">
                  <c:v>41526.105050505052</c:v>
                </c:pt>
                <c:pt idx="6">
                  <c:v>42276.847474747476</c:v>
                </c:pt>
                <c:pt idx="7">
                  <c:v>43027.5898989899</c:v>
                </c:pt>
                <c:pt idx="8">
                  <c:v>43778.332323232324</c:v>
                </c:pt>
                <c:pt idx="9">
                  <c:v>44529.074747474748</c:v>
                </c:pt>
                <c:pt idx="10">
                  <c:v>45279.817171717172</c:v>
                </c:pt>
                <c:pt idx="11">
                  <c:v>46030.559595959596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8F0-1546-B511-812CC6029243}"/>
            </c:ext>
          </c:extLst>
        </c:ser>
        <c:ser>
          <c:idx val="3"/>
          <c:order val="3"/>
          <c:tx>
            <c:strRef>
              <c:f>'Pop Growth 2013-2024 Trend XmR'!$E$1</c:f>
              <c:strCache>
                <c:ptCount val="1"/>
                <c:pt idx="0">
                  <c:v>  +1 Sigma 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'Pop Growth 2013-2024 Trend XmR'!$A$2:$A$13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'Pop Growth 2013-2024 Trend XmR'!$E$2:$E$13</c:f>
              <c:numCache>
                <c:formatCode>_(* #,##0_);_(* \(#,##0\);_(* "-"_);_(@_)</c:formatCode>
                <c:ptCount val="12"/>
                <c:pt idx="0">
                  <c:v>37074.613131313134</c:v>
                </c:pt>
                <c:pt idx="1">
                  <c:v>37825.355555555558</c:v>
                </c:pt>
                <c:pt idx="2">
                  <c:v>38576.097979797982</c:v>
                </c:pt>
                <c:pt idx="3">
                  <c:v>39326.840404040406</c:v>
                </c:pt>
                <c:pt idx="4">
                  <c:v>40077.58282828283</c:v>
                </c:pt>
                <c:pt idx="5">
                  <c:v>40828.325252525254</c:v>
                </c:pt>
                <c:pt idx="6">
                  <c:v>41579.067676767678</c:v>
                </c:pt>
                <c:pt idx="7">
                  <c:v>42329.810101010102</c:v>
                </c:pt>
                <c:pt idx="8">
                  <c:v>43080.552525252526</c:v>
                </c:pt>
                <c:pt idx="9">
                  <c:v>43831.29494949495</c:v>
                </c:pt>
                <c:pt idx="10">
                  <c:v>44582.037373737374</c:v>
                </c:pt>
                <c:pt idx="11">
                  <c:v>45332.779797979798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8F0-1546-B511-812CC6029243}"/>
            </c:ext>
          </c:extLst>
        </c:ser>
        <c:ser>
          <c:idx val="4"/>
          <c:order val="4"/>
          <c:tx>
            <c:strRef>
              <c:f>'Pop Growth 2013-2024 Trend XmR'!$F$1</c:f>
              <c:strCache>
                <c:ptCount val="1"/>
                <c:pt idx="0">
                  <c:v> Average 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Pt>
            <c:idx val="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7-58F0-1546-B511-812CC6029243}"/>
              </c:ext>
            </c:extLst>
          </c:dPt>
          <c:dPt>
            <c:idx val="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9-58F0-1546-B511-812CC6029243}"/>
              </c:ext>
            </c:extLst>
          </c:dPt>
          <c:dPt>
            <c:idx val="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B-58F0-1546-B511-812CC6029243}"/>
              </c:ext>
            </c:extLst>
          </c:dPt>
          <c:dPt>
            <c:idx val="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D-58F0-1546-B511-812CC6029243}"/>
              </c:ext>
            </c:extLst>
          </c:dPt>
          <c:dPt>
            <c:idx val="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F-58F0-1546-B511-812CC6029243}"/>
              </c:ext>
            </c:extLst>
          </c:dPt>
          <c:dPt>
            <c:idx val="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1-58F0-1546-B511-812CC6029243}"/>
              </c:ext>
            </c:extLst>
          </c:dPt>
          <c:dPt>
            <c:idx val="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3-58F0-1546-B511-812CC6029243}"/>
              </c:ext>
            </c:extLst>
          </c:dPt>
          <c:dPt>
            <c:idx val="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5-58F0-1546-B511-812CC6029243}"/>
              </c:ext>
            </c:extLst>
          </c:dPt>
          <c:dPt>
            <c:idx val="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7-58F0-1546-B511-812CC6029243}"/>
              </c:ext>
            </c:extLst>
          </c:dPt>
          <c:dPt>
            <c:idx val="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9-58F0-1546-B511-812CC6029243}"/>
              </c:ext>
            </c:extLst>
          </c:dPt>
          <c:dPt>
            <c:idx val="1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B-58F0-1546-B511-812CC6029243}"/>
              </c:ext>
            </c:extLst>
          </c:dPt>
          <c:dPt>
            <c:idx val="1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D-58F0-1546-B511-812CC6029243}"/>
              </c:ext>
            </c:extLst>
          </c:dPt>
          <c:dLbls>
            <c:dLbl>
              <c:idx val="1"/>
              <c:layout>
                <c:manualLayout>
                  <c:x val="-1.4638026388327476E-2"/>
                  <c:y val="-2.0175437342319861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58F0-1546-B511-812CC6029243}"/>
                </c:ext>
              </c:extLst>
            </c:dLbl>
            <c:dLbl>
              <c:idx val="10"/>
              <c:layout>
                <c:manualLayout>
                  <c:x val="-1.4638026388327584E-2"/>
                  <c:y val="-2.017543734231984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58F0-1546-B511-812CC602924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'Pop Growth 2013-2024 Trend XmR'!$A$2:$A$13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'Pop Growth 2013-2024 Trend XmR'!$F$2:$F$13</c:f>
              <c:numCache>
                <c:formatCode>_(* #,##0_);_(* \(#,##0\);_(* "-"_);_(@_)</c:formatCode>
                <c:ptCount val="12"/>
                <c:pt idx="0">
                  <c:v>36376.833333333336</c:v>
                </c:pt>
                <c:pt idx="1">
                  <c:v>37127.57575757576</c:v>
                </c:pt>
                <c:pt idx="2">
                  <c:v>37878.318181818184</c:v>
                </c:pt>
                <c:pt idx="3">
                  <c:v>38629.060606060608</c:v>
                </c:pt>
                <c:pt idx="4">
                  <c:v>39379.803030303032</c:v>
                </c:pt>
                <c:pt idx="5">
                  <c:v>40130.545454545456</c:v>
                </c:pt>
                <c:pt idx="6">
                  <c:v>40881.28787878788</c:v>
                </c:pt>
                <c:pt idx="7">
                  <c:v>41632.030303030304</c:v>
                </c:pt>
                <c:pt idx="8">
                  <c:v>42382.772727272728</c:v>
                </c:pt>
                <c:pt idx="9">
                  <c:v>43133.515151515152</c:v>
                </c:pt>
                <c:pt idx="10">
                  <c:v>43884.257575757576</c:v>
                </c:pt>
                <c:pt idx="11">
                  <c:v>44635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58F0-1546-B511-812CC6029243}"/>
            </c:ext>
          </c:extLst>
        </c:ser>
        <c:ser>
          <c:idx val="5"/>
          <c:order val="5"/>
          <c:tx>
            <c:strRef>
              <c:f>'Pop Growth 2013-2024 Trend XmR'!$G$1</c:f>
              <c:strCache>
                <c:ptCount val="1"/>
                <c:pt idx="0">
                  <c:v>  -1 Sigma 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'Pop Growth 2013-2024 Trend XmR'!$A$2:$A$13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'Pop Growth 2013-2024 Trend XmR'!$G$2:$G$13</c:f>
              <c:numCache>
                <c:formatCode>_(* #,##0_);_(* \(#,##0\);_(* "-"_);_(@_)</c:formatCode>
                <c:ptCount val="12"/>
                <c:pt idx="0">
                  <c:v>35679.053535353538</c:v>
                </c:pt>
                <c:pt idx="1">
                  <c:v>36429.795959595962</c:v>
                </c:pt>
                <c:pt idx="2">
                  <c:v>37180.538383838386</c:v>
                </c:pt>
                <c:pt idx="3">
                  <c:v>37931.28080808081</c:v>
                </c:pt>
                <c:pt idx="4">
                  <c:v>38682.023232323234</c:v>
                </c:pt>
                <c:pt idx="5">
                  <c:v>39432.765656565658</c:v>
                </c:pt>
                <c:pt idx="6">
                  <c:v>40183.508080808082</c:v>
                </c:pt>
                <c:pt idx="7">
                  <c:v>40934.250505050506</c:v>
                </c:pt>
                <c:pt idx="8">
                  <c:v>41684.99292929293</c:v>
                </c:pt>
                <c:pt idx="9">
                  <c:v>42435.735353535354</c:v>
                </c:pt>
                <c:pt idx="10">
                  <c:v>43186.477777777778</c:v>
                </c:pt>
                <c:pt idx="11">
                  <c:v>43937.220202020202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58F0-1546-B511-812CC6029243}"/>
            </c:ext>
          </c:extLst>
        </c:ser>
        <c:ser>
          <c:idx val="6"/>
          <c:order val="6"/>
          <c:tx>
            <c:strRef>
              <c:f>'Pop Growth 2013-2024 Trend XmR'!$H$1</c:f>
              <c:strCache>
                <c:ptCount val="1"/>
                <c:pt idx="0">
                  <c:v>  -2 Sigma 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'Pop Growth 2013-2024 Trend XmR'!$A$2:$A$13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'Pop Growth 2013-2024 Trend XmR'!$H$2:$H$13</c:f>
              <c:numCache>
                <c:formatCode>_(* #,##0_);_(* \(#,##0\);_(* "-"_);_(@_)</c:formatCode>
                <c:ptCount val="12"/>
                <c:pt idx="0">
                  <c:v>34981.27373737374</c:v>
                </c:pt>
                <c:pt idx="1">
                  <c:v>35732.016161616164</c:v>
                </c:pt>
                <c:pt idx="2">
                  <c:v>36482.758585858588</c:v>
                </c:pt>
                <c:pt idx="3">
                  <c:v>37233.501010101012</c:v>
                </c:pt>
                <c:pt idx="4">
                  <c:v>37984.243434343436</c:v>
                </c:pt>
                <c:pt idx="5">
                  <c:v>38734.98585858586</c:v>
                </c:pt>
                <c:pt idx="6">
                  <c:v>39485.728282828284</c:v>
                </c:pt>
                <c:pt idx="7">
                  <c:v>40236.470707070708</c:v>
                </c:pt>
                <c:pt idx="8">
                  <c:v>40987.213131313132</c:v>
                </c:pt>
                <c:pt idx="9">
                  <c:v>41737.955555555556</c:v>
                </c:pt>
                <c:pt idx="10">
                  <c:v>42488.69797979798</c:v>
                </c:pt>
                <c:pt idx="11">
                  <c:v>43239.440404040404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58F0-1546-B511-812CC6029243}"/>
            </c:ext>
          </c:extLst>
        </c:ser>
        <c:ser>
          <c:idx val="7"/>
          <c:order val="7"/>
          <c:tx>
            <c:strRef>
              <c:f>'Pop Growth 2013-2024 Trend XmR'!$I$1</c:f>
              <c:strCache>
                <c:ptCount val="1"/>
                <c:pt idx="0">
                  <c:v> LCL 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476E-2"/>
                  <c:y val="-2.0175437342319785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LCL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1-58F0-1546-B511-812CC6029243}"/>
                </c:ext>
              </c:extLst>
            </c:dLbl>
            <c:dLbl>
              <c:idx val="10"/>
              <c:layout>
                <c:manualLayout>
                  <c:x val="-1.4638026388327584E-2"/>
                  <c:y val="-2.0175437342319861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58F0-1546-B511-812CC602924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'Pop Growth 2013-2024 Trend XmR'!$A$2:$A$13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'Pop Growth 2013-2024 Trend XmR'!$I$2:$I$13</c:f>
              <c:numCache>
                <c:formatCode>_(* #,##0_);_(* \(#,##0\);_(* "-"_);_(@_)</c:formatCode>
                <c:ptCount val="12"/>
                <c:pt idx="0">
                  <c:v>34283.493939393942</c:v>
                </c:pt>
                <c:pt idx="1">
                  <c:v>35034.236363636366</c:v>
                </c:pt>
                <c:pt idx="2">
                  <c:v>35784.97878787879</c:v>
                </c:pt>
                <c:pt idx="3">
                  <c:v>36535.721212121214</c:v>
                </c:pt>
                <c:pt idx="4">
                  <c:v>37286.463636363638</c:v>
                </c:pt>
                <c:pt idx="5">
                  <c:v>38037.206060606062</c:v>
                </c:pt>
                <c:pt idx="6">
                  <c:v>38787.948484848486</c:v>
                </c:pt>
                <c:pt idx="7">
                  <c:v>39538.69090909091</c:v>
                </c:pt>
                <c:pt idx="8">
                  <c:v>40289.433333333334</c:v>
                </c:pt>
                <c:pt idx="9">
                  <c:v>41040.175757575758</c:v>
                </c:pt>
                <c:pt idx="10">
                  <c:v>41790.918181818182</c:v>
                </c:pt>
                <c:pt idx="11">
                  <c:v>42541.660606060606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58F0-1546-B511-812CC6029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0593248"/>
        <c:axId val="591385968"/>
      </c:lineChart>
      <c:catAx>
        <c:axId val="8705932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Fiscal 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1385968"/>
        <c:crosses val="autoZero"/>
        <c:auto val="0"/>
        <c:lblAlgn val="ctr"/>
        <c:lblOffset val="100"/>
        <c:noMultiLvlLbl val="0"/>
      </c:catAx>
      <c:valAx>
        <c:axId val="591385968"/>
        <c:scaling>
          <c:orientation val="minMax"/>
          <c:min val="33585.700000000004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 +mn-lt"/>
                  </a:rPr>
                  <a:t>Average</a:t>
                </a:r>
              </a:p>
            </c:rich>
          </c:tx>
          <c:overlay val="0"/>
        </c:title>
        <c:numFmt formatCode="_(* #,##0_);_(* \(#,##0\);_(* &quot;-&quot;_);_(@_)" sourceLinked="1"/>
        <c:majorTickMark val="out"/>
        <c:minorTickMark val="none"/>
        <c:tickLblPos val="nextTo"/>
        <c:crossAx val="870593248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>
                <a:solidFill>
                  <a:srgbClr val="000000"/>
                </a:solidFill>
                <a:latin typeface=" +mn-lt"/>
              </a:rPr>
              <a:t>Per Capita Personal Income - R Chart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'Per Cap Personal Inc 2013-2024'!$K$1</c:f>
              <c:strCache>
                <c:ptCount val="1"/>
                <c:pt idx="0">
                  <c:v> Range 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cat>
            <c:numRef>
              <c:f>'Per Cap Personal Inc 2013-2024'!$A$2:$A$13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'Per Cap Personal Inc 2013-2024'!$K$2:$K$13</c:f>
              <c:numCache>
                <c:formatCode>_(* #,##0_);_(* \(#,##0\);_(* "-"_);_(@_)</c:formatCode>
                <c:ptCount val="12"/>
                <c:pt idx="1">
                  <c:v>889</c:v>
                </c:pt>
                <c:pt idx="2">
                  <c:v>797</c:v>
                </c:pt>
                <c:pt idx="3">
                  <c:v>402</c:v>
                </c:pt>
                <c:pt idx="4">
                  <c:v>1110</c:v>
                </c:pt>
                <c:pt idx="5">
                  <c:v>1820</c:v>
                </c:pt>
                <c:pt idx="6">
                  <c:v>1211</c:v>
                </c:pt>
                <c:pt idx="7">
                  <c:v>4195</c:v>
                </c:pt>
                <c:pt idx="8">
                  <c:v>1247</c:v>
                </c:pt>
                <c:pt idx="9">
                  <c:v>753</c:v>
                </c:pt>
                <c:pt idx="10">
                  <c:v>1502</c:v>
                </c:pt>
                <c:pt idx="11">
                  <c:v>1094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77-8846-8AE1-FD3204CEF8AB}"/>
            </c:ext>
          </c:extLst>
        </c:ser>
        <c:ser>
          <c:idx val="1"/>
          <c:order val="1"/>
          <c:tx>
            <c:strRef>
              <c:f>'Per Cap Personal Inc 2013-2024'!$L$1</c:f>
              <c:strCache>
                <c:ptCount val="1"/>
                <c:pt idx="0">
                  <c:v> UCL 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476E-2"/>
                  <c:y val="-2.0175437342319861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F277-8846-8AE1-FD3204CEF8AB}"/>
                </c:ext>
              </c:extLst>
            </c:dLbl>
            <c:dLbl>
              <c:idx val="10"/>
              <c:layout>
                <c:manualLayout>
                  <c:x val="-1.4638026388327476E-2"/>
                  <c:y val="-2.0175437342319861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277-8846-8AE1-FD3204CEF8A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'Per Cap Personal Inc 2013-2024'!$A$2:$A$13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'Per Cap Personal Inc 2013-2024'!$L$2:$L$13</c:f>
              <c:numCache>
                <c:formatCode>_(* #,##0_);_(* \(#,##0\);_(* "-"_);_(@_)</c:formatCode>
                <c:ptCount val="12"/>
                <c:pt idx="1">
                  <c:v>4460.9399999999996</c:v>
                </c:pt>
                <c:pt idx="2">
                  <c:v>4460.9399999999996</c:v>
                </c:pt>
                <c:pt idx="3">
                  <c:v>4460.9399999999996</c:v>
                </c:pt>
                <c:pt idx="4">
                  <c:v>4460.9399999999996</c:v>
                </c:pt>
                <c:pt idx="5">
                  <c:v>4460.9399999999996</c:v>
                </c:pt>
                <c:pt idx="6">
                  <c:v>4460.9399999999996</c:v>
                </c:pt>
                <c:pt idx="7">
                  <c:v>4460.9399999999996</c:v>
                </c:pt>
                <c:pt idx="8">
                  <c:v>4460.9399999999996</c:v>
                </c:pt>
                <c:pt idx="9">
                  <c:v>4460.9399999999996</c:v>
                </c:pt>
                <c:pt idx="10">
                  <c:v>4460.9399999999996</c:v>
                </c:pt>
                <c:pt idx="11">
                  <c:v>4460.9399999999996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277-8846-8AE1-FD3204CEF8AB}"/>
            </c:ext>
          </c:extLst>
        </c:ser>
        <c:ser>
          <c:idx val="2"/>
          <c:order val="2"/>
          <c:tx>
            <c:strRef>
              <c:f>'Per Cap Personal Inc 2013-2024'!$M$1</c:f>
              <c:strCache>
                <c:ptCount val="1"/>
                <c:pt idx="0">
                  <c:v>  +2 Sigma 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'Per Cap Personal Inc 2013-2024'!$A$2:$A$13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'Per Cap Personal Inc 2013-2024'!$M$2:$M$13</c:f>
              <c:numCache>
                <c:formatCode>_(* #,##0_);_(* \(#,##0\);_(* "-"_);_(@_)</c:formatCode>
                <c:ptCount val="12"/>
                <c:pt idx="1">
                  <c:v>3429.1115151515146</c:v>
                </c:pt>
                <c:pt idx="2">
                  <c:v>3429.1115151515146</c:v>
                </c:pt>
                <c:pt idx="3">
                  <c:v>3429.1115151515146</c:v>
                </c:pt>
                <c:pt idx="4">
                  <c:v>3429.1115151515146</c:v>
                </c:pt>
                <c:pt idx="5">
                  <c:v>3429.1115151515146</c:v>
                </c:pt>
                <c:pt idx="6">
                  <c:v>3429.1115151515146</c:v>
                </c:pt>
                <c:pt idx="7">
                  <c:v>3429.1115151515146</c:v>
                </c:pt>
                <c:pt idx="8">
                  <c:v>3429.1115151515146</c:v>
                </c:pt>
                <c:pt idx="9">
                  <c:v>3429.1115151515146</c:v>
                </c:pt>
                <c:pt idx="10">
                  <c:v>3429.1115151515146</c:v>
                </c:pt>
                <c:pt idx="11">
                  <c:v>3429.1115151515146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277-8846-8AE1-FD3204CEF8AB}"/>
            </c:ext>
          </c:extLst>
        </c:ser>
        <c:ser>
          <c:idx val="3"/>
          <c:order val="3"/>
          <c:tx>
            <c:strRef>
              <c:f>'Per Cap Personal Inc 2013-2024'!$N$1</c:f>
              <c:strCache>
                <c:ptCount val="1"/>
                <c:pt idx="0">
                  <c:v>  +1 Sigma 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'Per Cap Personal Inc 2013-2024'!$A$2:$A$13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'Per Cap Personal Inc 2013-2024'!$N$2:$N$13</c:f>
              <c:numCache>
                <c:formatCode>_(* #,##0_);_(* \(#,##0\);_(* "-"_);_(@_)</c:formatCode>
                <c:ptCount val="12"/>
                <c:pt idx="1">
                  <c:v>2397.28303030303</c:v>
                </c:pt>
                <c:pt idx="2">
                  <c:v>2397.28303030303</c:v>
                </c:pt>
                <c:pt idx="3">
                  <c:v>2397.28303030303</c:v>
                </c:pt>
                <c:pt idx="4">
                  <c:v>2397.28303030303</c:v>
                </c:pt>
                <c:pt idx="5">
                  <c:v>2397.28303030303</c:v>
                </c:pt>
                <c:pt idx="6">
                  <c:v>2397.28303030303</c:v>
                </c:pt>
                <c:pt idx="7">
                  <c:v>2397.28303030303</c:v>
                </c:pt>
                <c:pt idx="8">
                  <c:v>2397.28303030303</c:v>
                </c:pt>
                <c:pt idx="9">
                  <c:v>2397.28303030303</c:v>
                </c:pt>
                <c:pt idx="10">
                  <c:v>2397.28303030303</c:v>
                </c:pt>
                <c:pt idx="11">
                  <c:v>2397.28303030303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277-8846-8AE1-FD3204CEF8AB}"/>
            </c:ext>
          </c:extLst>
        </c:ser>
        <c:ser>
          <c:idx val="4"/>
          <c:order val="4"/>
          <c:tx>
            <c:strRef>
              <c:f>'Per Cap Personal Inc 2013-2024'!$O$1</c:f>
              <c:strCache>
                <c:ptCount val="1"/>
                <c:pt idx="0">
                  <c:v> Average 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Pt>
            <c:idx val="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7-F277-8846-8AE1-FD3204CEF8AB}"/>
              </c:ext>
            </c:extLst>
          </c:dPt>
          <c:dPt>
            <c:idx val="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9-F277-8846-8AE1-FD3204CEF8AB}"/>
              </c:ext>
            </c:extLst>
          </c:dPt>
          <c:dPt>
            <c:idx val="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B-F277-8846-8AE1-FD3204CEF8AB}"/>
              </c:ext>
            </c:extLst>
          </c:dPt>
          <c:dPt>
            <c:idx val="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D-F277-8846-8AE1-FD3204CEF8AB}"/>
              </c:ext>
            </c:extLst>
          </c:dPt>
          <c:dPt>
            <c:idx val="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F-F277-8846-8AE1-FD3204CEF8AB}"/>
              </c:ext>
            </c:extLst>
          </c:dPt>
          <c:dPt>
            <c:idx val="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1-F277-8846-8AE1-FD3204CEF8AB}"/>
              </c:ext>
            </c:extLst>
          </c:dPt>
          <c:dPt>
            <c:idx val="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3-F277-8846-8AE1-FD3204CEF8AB}"/>
              </c:ext>
            </c:extLst>
          </c:dPt>
          <c:dPt>
            <c:idx val="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5-F277-8846-8AE1-FD3204CEF8AB}"/>
              </c:ext>
            </c:extLst>
          </c:dPt>
          <c:dPt>
            <c:idx val="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7-F277-8846-8AE1-FD3204CEF8AB}"/>
              </c:ext>
            </c:extLst>
          </c:dPt>
          <c:dPt>
            <c:idx val="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9-F277-8846-8AE1-FD3204CEF8AB}"/>
              </c:ext>
            </c:extLst>
          </c:dPt>
          <c:dPt>
            <c:idx val="1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B-F277-8846-8AE1-FD3204CEF8AB}"/>
              </c:ext>
            </c:extLst>
          </c:dPt>
          <c:dPt>
            <c:idx val="1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D-F277-8846-8AE1-FD3204CEF8AB}"/>
              </c:ext>
            </c:extLst>
          </c:dPt>
          <c:dLbls>
            <c:dLbl>
              <c:idx val="1"/>
              <c:layout>
                <c:manualLayout>
                  <c:x val="-1.4638026388327476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F277-8846-8AE1-FD3204CEF8AB}"/>
                </c:ext>
              </c:extLst>
            </c:dLbl>
            <c:dLbl>
              <c:idx val="10"/>
              <c:layout>
                <c:manualLayout>
                  <c:x val="-1.4638026388327476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F277-8846-8AE1-FD3204CEF8A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'Per Cap Personal Inc 2013-2024'!$A$2:$A$13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'Per Cap Personal Inc 2013-2024'!$O$2:$O$13</c:f>
              <c:numCache>
                <c:formatCode>_(* #,##0_);_(* \(#,##0\);_(* "-"_);_(@_)</c:formatCode>
                <c:ptCount val="12"/>
                <c:pt idx="0">
                  <c:v>1365.4545454545455</c:v>
                </c:pt>
                <c:pt idx="1">
                  <c:v>1365.4545454545455</c:v>
                </c:pt>
                <c:pt idx="2">
                  <c:v>1365.4545454545455</c:v>
                </c:pt>
                <c:pt idx="3">
                  <c:v>1365.4545454545455</c:v>
                </c:pt>
                <c:pt idx="4">
                  <c:v>1365.4545454545455</c:v>
                </c:pt>
                <c:pt idx="5">
                  <c:v>1365.4545454545455</c:v>
                </c:pt>
                <c:pt idx="6">
                  <c:v>1365.4545454545455</c:v>
                </c:pt>
                <c:pt idx="7">
                  <c:v>1365.4545454545455</c:v>
                </c:pt>
                <c:pt idx="8">
                  <c:v>1365.4545454545455</c:v>
                </c:pt>
                <c:pt idx="9">
                  <c:v>1365.4545454545455</c:v>
                </c:pt>
                <c:pt idx="10">
                  <c:v>1365.4545454545455</c:v>
                </c:pt>
                <c:pt idx="11">
                  <c:v>1365.4545454545455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F277-8846-8AE1-FD3204CEF8AB}"/>
            </c:ext>
          </c:extLst>
        </c:ser>
        <c:ser>
          <c:idx val="5"/>
          <c:order val="5"/>
          <c:tx>
            <c:strRef>
              <c:f>'Per Cap Personal Inc 2013-2024'!$P$1</c:f>
              <c:strCache>
                <c:ptCount val="1"/>
                <c:pt idx="0">
                  <c:v>  -1 Sigma 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'Per Cap Personal Inc 2013-2024'!$A$2:$A$13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'Per Cap Personal Inc 2013-2024'!$P$2:$P$13</c:f>
              <c:numCache>
                <c:formatCode>_(* #,##0_);_(* \(#,##0\);_(* "-"_);_(@_)</c:formatCode>
                <c:ptCount val="12"/>
                <c:pt idx="1">
                  <c:v>333.62606060606095</c:v>
                </c:pt>
                <c:pt idx="2">
                  <c:v>333.62606060606095</c:v>
                </c:pt>
                <c:pt idx="3">
                  <c:v>333.62606060606095</c:v>
                </c:pt>
                <c:pt idx="4">
                  <c:v>333.62606060606095</c:v>
                </c:pt>
                <c:pt idx="5">
                  <c:v>333.62606060606095</c:v>
                </c:pt>
                <c:pt idx="6">
                  <c:v>333.62606060606095</c:v>
                </c:pt>
                <c:pt idx="7">
                  <c:v>333.62606060606095</c:v>
                </c:pt>
                <c:pt idx="8">
                  <c:v>333.62606060606095</c:v>
                </c:pt>
                <c:pt idx="9">
                  <c:v>333.62606060606095</c:v>
                </c:pt>
                <c:pt idx="10">
                  <c:v>333.62606060606095</c:v>
                </c:pt>
                <c:pt idx="11">
                  <c:v>333.62606060606095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F277-8846-8AE1-FD3204CEF8AB}"/>
            </c:ext>
          </c:extLst>
        </c:ser>
        <c:ser>
          <c:idx val="6"/>
          <c:order val="6"/>
          <c:tx>
            <c:strRef>
              <c:f>'Per Cap Personal Inc 2013-2024'!$Q$1</c:f>
              <c:strCache>
                <c:ptCount val="1"/>
                <c:pt idx="0">
                  <c:v>  -2 Sigma 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'Per Cap Personal Inc 2013-2024'!$A$2:$A$13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'Per Cap Personal Inc 2013-2024'!$Q$2:$Q$13</c:f>
              <c:numCache>
                <c:formatCode>_(* #,##0_);_(* \(#,##0\);_(* "-"_);_(@_)</c:formatCode>
                <c:ptCount val="12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F277-8846-8AE1-FD3204CEF8AB}"/>
            </c:ext>
          </c:extLst>
        </c:ser>
        <c:ser>
          <c:idx val="7"/>
          <c:order val="7"/>
          <c:tx>
            <c:strRef>
              <c:f>'Per Cap Personal Inc 2013-2024'!$R$1</c:f>
              <c:strCache>
                <c:ptCount val="1"/>
                <c:pt idx="0">
                  <c:v> LCL 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cat>
            <c:numRef>
              <c:f>'Per Cap Personal Inc 2013-2024'!$A$2:$A$13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'Per Cap Personal Inc 2013-2024'!$R$2:$R$13</c:f>
              <c:numCache>
                <c:formatCode>_(* #,##0_);_(* \(#,##0\);_(* "-"_);_(@_)</c:formatCode>
                <c:ptCount val="12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F277-8846-8AE1-FD3204CEF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0770848"/>
        <c:axId val="350341008"/>
      </c:lineChart>
      <c:catAx>
        <c:axId val="350770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Fiscal 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50341008"/>
        <c:crosses val="autoZero"/>
        <c:auto val="0"/>
        <c:lblAlgn val="ctr"/>
        <c:lblOffset val="100"/>
        <c:noMultiLvlLbl val="0"/>
      </c:catAx>
      <c:valAx>
        <c:axId val="3503410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 +mn-lt"/>
                  </a:rPr>
                  <a:t>Range</a:t>
                </a:r>
              </a:p>
            </c:rich>
          </c:tx>
          <c:overlay val="0"/>
        </c:title>
        <c:numFmt formatCode="_(* #,##0_);_(* \(#,##0\);_(* &quot;-&quot;_);_(@_)" sourceLinked="1"/>
        <c:majorTickMark val="out"/>
        <c:minorTickMark val="none"/>
        <c:tickLblPos val="nextTo"/>
        <c:crossAx val="350770848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>
                <a:solidFill>
                  <a:srgbClr val="000000"/>
                </a:solidFill>
                <a:latin typeface=" +mn-lt"/>
              </a:rPr>
              <a:t>Expectation Chart</a:t>
            </a:r>
          </a:p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>
                <a:solidFill>
                  <a:srgbClr val="000000"/>
                </a:solidFill>
                <a:latin typeface=" +mn-lt"/>
              </a:rPr>
              <a:t>Per Capita Personal Income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'Per Cap Personal Inc 2013-2024'!$B$1</c:f>
              <c:strCache>
                <c:ptCount val="1"/>
                <c:pt idx="0">
                  <c:v> Per Capita Personal
Income 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cat>
            <c:numRef>
              <c:f>'Per Cap Personal Inc 2013-2024'!$A$2:$A$13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'Per Cap Personal Inc 2013-2024'!$B$2:$B$13</c:f>
              <c:numCache>
                <c:formatCode>_(* #,##0_);_(* \(#,##0\);_(* "-"_);_(@_)</c:formatCode>
                <c:ptCount val="12"/>
                <c:pt idx="0">
                  <c:v>30486</c:v>
                </c:pt>
                <c:pt idx="1">
                  <c:v>31375</c:v>
                </c:pt>
                <c:pt idx="2">
                  <c:v>30578</c:v>
                </c:pt>
                <c:pt idx="3">
                  <c:v>30980</c:v>
                </c:pt>
                <c:pt idx="4">
                  <c:v>32090</c:v>
                </c:pt>
                <c:pt idx="5">
                  <c:v>33910</c:v>
                </c:pt>
                <c:pt idx="6">
                  <c:v>35121</c:v>
                </c:pt>
                <c:pt idx="7">
                  <c:v>39316</c:v>
                </c:pt>
                <c:pt idx="8">
                  <c:v>38069</c:v>
                </c:pt>
                <c:pt idx="9">
                  <c:v>38822</c:v>
                </c:pt>
                <c:pt idx="10">
                  <c:v>40324</c:v>
                </c:pt>
                <c:pt idx="11">
                  <c:v>41418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EA-114D-89B5-276C4F5A44FA}"/>
            </c:ext>
          </c:extLst>
        </c:ser>
        <c:ser>
          <c:idx val="1"/>
          <c:order val="1"/>
          <c:tx>
            <c:strRef>
              <c:f>'Per Cap Personal Inc 2013-2024'!$C$1</c:f>
              <c:strCache>
                <c:ptCount val="1"/>
                <c:pt idx="0">
                  <c:v> UCL 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476E-2"/>
                  <c:y val="-2.0175437342319896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82EA-114D-89B5-276C4F5A44FA}"/>
                </c:ext>
              </c:extLst>
            </c:dLbl>
            <c:dLbl>
              <c:idx val="10"/>
              <c:layout>
                <c:manualLayout>
                  <c:x val="-1.4638026388327584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2EA-114D-89B5-276C4F5A44F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'Per Cap Personal Inc 2013-2024'!$A$2:$A$13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'Per Cap Personal Inc 2013-2024'!$C$2:$C$13</c:f>
              <c:numCache>
                <c:formatCode>_(* #,##0_);_(* \(#,##0\);_(* "-"_);_(@_)</c:formatCode>
                <c:ptCount val="12"/>
                <c:pt idx="0">
                  <c:v>32746.544988344987</c:v>
                </c:pt>
                <c:pt idx="1">
                  <c:v>33854.359673659674</c:v>
                </c:pt>
                <c:pt idx="2">
                  <c:v>34962.174358974356</c:v>
                </c:pt>
                <c:pt idx="3">
                  <c:v>36069.989044289039</c:v>
                </c:pt>
                <c:pt idx="4">
                  <c:v>37177.803729603729</c:v>
                </c:pt>
                <c:pt idx="5">
                  <c:v>38285.618414918412</c:v>
                </c:pt>
                <c:pt idx="6">
                  <c:v>39393.433100233102</c:v>
                </c:pt>
                <c:pt idx="7">
                  <c:v>40501.247785547785</c:v>
                </c:pt>
                <c:pt idx="8">
                  <c:v>41609.062470862475</c:v>
                </c:pt>
                <c:pt idx="9">
                  <c:v>42716.877156177157</c:v>
                </c:pt>
                <c:pt idx="10">
                  <c:v>43824.69184149184</c:v>
                </c:pt>
                <c:pt idx="11">
                  <c:v>44932.50652680653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2EA-114D-89B5-276C4F5A44FA}"/>
            </c:ext>
          </c:extLst>
        </c:ser>
        <c:ser>
          <c:idx val="2"/>
          <c:order val="2"/>
          <c:tx>
            <c:strRef>
              <c:f>'Per Cap Personal Inc 2013-2024'!$D$1</c:f>
              <c:strCache>
                <c:ptCount val="1"/>
                <c:pt idx="0">
                  <c:v>  +2 Sigma 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'Per Cap Personal Inc 2013-2024'!$A$2:$A$13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'Per Cap Personal Inc 2013-2024'!$D$2:$D$13</c:f>
              <c:numCache>
                <c:formatCode>_(* #,##0_);_(* \(#,##0\);_(* "-"_);_(@_)</c:formatCode>
                <c:ptCount val="12"/>
                <c:pt idx="0">
                  <c:v>31535.841958041954</c:v>
                </c:pt>
                <c:pt idx="1">
                  <c:v>32643.65664335664</c:v>
                </c:pt>
                <c:pt idx="2">
                  <c:v>33751.471328671323</c:v>
                </c:pt>
                <c:pt idx="3">
                  <c:v>34859.286013986013</c:v>
                </c:pt>
                <c:pt idx="4">
                  <c:v>35967.100699300696</c:v>
                </c:pt>
                <c:pt idx="5">
                  <c:v>37074.915384615379</c:v>
                </c:pt>
                <c:pt idx="6">
                  <c:v>38182.730069930069</c:v>
                </c:pt>
                <c:pt idx="7">
                  <c:v>39290.544755244751</c:v>
                </c:pt>
                <c:pt idx="8">
                  <c:v>40398.359440559441</c:v>
                </c:pt>
                <c:pt idx="9">
                  <c:v>41506.174125874124</c:v>
                </c:pt>
                <c:pt idx="10">
                  <c:v>42613.988811188807</c:v>
                </c:pt>
                <c:pt idx="11">
                  <c:v>43721.803496503497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2EA-114D-89B5-276C4F5A44FA}"/>
            </c:ext>
          </c:extLst>
        </c:ser>
        <c:ser>
          <c:idx val="3"/>
          <c:order val="3"/>
          <c:tx>
            <c:strRef>
              <c:f>'Per Cap Personal Inc 2013-2024'!$E$1</c:f>
              <c:strCache>
                <c:ptCount val="1"/>
                <c:pt idx="0">
                  <c:v>  +1 Sigma 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'Per Cap Personal Inc 2013-2024'!$A$2:$A$13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'Per Cap Personal Inc 2013-2024'!$E$2:$E$13</c:f>
              <c:numCache>
                <c:formatCode>_(* #,##0_);_(* \(#,##0\);_(* "-"_);_(@_)</c:formatCode>
                <c:ptCount val="12"/>
                <c:pt idx="0">
                  <c:v>30325.138927738924</c:v>
                </c:pt>
                <c:pt idx="1">
                  <c:v>31432.953613053611</c:v>
                </c:pt>
                <c:pt idx="2">
                  <c:v>32540.768298368293</c:v>
                </c:pt>
                <c:pt idx="3">
                  <c:v>33648.58298368298</c:v>
                </c:pt>
                <c:pt idx="4">
                  <c:v>34756.39766899767</c:v>
                </c:pt>
                <c:pt idx="5">
                  <c:v>35864.212354312353</c:v>
                </c:pt>
                <c:pt idx="6">
                  <c:v>36972.027039627043</c:v>
                </c:pt>
                <c:pt idx="7">
                  <c:v>38079.841724941725</c:v>
                </c:pt>
                <c:pt idx="8">
                  <c:v>39187.656410256415</c:v>
                </c:pt>
                <c:pt idx="9">
                  <c:v>40295.471095571098</c:v>
                </c:pt>
                <c:pt idx="10">
                  <c:v>41403.285780885781</c:v>
                </c:pt>
                <c:pt idx="11">
                  <c:v>42511.100466200471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2EA-114D-89B5-276C4F5A44FA}"/>
            </c:ext>
          </c:extLst>
        </c:ser>
        <c:ser>
          <c:idx val="4"/>
          <c:order val="4"/>
          <c:tx>
            <c:strRef>
              <c:f>'Per Cap Personal Inc 2013-2024'!$F$1</c:f>
              <c:strCache>
                <c:ptCount val="1"/>
                <c:pt idx="0">
                  <c:v> Average 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Pt>
            <c:idx val="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7-82EA-114D-89B5-276C4F5A44FA}"/>
              </c:ext>
            </c:extLst>
          </c:dPt>
          <c:dPt>
            <c:idx val="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9-82EA-114D-89B5-276C4F5A44FA}"/>
              </c:ext>
            </c:extLst>
          </c:dPt>
          <c:dPt>
            <c:idx val="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B-82EA-114D-89B5-276C4F5A44FA}"/>
              </c:ext>
            </c:extLst>
          </c:dPt>
          <c:dPt>
            <c:idx val="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D-82EA-114D-89B5-276C4F5A44FA}"/>
              </c:ext>
            </c:extLst>
          </c:dPt>
          <c:dPt>
            <c:idx val="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F-82EA-114D-89B5-276C4F5A44FA}"/>
              </c:ext>
            </c:extLst>
          </c:dPt>
          <c:dPt>
            <c:idx val="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1-82EA-114D-89B5-276C4F5A44FA}"/>
              </c:ext>
            </c:extLst>
          </c:dPt>
          <c:dPt>
            <c:idx val="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3-82EA-114D-89B5-276C4F5A44FA}"/>
              </c:ext>
            </c:extLst>
          </c:dPt>
          <c:dPt>
            <c:idx val="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5-82EA-114D-89B5-276C4F5A44FA}"/>
              </c:ext>
            </c:extLst>
          </c:dPt>
          <c:dPt>
            <c:idx val="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7-82EA-114D-89B5-276C4F5A44FA}"/>
              </c:ext>
            </c:extLst>
          </c:dPt>
          <c:dPt>
            <c:idx val="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9-82EA-114D-89B5-276C4F5A44FA}"/>
              </c:ext>
            </c:extLst>
          </c:dPt>
          <c:dPt>
            <c:idx val="1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B-82EA-114D-89B5-276C4F5A44FA}"/>
              </c:ext>
            </c:extLst>
          </c:dPt>
          <c:dPt>
            <c:idx val="1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D-82EA-114D-89B5-276C4F5A44FA}"/>
              </c:ext>
            </c:extLst>
          </c:dPt>
          <c:dLbls>
            <c:dLbl>
              <c:idx val="1"/>
              <c:layout>
                <c:manualLayout>
                  <c:x val="-1.4638026388327476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82EA-114D-89B5-276C4F5A44FA}"/>
                </c:ext>
              </c:extLst>
            </c:dLbl>
            <c:dLbl>
              <c:idx val="10"/>
              <c:layout>
                <c:manualLayout>
                  <c:x val="-1.4638026388327584E-2"/>
                  <c:y val="-2.0175437342319861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82EA-114D-89B5-276C4F5A44F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'Per Cap Personal Inc 2013-2024'!$A$2:$A$13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'Per Cap Personal Inc 2013-2024'!$F$2:$F$13</c:f>
              <c:numCache>
                <c:formatCode>_(* #,##0_);_(* \(#,##0\);_(* "-"_);_(@_)</c:formatCode>
                <c:ptCount val="12"/>
                <c:pt idx="0">
                  <c:v>29114.435897435895</c:v>
                </c:pt>
                <c:pt idx="1">
                  <c:v>30222.250582750581</c:v>
                </c:pt>
                <c:pt idx="2">
                  <c:v>31330.065268065264</c:v>
                </c:pt>
                <c:pt idx="3">
                  <c:v>32437.87995337995</c:v>
                </c:pt>
                <c:pt idx="4">
                  <c:v>33545.694638694637</c:v>
                </c:pt>
                <c:pt idx="5">
                  <c:v>34653.509324009319</c:v>
                </c:pt>
                <c:pt idx="6">
                  <c:v>35761.324009324009</c:v>
                </c:pt>
                <c:pt idx="7">
                  <c:v>36869.138694638692</c:v>
                </c:pt>
                <c:pt idx="8">
                  <c:v>37976.953379953382</c:v>
                </c:pt>
                <c:pt idx="9">
                  <c:v>39084.768065268065</c:v>
                </c:pt>
                <c:pt idx="10">
                  <c:v>40192.582750582747</c:v>
                </c:pt>
                <c:pt idx="11">
                  <c:v>41300.397435897437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82EA-114D-89B5-276C4F5A44FA}"/>
            </c:ext>
          </c:extLst>
        </c:ser>
        <c:ser>
          <c:idx val="5"/>
          <c:order val="5"/>
          <c:tx>
            <c:strRef>
              <c:f>'Per Cap Personal Inc 2013-2024'!$G$1</c:f>
              <c:strCache>
                <c:ptCount val="1"/>
                <c:pt idx="0">
                  <c:v>  -1 Sigma 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'Per Cap Personal Inc 2013-2024'!$A$2:$A$13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'Per Cap Personal Inc 2013-2024'!$G$2:$G$13</c:f>
              <c:numCache>
                <c:formatCode>_(* #,##0_);_(* \(#,##0\);_(* "-"_);_(@_)</c:formatCode>
                <c:ptCount val="12"/>
                <c:pt idx="0">
                  <c:v>27903.732867132865</c:v>
                </c:pt>
                <c:pt idx="1">
                  <c:v>29011.547552447551</c:v>
                </c:pt>
                <c:pt idx="2">
                  <c:v>30119.362237762234</c:v>
                </c:pt>
                <c:pt idx="3">
                  <c:v>31227.176923076921</c:v>
                </c:pt>
                <c:pt idx="4">
                  <c:v>32334.991608391607</c:v>
                </c:pt>
                <c:pt idx="5">
                  <c:v>33442.806293706286</c:v>
                </c:pt>
                <c:pt idx="6">
                  <c:v>34550.620979020976</c:v>
                </c:pt>
                <c:pt idx="7">
                  <c:v>35658.435664335659</c:v>
                </c:pt>
                <c:pt idx="8">
                  <c:v>36766.250349650349</c:v>
                </c:pt>
                <c:pt idx="9">
                  <c:v>37874.065034965031</c:v>
                </c:pt>
                <c:pt idx="10">
                  <c:v>38981.879720279714</c:v>
                </c:pt>
                <c:pt idx="11">
                  <c:v>40089.694405594404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82EA-114D-89B5-276C4F5A44FA}"/>
            </c:ext>
          </c:extLst>
        </c:ser>
        <c:ser>
          <c:idx val="6"/>
          <c:order val="6"/>
          <c:tx>
            <c:strRef>
              <c:f>'Per Cap Personal Inc 2013-2024'!$H$1</c:f>
              <c:strCache>
                <c:ptCount val="1"/>
                <c:pt idx="0">
                  <c:v>  -2 Sigma 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'Per Cap Personal Inc 2013-2024'!$A$2:$A$13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'Per Cap Personal Inc 2013-2024'!$H$2:$H$13</c:f>
              <c:numCache>
                <c:formatCode>_(* #,##0_);_(* \(#,##0\);_(* "-"_);_(@_)</c:formatCode>
                <c:ptCount val="12"/>
                <c:pt idx="0">
                  <c:v>26693.029836829835</c:v>
                </c:pt>
                <c:pt idx="1">
                  <c:v>27800.844522144522</c:v>
                </c:pt>
                <c:pt idx="2">
                  <c:v>28908.659207459204</c:v>
                </c:pt>
                <c:pt idx="3">
                  <c:v>30016.473892773891</c:v>
                </c:pt>
                <c:pt idx="4">
                  <c:v>31124.288578088577</c:v>
                </c:pt>
                <c:pt idx="5">
                  <c:v>32232.10326340326</c:v>
                </c:pt>
                <c:pt idx="6">
                  <c:v>33339.91794871795</c:v>
                </c:pt>
                <c:pt idx="7">
                  <c:v>34447.732634032633</c:v>
                </c:pt>
                <c:pt idx="8">
                  <c:v>35555.547319347323</c:v>
                </c:pt>
                <c:pt idx="9">
                  <c:v>36663.362004662005</c:v>
                </c:pt>
                <c:pt idx="10">
                  <c:v>37771.176689976688</c:v>
                </c:pt>
                <c:pt idx="11">
                  <c:v>38878.991375291378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82EA-114D-89B5-276C4F5A44FA}"/>
            </c:ext>
          </c:extLst>
        </c:ser>
        <c:ser>
          <c:idx val="7"/>
          <c:order val="7"/>
          <c:tx>
            <c:strRef>
              <c:f>'Per Cap Personal Inc 2013-2024'!$I$1</c:f>
              <c:strCache>
                <c:ptCount val="1"/>
                <c:pt idx="0">
                  <c:v> LCL 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476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LCL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1-82EA-114D-89B5-276C4F5A44FA}"/>
                </c:ext>
              </c:extLst>
            </c:dLbl>
            <c:dLbl>
              <c:idx val="10"/>
              <c:layout>
                <c:manualLayout>
                  <c:x val="-1.4638026388327584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82EA-114D-89B5-276C4F5A44F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'Per Cap Personal Inc 2013-2024'!$A$2:$A$13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'Per Cap Personal Inc 2013-2024'!$I$2:$I$13</c:f>
              <c:numCache>
                <c:formatCode>_(* #,##0_);_(* \(#,##0\);_(* "-"_);_(@_)</c:formatCode>
                <c:ptCount val="12"/>
                <c:pt idx="0">
                  <c:v>25482.326806526802</c:v>
                </c:pt>
                <c:pt idx="1">
                  <c:v>26590.141491841488</c:v>
                </c:pt>
                <c:pt idx="2">
                  <c:v>27697.956177156171</c:v>
                </c:pt>
                <c:pt idx="3">
                  <c:v>28805.770862470858</c:v>
                </c:pt>
                <c:pt idx="4">
                  <c:v>29913.585547785544</c:v>
                </c:pt>
                <c:pt idx="5">
                  <c:v>31021.400233100227</c:v>
                </c:pt>
                <c:pt idx="6">
                  <c:v>32129.214918414917</c:v>
                </c:pt>
                <c:pt idx="7">
                  <c:v>33237.029603729599</c:v>
                </c:pt>
                <c:pt idx="8">
                  <c:v>34344.844289044289</c:v>
                </c:pt>
                <c:pt idx="9">
                  <c:v>35452.658974358972</c:v>
                </c:pt>
                <c:pt idx="10">
                  <c:v>36560.473659673655</c:v>
                </c:pt>
                <c:pt idx="11">
                  <c:v>37668.288344988345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82EA-114D-89B5-276C4F5A44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0860464"/>
        <c:axId val="350857200"/>
      </c:lineChart>
      <c:catAx>
        <c:axId val="350860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Fiscal 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50857200"/>
        <c:crosses val="autoZero"/>
        <c:auto val="0"/>
        <c:lblAlgn val="ctr"/>
        <c:lblOffset val="100"/>
        <c:noMultiLvlLbl val="0"/>
      </c:catAx>
      <c:valAx>
        <c:axId val="350857200"/>
        <c:scaling>
          <c:orientation val="minMax"/>
          <c:min val="24271.600000000002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 +mn-lt"/>
                  </a:rPr>
                  <a:t>Average</a:t>
                </a:r>
              </a:p>
            </c:rich>
          </c:tx>
          <c:overlay val="0"/>
        </c:title>
        <c:numFmt formatCode="_(* #,##0_);_(* \(#,##0\);_(* &quot;-&quot;_);_(@_)" sourceLinked="1"/>
        <c:majorTickMark val="out"/>
        <c:minorTickMark val="none"/>
        <c:tickLblPos val="nextTo"/>
        <c:crossAx val="350860464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/>
            </a:pPr>
            <a:r>
              <a:rPr lang="en-US"/>
              <a:t>Demographics Last 10yr Modified Per Capita Personal
Income-in 2024 $$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'Demographics Last 10yr Modified'!$B$29:$B$30</c:f>
              <c:strCache>
                <c:ptCount val="2"/>
                <c:pt idx="1">
                  <c:v> City of Shertz </c:v>
                </c:pt>
              </c:strCache>
            </c:strRef>
          </c:tx>
          <c:spPr>
            <a:effectLst/>
          </c:spPr>
          <c:marker>
            <c:symbol val="none"/>
          </c:marker>
          <c:cat>
            <c:strRef>
              <c:f>'Demographics Last 10yr Modified'!$A$31:$A$43</c:f>
              <c:strCache>
                <c:ptCount val="13"/>
                <c:pt idx="0">
                  <c:v>Fiscal Year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strCache>
            </c:strRef>
          </c:cat>
          <c:val>
            <c:numRef>
              <c:f>'Demographics Last 10yr Modified'!$B$31:$B$43</c:f>
              <c:numCache>
                <c:formatCode>0</c:formatCode>
                <c:ptCount val="13"/>
                <c:pt idx="0" formatCode="0.0000">
                  <c:v>0</c:v>
                </c:pt>
                <c:pt idx="1">
                  <c:v>30486</c:v>
                </c:pt>
                <c:pt idx="2">
                  <c:v>31375</c:v>
                </c:pt>
                <c:pt idx="3">
                  <c:v>30578</c:v>
                </c:pt>
                <c:pt idx="4">
                  <c:v>30980</c:v>
                </c:pt>
                <c:pt idx="5">
                  <c:v>32090</c:v>
                </c:pt>
                <c:pt idx="6">
                  <c:v>33910</c:v>
                </c:pt>
                <c:pt idx="7">
                  <c:v>35121</c:v>
                </c:pt>
                <c:pt idx="8">
                  <c:v>39316</c:v>
                </c:pt>
                <c:pt idx="9">
                  <c:v>38069</c:v>
                </c:pt>
                <c:pt idx="10">
                  <c:v>38822</c:v>
                </c:pt>
                <c:pt idx="11">
                  <c:v>40324</c:v>
                </c:pt>
                <c:pt idx="12">
                  <c:v>41418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A5-DA49-B866-F779C14D72A1}"/>
            </c:ext>
          </c:extLst>
        </c:ser>
        <c:ser>
          <c:idx val="1"/>
          <c:order val="1"/>
          <c:tx>
            <c:strRef>
              <c:f>'Demographics Last 10yr Modified'!$D$29:$D$30</c:f>
              <c:strCache>
                <c:ptCount val="2"/>
                <c:pt idx="0">
                  <c:v> Per Capita </c:v>
                </c:pt>
                <c:pt idx="1">
                  <c:v>per US Census</c:v>
                </c:pt>
              </c:strCache>
            </c:strRef>
          </c:tx>
          <c:spPr>
            <a:effectLst/>
          </c:spPr>
          <c:marker>
            <c:symbol val="none"/>
          </c:marker>
          <c:cat>
            <c:strRef>
              <c:f>'Demographics Last 10yr Modified'!$A$31:$A$43</c:f>
              <c:strCache>
                <c:ptCount val="13"/>
                <c:pt idx="0">
                  <c:v>Fiscal Year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strCache>
            </c:strRef>
          </c:cat>
          <c:val>
            <c:numRef>
              <c:f>'Demographics Last 10yr Modified'!$D$31:$D$43</c:f>
              <c:numCache>
                <c:formatCode>0</c:formatCode>
                <c:ptCount val="13"/>
                <c:pt idx="0" formatCode="General">
                  <c:v>0</c:v>
                </c:pt>
                <c:pt idx="1">
                  <c:v>39799.398219445298</c:v>
                </c:pt>
                <c:pt idx="2">
                  <c:v>40522.368027656303</c:v>
                </c:pt>
                <c:pt idx="3">
                  <c:v>41005.430874103899</c:v>
                </c:pt>
                <c:pt idx="4">
                  <c:v>41943.0678335384</c:v>
                </c:pt>
                <c:pt idx="5">
                  <c:v>42716.071984856397</c:v>
                </c:pt>
                <c:pt idx="6">
                  <c:v>43876.5573189114</c:v>
                </c:pt>
                <c:pt idx="7">
                  <c:v>43901.301268550902</c:v>
                </c:pt>
                <c:pt idx="8">
                  <c:v>44579.610447131199</c:v>
                </c:pt>
                <c:pt idx="9">
                  <c:v>45174.363463694201</c:v>
                </c:pt>
                <c:pt idx="10">
                  <c:v>43227.794685184803</c:v>
                </c:pt>
                <c:pt idx="11">
                  <c:v>42640.496200412897</c:v>
                </c:pt>
                <c:pt idx="12">
                  <c:v>43174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A5-DA49-B866-F779C14D72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1197904"/>
        <c:axId val="131354672"/>
      </c:lineChart>
      <c:catAx>
        <c:axId val="4011979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Fiscal 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1354672"/>
        <c:crosses val="autoZero"/>
        <c:auto val="0"/>
        <c:lblAlgn val="ctr"/>
        <c:lblOffset val="100"/>
        <c:noMultiLvlLbl val="0"/>
      </c:catAx>
      <c:valAx>
        <c:axId val="131354672"/>
        <c:scaling>
          <c:orientation val="minMax"/>
          <c:min val="29017.163653630581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Per Capita Personal
Income - in 2024 $$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401197904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91BA7E4-259A-1546-AB65-292DD1730CA4}">
  <sheetPr>
    <tabColor rgb="FF66FF66"/>
  </sheetPr>
  <sheetViews>
    <sheetView zoomScale="18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20</xdr:row>
      <xdr:rowOff>0</xdr:rowOff>
    </xdr:from>
    <xdr:to>
      <xdr:col>18</xdr:col>
      <xdr:colOff>0</xdr:colOff>
      <xdr:row>36</xdr:row>
      <xdr:rowOff>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D806A46A-735F-47DD-F866-AE84A51C19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0</xdr:colOff>
      <xdr:row>0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659D3A0C-B1CC-0405-1B68-163A62D5A0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20</xdr:row>
      <xdr:rowOff>0</xdr:rowOff>
    </xdr:from>
    <xdr:to>
      <xdr:col>20</xdr:col>
      <xdr:colOff>0</xdr:colOff>
      <xdr:row>36</xdr:row>
      <xdr:rowOff>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C4E5A415-19E9-DA61-63C1-28E7E44868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0</xdr:colOff>
      <xdr:row>0</xdr:row>
      <xdr:rowOff>0</xdr:rowOff>
    </xdr:from>
    <xdr:to>
      <xdr:col>20</xdr:col>
      <xdr:colOff>0</xdr:colOff>
      <xdr:row>20</xdr:row>
      <xdr:rowOff>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B082518A-64EC-43F9-F2C8-7F32FE9A92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absSizeAnchor xmlns:cdr="http://schemas.openxmlformats.org/drawingml/2006/chartDrawing">
    <cdr:from>
      <cdr:x>0.11176</cdr:x>
      <cdr:y>0.24444</cdr:y>
    </cdr:from>
    <cdr:ext cx="1360757" cy="264560"/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F832FBD-D2BC-782D-93A5-4010870E474A}"/>
            </a:ext>
          </a:extLst>
        </cdr:cNvPr>
        <cdr:cNvSpPr txBox="1"/>
      </cdr:nvSpPr>
      <cdr:spPr>
        <a:xfrm xmlns:a="http://schemas.openxmlformats.org/drawingml/2006/main">
          <a:off x="998482" y="856399"/>
          <a:ext cx="1360757" cy="2645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US" sz="1100" kern="1200"/>
            <a:t>Useful Fit R^2 &gt; 0.80</a:t>
          </a:r>
        </a:p>
      </cdr:txBody>
    </cdr:sp>
  </cdr:absSizeAnchor>
  <cdr:absSizeAnchor xmlns:cdr="http://schemas.openxmlformats.org/drawingml/2006/chartDrawing">
    <cdr:from>
      <cdr:x>0.25637</cdr:x>
      <cdr:y>0.24491</cdr:y>
    </cdr:from>
    <cdr:ext cx="841834" cy="264560"/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7DA884CB-9094-A57A-50D0-3CB05EBB5E50}"/>
            </a:ext>
          </a:extLst>
        </cdr:cNvPr>
        <cdr:cNvSpPr txBox="1"/>
      </cdr:nvSpPr>
      <cdr:spPr>
        <a:xfrm xmlns:a="http://schemas.openxmlformats.org/drawingml/2006/main">
          <a:off x="2290378" y="858020"/>
          <a:ext cx="841834" cy="2645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US" sz="1100" kern="1200"/>
            <a:t>Ryx = 0.910</a:t>
          </a:r>
        </a:p>
      </cdr:txBody>
    </cdr:sp>
  </cdr:absSizeAnchor>
  <cdr:absSizeAnchor xmlns:cdr="http://schemas.openxmlformats.org/drawingml/2006/chartDrawing">
    <cdr:from>
      <cdr:x>0.34706</cdr:x>
      <cdr:y>0.23912</cdr:y>
    </cdr:from>
    <cdr:ext cx="1099147" cy="264560"/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CCE86188-8829-B515-CE1D-F1332F7F4335}"/>
            </a:ext>
          </a:extLst>
        </cdr:cNvPr>
        <cdr:cNvSpPr txBox="1"/>
      </cdr:nvSpPr>
      <cdr:spPr>
        <a:xfrm xmlns:a="http://schemas.openxmlformats.org/drawingml/2006/main">
          <a:off x="3100551" y="837745"/>
          <a:ext cx="1099147" cy="2645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US" sz="1100" kern="1200"/>
            <a:t>Slope = 750.742</a:t>
          </a:r>
        </a:p>
      </cdr:txBody>
    </cdr:sp>
  </cdr:absSizeAnchor>
  <cdr:absSizeAnchor xmlns:cdr="http://schemas.openxmlformats.org/drawingml/2006/chartDrawing">
    <cdr:from>
      <cdr:x>0.46062</cdr:x>
      <cdr:y>0.2375</cdr:y>
    </cdr:from>
    <cdr:ext cx="1127103" cy="264560"/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A986E8B6-EE33-96E2-8881-D139B311FD31}"/>
            </a:ext>
          </a:extLst>
        </cdr:cNvPr>
        <cdr:cNvSpPr txBox="1"/>
      </cdr:nvSpPr>
      <cdr:spPr>
        <a:xfrm xmlns:a="http://schemas.openxmlformats.org/drawingml/2006/main">
          <a:off x="4115091" y="832069"/>
          <a:ext cx="1127103" cy="2645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US" sz="1100" kern="1200"/>
            <a:t>Sigma = 697.780</a:t>
          </a:r>
        </a:p>
      </cdr:txBody>
    </cdr:sp>
  </cdr:abs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20</xdr:row>
      <xdr:rowOff>0</xdr:rowOff>
    </xdr:from>
    <xdr:to>
      <xdr:col>20</xdr:col>
      <xdr:colOff>0</xdr:colOff>
      <xdr:row>36</xdr:row>
      <xdr:rowOff>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AB995E2-556B-2226-A4EB-A35D10F70E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0</xdr:colOff>
      <xdr:row>0</xdr:row>
      <xdr:rowOff>0</xdr:rowOff>
    </xdr:from>
    <xdr:to>
      <xdr:col>20</xdr:col>
      <xdr:colOff>0</xdr:colOff>
      <xdr:row>20</xdr:row>
      <xdr:rowOff>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2AB5FE1E-579F-E68C-46E7-2523C020D0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absSizeAnchor xmlns:cdr="http://schemas.openxmlformats.org/drawingml/2006/chartDrawing">
    <cdr:from>
      <cdr:x>0.22759</cdr:x>
      <cdr:y>0.26806</cdr:y>
    </cdr:from>
    <cdr:ext cx="1360757" cy="264560"/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438BBC4-81E3-E36D-1912-6006E2A62C84}"/>
            </a:ext>
          </a:extLst>
        </cdr:cNvPr>
        <cdr:cNvSpPr txBox="1"/>
      </cdr:nvSpPr>
      <cdr:spPr>
        <a:xfrm xmlns:a="http://schemas.openxmlformats.org/drawingml/2006/main">
          <a:off x="2182721" y="939119"/>
          <a:ext cx="1360757" cy="2645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US" sz="1100" kern="1200"/>
            <a:t>Useful Fit R^2 &gt; 0.80</a:t>
          </a:r>
        </a:p>
      </cdr:txBody>
    </cdr:sp>
  </cdr:absSizeAnchor>
  <cdr:absSizeAnchor xmlns:cdr="http://schemas.openxmlformats.org/drawingml/2006/chartDrawing">
    <cdr:from>
      <cdr:x>0.47873</cdr:x>
      <cdr:y>0.26644</cdr:y>
    </cdr:from>
    <cdr:ext cx="841834" cy="264560"/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A60A5370-7B43-4C8C-B0B2-0A006DFD7EF0}"/>
            </a:ext>
          </a:extLst>
        </cdr:cNvPr>
        <cdr:cNvSpPr txBox="1"/>
      </cdr:nvSpPr>
      <cdr:spPr>
        <a:xfrm xmlns:a="http://schemas.openxmlformats.org/drawingml/2006/main">
          <a:off x="4591341" y="933442"/>
          <a:ext cx="841834" cy="2645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US" sz="1100" kern="1200"/>
            <a:t>Ryx = 0.921</a:t>
          </a:r>
        </a:p>
      </cdr:txBody>
    </cdr:sp>
  </cdr:absSizeAnchor>
  <cdr:absSizeAnchor xmlns:cdr="http://schemas.openxmlformats.org/drawingml/2006/chartDrawing">
    <cdr:from>
      <cdr:x>0.56168</cdr:x>
      <cdr:y>0.26829</cdr:y>
    </cdr:from>
    <cdr:ext cx="1170640" cy="264560"/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33329888-2337-D8FD-8826-F982A39CBF0D}"/>
            </a:ext>
          </a:extLst>
        </cdr:cNvPr>
        <cdr:cNvSpPr txBox="1"/>
      </cdr:nvSpPr>
      <cdr:spPr>
        <a:xfrm xmlns:a="http://schemas.openxmlformats.org/drawingml/2006/main">
          <a:off x="5386917" y="939929"/>
          <a:ext cx="1170640" cy="2645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US" sz="1100" kern="1200"/>
            <a:t>Slope = 1107.815</a:t>
          </a:r>
        </a:p>
      </cdr:txBody>
    </cdr:sp>
  </cdr:absSizeAnchor>
  <cdr:absSizeAnchor xmlns:cdr="http://schemas.openxmlformats.org/drawingml/2006/chartDrawing">
    <cdr:from>
      <cdr:x>0.36229</cdr:x>
      <cdr:y>0.26574</cdr:y>
    </cdr:from>
    <cdr:ext cx="1198598" cy="264560"/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233358E3-F771-264B-0034-99A135220A0D}"/>
            </a:ext>
          </a:extLst>
        </cdr:cNvPr>
        <cdr:cNvSpPr txBox="1"/>
      </cdr:nvSpPr>
      <cdr:spPr>
        <a:xfrm xmlns:a="http://schemas.openxmlformats.org/drawingml/2006/main">
          <a:off x="3474618" y="931009"/>
          <a:ext cx="1198598" cy="2645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US" sz="1100" kern="1200"/>
            <a:t>Sigma = 1210.703</a:t>
          </a:r>
        </a:p>
      </cdr:txBody>
    </cdr:sp>
  </cdr:absSizeAnchor>
  <cdr:absSizeAnchor xmlns:cdr="http://schemas.openxmlformats.org/drawingml/2006/chartDrawing">
    <cdr:from>
      <cdr:x>0.10506</cdr:x>
      <cdr:y>0.26736</cdr:y>
    </cdr:from>
    <cdr:ext cx="1260794" cy="264560"/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AF66D98C-AD78-2DC2-1E72-85AF306D5F76}"/>
            </a:ext>
          </a:extLst>
        </cdr:cNvPr>
        <cdr:cNvSpPr txBox="1"/>
      </cdr:nvSpPr>
      <cdr:spPr>
        <a:xfrm xmlns:a="http://schemas.openxmlformats.org/drawingml/2006/main">
          <a:off x="1007606" y="936686"/>
          <a:ext cx="1260794" cy="2645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US" sz="1100" kern="1200"/>
            <a:t>Probability = 0.576</a:t>
          </a:r>
        </a:p>
      </cdr:txBody>
    </cdr:sp>
  </cdr:absSizeAnchor>
</c:userShapes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78333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504264-FE2D-F2CC-5E25-FE91F6AE563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E255F-B3EF-8646-A233-8AAAE6B89DEC}">
  <sheetPr>
    <tabColor rgb="FF66FF66"/>
    <pageSetUpPr fitToPage="1"/>
  </sheetPr>
  <dimension ref="A1:R52"/>
  <sheetViews>
    <sheetView zoomScale="174" zoomScaleNormal="174" workbookViewId="0">
      <selection activeCell="U17" sqref="U17"/>
    </sheetView>
  </sheetViews>
  <sheetFormatPr baseColWidth="10" defaultRowHeight="14" x14ac:dyDescent="0.15"/>
  <cols>
    <col min="1" max="1" width="9" bestFit="1" customWidth="1"/>
    <col min="2" max="20" width="6.83203125" customWidth="1"/>
  </cols>
  <sheetData>
    <row r="1" spans="1:18" ht="14" customHeight="1" x14ac:dyDescent="0.15">
      <c r="A1" s="4" t="s">
        <v>3</v>
      </c>
      <c r="B1" s="21" t="s">
        <v>10</v>
      </c>
      <c r="C1" s="20" t="s">
        <v>13</v>
      </c>
      <c r="D1" s="20" t="s">
        <v>14</v>
      </c>
      <c r="E1" s="20" t="s">
        <v>15</v>
      </c>
      <c r="F1" s="20" t="s">
        <v>16</v>
      </c>
      <c r="G1" s="20" t="s">
        <v>17</v>
      </c>
      <c r="H1" s="20" t="s">
        <v>18</v>
      </c>
      <c r="I1" s="20" t="s">
        <v>19</v>
      </c>
      <c r="J1" t="s">
        <v>11</v>
      </c>
      <c r="K1" s="20" t="s">
        <v>12</v>
      </c>
      <c r="L1" s="20" t="s">
        <v>13</v>
      </c>
      <c r="M1" s="20" t="s">
        <v>14</v>
      </c>
      <c r="N1" s="20" t="s">
        <v>15</v>
      </c>
      <c r="O1" s="20" t="s">
        <v>16</v>
      </c>
      <c r="P1" s="20" t="s">
        <v>17</v>
      </c>
      <c r="Q1" s="20" t="s">
        <v>18</v>
      </c>
      <c r="R1" s="20" t="s">
        <v>19</v>
      </c>
    </row>
    <row r="2" spans="1:18" ht="14" customHeight="1" x14ac:dyDescent="0.15">
      <c r="A2" s="12">
        <v>2013</v>
      </c>
      <c r="B2" s="20">
        <v>5.5E-2</v>
      </c>
      <c r="C2" s="20">
        <f t="shared" ref="C2:C33" ca="1" si="0">F2+2.66*O2</f>
        <v>5.9855151515151514E-2</v>
      </c>
      <c r="D2" s="20">
        <f t="shared" ref="D2:D33" ca="1" si="1">F2+(2/3)*2.66*O2</f>
        <v>5.2681212121212122E-2</v>
      </c>
      <c r="E2" s="20">
        <f t="shared" ref="E2:E33" ca="1" si="2">F2+(1/3)*2.66*O2</f>
        <v>4.5507272727272723E-2</v>
      </c>
      <c r="F2" s="20">
        <f t="shared" ref="F2:F33" si="3">AVERAGE($B$2:$B$13)</f>
        <v>3.833333333333333E-2</v>
      </c>
      <c r="G2" s="20">
        <f t="shared" ref="G2:G33" ca="1" si="4">F2-(1/3)*2.66*O2</f>
        <v>3.1159393939393935E-2</v>
      </c>
      <c r="H2" s="20">
        <f t="shared" ref="H2:H33" ca="1" si="5">F2-(2/3)*2.66*O2</f>
        <v>2.3985454545454539E-2</v>
      </c>
      <c r="I2" s="20">
        <f t="shared" ref="I2:I33" ca="1" si="6">F2-2.66*O2</f>
        <v>1.6811515151515147E-2</v>
      </c>
      <c r="J2" s="20">
        <f>B2</f>
        <v>5.5E-2</v>
      </c>
      <c r="K2" s="20"/>
      <c r="L2" s="20"/>
      <c r="M2" s="20"/>
      <c r="N2" s="20"/>
      <c r="O2" s="20">
        <f t="shared" ref="O2:O33" ca="1" si="7">AVERAGE($K$2:$K$13)</f>
        <v>8.0909090909090913E-3</v>
      </c>
      <c r="P2" s="20"/>
      <c r="Q2" s="20"/>
      <c r="R2" s="20"/>
    </row>
    <row r="3" spans="1:18" ht="14" customHeight="1" x14ac:dyDescent="0.15">
      <c r="A3" s="12">
        <v>2014</v>
      </c>
      <c r="B3" s="20">
        <v>5.0999999999999997E-2</v>
      </c>
      <c r="C3" s="20">
        <f t="shared" ca="1" si="0"/>
        <v>5.9855151515151514E-2</v>
      </c>
      <c r="D3" s="20">
        <f t="shared" ca="1" si="1"/>
        <v>5.2681212121212122E-2</v>
      </c>
      <c r="E3" s="20">
        <f t="shared" ca="1" si="2"/>
        <v>4.5507272727272723E-2</v>
      </c>
      <c r="F3" s="20">
        <f t="shared" si="3"/>
        <v>3.833333333333333E-2</v>
      </c>
      <c r="G3" s="20">
        <f t="shared" ca="1" si="4"/>
        <v>3.1159393939393935E-2</v>
      </c>
      <c r="H3" s="20">
        <f t="shared" ca="1" si="5"/>
        <v>2.3985454545454539E-2</v>
      </c>
      <c r="I3" s="20">
        <f t="shared" ca="1" si="6"/>
        <v>1.6811515151515147E-2</v>
      </c>
      <c r="J3">
        <f t="shared" ref="J3:J33" ca="1" si="8">IF(ISBLANK(B3),OFFSET(J3,-1,0,1,1),B3)</f>
        <v>5.0999999999999997E-2</v>
      </c>
      <c r="K3" s="20">
        <f t="shared" ref="K3:K33" ca="1" si="9">IF(OR(OFFSET(K3,-1,-9,1,1)="",OFFSET(K3,0,-9,1,1)=""),"",IF(ISERROR(ABS(B3-OFFSET(K3,-1,-1,1,1))),"",ABS(B3-OFFSET(K3,-1,-1,1,1))))</f>
        <v>4.0000000000000036E-3</v>
      </c>
      <c r="L3" s="20">
        <f t="shared" ref="L3:L33" ca="1" si="10">3.267*O3</f>
        <v>2.6433000000000002E-2</v>
      </c>
      <c r="M3" s="20">
        <f t="shared" ref="M3:M33" ca="1" si="11">(2/3)*(L3-O3)+O3</f>
        <v>2.0318969696969696E-2</v>
      </c>
      <c r="N3" s="20">
        <f t="shared" ref="N3:N33" ca="1" si="12">(1/3)*(L3-O3)+O3</f>
        <v>1.4204939393939395E-2</v>
      </c>
      <c r="O3" s="20">
        <f t="shared" ca="1" si="7"/>
        <v>8.0909090909090913E-3</v>
      </c>
      <c r="P3" s="20">
        <f t="shared" ref="P3:P33" ca="1" si="13">(MAX(O3-(1/3)*(L3-O3),0))</f>
        <v>1.9768787878787879E-3</v>
      </c>
      <c r="Q3" s="20">
        <f t="shared" ref="Q3:Q33" ca="1" si="14">MAX(O3-(2/3)*(L3-O3),0)</f>
        <v>0</v>
      </c>
      <c r="R3" s="20">
        <v>0</v>
      </c>
    </row>
    <row r="4" spans="1:18" ht="14" customHeight="1" x14ac:dyDescent="0.15">
      <c r="A4" s="12">
        <v>2015</v>
      </c>
      <c r="B4" s="20">
        <v>3.2000000000000001E-2</v>
      </c>
      <c r="C4" s="20">
        <f t="shared" ca="1" si="0"/>
        <v>5.9855151515151514E-2</v>
      </c>
      <c r="D4" s="20">
        <f t="shared" ca="1" si="1"/>
        <v>5.2681212121212122E-2</v>
      </c>
      <c r="E4" s="20">
        <f t="shared" ca="1" si="2"/>
        <v>4.5507272727272723E-2</v>
      </c>
      <c r="F4" s="20">
        <f t="shared" si="3"/>
        <v>3.833333333333333E-2</v>
      </c>
      <c r="G4" s="20">
        <f t="shared" ca="1" si="4"/>
        <v>3.1159393939393935E-2</v>
      </c>
      <c r="H4" s="20">
        <f t="shared" ca="1" si="5"/>
        <v>2.3985454545454539E-2</v>
      </c>
      <c r="I4" s="20">
        <f t="shared" ca="1" si="6"/>
        <v>1.6811515151515147E-2</v>
      </c>
      <c r="J4">
        <f t="shared" ca="1" si="8"/>
        <v>3.2000000000000001E-2</v>
      </c>
      <c r="K4" s="20">
        <f t="shared" ca="1" si="9"/>
        <v>1.8999999999999996E-2</v>
      </c>
      <c r="L4" s="20">
        <f t="shared" ca="1" si="10"/>
        <v>2.6433000000000002E-2</v>
      </c>
      <c r="M4" s="20">
        <f t="shared" ca="1" si="11"/>
        <v>2.0318969696969696E-2</v>
      </c>
      <c r="N4" s="20">
        <f t="shared" ca="1" si="12"/>
        <v>1.4204939393939395E-2</v>
      </c>
      <c r="O4" s="20">
        <f t="shared" ca="1" si="7"/>
        <v>8.0909090909090913E-3</v>
      </c>
      <c r="P4" s="20">
        <f t="shared" ca="1" si="13"/>
        <v>1.9768787878787879E-3</v>
      </c>
      <c r="Q4" s="20">
        <f t="shared" ca="1" si="14"/>
        <v>0</v>
      </c>
      <c r="R4" s="20">
        <v>0</v>
      </c>
    </row>
    <row r="5" spans="1:18" ht="14" customHeight="1" x14ac:dyDescent="0.15">
      <c r="A5" s="12">
        <v>2016</v>
      </c>
      <c r="B5" s="20">
        <v>3.4000000000000002E-2</v>
      </c>
      <c r="C5" s="20">
        <f t="shared" ca="1" si="0"/>
        <v>5.9855151515151514E-2</v>
      </c>
      <c r="D5" s="20">
        <f t="shared" ca="1" si="1"/>
        <v>5.2681212121212122E-2</v>
      </c>
      <c r="E5" s="20">
        <f t="shared" ca="1" si="2"/>
        <v>4.5507272727272723E-2</v>
      </c>
      <c r="F5" s="20">
        <f t="shared" si="3"/>
        <v>3.833333333333333E-2</v>
      </c>
      <c r="G5" s="20">
        <f t="shared" ca="1" si="4"/>
        <v>3.1159393939393935E-2</v>
      </c>
      <c r="H5" s="20">
        <f t="shared" ca="1" si="5"/>
        <v>2.3985454545454539E-2</v>
      </c>
      <c r="I5" s="20">
        <f t="shared" ca="1" si="6"/>
        <v>1.6811515151515147E-2</v>
      </c>
      <c r="J5">
        <f t="shared" ca="1" si="8"/>
        <v>3.4000000000000002E-2</v>
      </c>
      <c r="K5" s="20">
        <f t="shared" ca="1" si="9"/>
        <v>2.0000000000000018E-3</v>
      </c>
      <c r="L5" s="20">
        <f t="shared" ca="1" si="10"/>
        <v>2.6433000000000002E-2</v>
      </c>
      <c r="M5" s="20">
        <f t="shared" ca="1" si="11"/>
        <v>2.0318969696969696E-2</v>
      </c>
      <c r="N5" s="20">
        <f t="shared" ca="1" si="12"/>
        <v>1.4204939393939395E-2</v>
      </c>
      <c r="O5" s="20">
        <f t="shared" ca="1" si="7"/>
        <v>8.0909090909090913E-3</v>
      </c>
      <c r="P5" s="20">
        <f t="shared" ca="1" si="13"/>
        <v>1.9768787878787879E-3</v>
      </c>
      <c r="Q5" s="20">
        <f t="shared" ca="1" si="14"/>
        <v>0</v>
      </c>
      <c r="R5" s="20">
        <v>0</v>
      </c>
    </row>
    <row r="6" spans="1:18" ht="14" customHeight="1" x14ac:dyDescent="0.15">
      <c r="A6" s="12">
        <v>2017</v>
      </c>
      <c r="B6" s="20">
        <v>3.7999999999999999E-2</v>
      </c>
      <c r="C6" s="20">
        <f t="shared" ca="1" si="0"/>
        <v>5.9855151515151514E-2</v>
      </c>
      <c r="D6" s="20">
        <f t="shared" ca="1" si="1"/>
        <v>5.2681212121212122E-2</v>
      </c>
      <c r="E6" s="20">
        <f t="shared" ca="1" si="2"/>
        <v>4.5507272727272723E-2</v>
      </c>
      <c r="F6" s="20">
        <f t="shared" si="3"/>
        <v>3.833333333333333E-2</v>
      </c>
      <c r="G6" s="20">
        <f t="shared" ca="1" si="4"/>
        <v>3.1159393939393935E-2</v>
      </c>
      <c r="H6" s="20">
        <f t="shared" ca="1" si="5"/>
        <v>2.3985454545454539E-2</v>
      </c>
      <c r="I6" s="20">
        <f t="shared" ca="1" si="6"/>
        <v>1.6811515151515147E-2</v>
      </c>
      <c r="J6">
        <f t="shared" ca="1" si="8"/>
        <v>3.7999999999999999E-2</v>
      </c>
      <c r="K6" s="20">
        <f t="shared" ca="1" si="9"/>
        <v>3.9999999999999966E-3</v>
      </c>
      <c r="L6" s="20">
        <f t="shared" ca="1" si="10"/>
        <v>2.6433000000000002E-2</v>
      </c>
      <c r="M6" s="20">
        <f t="shared" ca="1" si="11"/>
        <v>2.0318969696969696E-2</v>
      </c>
      <c r="N6" s="20">
        <f t="shared" ca="1" si="12"/>
        <v>1.4204939393939395E-2</v>
      </c>
      <c r="O6" s="20">
        <f t="shared" ca="1" si="7"/>
        <v>8.0909090909090913E-3</v>
      </c>
      <c r="P6" s="20">
        <f t="shared" ca="1" si="13"/>
        <v>1.9768787878787879E-3</v>
      </c>
      <c r="Q6" s="20">
        <f t="shared" ca="1" si="14"/>
        <v>0</v>
      </c>
      <c r="R6" s="20">
        <v>0</v>
      </c>
    </row>
    <row r="7" spans="1:18" ht="14" customHeight="1" x14ac:dyDescent="0.15">
      <c r="A7" s="12">
        <v>2018</v>
      </c>
      <c r="B7" s="20">
        <v>3.2000000000000001E-2</v>
      </c>
      <c r="C7" s="20">
        <f t="shared" ca="1" si="0"/>
        <v>5.9855151515151514E-2</v>
      </c>
      <c r="D7" s="20">
        <f t="shared" ca="1" si="1"/>
        <v>5.2681212121212122E-2</v>
      </c>
      <c r="E7" s="20">
        <f t="shared" ca="1" si="2"/>
        <v>4.5507272727272723E-2</v>
      </c>
      <c r="F7" s="20">
        <f t="shared" si="3"/>
        <v>3.833333333333333E-2</v>
      </c>
      <c r="G7" s="20">
        <f t="shared" ca="1" si="4"/>
        <v>3.1159393939393935E-2</v>
      </c>
      <c r="H7" s="20">
        <f t="shared" ca="1" si="5"/>
        <v>2.3985454545454539E-2</v>
      </c>
      <c r="I7" s="20">
        <f t="shared" ca="1" si="6"/>
        <v>1.6811515151515147E-2</v>
      </c>
      <c r="J7">
        <f t="shared" ca="1" si="8"/>
        <v>3.2000000000000001E-2</v>
      </c>
      <c r="K7" s="20">
        <f t="shared" ca="1" si="9"/>
        <v>5.9999999999999984E-3</v>
      </c>
      <c r="L7" s="20">
        <f t="shared" ca="1" si="10"/>
        <v>2.6433000000000002E-2</v>
      </c>
      <c r="M7" s="20">
        <f t="shared" ca="1" si="11"/>
        <v>2.0318969696969696E-2</v>
      </c>
      <c r="N7" s="20">
        <f t="shared" ca="1" si="12"/>
        <v>1.4204939393939395E-2</v>
      </c>
      <c r="O7" s="20">
        <f t="shared" ca="1" si="7"/>
        <v>8.0909090909090913E-3</v>
      </c>
      <c r="P7" s="20">
        <f t="shared" ca="1" si="13"/>
        <v>1.9768787878787879E-3</v>
      </c>
      <c r="Q7" s="20">
        <f t="shared" ca="1" si="14"/>
        <v>0</v>
      </c>
      <c r="R7" s="20">
        <v>0</v>
      </c>
    </row>
    <row r="8" spans="1:18" ht="14" customHeight="1" x14ac:dyDescent="0.15">
      <c r="A8" s="2">
        <v>2019</v>
      </c>
      <c r="B8" s="20">
        <v>2.7E-2</v>
      </c>
      <c r="C8" s="20">
        <f t="shared" ca="1" si="0"/>
        <v>5.9855151515151514E-2</v>
      </c>
      <c r="D8" s="20">
        <f t="shared" ca="1" si="1"/>
        <v>5.2681212121212122E-2</v>
      </c>
      <c r="E8" s="20">
        <f t="shared" ca="1" si="2"/>
        <v>4.5507272727272723E-2</v>
      </c>
      <c r="F8" s="20">
        <f t="shared" si="3"/>
        <v>3.833333333333333E-2</v>
      </c>
      <c r="G8" s="20">
        <f t="shared" ca="1" si="4"/>
        <v>3.1159393939393935E-2</v>
      </c>
      <c r="H8" s="20">
        <f t="shared" ca="1" si="5"/>
        <v>2.3985454545454539E-2</v>
      </c>
      <c r="I8" s="20">
        <f t="shared" ca="1" si="6"/>
        <v>1.6811515151515147E-2</v>
      </c>
      <c r="J8">
        <f t="shared" ca="1" si="8"/>
        <v>2.7E-2</v>
      </c>
      <c r="K8" s="20">
        <f t="shared" ca="1" si="9"/>
        <v>5.000000000000001E-3</v>
      </c>
      <c r="L8" s="20">
        <f t="shared" ca="1" si="10"/>
        <v>2.6433000000000002E-2</v>
      </c>
      <c r="M8" s="20">
        <f t="shared" ca="1" si="11"/>
        <v>2.0318969696969696E-2</v>
      </c>
      <c r="N8" s="20">
        <f t="shared" ca="1" si="12"/>
        <v>1.4204939393939395E-2</v>
      </c>
      <c r="O8" s="20">
        <f t="shared" ca="1" si="7"/>
        <v>8.0909090909090913E-3</v>
      </c>
      <c r="P8" s="20">
        <f t="shared" ca="1" si="13"/>
        <v>1.9768787878787879E-3</v>
      </c>
      <c r="Q8" s="20">
        <f t="shared" ca="1" si="14"/>
        <v>0</v>
      </c>
      <c r="R8" s="20">
        <v>0</v>
      </c>
    </row>
    <row r="9" spans="1:18" ht="14" customHeight="1" x14ac:dyDescent="0.15">
      <c r="A9" s="2">
        <v>2020</v>
      </c>
      <c r="B9" s="20">
        <v>5.0999999999999997E-2</v>
      </c>
      <c r="C9" s="20">
        <f t="shared" ca="1" si="0"/>
        <v>5.9855151515151514E-2</v>
      </c>
      <c r="D9" s="20">
        <f t="shared" ca="1" si="1"/>
        <v>5.2681212121212122E-2</v>
      </c>
      <c r="E9" s="20">
        <f t="shared" ca="1" si="2"/>
        <v>4.5507272727272723E-2</v>
      </c>
      <c r="F9" s="20">
        <f t="shared" si="3"/>
        <v>3.833333333333333E-2</v>
      </c>
      <c r="G9" s="20">
        <f t="shared" ca="1" si="4"/>
        <v>3.1159393939393935E-2</v>
      </c>
      <c r="H9" s="20">
        <f t="shared" ca="1" si="5"/>
        <v>2.3985454545454539E-2</v>
      </c>
      <c r="I9" s="20">
        <f t="shared" ca="1" si="6"/>
        <v>1.6811515151515147E-2</v>
      </c>
      <c r="J9">
        <f t="shared" ca="1" si="8"/>
        <v>5.0999999999999997E-2</v>
      </c>
      <c r="K9" s="20">
        <f t="shared" ca="1" si="9"/>
        <v>2.3999999999999997E-2</v>
      </c>
      <c r="L9" s="20">
        <f t="shared" ca="1" si="10"/>
        <v>2.6433000000000002E-2</v>
      </c>
      <c r="M9" s="20">
        <f t="shared" ca="1" si="11"/>
        <v>2.0318969696969696E-2</v>
      </c>
      <c r="N9" s="20">
        <f t="shared" ca="1" si="12"/>
        <v>1.4204939393939395E-2</v>
      </c>
      <c r="O9" s="20">
        <f t="shared" ca="1" si="7"/>
        <v>8.0909090909090913E-3</v>
      </c>
      <c r="P9" s="20">
        <f t="shared" ca="1" si="13"/>
        <v>1.9768787878787879E-3</v>
      </c>
      <c r="Q9" s="20">
        <f t="shared" ca="1" si="14"/>
        <v>0</v>
      </c>
      <c r="R9" s="20">
        <v>0</v>
      </c>
    </row>
    <row r="10" spans="1:18" ht="14" customHeight="1" x14ac:dyDescent="0.15">
      <c r="A10" s="2">
        <v>2021</v>
      </c>
      <c r="B10" s="20">
        <v>3.9E-2</v>
      </c>
      <c r="C10" s="20">
        <f t="shared" ca="1" si="0"/>
        <v>5.9855151515151514E-2</v>
      </c>
      <c r="D10" s="20">
        <f t="shared" ca="1" si="1"/>
        <v>5.2681212121212122E-2</v>
      </c>
      <c r="E10" s="20">
        <f t="shared" ca="1" si="2"/>
        <v>4.5507272727272723E-2</v>
      </c>
      <c r="F10" s="20">
        <f t="shared" si="3"/>
        <v>3.833333333333333E-2</v>
      </c>
      <c r="G10" s="20">
        <f t="shared" ca="1" si="4"/>
        <v>3.1159393939393935E-2</v>
      </c>
      <c r="H10" s="20">
        <f t="shared" ca="1" si="5"/>
        <v>2.3985454545454539E-2</v>
      </c>
      <c r="I10" s="20">
        <f t="shared" ca="1" si="6"/>
        <v>1.6811515151515147E-2</v>
      </c>
      <c r="J10">
        <f t="shared" ca="1" si="8"/>
        <v>3.9E-2</v>
      </c>
      <c r="K10" s="20">
        <f t="shared" ca="1" si="9"/>
        <v>1.1999999999999997E-2</v>
      </c>
      <c r="L10" s="20">
        <f t="shared" ca="1" si="10"/>
        <v>2.6433000000000002E-2</v>
      </c>
      <c r="M10" s="20">
        <f t="shared" ca="1" si="11"/>
        <v>2.0318969696969696E-2</v>
      </c>
      <c r="N10" s="20">
        <f t="shared" ca="1" si="12"/>
        <v>1.4204939393939395E-2</v>
      </c>
      <c r="O10" s="20">
        <f t="shared" ca="1" si="7"/>
        <v>8.0909090909090913E-3</v>
      </c>
      <c r="P10" s="20">
        <f t="shared" ca="1" si="13"/>
        <v>1.9768787878787879E-3</v>
      </c>
      <c r="Q10" s="20">
        <f t="shared" ca="1" si="14"/>
        <v>0</v>
      </c>
      <c r="R10" s="20">
        <v>0</v>
      </c>
    </row>
    <row r="11" spans="1:18" ht="14" customHeight="1" x14ac:dyDescent="0.15">
      <c r="A11" s="2">
        <v>2022</v>
      </c>
      <c r="B11" s="20">
        <v>3.3000000000000002E-2</v>
      </c>
      <c r="C11" s="20">
        <f t="shared" ca="1" si="0"/>
        <v>5.9855151515151514E-2</v>
      </c>
      <c r="D11" s="20">
        <f t="shared" ca="1" si="1"/>
        <v>5.2681212121212122E-2</v>
      </c>
      <c r="E11" s="20">
        <f t="shared" ca="1" si="2"/>
        <v>4.5507272727272723E-2</v>
      </c>
      <c r="F11" s="20">
        <f t="shared" si="3"/>
        <v>3.833333333333333E-2</v>
      </c>
      <c r="G11" s="20">
        <f t="shared" ca="1" si="4"/>
        <v>3.1159393939393935E-2</v>
      </c>
      <c r="H11" s="20">
        <f t="shared" ca="1" si="5"/>
        <v>2.3985454545454539E-2</v>
      </c>
      <c r="I11" s="20">
        <f t="shared" ca="1" si="6"/>
        <v>1.6811515151515147E-2</v>
      </c>
      <c r="J11">
        <f t="shared" ca="1" si="8"/>
        <v>3.3000000000000002E-2</v>
      </c>
      <c r="K11" s="20">
        <f t="shared" ca="1" si="9"/>
        <v>5.9999999999999984E-3</v>
      </c>
      <c r="L11" s="20">
        <f t="shared" ca="1" si="10"/>
        <v>2.6433000000000002E-2</v>
      </c>
      <c r="M11" s="20">
        <f t="shared" ca="1" si="11"/>
        <v>2.0318969696969696E-2</v>
      </c>
      <c r="N11" s="20">
        <f t="shared" ca="1" si="12"/>
        <v>1.4204939393939395E-2</v>
      </c>
      <c r="O11" s="20">
        <f t="shared" ca="1" si="7"/>
        <v>8.0909090909090913E-3</v>
      </c>
      <c r="P11" s="20">
        <f t="shared" ca="1" si="13"/>
        <v>1.9768787878787879E-3</v>
      </c>
      <c r="Q11" s="20">
        <f t="shared" ca="1" si="14"/>
        <v>0</v>
      </c>
      <c r="R11" s="20">
        <v>0</v>
      </c>
    </row>
    <row r="12" spans="1:18" ht="14" customHeight="1" x14ac:dyDescent="0.15">
      <c r="A12" s="2">
        <v>2023</v>
      </c>
      <c r="B12" s="20">
        <v>3.5999999999999997E-2</v>
      </c>
      <c r="C12" s="20">
        <f t="shared" ca="1" si="0"/>
        <v>5.9855151515151514E-2</v>
      </c>
      <c r="D12" s="20">
        <f t="shared" ca="1" si="1"/>
        <v>5.2681212121212122E-2</v>
      </c>
      <c r="E12" s="20">
        <f t="shared" ca="1" si="2"/>
        <v>4.5507272727272723E-2</v>
      </c>
      <c r="F12" s="20">
        <f t="shared" si="3"/>
        <v>3.833333333333333E-2</v>
      </c>
      <c r="G12" s="20">
        <f t="shared" ca="1" si="4"/>
        <v>3.1159393939393935E-2</v>
      </c>
      <c r="H12" s="20">
        <f t="shared" ca="1" si="5"/>
        <v>2.3985454545454539E-2</v>
      </c>
      <c r="I12" s="20">
        <f t="shared" ca="1" si="6"/>
        <v>1.6811515151515147E-2</v>
      </c>
      <c r="J12">
        <f t="shared" ca="1" si="8"/>
        <v>3.5999999999999997E-2</v>
      </c>
      <c r="K12" s="20">
        <f t="shared" ca="1" si="9"/>
        <v>2.9999999999999957E-3</v>
      </c>
      <c r="L12" s="20">
        <f t="shared" ca="1" si="10"/>
        <v>2.6433000000000002E-2</v>
      </c>
      <c r="M12" s="20">
        <f t="shared" ca="1" si="11"/>
        <v>2.0318969696969696E-2</v>
      </c>
      <c r="N12" s="20">
        <f t="shared" ca="1" si="12"/>
        <v>1.4204939393939395E-2</v>
      </c>
      <c r="O12" s="20">
        <f t="shared" ca="1" si="7"/>
        <v>8.0909090909090913E-3</v>
      </c>
      <c r="P12" s="20">
        <f t="shared" ca="1" si="13"/>
        <v>1.9768787878787879E-3</v>
      </c>
      <c r="Q12" s="20">
        <f t="shared" ca="1" si="14"/>
        <v>0</v>
      </c>
      <c r="R12" s="20">
        <v>0</v>
      </c>
    </row>
    <row r="13" spans="1:18" ht="14" customHeight="1" x14ac:dyDescent="0.15">
      <c r="A13" s="2">
        <v>2024</v>
      </c>
      <c r="B13" s="20">
        <v>3.2000000000000001E-2</v>
      </c>
      <c r="C13" s="20">
        <f t="shared" ca="1" si="0"/>
        <v>5.9855151515151514E-2</v>
      </c>
      <c r="D13" s="20">
        <f t="shared" ca="1" si="1"/>
        <v>5.2681212121212122E-2</v>
      </c>
      <c r="E13" s="20">
        <f t="shared" ca="1" si="2"/>
        <v>4.5507272727272723E-2</v>
      </c>
      <c r="F13" s="20">
        <f t="shared" si="3"/>
        <v>3.833333333333333E-2</v>
      </c>
      <c r="G13" s="20">
        <f t="shared" ca="1" si="4"/>
        <v>3.1159393939393935E-2</v>
      </c>
      <c r="H13" s="20">
        <f t="shared" ca="1" si="5"/>
        <v>2.3985454545454539E-2</v>
      </c>
      <c r="I13" s="20">
        <f t="shared" ca="1" si="6"/>
        <v>1.6811515151515147E-2</v>
      </c>
      <c r="J13">
        <f t="shared" ca="1" si="8"/>
        <v>3.2000000000000001E-2</v>
      </c>
      <c r="K13" s="20">
        <f t="shared" ca="1" si="9"/>
        <v>3.9999999999999966E-3</v>
      </c>
      <c r="L13" s="20">
        <f t="shared" ca="1" si="10"/>
        <v>2.6433000000000002E-2</v>
      </c>
      <c r="M13" s="20">
        <f t="shared" ca="1" si="11"/>
        <v>2.0318969696969696E-2</v>
      </c>
      <c r="N13" s="20">
        <f t="shared" ca="1" si="12"/>
        <v>1.4204939393939395E-2</v>
      </c>
      <c r="O13" s="20">
        <f t="shared" ca="1" si="7"/>
        <v>8.0909090909090913E-3</v>
      </c>
      <c r="P13" s="20">
        <f t="shared" ca="1" si="13"/>
        <v>1.9768787878787879E-3</v>
      </c>
      <c r="Q13" s="20">
        <f t="shared" ca="1" si="14"/>
        <v>0</v>
      </c>
      <c r="R13" s="20">
        <v>0</v>
      </c>
    </row>
    <row r="14" spans="1:18" ht="14" customHeight="1" x14ac:dyDescent="0.15">
      <c r="B14" s="20"/>
      <c r="C14" s="20">
        <f t="shared" ca="1" si="0"/>
        <v>5.9855151515151514E-2</v>
      </c>
      <c r="D14" s="20">
        <f t="shared" ca="1" si="1"/>
        <v>5.2681212121212122E-2</v>
      </c>
      <c r="E14" s="20">
        <f t="shared" ca="1" si="2"/>
        <v>4.5507272727272723E-2</v>
      </c>
      <c r="F14" s="20">
        <f t="shared" si="3"/>
        <v>3.833333333333333E-2</v>
      </c>
      <c r="G14" s="20">
        <f t="shared" ca="1" si="4"/>
        <v>3.1159393939393935E-2</v>
      </c>
      <c r="H14" s="20">
        <f t="shared" ca="1" si="5"/>
        <v>2.3985454545454539E-2</v>
      </c>
      <c r="I14" s="20">
        <f t="shared" ca="1" si="6"/>
        <v>1.6811515151515147E-2</v>
      </c>
      <c r="J14">
        <f t="shared" ca="1" si="8"/>
        <v>3.2000000000000001E-2</v>
      </c>
      <c r="K14" t="str">
        <f t="shared" ca="1" si="9"/>
        <v/>
      </c>
      <c r="L14">
        <f t="shared" ca="1" si="10"/>
        <v>2.6433000000000002E-2</v>
      </c>
      <c r="M14">
        <f t="shared" ca="1" si="11"/>
        <v>2.0318969696969696E-2</v>
      </c>
      <c r="N14">
        <f t="shared" ca="1" si="12"/>
        <v>1.4204939393939395E-2</v>
      </c>
      <c r="O14" s="20">
        <f t="shared" ca="1" si="7"/>
        <v>8.0909090909090913E-3</v>
      </c>
      <c r="P14">
        <f t="shared" ca="1" si="13"/>
        <v>1.9768787878787879E-3</v>
      </c>
      <c r="Q14">
        <f t="shared" ca="1" si="14"/>
        <v>0</v>
      </c>
      <c r="R14">
        <v>0</v>
      </c>
    </row>
    <row r="15" spans="1:18" ht="14" customHeight="1" x14ac:dyDescent="0.15">
      <c r="B15" s="20"/>
      <c r="C15" s="20">
        <f t="shared" ca="1" si="0"/>
        <v>5.9855151515151514E-2</v>
      </c>
      <c r="D15" s="20">
        <f t="shared" ca="1" si="1"/>
        <v>5.2681212121212122E-2</v>
      </c>
      <c r="E15" s="20">
        <f t="shared" ca="1" si="2"/>
        <v>4.5507272727272723E-2</v>
      </c>
      <c r="F15" s="20">
        <f t="shared" si="3"/>
        <v>3.833333333333333E-2</v>
      </c>
      <c r="G15" s="20">
        <f t="shared" ca="1" si="4"/>
        <v>3.1159393939393935E-2</v>
      </c>
      <c r="H15" s="20">
        <f t="shared" ca="1" si="5"/>
        <v>2.3985454545454539E-2</v>
      </c>
      <c r="I15" s="20">
        <f t="shared" ca="1" si="6"/>
        <v>1.6811515151515147E-2</v>
      </c>
      <c r="J15">
        <f t="shared" ca="1" si="8"/>
        <v>3.2000000000000001E-2</v>
      </c>
      <c r="K15" t="str">
        <f t="shared" ca="1" si="9"/>
        <v/>
      </c>
      <c r="L15">
        <f t="shared" ca="1" si="10"/>
        <v>2.6433000000000002E-2</v>
      </c>
      <c r="M15">
        <f t="shared" ca="1" si="11"/>
        <v>2.0318969696969696E-2</v>
      </c>
      <c r="N15">
        <f t="shared" ca="1" si="12"/>
        <v>1.4204939393939395E-2</v>
      </c>
      <c r="O15" s="20">
        <f t="shared" ca="1" si="7"/>
        <v>8.0909090909090913E-3</v>
      </c>
      <c r="P15">
        <f t="shared" ca="1" si="13"/>
        <v>1.9768787878787879E-3</v>
      </c>
      <c r="Q15">
        <f t="shared" ca="1" si="14"/>
        <v>0</v>
      </c>
      <c r="R15">
        <v>0</v>
      </c>
    </row>
    <row r="16" spans="1:18" ht="14" customHeight="1" x14ac:dyDescent="0.15">
      <c r="B16" s="20"/>
      <c r="C16" s="20">
        <f t="shared" ca="1" si="0"/>
        <v>5.9855151515151514E-2</v>
      </c>
      <c r="D16" s="20">
        <f t="shared" ca="1" si="1"/>
        <v>5.2681212121212122E-2</v>
      </c>
      <c r="E16" s="20">
        <f t="shared" ca="1" si="2"/>
        <v>4.5507272727272723E-2</v>
      </c>
      <c r="F16" s="20">
        <f t="shared" si="3"/>
        <v>3.833333333333333E-2</v>
      </c>
      <c r="G16" s="20">
        <f t="shared" ca="1" si="4"/>
        <v>3.1159393939393935E-2</v>
      </c>
      <c r="H16" s="20">
        <f t="shared" ca="1" si="5"/>
        <v>2.3985454545454539E-2</v>
      </c>
      <c r="I16" s="20">
        <f t="shared" ca="1" si="6"/>
        <v>1.6811515151515147E-2</v>
      </c>
      <c r="J16">
        <f t="shared" ca="1" si="8"/>
        <v>3.2000000000000001E-2</v>
      </c>
      <c r="K16" t="str">
        <f t="shared" ca="1" si="9"/>
        <v/>
      </c>
      <c r="L16">
        <f t="shared" ca="1" si="10"/>
        <v>2.6433000000000002E-2</v>
      </c>
      <c r="M16">
        <f t="shared" ca="1" si="11"/>
        <v>2.0318969696969696E-2</v>
      </c>
      <c r="N16">
        <f t="shared" ca="1" si="12"/>
        <v>1.4204939393939395E-2</v>
      </c>
      <c r="O16" s="20">
        <f t="shared" ca="1" si="7"/>
        <v>8.0909090909090913E-3</v>
      </c>
      <c r="P16">
        <f t="shared" ca="1" si="13"/>
        <v>1.9768787878787879E-3</v>
      </c>
      <c r="Q16">
        <f t="shared" ca="1" si="14"/>
        <v>0</v>
      </c>
      <c r="R16">
        <v>0</v>
      </c>
    </row>
    <row r="17" spans="2:18" ht="14" customHeight="1" x14ac:dyDescent="0.15">
      <c r="B17" s="20"/>
      <c r="C17" s="20">
        <f t="shared" ca="1" si="0"/>
        <v>5.9855151515151514E-2</v>
      </c>
      <c r="D17" s="20">
        <f t="shared" ca="1" si="1"/>
        <v>5.2681212121212122E-2</v>
      </c>
      <c r="E17" s="20">
        <f t="shared" ca="1" si="2"/>
        <v>4.5507272727272723E-2</v>
      </c>
      <c r="F17" s="20">
        <f t="shared" si="3"/>
        <v>3.833333333333333E-2</v>
      </c>
      <c r="G17" s="20">
        <f t="shared" ca="1" si="4"/>
        <v>3.1159393939393935E-2</v>
      </c>
      <c r="H17" s="20">
        <f t="shared" ca="1" si="5"/>
        <v>2.3985454545454539E-2</v>
      </c>
      <c r="I17" s="20">
        <f t="shared" ca="1" si="6"/>
        <v>1.6811515151515147E-2</v>
      </c>
      <c r="J17">
        <f t="shared" ca="1" si="8"/>
        <v>3.2000000000000001E-2</v>
      </c>
      <c r="K17" t="str">
        <f t="shared" ca="1" si="9"/>
        <v/>
      </c>
      <c r="L17">
        <f t="shared" ca="1" si="10"/>
        <v>2.6433000000000002E-2</v>
      </c>
      <c r="M17">
        <f t="shared" ca="1" si="11"/>
        <v>2.0318969696969696E-2</v>
      </c>
      <c r="N17">
        <f t="shared" ca="1" si="12"/>
        <v>1.4204939393939395E-2</v>
      </c>
      <c r="O17" s="20">
        <f t="shared" ca="1" si="7"/>
        <v>8.0909090909090913E-3</v>
      </c>
      <c r="P17">
        <f t="shared" ca="1" si="13"/>
        <v>1.9768787878787879E-3</v>
      </c>
      <c r="Q17">
        <f t="shared" ca="1" si="14"/>
        <v>0</v>
      </c>
      <c r="R17">
        <v>0</v>
      </c>
    </row>
    <row r="18" spans="2:18" ht="14" customHeight="1" x14ac:dyDescent="0.15">
      <c r="B18" s="20"/>
      <c r="C18" s="20">
        <f t="shared" ca="1" si="0"/>
        <v>5.9855151515151514E-2</v>
      </c>
      <c r="D18" s="20">
        <f t="shared" ca="1" si="1"/>
        <v>5.2681212121212122E-2</v>
      </c>
      <c r="E18" s="20">
        <f t="shared" ca="1" si="2"/>
        <v>4.5507272727272723E-2</v>
      </c>
      <c r="F18" s="20">
        <f t="shared" si="3"/>
        <v>3.833333333333333E-2</v>
      </c>
      <c r="G18" s="20">
        <f t="shared" ca="1" si="4"/>
        <v>3.1159393939393935E-2</v>
      </c>
      <c r="H18" s="20">
        <f t="shared" ca="1" si="5"/>
        <v>2.3985454545454539E-2</v>
      </c>
      <c r="I18" s="20">
        <f t="shared" ca="1" si="6"/>
        <v>1.6811515151515147E-2</v>
      </c>
      <c r="J18">
        <f t="shared" ca="1" si="8"/>
        <v>3.2000000000000001E-2</v>
      </c>
      <c r="K18" t="str">
        <f t="shared" ca="1" si="9"/>
        <v/>
      </c>
      <c r="L18">
        <f t="shared" ca="1" si="10"/>
        <v>2.6433000000000002E-2</v>
      </c>
      <c r="M18">
        <f t="shared" ca="1" si="11"/>
        <v>2.0318969696969696E-2</v>
      </c>
      <c r="N18">
        <f t="shared" ca="1" si="12"/>
        <v>1.4204939393939395E-2</v>
      </c>
      <c r="O18" s="20">
        <f t="shared" ca="1" si="7"/>
        <v>8.0909090909090913E-3</v>
      </c>
      <c r="P18">
        <f t="shared" ca="1" si="13"/>
        <v>1.9768787878787879E-3</v>
      </c>
      <c r="Q18">
        <f t="shared" ca="1" si="14"/>
        <v>0</v>
      </c>
      <c r="R18">
        <v>0</v>
      </c>
    </row>
    <row r="19" spans="2:18" ht="14" customHeight="1" x14ac:dyDescent="0.15">
      <c r="B19" s="20"/>
      <c r="C19" s="20">
        <f t="shared" ca="1" si="0"/>
        <v>5.9855151515151514E-2</v>
      </c>
      <c r="D19" s="20">
        <f t="shared" ca="1" si="1"/>
        <v>5.2681212121212122E-2</v>
      </c>
      <c r="E19" s="20">
        <f t="shared" ca="1" si="2"/>
        <v>4.5507272727272723E-2</v>
      </c>
      <c r="F19" s="20">
        <f t="shared" si="3"/>
        <v>3.833333333333333E-2</v>
      </c>
      <c r="G19" s="20">
        <f t="shared" ca="1" si="4"/>
        <v>3.1159393939393935E-2</v>
      </c>
      <c r="H19" s="20">
        <f t="shared" ca="1" si="5"/>
        <v>2.3985454545454539E-2</v>
      </c>
      <c r="I19" s="20">
        <f t="shared" ca="1" si="6"/>
        <v>1.6811515151515147E-2</v>
      </c>
      <c r="J19">
        <f t="shared" ca="1" si="8"/>
        <v>3.2000000000000001E-2</v>
      </c>
      <c r="K19" t="str">
        <f t="shared" ca="1" si="9"/>
        <v/>
      </c>
      <c r="L19">
        <f t="shared" ca="1" si="10"/>
        <v>2.6433000000000002E-2</v>
      </c>
      <c r="M19">
        <f t="shared" ca="1" si="11"/>
        <v>2.0318969696969696E-2</v>
      </c>
      <c r="N19">
        <f t="shared" ca="1" si="12"/>
        <v>1.4204939393939395E-2</v>
      </c>
      <c r="O19" s="20">
        <f t="shared" ca="1" si="7"/>
        <v>8.0909090909090913E-3</v>
      </c>
      <c r="P19">
        <f t="shared" ca="1" si="13"/>
        <v>1.9768787878787879E-3</v>
      </c>
      <c r="Q19">
        <f t="shared" ca="1" si="14"/>
        <v>0</v>
      </c>
      <c r="R19">
        <v>0</v>
      </c>
    </row>
    <row r="20" spans="2:18" ht="14" customHeight="1" x14ac:dyDescent="0.15">
      <c r="B20" s="20"/>
      <c r="C20" s="20">
        <f t="shared" ca="1" si="0"/>
        <v>5.9855151515151514E-2</v>
      </c>
      <c r="D20" s="20">
        <f t="shared" ca="1" si="1"/>
        <v>5.2681212121212122E-2</v>
      </c>
      <c r="E20" s="20">
        <f t="shared" ca="1" si="2"/>
        <v>4.5507272727272723E-2</v>
      </c>
      <c r="F20" s="20">
        <f t="shared" si="3"/>
        <v>3.833333333333333E-2</v>
      </c>
      <c r="G20" s="20">
        <f t="shared" ca="1" si="4"/>
        <v>3.1159393939393935E-2</v>
      </c>
      <c r="H20" s="20">
        <f t="shared" ca="1" si="5"/>
        <v>2.3985454545454539E-2</v>
      </c>
      <c r="I20" s="20">
        <f t="shared" ca="1" si="6"/>
        <v>1.6811515151515147E-2</v>
      </c>
      <c r="J20">
        <f t="shared" ca="1" si="8"/>
        <v>3.2000000000000001E-2</v>
      </c>
      <c r="K20" t="str">
        <f t="shared" ca="1" si="9"/>
        <v/>
      </c>
      <c r="L20">
        <f t="shared" ca="1" si="10"/>
        <v>2.6433000000000002E-2</v>
      </c>
      <c r="M20">
        <f t="shared" ca="1" si="11"/>
        <v>2.0318969696969696E-2</v>
      </c>
      <c r="N20">
        <f t="shared" ca="1" si="12"/>
        <v>1.4204939393939395E-2</v>
      </c>
      <c r="O20" s="20">
        <f t="shared" ca="1" si="7"/>
        <v>8.0909090909090913E-3</v>
      </c>
      <c r="P20">
        <f t="shared" ca="1" si="13"/>
        <v>1.9768787878787879E-3</v>
      </c>
      <c r="Q20">
        <f t="shared" ca="1" si="14"/>
        <v>0</v>
      </c>
      <c r="R20">
        <v>0</v>
      </c>
    </row>
    <row r="21" spans="2:18" ht="14" customHeight="1" x14ac:dyDescent="0.15">
      <c r="B21" s="20"/>
      <c r="C21" s="20">
        <f t="shared" ca="1" si="0"/>
        <v>5.9855151515151514E-2</v>
      </c>
      <c r="D21" s="20">
        <f t="shared" ca="1" si="1"/>
        <v>5.2681212121212122E-2</v>
      </c>
      <c r="E21" s="20">
        <f t="shared" ca="1" si="2"/>
        <v>4.5507272727272723E-2</v>
      </c>
      <c r="F21" s="20">
        <f t="shared" si="3"/>
        <v>3.833333333333333E-2</v>
      </c>
      <c r="G21" s="20">
        <f t="shared" ca="1" si="4"/>
        <v>3.1159393939393935E-2</v>
      </c>
      <c r="H21" s="20">
        <f t="shared" ca="1" si="5"/>
        <v>2.3985454545454539E-2</v>
      </c>
      <c r="I21" s="20">
        <f t="shared" ca="1" si="6"/>
        <v>1.6811515151515147E-2</v>
      </c>
      <c r="J21">
        <f t="shared" ca="1" si="8"/>
        <v>3.2000000000000001E-2</v>
      </c>
      <c r="K21" t="str">
        <f t="shared" ca="1" si="9"/>
        <v/>
      </c>
      <c r="L21">
        <f t="shared" ca="1" si="10"/>
        <v>2.6433000000000002E-2</v>
      </c>
      <c r="M21">
        <f t="shared" ca="1" si="11"/>
        <v>2.0318969696969696E-2</v>
      </c>
      <c r="N21">
        <f t="shared" ca="1" si="12"/>
        <v>1.4204939393939395E-2</v>
      </c>
      <c r="O21" s="20">
        <f t="shared" ca="1" si="7"/>
        <v>8.0909090909090913E-3</v>
      </c>
      <c r="P21">
        <f t="shared" ca="1" si="13"/>
        <v>1.9768787878787879E-3</v>
      </c>
      <c r="Q21">
        <f t="shared" ca="1" si="14"/>
        <v>0</v>
      </c>
      <c r="R21">
        <v>0</v>
      </c>
    </row>
    <row r="22" spans="2:18" ht="14" customHeight="1" x14ac:dyDescent="0.15">
      <c r="B22" s="20"/>
      <c r="C22" s="20">
        <f t="shared" ca="1" si="0"/>
        <v>5.9855151515151514E-2</v>
      </c>
      <c r="D22" s="20">
        <f t="shared" ca="1" si="1"/>
        <v>5.2681212121212122E-2</v>
      </c>
      <c r="E22" s="20">
        <f t="shared" ca="1" si="2"/>
        <v>4.5507272727272723E-2</v>
      </c>
      <c r="F22" s="20">
        <f t="shared" si="3"/>
        <v>3.833333333333333E-2</v>
      </c>
      <c r="G22" s="20">
        <f t="shared" ca="1" si="4"/>
        <v>3.1159393939393935E-2</v>
      </c>
      <c r="H22" s="20">
        <f t="shared" ca="1" si="5"/>
        <v>2.3985454545454539E-2</v>
      </c>
      <c r="I22" s="20">
        <f t="shared" ca="1" si="6"/>
        <v>1.6811515151515147E-2</v>
      </c>
      <c r="J22">
        <f t="shared" ca="1" si="8"/>
        <v>3.2000000000000001E-2</v>
      </c>
      <c r="K22" t="str">
        <f t="shared" ca="1" si="9"/>
        <v/>
      </c>
      <c r="L22">
        <f t="shared" ca="1" si="10"/>
        <v>2.6433000000000002E-2</v>
      </c>
      <c r="M22">
        <f t="shared" ca="1" si="11"/>
        <v>2.0318969696969696E-2</v>
      </c>
      <c r="N22">
        <f t="shared" ca="1" si="12"/>
        <v>1.4204939393939395E-2</v>
      </c>
      <c r="O22" s="20">
        <f t="shared" ca="1" si="7"/>
        <v>8.0909090909090913E-3</v>
      </c>
      <c r="P22">
        <f t="shared" ca="1" si="13"/>
        <v>1.9768787878787879E-3</v>
      </c>
      <c r="Q22">
        <f t="shared" ca="1" si="14"/>
        <v>0</v>
      </c>
      <c r="R22">
        <v>0</v>
      </c>
    </row>
    <row r="23" spans="2:18" ht="14" customHeight="1" x14ac:dyDescent="0.15">
      <c r="B23" s="20"/>
      <c r="C23" s="20">
        <f t="shared" ca="1" si="0"/>
        <v>5.9855151515151514E-2</v>
      </c>
      <c r="D23" s="20">
        <f t="shared" ca="1" si="1"/>
        <v>5.2681212121212122E-2</v>
      </c>
      <c r="E23" s="20">
        <f t="shared" ca="1" si="2"/>
        <v>4.5507272727272723E-2</v>
      </c>
      <c r="F23" s="20">
        <f t="shared" si="3"/>
        <v>3.833333333333333E-2</v>
      </c>
      <c r="G23" s="20">
        <f t="shared" ca="1" si="4"/>
        <v>3.1159393939393935E-2</v>
      </c>
      <c r="H23" s="20">
        <f t="shared" ca="1" si="5"/>
        <v>2.3985454545454539E-2</v>
      </c>
      <c r="I23" s="20">
        <f t="shared" ca="1" si="6"/>
        <v>1.6811515151515147E-2</v>
      </c>
      <c r="J23">
        <f t="shared" ca="1" si="8"/>
        <v>3.2000000000000001E-2</v>
      </c>
      <c r="K23" t="str">
        <f t="shared" ca="1" si="9"/>
        <v/>
      </c>
      <c r="L23">
        <f t="shared" ca="1" si="10"/>
        <v>2.6433000000000002E-2</v>
      </c>
      <c r="M23">
        <f t="shared" ca="1" si="11"/>
        <v>2.0318969696969696E-2</v>
      </c>
      <c r="N23">
        <f t="shared" ca="1" si="12"/>
        <v>1.4204939393939395E-2</v>
      </c>
      <c r="O23" s="20">
        <f t="shared" ca="1" si="7"/>
        <v>8.0909090909090913E-3</v>
      </c>
      <c r="P23">
        <f t="shared" ca="1" si="13"/>
        <v>1.9768787878787879E-3</v>
      </c>
      <c r="Q23">
        <f t="shared" ca="1" si="14"/>
        <v>0</v>
      </c>
      <c r="R23">
        <v>0</v>
      </c>
    </row>
    <row r="24" spans="2:18" ht="14" customHeight="1" x14ac:dyDescent="0.15">
      <c r="B24" s="20"/>
      <c r="C24" s="20">
        <f t="shared" ca="1" si="0"/>
        <v>5.9855151515151514E-2</v>
      </c>
      <c r="D24" s="20">
        <f t="shared" ca="1" si="1"/>
        <v>5.2681212121212122E-2</v>
      </c>
      <c r="E24" s="20">
        <f t="shared" ca="1" si="2"/>
        <v>4.5507272727272723E-2</v>
      </c>
      <c r="F24" s="20">
        <f t="shared" si="3"/>
        <v>3.833333333333333E-2</v>
      </c>
      <c r="G24" s="20">
        <f t="shared" ca="1" si="4"/>
        <v>3.1159393939393935E-2</v>
      </c>
      <c r="H24" s="20">
        <f t="shared" ca="1" si="5"/>
        <v>2.3985454545454539E-2</v>
      </c>
      <c r="I24" s="20">
        <f t="shared" ca="1" si="6"/>
        <v>1.6811515151515147E-2</v>
      </c>
      <c r="J24">
        <f t="shared" ca="1" si="8"/>
        <v>3.2000000000000001E-2</v>
      </c>
      <c r="K24" t="str">
        <f t="shared" ca="1" si="9"/>
        <v/>
      </c>
      <c r="L24">
        <f t="shared" ca="1" si="10"/>
        <v>2.6433000000000002E-2</v>
      </c>
      <c r="M24">
        <f t="shared" ca="1" si="11"/>
        <v>2.0318969696969696E-2</v>
      </c>
      <c r="N24">
        <f t="shared" ca="1" si="12"/>
        <v>1.4204939393939395E-2</v>
      </c>
      <c r="O24" s="20">
        <f t="shared" ca="1" si="7"/>
        <v>8.0909090909090913E-3</v>
      </c>
      <c r="P24">
        <f t="shared" ca="1" si="13"/>
        <v>1.9768787878787879E-3</v>
      </c>
      <c r="Q24">
        <f t="shared" ca="1" si="14"/>
        <v>0</v>
      </c>
      <c r="R24">
        <v>0</v>
      </c>
    </row>
    <row r="25" spans="2:18" ht="14" customHeight="1" x14ac:dyDescent="0.15">
      <c r="B25" s="20"/>
      <c r="C25" s="20">
        <f t="shared" ca="1" si="0"/>
        <v>5.9855151515151514E-2</v>
      </c>
      <c r="D25" s="20">
        <f t="shared" ca="1" si="1"/>
        <v>5.2681212121212122E-2</v>
      </c>
      <c r="E25" s="20">
        <f t="shared" ca="1" si="2"/>
        <v>4.5507272727272723E-2</v>
      </c>
      <c r="F25" s="20">
        <f t="shared" si="3"/>
        <v>3.833333333333333E-2</v>
      </c>
      <c r="G25" s="20">
        <f t="shared" ca="1" si="4"/>
        <v>3.1159393939393935E-2</v>
      </c>
      <c r="H25" s="20">
        <f t="shared" ca="1" si="5"/>
        <v>2.3985454545454539E-2</v>
      </c>
      <c r="I25" s="20">
        <f t="shared" ca="1" si="6"/>
        <v>1.6811515151515147E-2</v>
      </c>
      <c r="J25">
        <f t="shared" ca="1" si="8"/>
        <v>3.2000000000000001E-2</v>
      </c>
      <c r="K25" t="str">
        <f t="shared" ca="1" si="9"/>
        <v/>
      </c>
      <c r="L25">
        <f t="shared" ca="1" si="10"/>
        <v>2.6433000000000002E-2</v>
      </c>
      <c r="M25">
        <f t="shared" ca="1" si="11"/>
        <v>2.0318969696969696E-2</v>
      </c>
      <c r="N25">
        <f t="shared" ca="1" si="12"/>
        <v>1.4204939393939395E-2</v>
      </c>
      <c r="O25" s="20">
        <f t="shared" ca="1" si="7"/>
        <v>8.0909090909090913E-3</v>
      </c>
      <c r="P25">
        <f t="shared" ca="1" si="13"/>
        <v>1.9768787878787879E-3</v>
      </c>
      <c r="Q25">
        <f t="shared" ca="1" si="14"/>
        <v>0</v>
      </c>
      <c r="R25">
        <v>0</v>
      </c>
    </row>
    <row r="26" spans="2:18" ht="14" customHeight="1" x14ac:dyDescent="0.15">
      <c r="B26" s="20"/>
      <c r="C26" s="20">
        <f t="shared" ca="1" si="0"/>
        <v>5.9855151515151514E-2</v>
      </c>
      <c r="D26" s="20">
        <f t="shared" ca="1" si="1"/>
        <v>5.2681212121212122E-2</v>
      </c>
      <c r="E26" s="20">
        <f t="shared" ca="1" si="2"/>
        <v>4.5507272727272723E-2</v>
      </c>
      <c r="F26" s="20">
        <f t="shared" si="3"/>
        <v>3.833333333333333E-2</v>
      </c>
      <c r="G26" s="20">
        <f t="shared" ca="1" si="4"/>
        <v>3.1159393939393935E-2</v>
      </c>
      <c r="H26" s="20">
        <f t="shared" ca="1" si="5"/>
        <v>2.3985454545454539E-2</v>
      </c>
      <c r="I26" s="20">
        <f t="shared" ca="1" si="6"/>
        <v>1.6811515151515147E-2</v>
      </c>
      <c r="J26">
        <f t="shared" ca="1" si="8"/>
        <v>3.2000000000000001E-2</v>
      </c>
      <c r="K26" t="str">
        <f t="shared" ca="1" si="9"/>
        <v/>
      </c>
      <c r="L26">
        <f t="shared" ca="1" si="10"/>
        <v>2.6433000000000002E-2</v>
      </c>
      <c r="M26">
        <f t="shared" ca="1" si="11"/>
        <v>2.0318969696969696E-2</v>
      </c>
      <c r="N26">
        <f t="shared" ca="1" si="12"/>
        <v>1.4204939393939395E-2</v>
      </c>
      <c r="O26" s="20">
        <f t="shared" ca="1" si="7"/>
        <v>8.0909090909090913E-3</v>
      </c>
      <c r="P26">
        <f t="shared" ca="1" si="13"/>
        <v>1.9768787878787879E-3</v>
      </c>
      <c r="Q26">
        <f t="shared" ca="1" si="14"/>
        <v>0</v>
      </c>
      <c r="R26">
        <v>0</v>
      </c>
    </row>
    <row r="27" spans="2:18" ht="14" customHeight="1" x14ac:dyDescent="0.15">
      <c r="B27" s="20"/>
      <c r="C27" s="20">
        <f t="shared" ca="1" si="0"/>
        <v>5.9855151515151514E-2</v>
      </c>
      <c r="D27" s="20">
        <f t="shared" ca="1" si="1"/>
        <v>5.2681212121212122E-2</v>
      </c>
      <c r="E27" s="20">
        <f t="shared" ca="1" si="2"/>
        <v>4.5507272727272723E-2</v>
      </c>
      <c r="F27" s="20">
        <f t="shared" si="3"/>
        <v>3.833333333333333E-2</v>
      </c>
      <c r="G27" s="20">
        <f t="shared" ca="1" si="4"/>
        <v>3.1159393939393935E-2</v>
      </c>
      <c r="H27" s="20">
        <f t="shared" ca="1" si="5"/>
        <v>2.3985454545454539E-2</v>
      </c>
      <c r="I27" s="20">
        <f t="shared" ca="1" si="6"/>
        <v>1.6811515151515147E-2</v>
      </c>
      <c r="J27">
        <f t="shared" ca="1" si="8"/>
        <v>3.2000000000000001E-2</v>
      </c>
      <c r="K27" t="str">
        <f t="shared" ca="1" si="9"/>
        <v/>
      </c>
      <c r="L27">
        <f t="shared" ca="1" si="10"/>
        <v>2.6433000000000002E-2</v>
      </c>
      <c r="M27">
        <f t="shared" ca="1" si="11"/>
        <v>2.0318969696969696E-2</v>
      </c>
      <c r="N27">
        <f t="shared" ca="1" si="12"/>
        <v>1.4204939393939395E-2</v>
      </c>
      <c r="O27" s="20">
        <f t="shared" ca="1" si="7"/>
        <v>8.0909090909090913E-3</v>
      </c>
      <c r="P27">
        <f t="shared" ca="1" si="13"/>
        <v>1.9768787878787879E-3</v>
      </c>
      <c r="Q27">
        <f t="shared" ca="1" si="14"/>
        <v>0</v>
      </c>
      <c r="R27">
        <v>0</v>
      </c>
    </row>
    <row r="28" spans="2:18" ht="14" customHeight="1" x14ac:dyDescent="0.15">
      <c r="B28" s="20"/>
      <c r="C28" s="20">
        <f t="shared" ca="1" si="0"/>
        <v>5.9855151515151514E-2</v>
      </c>
      <c r="D28" s="20">
        <f t="shared" ca="1" si="1"/>
        <v>5.2681212121212122E-2</v>
      </c>
      <c r="E28" s="20">
        <f t="shared" ca="1" si="2"/>
        <v>4.5507272727272723E-2</v>
      </c>
      <c r="F28" s="20">
        <f t="shared" si="3"/>
        <v>3.833333333333333E-2</v>
      </c>
      <c r="G28" s="20">
        <f t="shared" ca="1" si="4"/>
        <v>3.1159393939393935E-2</v>
      </c>
      <c r="H28" s="20">
        <f t="shared" ca="1" si="5"/>
        <v>2.3985454545454539E-2</v>
      </c>
      <c r="I28" s="20">
        <f t="shared" ca="1" si="6"/>
        <v>1.6811515151515147E-2</v>
      </c>
      <c r="J28">
        <f t="shared" ca="1" si="8"/>
        <v>3.2000000000000001E-2</v>
      </c>
      <c r="K28" t="str">
        <f t="shared" ca="1" si="9"/>
        <v/>
      </c>
      <c r="L28">
        <f t="shared" ca="1" si="10"/>
        <v>2.6433000000000002E-2</v>
      </c>
      <c r="M28">
        <f t="shared" ca="1" si="11"/>
        <v>2.0318969696969696E-2</v>
      </c>
      <c r="N28">
        <f t="shared" ca="1" si="12"/>
        <v>1.4204939393939395E-2</v>
      </c>
      <c r="O28" s="20">
        <f t="shared" ca="1" si="7"/>
        <v>8.0909090909090913E-3</v>
      </c>
      <c r="P28">
        <f t="shared" ca="1" si="13"/>
        <v>1.9768787878787879E-3</v>
      </c>
      <c r="Q28">
        <f t="shared" ca="1" si="14"/>
        <v>0</v>
      </c>
      <c r="R28">
        <v>0</v>
      </c>
    </row>
    <row r="29" spans="2:18" ht="14" customHeight="1" x14ac:dyDescent="0.15">
      <c r="B29" s="20"/>
      <c r="C29" s="20">
        <f t="shared" ca="1" si="0"/>
        <v>5.9855151515151514E-2</v>
      </c>
      <c r="D29" s="20">
        <f t="shared" ca="1" si="1"/>
        <v>5.2681212121212122E-2</v>
      </c>
      <c r="E29" s="20">
        <f t="shared" ca="1" si="2"/>
        <v>4.5507272727272723E-2</v>
      </c>
      <c r="F29" s="20">
        <f t="shared" si="3"/>
        <v>3.833333333333333E-2</v>
      </c>
      <c r="G29" s="20">
        <f t="shared" ca="1" si="4"/>
        <v>3.1159393939393935E-2</v>
      </c>
      <c r="H29" s="20">
        <f t="shared" ca="1" si="5"/>
        <v>2.3985454545454539E-2</v>
      </c>
      <c r="I29" s="20">
        <f t="shared" ca="1" si="6"/>
        <v>1.6811515151515147E-2</v>
      </c>
      <c r="J29">
        <f t="shared" ca="1" si="8"/>
        <v>3.2000000000000001E-2</v>
      </c>
      <c r="K29" t="str">
        <f t="shared" ca="1" si="9"/>
        <v/>
      </c>
      <c r="L29">
        <f t="shared" ca="1" si="10"/>
        <v>2.6433000000000002E-2</v>
      </c>
      <c r="M29">
        <f t="shared" ca="1" si="11"/>
        <v>2.0318969696969696E-2</v>
      </c>
      <c r="N29">
        <f t="shared" ca="1" si="12"/>
        <v>1.4204939393939395E-2</v>
      </c>
      <c r="O29" s="20">
        <f t="shared" ca="1" si="7"/>
        <v>8.0909090909090913E-3</v>
      </c>
      <c r="P29">
        <f t="shared" ca="1" si="13"/>
        <v>1.9768787878787879E-3</v>
      </c>
      <c r="Q29">
        <f t="shared" ca="1" si="14"/>
        <v>0</v>
      </c>
      <c r="R29">
        <v>0</v>
      </c>
    </row>
    <row r="30" spans="2:18" ht="14" customHeight="1" x14ac:dyDescent="0.15">
      <c r="B30" s="20"/>
      <c r="C30" s="20">
        <f t="shared" ca="1" si="0"/>
        <v>5.9855151515151514E-2</v>
      </c>
      <c r="D30" s="20">
        <f t="shared" ca="1" si="1"/>
        <v>5.2681212121212122E-2</v>
      </c>
      <c r="E30" s="20">
        <f t="shared" ca="1" si="2"/>
        <v>4.5507272727272723E-2</v>
      </c>
      <c r="F30" s="20">
        <f t="shared" si="3"/>
        <v>3.833333333333333E-2</v>
      </c>
      <c r="G30" s="20">
        <f t="shared" ca="1" si="4"/>
        <v>3.1159393939393935E-2</v>
      </c>
      <c r="H30" s="20">
        <f t="shared" ca="1" si="5"/>
        <v>2.3985454545454539E-2</v>
      </c>
      <c r="I30" s="20">
        <f t="shared" ca="1" si="6"/>
        <v>1.6811515151515147E-2</v>
      </c>
      <c r="J30">
        <f t="shared" ca="1" si="8"/>
        <v>3.2000000000000001E-2</v>
      </c>
      <c r="K30" t="str">
        <f t="shared" ca="1" si="9"/>
        <v/>
      </c>
      <c r="L30">
        <f t="shared" ca="1" si="10"/>
        <v>2.6433000000000002E-2</v>
      </c>
      <c r="M30">
        <f t="shared" ca="1" si="11"/>
        <v>2.0318969696969696E-2</v>
      </c>
      <c r="N30">
        <f t="shared" ca="1" si="12"/>
        <v>1.4204939393939395E-2</v>
      </c>
      <c r="O30" s="20">
        <f t="shared" ca="1" si="7"/>
        <v>8.0909090909090913E-3</v>
      </c>
      <c r="P30">
        <f t="shared" ca="1" si="13"/>
        <v>1.9768787878787879E-3</v>
      </c>
      <c r="Q30">
        <f t="shared" ca="1" si="14"/>
        <v>0</v>
      </c>
      <c r="R30">
        <v>0</v>
      </c>
    </row>
    <row r="31" spans="2:18" ht="14" customHeight="1" x14ac:dyDescent="0.15">
      <c r="B31" s="20"/>
      <c r="C31" s="20">
        <f t="shared" ca="1" si="0"/>
        <v>5.9855151515151514E-2</v>
      </c>
      <c r="D31" s="20">
        <f t="shared" ca="1" si="1"/>
        <v>5.2681212121212122E-2</v>
      </c>
      <c r="E31" s="20">
        <f t="shared" ca="1" si="2"/>
        <v>4.5507272727272723E-2</v>
      </c>
      <c r="F31" s="20">
        <f t="shared" si="3"/>
        <v>3.833333333333333E-2</v>
      </c>
      <c r="G31" s="20">
        <f t="shared" ca="1" si="4"/>
        <v>3.1159393939393935E-2</v>
      </c>
      <c r="H31" s="20">
        <f t="shared" ca="1" si="5"/>
        <v>2.3985454545454539E-2</v>
      </c>
      <c r="I31" s="20">
        <f t="shared" ca="1" si="6"/>
        <v>1.6811515151515147E-2</v>
      </c>
      <c r="J31">
        <f t="shared" ca="1" si="8"/>
        <v>3.2000000000000001E-2</v>
      </c>
      <c r="K31" t="str">
        <f t="shared" ca="1" si="9"/>
        <v/>
      </c>
      <c r="L31">
        <f t="shared" ca="1" si="10"/>
        <v>2.6433000000000002E-2</v>
      </c>
      <c r="M31">
        <f t="shared" ca="1" si="11"/>
        <v>2.0318969696969696E-2</v>
      </c>
      <c r="N31">
        <f t="shared" ca="1" si="12"/>
        <v>1.4204939393939395E-2</v>
      </c>
      <c r="O31" s="20">
        <f t="shared" ca="1" si="7"/>
        <v>8.0909090909090913E-3</v>
      </c>
      <c r="P31">
        <f t="shared" ca="1" si="13"/>
        <v>1.9768787878787879E-3</v>
      </c>
      <c r="Q31">
        <f t="shared" ca="1" si="14"/>
        <v>0</v>
      </c>
      <c r="R31">
        <v>0</v>
      </c>
    </row>
    <row r="32" spans="2:18" ht="14" customHeight="1" x14ac:dyDescent="0.15">
      <c r="B32" s="20"/>
      <c r="C32" s="20">
        <f t="shared" ca="1" si="0"/>
        <v>5.9855151515151514E-2</v>
      </c>
      <c r="D32" s="20">
        <f t="shared" ca="1" si="1"/>
        <v>5.2681212121212122E-2</v>
      </c>
      <c r="E32" s="20">
        <f t="shared" ca="1" si="2"/>
        <v>4.5507272727272723E-2</v>
      </c>
      <c r="F32" s="20">
        <f t="shared" si="3"/>
        <v>3.833333333333333E-2</v>
      </c>
      <c r="G32" s="20">
        <f t="shared" ca="1" si="4"/>
        <v>3.1159393939393935E-2</v>
      </c>
      <c r="H32" s="20">
        <f t="shared" ca="1" si="5"/>
        <v>2.3985454545454539E-2</v>
      </c>
      <c r="I32" s="20">
        <f t="shared" ca="1" si="6"/>
        <v>1.6811515151515147E-2</v>
      </c>
      <c r="J32">
        <f t="shared" ca="1" si="8"/>
        <v>3.2000000000000001E-2</v>
      </c>
      <c r="K32" t="str">
        <f t="shared" ca="1" si="9"/>
        <v/>
      </c>
      <c r="L32">
        <f t="shared" ca="1" si="10"/>
        <v>2.6433000000000002E-2</v>
      </c>
      <c r="M32">
        <f t="shared" ca="1" si="11"/>
        <v>2.0318969696969696E-2</v>
      </c>
      <c r="N32">
        <f t="shared" ca="1" si="12"/>
        <v>1.4204939393939395E-2</v>
      </c>
      <c r="O32" s="20">
        <f t="shared" ca="1" si="7"/>
        <v>8.0909090909090913E-3</v>
      </c>
      <c r="P32">
        <f t="shared" ca="1" si="13"/>
        <v>1.9768787878787879E-3</v>
      </c>
      <c r="Q32">
        <f t="shared" ca="1" si="14"/>
        <v>0</v>
      </c>
      <c r="R32">
        <v>0</v>
      </c>
    </row>
    <row r="33" spans="2:18" ht="14" customHeight="1" x14ac:dyDescent="0.15">
      <c r="B33" s="20"/>
      <c r="C33" s="20">
        <f t="shared" ca="1" si="0"/>
        <v>5.9855151515151514E-2</v>
      </c>
      <c r="D33" s="20">
        <f t="shared" ca="1" si="1"/>
        <v>5.2681212121212122E-2</v>
      </c>
      <c r="E33" s="20">
        <f t="shared" ca="1" si="2"/>
        <v>4.5507272727272723E-2</v>
      </c>
      <c r="F33" s="20">
        <f t="shared" si="3"/>
        <v>3.833333333333333E-2</v>
      </c>
      <c r="G33" s="20">
        <f t="shared" ca="1" si="4"/>
        <v>3.1159393939393935E-2</v>
      </c>
      <c r="H33" s="20">
        <f t="shared" ca="1" si="5"/>
        <v>2.3985454545454539E-2</v>
      </c>
      <c r="I33" s="20">
        <f t="shared" ca="1" si="6"/>
        <v>1.6811515151515147E-2</v>
      </c>
      <c r="J33">
        <f t="shared" ca="1" si="8"/>
        <v>3.2000000000000001E-2</v>
      </c>
      <c r="K33" t="str">
        <f t="shared" ca="1" si="9"/>
        <v/>
      </c>
      <c r="L33">
        <f t="shared" ca="1" si="10"/>
        <v>2.6433000000000002E-2</v>
      </c>
      <c r="M33">
        <f t="shared" ca="1" si="11"/>
        <v>2.0318969696969696E-2</v>
      </c>
      <c r="N33">
        <f t="shared" ca="1" si="12"/>
        <v>1.4204939393939395E-2</v>
      </c>
      <c r="O33" s="20">
        <f t="shared" ca="1" si="7"/>
        <v>8.0909090909090913E-3</v>
      </c>
      <c r="P33">
        <f t="shared" ca="1" si="13"/>
        <v>1.9768787878787879E-3</v>
      </c>
      <c r="Q33">
        <f t="shared" ca="1" si="14"/>
        <v>0</v>
      </c>
      <c r="R33">
        <v>0</v>
      </c>
    </row>
    <row r="34" spans="2:18" ht="14" customHeight="1" x14ac:dyDescent="0.15"/>
    <row r="35" spans="2:18" ht="14" customHeight="1" x14ac:dyDescent="0.15"/>
    <row r="36" spans="2:18" ht="14" customHeight="1" x14ac:dyDescent="0.15"/>
    <row r="37" spans="2:18" ht="14" customHeight="1" x14ac:dyDescent="0.15"/>
    <row r="38" spans="2:18" ht="14" customHeight="1" x14ac:dyDescent="0.15"/>
    <row r="39" spans="2:18" ht="14" customHeight="1" x14ac:dyDescent="0.15"/>
    <row r="40" spans="2:18" ht="14" customHeight="1" x14ac:dyDescent="0.15"/>
    <row r="41" spans="2:18" ht="14" customHeight="1" x14ac:dyDescent="0.15"/>
    <row r="42" spans="2:18" ht="14" customHeight="1" x14ac:dyDescent="0.15"/>
    <row r="43" spans="2:18" ht="14" customHeight="1" x14ac:dyDescent="0.15"/>
    <row r="44" spans="2:18" ht="14" customHeight="1" x14ac:dyDescent="0.15"/>
    <row r="45" spans="2:18" ht="14" customHeight="1" x14ac:dyDescent="0.15"/>
    <row r="46" spans="2:18" ht="14" customHeight="1" x14ac:dyDescent="0.15"/>
    <row r="47" spans="2:18" ht="14" customHeight="1" x14ac:dyDescent="0.15"/>
    <row r="48" spans="2:18" ht="14" customHeight="1" x14ac:dyDescent="0.15"/>
    <row r="49" ht="14" customHeight="1" x14ac:dyDescent="0.15"/>
    <row r="50" ht="14" customHeight="1" x14ac:dyDescent="0.15"/>
    <row r="51" ht="14" customHeight="1" x14ac:dyDescent="0.15"/>
    <row r="52" ht="14" customHeight="1" x14ac:dyDescent="0.15"/>
  </sheetData>
  <pageMargins left="0.7" right="0.7" top="0.75" bottom="0.75" header="0.3" footer="0.3"/>
  <pageSetup scale="99" orientation="landscape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F86E8-7DB8-6A48-A5F5-36442F803E54}">
  <sheetPr>
    <tabColor rgb="FF66FF66"/>
    <pageSetUpPr fitToPage="1"/>
  </sheetPr>
  <dimension ref="A1:Z52"/>
  <sheetViews>
    <sheetView zoomScale="174" zoomScaleNormal="174" workbookViewId="0">
      <selection activeCell="V30" sqref="V30"/>
    </sheetView>
  </sheetViews>
  <sheetFormatPr baseColWidth="10" defaultRowHeight="14" x14ac:dyDescent="0.15"/>
  <cols>
    <col min="1" max="1" width="9" bestFit="1" customWidth="1"/>
    <col min="2" max="21" width="6.5" customWidth="1"/>
  </cols>
  <sheetData>
    <row r="1" spans="1:26" ht="14" customHeight="1" x14ac:dyDescent="0.15">
      <c r="A1" s="4" t="s">
        <v>3</v>
      </c>
      <c r="B1" s="23" t="s">
        <v>4</v>
      </c>
      <c r="C1" s="22" t="s">
        <v>13</v>
      </c>
      <c r="D1" s="22" t="s">
        <v>14</v>
      </c>
      <c r="E1" s="22" t="s">
        <v>15</v>
      </c>
      <c r="F1" s="22" t="s">
        <v>16</v>
      </c>
      <c r="G1" s="22" t="s">
        <v>17</v>
      </c>
      <c r="H1" s="22" t="s">
        <v>18</v>
      </c>
      <c r="I1" s="22" t="s">
        <v>19</v>
      </c>
      <c r="J1" t="s">
        <v>11</v>
      </c>
      <c r="K1" s="22" t="s">
        <v>12</v>
      </c>
      <c r="L1" s="22" t="s">
        <v>13</v>
      </c>
      <c r="M1" s="22" t="s">
        <v>14</v>
      </c>
      <c r="N1" s="22" t="s">
        <v>15</v>
      </c>
      <c r="O1" s="22" t="s">
        <v>16</v>
      </c>
      <c r="P1" s="22" t="s">
        <v>17</v>
      </c>
      <c r="Q1" s="22" t="s">
        <v>18</v>
      </c>
      <c r="R1" s="22" t="s">
        <v>19</v>
      </c>
      <c r="S1" t="s">
        <v>20</v>
      </c>
      <c r="U1" t="s">
        <v>21</v>
      </c>
      <c r="V1">
        <f>INDEX(LINEST($B$2:$B$13,,,TRUE),1,1)</f>
        <v>750.74242424242402</v>
      </c>
      <c r="W1" t="s">
        <v>22</v>
      </c>
      <c r="X1">
        <f>INDEX(LINEST($B$2:$B$13,,,TRUE),1,2)</f>
        <v>35626.090909090912</v>
      </c>
      <c r="Y1" t="s">
        <v>23</v>
      </c>
      <c r="Z1">
        <f>INDEX(LINEST($B$2:$B$13,,,TRUE),3,1)</f>
        <v>0.91036329673624217</v>
      </c>
    </row>
    <row r="2" spans="1:26" ht="14" customHeight="1" x14ac:dyDescent="0.15">
      <c r="A2" s="12">
        <v>2013</v>
      </c>
      <c r="B2" s="22">
        <v>35929</v>
      </c>
      <c r="C2" s="22">
        <f t="shared" ref="C2:C33" ca="1" si="0">F2+2.66*O2</f>
        <v>38470.172727272729</v>
      </c>
      <c r="D2" s="22">
        <f t="shared" ref="D2:D33" ca="1" si="1">F2+(2/3)*2.66*O2</f>
        <v>37772.392929292932</v>
      </c>
      <c r="E2" s="22">
        <f t="shared" ref="E2:E33" ca="1" si="2">F2+(1/3)*2.66*O2</f>
        <v>37074.613131313134</v>
      </c>
      <c r="F2" s="22">
        <f t="shared" ref="F2:F33" si="3">INDEX(LINEST($B$2:$B$13,,,TRUE),1,1)* S2 +INDEX(LINEST($B$2:$B$13,,,TRUE),1,2)</f>
        <v>36376.833333333336</v>
      </c>
      <c r="G2" s="22">
        <f t="shared" ref="G2:G33" ca="1" si="4">F2-(1/3)*2.66*O2</f>
        <v>35679.053535353538</v>
      </c>
      <c r="H2" s="22">
        <f t="shared" ref="H2:H33" ca="1" si="5">F2-(2/3)*2.66*O2</f>
        <v>34981.27373737374</v>
      </c>
      <c r="I2" s="22">
        <f t="shared" ref="I2:I33" ca="1" si="6">F2-2.66*O2</f>
        <v>34283.493939393942</v>
      </c>
      <c r="J2" s="22">
        <f>B2</f>
        <v>35929</v>
      </c>
      <c r="K2" s="22"/>
      <c r="L2" s="22"/>
      <c r="M2" s="22"/>
      <c r="N2" s="22"/>
      <c r="O2" s="22">
        <f t="shared" ref="O2:O33" ca="1" si="7">AVERAGE($K$3:$K$13)</f>
        <v>786.96969696969609</v>
      </c>
      <c r="P2" s="22"/>
      <c r="Q2" s="22"/>
      <c r="R2" s="22"/>
      <c r="S2">
        <v>1</v>
      </c>
    </row>
    <row r="3" spans="1:26" ht="14" customHeight="1" x14ac:dyDescent="0.15">
      <c r="A3" s="12">
        <v>2014</v>
      </c>
      <c r="B3" s="22">
        <v>36477</v>
      </c>
      <c r="C3" s="22">
        <f t="shared" ca="1" si="0"/>
        <v>39220.915151515153</v>
      </c>
      <c r="D3" s="22">
        <f t="shared" ca="1" si="1"/>
        <v>38523.135353535356</v>
      </c>
      <c r="E3" s="22">
        <f t="shared" ca="1" si="2"/>
        <v>37825.355555555558</v>
      </c>
      <c r="F3" s="22">
        <f t="shared" si="3"/>
        <v>37127.57575757576</v>
      </c>
      <c r="G3" s="22">
        <f t="shared" ca="1" si="4"/>
        <v>36429.795959595962</v>
      </c>
      <c r="H3" s="22">
        <f t="shared" ca="1" si="5"/>
        <v>35732.016161616164</v>
      </c>
      <c r="I3" s="22">
        <f t="shared" ca="1" si="6"/>
        <v>35034.236363636366</v>
      </c>
      <c r="J3">
        <f t="shared" ref="J3:J33" ca="1" si="8">IF(ISBLANK(B3),OFFSET(J3,-1,0,1,1),B3)</f>
        <v>36477</v>
      </c>
      <c r="K3" s="22">
        <f t="shared" ref="K3:K33" ca="1" si="9">IF(OR(OFFSET(K3,-1,-9,1,1)="",OFFSET(K3,0,-9,1,1)=""),"",IF(ISERROR(ABS(B3-OFFSET(K3,-1,-1,1,1))),"",ABS(B3-OFFSET(K3,-1,-1,1,1))))</f>
        <v>548</v>
      </c>
      <c r="L3" s="22">
        <f t="shared" ref="L3:L33" ca="1" si="10">3.267*O3</f>
        <v>2571.029999999997</v>
      </c>
      <c r="M3" s="22">
        <f t="shared" ref="M3:M33" ca="1" si="11">(2/3)*(L3-O3)+O3</f>
        <v>1976.34323232323</v>
      </c>
      <c r="N3" s="22">
        <f t="shared" ref="N3:N33" ca="1" si="12">(1/3)*(L3-O3)+O3</f>
        <v>1381.6564646464631</v>
      </c>
      <c r="O3" s="22">
        <f t="shared" ca="1" si="7"/>
        <v>786.96969696969609</v>
      </c>
      <c r="P3" s="22">
        <f t="shared" ref="P3:P33" ca="1" si="13">(MAX(O3-(1/3)*(L3-O3),0))</f>
        <v>192.28292929292911</v>
      </c>
      <c r="Q3" s="22">
        <f t="shared" ref="Q3:Q33" ca="1" si="14">MAX(O3-(2/3)*(L3-O3),0)</f>
        <v>0</v>
      </c>
      <c r="R3" s="22">
        <v>0</v>
      </c>
      <c r="S3">
        <f t="shared" ref="S3:S33" si="15">S2+1</f>
        <v>2</v>
      </c>
    </row>
    <row r="4" spans="1:26" ht="14" customHeight="1" x14ac:dyDescent="0.15">
      <c r="A4" s="12">
        <v>2015</v>
      </c>
      <c r="B4" s="22">
        <v>37865</v>
      </c>
      <c r="C4" s="22">
        <f t="shared" ca="1" si="0"/>
        <v>39971.657575757577</v>
      </c>
      <c r="D4" s="22">
        <f t="shared" ca="1" si="1"/>
        <v>39273.87777777778</v>
      </c>
      <c r="E4" s="22">
        <f t="shared" ca="1" si="2"/>
        <v>38576.097979797982</v>
      </c>
      <c r="F4" s="22">
        <f t="shared" si="3"/>
        <v>37878.318181818184</v>
      </c>
      <c r="G4" s="22">
        <f t="shared" ca="1" si="4"/>
        <v>37180.538383838386</v>
      </c>
      <c r="H4" s="22">
        <f t="shared" ca="1" si="5"/>
        <v>36482.758585858588</v>
      </c>
      <c r="I4" s="22">
        <f t="shared" ca="1" si="6"/>
        <v>35784.97878787879</v>
      </c>
      <c r="J4">
        <f t="shared" ca="1" si="8"/>
        <v>37865</v>
      </c>
      <c r="K4" s="22">
        <f t="shared" ca="1" si="9"/>
        <v>1388</v>
      </c>
      <c r="L4" s="22">
        <f t="shared" ca="1" si="10"/>
        <v>2571.029999999997</v>
      </c>
      <c r="M4" s="22">
        <f t="shared" ca="1" si="11"/>
        <v>1976.34323232323</v>
      </c>
      <c r="N4" s="22">
        <f t="shared" ca="1" si="12"/>
        <v>1381.6564646464631</v>
      </c>
      <c r="O4" s="22">
        <f t="shared" ca="1" si="7"/>
        <v>786.96969696969609</v>
      </c>
      <c r="P4" s="22">
        <f t="shared" ca="1" si="13"/>
        <v>192.28292929292911</v>
      </c>
      <c r="Q4" s="22">
        <f t="shared" ca="1" si="14"/>
        <v>0</v>
      </c>
      <c r="R4" s="22">
        <v>0</v>
      </c>
      <c r="S4">
        <f t="shared" si="15"/>
        <v>3</v>
      </c>
    </row>
    <row r="5" spans="1:26" ht="14" customHeight="1" x14ac:dyDescent="0.15">
      <c r="A5" s="12">
        <v>2016</v>
      </c>
      <c r="B5" s="22">
        <v>37938</v>
      </c>
      <c r="C5" s="22">
        <f t="shared" ca="1" si="0"/>
        <v>40722.400000000001</v>
      </c>
      <c r="D5" s="22">
        <f t="shared" ca="1" si="1"/>
        <v>40024.620202020204</v>
      </c>
      <c r="E5" s="22">
        <f t="shared" ca="1" si="2"/>
        <v>39326.840404040406</v>
      </c>
      <c r="F5" s="22">
        <f t="shared" si="3"/>
        <v>38629.060606060608</v>
      </c>
      <c r="G5" s="22">
        <f t="shared" ca="1" si="4"/>
        <v>37931.28080808081</v>
      </c>
      <c r="H5" s="22">
        <f t="shared" ca="1" si="5"/>
        <v>37233.501010101012</v>
      </c>
      <c r="I5" s="22">
        <f t="shared" ca="1" si="6"/>
        <v>36535.721212121214</v>
      </c>
      <c r="J5">
        <f t="shared" ca="1" si="8"/>
        <v>37938</v>
      </c>
      <c r="K5" s="22">
        <f t="shared" ca="1" si="9"/>
        <v>73</v>
      </c>
      <c r="L5" s="22">
        <f t="shared" ca="1" si="10"/>
        <v>2571.029999999997</v>
      </c>
      <c r="M5" s="22">
        <f t="shared" ca="1" si="11"/>
        <v>1976.34323232323</v>
      </c>
      <c r="N5" s="22">
        <f t="shared" ca="1" si="12"/>
        <v>1381.6564646464631</v>
      </c>
      <c r="O5" s="22">
        <f t="shared" ca="1" si="7"/>
        <v>786.96969696969609</v>
      </c>
      <c r="P5" s="22">
        <f t="shared" ca="1" si="13"/>
        <v>192.28292929292911</v>
      </c>
      <c r="Q5" s="22">
        <f t="shared" ca="1" si="14"/>
        <v>0</v>
      </c>
      <c r="R5" s="22">
        <v>0</v>
      </c>
      <c r="S5">
        <f t="shared" si="15"/>
        <v>4</v>
      </c>
    </row>
    <row r="6" spans="1:26" ht="14" customHeight="1" x14ac:dyDescent="0.15">
      <c r="A6" s="12">
        <v>2017</v>
      </c>
      <c r="B6" s="22">
        <v>39453</v>
      </c>
      <c r="C6" s="22">
        <f t="shared" ca="1" si="0"/>
        <v>41473.142424242425</v>
      </c>
      <c r="D6" s="22">
        <f t="shared" ca="1" si="1"/>
        <v>40775.362626262628</v>
      </c>
      <c r="E6" s="22">
        <f t="shared" ca="1" si="2"/>
        <v>40077.58282828283</v>
      </c>
      <c r="F6" s="22">
        <f t="shared" si="3"/>
        <v>39379.803030303032</v>
      </c>
      <c r="G6" s="22">
        <f t="shared" ca="1" si="4"/>
        <v>38682.023232323234</v>
      </c>
      <c r="H6" s="22">
        <f t="shared" ca="1" si="5"/>
        <v>37984.243434343436</v>
      </c>
      <c r="I6" s="22">
        <f t="shared" ca="1" si="6"/>
        <v>37286.463636363638</v>
      </c>
      <c r="J6">
        <f t="shared" ca="1" si="8"/>
        <v>39453</v>
      </c>
      <c r="K6" s="22">
        <f t="shared" ca="1" si="9"/>
        <v>1515</v>
      </c>
      <c r="L6" s="22">
        <f t="shared" ca="1" si="10"/>
        <v>2571.029999999997</v>
      </c>
      <c r="M6" s="22">
        <f t="shared" ca="1" si="11"/>
        <v>1976.34323232323</v>
      </c>
      <c r="N6" s="22">
        <f t="shared" ca="1" si="12"/>
        <v>1381.6564646464631</v>
      </c>
      <c r="O6" s="22">
        <f t="shared" ca="1" si="7"/>
        <v>786.96969696969609</v>
      </c>
      <c r="P6" s="22">
        <f t="shared" ca="1" si="13"/>
        <v>192.28292929292911</v>
      </c>
      <c r="Q6" s="22">
        <f t="shared" ca="1" si="14"/>
        <v>0</v>
      </c>
      <c r="R6" s="22">
        <v>0</v>
      </c>
      <c r="S6">
        <f t="shared" si="15"/>
        <v>5</v>
      </c>
    </row>
    <row r="7" spans="1:26" ht="14" customHeight="1" x14ac:dyDescent="0.15">
      <c r="A7" s="12">
        <v>2018</v>
      </c>
      <c r="B7" s="22">
        <v>41182</v>
      </c>
      <c r="C7" s="22">
        <f t="shared" ca="1" si="0"/>
        <v>42223.884848484849</v>
      </c>
      <c r="D7" s="22">
        <f t="shared" ca="1" si="1"/>
        <v>41526.105050505052</v>
      </c>
      <c r="E7" s="22">
        <f t="shared" ca="1" si="2"/>
        <v>40828.325252525254</v>
      </c>
      <c r="F7" s="22">
        <f t="shared" si="3"/>
        <v>40130.545454545456</v>
      </c>
      <c r="G7" s="22">
        <f t="shared" ca="1" si="4"/>
        <v>39432.765656565658</v>
      </c>
      <c r="H7" s="22">
        <f t="shared" ca="1" si="5"/>
        <v>38734.98585858586</v>
      </c>
      <c r="I7" s="22">
        <f t="shared" ca="1" si="6"/>
        <v>38037.206060606062</v>
      </c>
      <c r="J7">
        <f t="shared" ca="1" si="8"/>
        <v>41182</v>
      </c>
      <c r="K7" s="22">
        <f t="shared" ca="1" si="9"/>
        <v>1729</v>
      </c>
      <c r="L7" s="22">
        <f t="shared" ca="1" si="10"/>
        <v>2571.029999999997</v>
      </c>
      <c r="M7" s="22">
        <f t="shared" ca="1" si="11"/>
        <v>1976.34323232323</v>
      </c>
      <c r="N7" s="22">
        <f t="shared" ca="1" si="12"/>
        <v>1381.6564646464631</v>
      </c>
      <c r="O7" s="22">
        <f t="shared" ca="1" si="7"/>
        <v>786.96969696969609</v>
      </c>
      <c r="P7" s="22">
        <f t="shared" ca="1" si="13"/>
        <v>192.28292929292911</v>
      </c>
      <c r="Q7" s="22">
        <f t="shared" ca="1" si="14"/>
        <v>0</v>
      </c>
      <c r="R7" s="22">
        <v>0</v>
      </c>
      <c r="S7">
        <f t="shared" si="15"/>
        <v>6</v>
      </c>
    </row>
    <row r="8" spans="1:26" ht="14" customHeight="1" x14ac:dyDescent="0.15">
      <c r="A8" s="2">
        <v>2019</v>
      </c>
      <c r="B8" s="22">
        <v>41948</v>
      </c>
      <c r="C8" s="22">
        <f t="shared" ca="1" si="0"/>
        <v>42974.627272727274</v>
      </c>
      <c r="D8" s="22">
        <f t="shared" ca="1" si="1"/>
        <v>42276.847474747476</v>
      </c>
      <c r="E8" s="22">
        <f t="shared" ca="1" si="2"/>
        <v>41579.067676767678</v>
      </c>
      <c r="F8" s="22">
        <f t="shared" si="3"/>
        <v>40881.28787878788</v>
      </c>
      <c r="G8" s="22">
        <f t="shared" ca="1" si="4"/>
        <v>40183.508080808082</v>
      </c>
      <c r="H8" s="22">
        <f t="shared" ca="1" si="5"/>
        <v>39485.728282828284</v>
      </c>
      <c r="I8" s="22">
        <f t="shared" ca="1" si="6"/>
        <v>38787.948484848486</v>
      </c>
      <c r="J8">
        <f t="shared" ca="1" si="8"/>
        <v>41948</v>
      </c>
      <c r="K8" s="22">
        <f t="shared" ca="1" si="9"/>
        <v>766</v>
      </c>
      <c r="L8" s="22">
        <f t="shared" ca="1" si="10"/>
        <v>2571.029999999997</v>
      </c>
      <c r="M8" s="22">
        <f t="shared" ca="1" si="11"/>
        <v>1976.34323232323</v>
      </c>
      <c r="N8" s="22">
        <f t="shared" ca="1" si="12"/>
        <v>1381.6564646464631</v>
      </c>
      <c r="O8" s="22">
        <f t="shared" ca="1" si="7"/>
        <v>786.96969696969609</v>
      </c>
      <c r="P8" s="22">
        <f t="shared" ca="1" si="13"/>
        <v>192.28292929292911</v>
      </c>
      <c r="Q8" s="22">
        <f t="shared" ca="1" si="14"/>
        <v>0</v>
      </c>
      <c r="R8" s="22">
        <v>0</v>
      </c>
      <c r="S8">
        <f t="shared" si="15"/>
        <v>7</v>
      </c>
    </row>
    <row r="9" spans="1:26" ht="14" customHeight="1" x14ac:dyDescent="0.15">
      <c r="A9" s="2">
        <v>2020</v>
      </c>
      <c r="B9" s="22">
        <v>42000</v>
      </c>
      <c r="C9" s="22">
        <f t="shared" ca="1" si="0"/>
        <v>43725.369696969698</v>
      </c>
      <c r="D9" s="22">
        <f t="shared" ca="1" si="1"/>
        <v>43027.5898989899</v>
      </c>
      <c r="E9" s="22">
        <f t="shared" ca="1" si="2"/>
        <v>42329.810101010102</v>
      </c>
      <c r="F9" s="22">
        <f t="shared" si="3"/>
        <v>41632.030303030304</v>
      </c>
      <c r="G9" s="22">
        <f t="shared" ca="1" si="4"/>
        <v>40934.250505050506</v>
      </c>
      <c r="H9" s="22">
        <f t="shared" ca="1" si="5"/>
        <v>40236.470707070708</v>
      </c>
      <c r="I9" s="22">
        <f t="shared" ca="1" si="6"/>
        <v>39538.69090909091</v>
      </c>
      <c r="J9">
        <f t="shared" ca="1" si="8"/>
        <v>42000</v>
      </c>
      <c r="K9" s="22">
        <f t="shared" ca="1" si="9"/>
        <v>52</v>
      </c>
      <c r="L9" s="22">
        <f t="shared" ca="1" si="10"/>
        <v>2571.029999999997</v>
      </c>
      <c r="M9" s="22">
        <f t="shared" ca="1" si="11"/>
        <v>1976.34323232323</v>
      </c>
      <c r="N9" s="22">
        <f t="shared" ca="1" si="12"/>
        <v>1381.6564646464631</v>
      </c>
      <c r="O9" s="22">
        <f t="shared" ca="1" si="7"/>
        <v>786.96969696969609</v>
      </c>
      <c r="P9" s="22">
        <f t="shared" ca="1" si="13"/>
        <v>192.28292929292911</v>
      </c>
      <c r="Q9" s="22">
        <f t="shared" ca="1" si="14"/>
        <v>0</v>
      </c>
      <c r="R9" s="22">
        <v>0</v>
      </c>
      <c r="S9">
        <f t="shared" si="15"/>
        <v>8</v>
      </c>
    </row>
    <row r="10" spans="1:26" ht="14" customHeight="1" x14ac:dyDescent="0.15">
      <c r="A10" s="2">
        <v>2021</v>
      </c>
      <c r="B10" s="22">
        <v>43683.333333333328</v>
      </c>
      <c r="C10" s="22">
        <f t="shared" ca="1" si="0"/>
        <v>44476.112121212122</v>
      </c>
      <c r="D10" s="22">
        <f t="shared" ca="1" si="1"/>
        <v>43778.332323232324</v>
      </c>
      <c r="E10" s="22">
        <f t="shared" ca="1" si="2"/>
        <v>43080.552525252526</v>
      </c>
      <c r="F10" s="22">
        <f t="shared" si="3"/>
        <v>42382.772727272728</v>
      </c>
      <c r="G10" s="22">
        <f t="shared" ca="1" si="4"/>
        <v>41684.99292929293</v>
      </c>
      <c r="H10" s="22">
        <f t="shared" ca="1" si="5"/>
        <v>40987.213131313132</v>
      </c>
      <c r="I10" s="22">
        <f t="shared" ca="1" si="6"/>
        <v>40289.433333333334</v>
      </c>
      <c r="J10">
        <f t="shared" ca="1" si="8"/>
        <v>43683.333333333328</v>
      </c>
      <c r="K10" s="22">
        <f t="shared" ca="1" si="9"/>
        <v>1683.3333333333285</v>
      </c>
      <c r="L10" s="22">
        <f t="shared" ca="1" si="10"/>
        <v>2571.029999999997</v>
      </c>
      <c r="M10" s="22">
        <f t="shared" ca="1" si="11"/>
        <v>1976.34323232323</v>
      </c>
      <c r="N10" s="22">
        <f t="shared" ca="1" si="12"/>
        <v>1381.6564646464631</v>
      </c>
      <c r="O10" s="22">
        <f t="shared" ca="1" si="7"/>
        <v>786.96969696969609</v>
      </c>
      <c r="P10" s="22">
        <f t="shared" ca="1" si="13"/>
        <v>192.28292929292911</v>
      </c>
      <c r="Q10" s="22">
        <f t="shared" ca="1" si="14"/>
        <v>0</v>
      </c>
      <c r="R10" s="22">
        <v>0</v>
      </c>
      <c r="S10">
        <f t="shared" si="15"/>
        <v>9</v>
      </c>
    </row>
    <row r="11" spans="1:26" ht="14" customHeight="1" x14ac:dyDescent="0.15">
      <c r="A11" s="2">
        <v>2022</v>
      </c>
      <c r="B11" s="22">
        <v>43346.666666666664</v>
      </c>
      <c r="C11" s="22">
        <f t="shared" ca="1" si="0"/>
        <v>45226.854545454546</v>
      </c>
      <c r="D11" s="22">
        <f t="shared" ca="1" si="1"/>
        <v>44529.074747474748</v>
      </c>
      <c r="E11" s="22">
        <f t="shared" ca="1" si="2"/>
        <v>43831.29494949495</v>
      </c>
      <c r="F11" s="22">
        <f t="shared" si="3"/>
        <v>43133.515151515152</v>
      </c>
      <c r="G11" s="22">
        <f t="shared" ca="1" si="4"/>
        <v>42435.735353535354</v>
      </c>
      <c r="H11" s="22">
        <f t="shared" ca="1" si="5"/>
        <v>41737.955555555556</v>
      </c>
      <c r="I11" s="22">
        <f t="shared" ca="1" si="6"/>
        <v>41040.175757575758</v>
      </c>
      <c r="J11">
        <f t="shared" ca="1" si="8"/>
        <v>43346.666666666664</v>
      </c>
      <c r="K11" s="22">
        <f t="shared" ca="1" si="9"/>
        <v>336.66666666666424</v>
      </c>
      <c r="L11" s="22">
        <f t="shared" ca="1" si="10"/>
        <v>2571.029999999997</v>
      </c>
      <c r="M11" s="22">
        <f t="shared" ca="1" si="11"/>
        <v>1976.34323232323</v>
      </c>
      <c r="N11" s="22">
        <f t="shared" ca="1" si="12"/>
        <v>1381.6564646464631</v>
      </c>
      <c r="O11" s="22">
        <f t="shared" ca="1" si="7"/>
        <v>786.96969696969609</v>
      </c>
      <c r="P11" s="22">
        <f t="shared" ca="1" si="13"/>
        <v>192.28292929292911</v>
      </c>
      <c r="Q11" s="22">
        <f t="shared" ca="1" si="14"/>
        <v>0</v>
      </c>
      <c r="R11" s="22">
        <v>0</v>
      </c>
      <c r="S11">
        <f t="shared" si="15"/>
        <v>10</v>
      </c>
    </row>
    <row r="12" spans="1:26" ht="14" customHeight="1" x14ac:dyDescent="0.15">
      <c r="A12" s="2">
        <v>2023</v>
      </c>
      <c r="B12" s="22">
        <v>43010</v>
      </c>
      <c r="C12" s="22">
        <f t="shared" ca="1" si="0"/>
        <v>45977.59696969697</v>
      </c>
      <c r="D12" s="22">
        <f t="shared" ca="1" si="1"/>
        <v>45279.817171717172</v>
      </c>
      <c r="E12" s="22">
        <f t="shared" ca="1" si="2"/>
        <v>44582.037373737374</v>
      </c>
      <c r="F12" s="22">
        <f t="shared" si="3"/>
        <v>43884.257575757576</v>
      </c>
      <c r="G12" s="22">
        <f t="shared" ca="1" si="4"/>
        <v>43186.477777777778</v>
      </c>
      <c r="H12" s="22">
        <f t="shared" ca="1" si="5"/>
        <v>42488.69797979798</v>
      </c>
      <c r="I12" s="22">
        <f t="shared" ca="1" si="6"/>
        <v>41790.918181818182</v>
      </c>
      <c r="J12">
        <f t="shared" ca="1" si="8"/>
        <v>43010</v>
      </c>
      <c r="K12" s="22">
        <f t="shared" ca="1" si="9"/>
        <v>336.66666666666424</v>
      </c>
      <c r="L12" s="22">
        <f t="shared" ca="1" si="10"/>
        <v>2571.029999999997</v>
      </c>
      <c r="M12" s="22">
        <f t="shared" ca="1" si="11"/>
        <v>1976.34323232323</v>
      </c>
      <c r="N12" s="22">
        <f t="shared" ca="1" si="12"/>
        <v>1381.6564646464631</v>
      </c>
      <c r="O12" s="22">
        <f t="shared" ca="1" si="7"/>
        <v>786.96969696969609</v>
      </c>
      <c r="P12" s="22">
        <f t="shared" ca="1" si="13"/>
        <v>192.28292929292911</v>
      </c>
      <c r="Q12" s="22">
        <f t="shared" ca="1" si="14"/>
        <v>0</v>
      </c>
      <c r="R12" s="22">
        <v>0</v>
      </c>
      <c r="S12">
        <f t="shared" si="15"/>
        <v>11</v>
      </c>
    </row>
    <row r="13" spans="1:26" ht="14" customHeight="1" x14ac:dyDescent="0.15">
      <c r="A13" s="2">
        <v>2024</v>
      </c>
      <c r="B13" s="22">
        <v>43239</v>
      </c>
      <c r="C13" s="22">
        <f t="shared" ca="1" si="0"/>
        <v>46728.339393939394</v>
      </c>
      <c r="D13" s="22">
        <f t="shared" ca="1" si="1"/>
        <v>46030.559595959596</v>
      </c>
      <c r="E13" s="22">
        <f t="shared" ca="1" si="2"/>
        <v>45332.779797979798</v>
      </c>
      <c r="F13" s="22">
        <f t="shared" si="3"/>
        <v>44635</v>
      </c>
      <c r="G13" s="22">
        <f t="shared" ca="1" si="4"/>
        <v>43937.220202020202</v>
      </c>
      <c r="H13" s="22">
        <f t="shared" ca="1" si="5"/>
        <v>43239.440404040404</v>
      </c>
      <c r="I13" s="22">
        <f t="shared" ca="1" si="6"/>
        <v>42541.660606060606</v>
      </c>
      <c r="J13">
        <f t="shared" ca="1" si="8"/>
        <v>43239</v>
      </c>
      <c r="K13" s="22">
        <f t="shared" ca="1" si="9"/>
        <v>229</v>
      </c>
      <c r="L13" s="22">
        <f t="shared" ca="1" si="10"/>
        <v>2571.029999999997</v>
      </c>
      <c r="M13" s="22">
        <f t="shared" ca="1" si="11"/>
        <v>1976.34323232323</v>
      </c>
      <c r="N13" s="22">
        <f t="shared" ca="1" si="12"/>
        <v>1381.6564646464631</v>
      </c>
      <c r="O13" s="22">
        <f t="shared" ca="1" si="7"/>
        <v>786.96969696969609</v>
      </c>
      <c r="P13" s="22">
        <f t="shared" ca="1" si="13"/>
        <v>192.28292929292911</v>
      </c>
      <c r="Q13" s="22">
        <f t="shared" ca="1" si="14"/>
        <v>0</v>
      </c>
      <c r="R13" s="22">
        <v>0</v>
      </c>
      <c r="S13">
        <f t="shared" si="15"/>
        <v>12</v>
      </c>
    </row>
    <row r="14" spans="1:26" ht="14" customHeight="1" x14ac:dyDescent="0.15">
      <c r="C14">
        <f t="shared" ca="1" si="0"/>
        <v>47479.081818181818</v>
      </c>
      <c r="D14">
        <f t="shared" ca="1" si="1"/>
        <v>46781.30202020202</v>
      </c>
      <c r="E14">
        <f t="shared" ca="1" si="2"/>
        <v>46083.522222222222</v>
      </c>
      <c r="F14">
        <f t="shared" si="3"/>
        <v>45385.742424242424</v>
      </c>
      <c r="G14">
        <f t="shared" ca="1" si="4"/>
        <v>44687.962626262626</v>
      </c>
      <c r="H14">
        <f t="shared" ca="1" si="5"/>
        <v>43990.182828282828</v>
      </c>
      <c r="I14">
        <f t="shared" ca="1" si="6"/>
        <v>43292.40303030303</v>
      </c>
      <c r="J14">
        <f t="shared" ca="1" si="8"/>
        <v>43239</v>
      </c>
      <c r="L14">
        <f t="shared" ca="1" si="10"/>
        <v>2571.029999999997</v>
      </c>
      <c r="M14">
        <f t="shared" ca="1" si="11"/>
        <v>1976.34323232323</v>
      </c>
      <c r="N14">
        <f t="shared" ca="1" si="12"/>
        <v>1381.6564646464631</v>
      </c>
      <c r="O14" s="22">
        <f t="shared" ca="1" si="7"/>
        <v>786.96969696969609</v>
      </c>
      <c r="P14">
        <f t="shared" ca="1" si="13"/>
        <v>192.28292929292911</v>
      </c>
      <c r="Q14">
        <f t="shared" ca="1" si="14"/>
        <v>0</v>
      </c>
      <c r="R14">
        <v>0</v>
      </c>
      <c r="S14">
        <f t="shared" si="15"/>
        <v>13</v>
      </c>
    </row>
    <row r="15" spans="1:26" ht="14" customHeight="1" x14ac:dyDescent="0.15">
      <c r="C15">
        <f t="shared" ca="1" si="0"/>
        <v>48229.824242424242</v>
      </c>
      <c r="D15">
        <f t="shared" ca="1" si="1"/>
        <v>47532.044444444444</v>
      </c>
      <c r="E15">
        <f t="shared" ca="1" si="2"/>
        <v>46834.264646464646</v>
      </c>
      <c r="F15">
        <f t="shared" si="3"/>
        <v>46136.484848484848</v>
      </c>
      <c r="G15">
        <f t="shared" ca="1" si="4"/>
        <v>45438.70505050505</v>
      </c>
      <c r="H15">
        <f t="shared" ca="1" si="5"/>
        <v>44740.925252525252</v>
      </c>
      <c r="I15">
        <f t="shared" ca="1" si="6"/>
        <v>44043.145454545454</v>
      </c>
      <c r="J15">
        <f t="shared" ca="1" si="8"/>
        <v>43239</v>
      </c>
      <c r="K15" t="str">
        <f t="shared" ca="1" si="9"/>
        <v/>
      </c>
      <c r="L15">
        <f t="shared" ca="1" si="10"/>
        <v>2571.029999999997</v>
      </c>
      <c r="M15">
        <f t="shared" ca="1" si="11"/>
        <v>1976.34323232323</v>
      </c>
      <c r="N15">
        <f t="shared" ca="1" si="12"/>
        <v>1381.6564646464631</v>
      </c>
      <c r="O15" s="22">
        <f t="shared" ca="1" si="7"/>
        <v>786.96969696969609</v>
      </c>
      <c r="P15">
        <f t="shared" ca="1" si="13"/>
        <v>192.28292929292911</v>
      </c>
      <c r="Q15">
        <f t="shared" ca="1" si="14"/>
        <v>0</v>
      </c>
      <c r="R15">
        <v>0</v>
      </c>
      <c r="S15">
        <f t="shared" si="15"/>
        <v>14</v>
      </c>
    </row>
    <row r="16" spans="1:26" ht="14" customHeight="1" x14ac:dyDescent="0.15">
      <c r="C16">
        <f t="shared" ca="1" si="0"/>
        <v>48980.566666666666</v>
      </c>
      <c r="D16">
        <f t="shared" ca="1" si="1"/>
        <v>48282.786868686868</v>
      </c>
      <c r="E16">
        <f t="shared" ca="1" si="2"/>
        <v>47585.00707070707</v>
      </c>
      <c r="F16">
        <f t="shared" si="3"/>
        <v>46887.227272727272</v>
      </c>
      <c r="G16">
        <f t="shared" ca="1" si="4"/>
        <v>46189.447474747474</v>
      </c>
      <c r="H16">
        <f t="shared" ca="1" si="5"/>
        <v>45491.667676767676</v>
      </c>
      <c r="I16">
        <f t="shared" ca="1" si="6"/>
        <v>44793.887878787878</v>
      </c>
      <c r="J16">
        <f t="shared" ca="1" si="8"/>
        <v>43239</v>
      </c>
      <c r="K16" t="str">
        <f t="shared" ca="1" si="9"/>
        <v/>
      </c>
      <c r="L16">
        <f t="shared" ca="1" si="10"/>
        <v>2571.029999999997</v>
      </c>
      <c r="M16">
        <f t="shared" ca="1" si="11"/>
        <v>1976.34323232323</v>
      </c>
      <c r="N16">
        <f t="shared" ca="1" si="12"/>
        <v>1381.6564646464631</v>
      </c>
      <c r="O16" s="22">
        <f t="shared" ca="1" si="7"/>
        <v>786.96969696969609</v>
      </c>
      <c r="P16">
        <f t="shared" ca="1" si="13"/>
        <v>192.28292929292911</v>
      </c>
      <c r="Q16">
        <f t="shared" ca="1" si="14"/>
        <v>0</v>
      </c>
      <c r="R16">
        <v>0</v>
      </c>
      <c r="S16">
        <f t="shared" si="15"/>
        <v>15</v>
      </c>
    </row>
    <row r="17" spans="3:19" ht="14" customHeight="1" x14ac:dyDescent="0.15">
      <c r="C17">
        <f t="shared" ca="1" si="0"/>
        <v>49731.30909090909</v>
      </c>
      <c r="D17">
        <f t="shared" ca="1" si="1"/>
        <v>49033.529292929292</v>
      </c>
      <c r="E17">
        <f t="shared" ca="1" si="2"/>
        <v>48335.749494949494</v>
      </c>
      <c r="F17">
        <f t="shared" si="3"/>
        <v>47637.969696969696</v>
      </c>
      <c r="G17">
        <f t="shared" ca="1" si="4"/>
        <v>46940.189898989898</v>
      </c>
      <c r="H17">
        <f t="shared" ca="1" si="5"/>
        <v>46242.4101010101</v>
      </c>
      <c r="I17">
        <f t="shared" ca="1" si="6"/>
        <v>45544.630303030302</v>
      </c>
      <c r="J17">
        <f t="shared" ca="1" si="8"/>
        <v>43239</v>
      </c>
      <c r="K17" t="str">
        <f t="shared" ca="1" si="9"/>
        <v/>
      </c>
      <c r="L17">
        <f t="shared" ca="1" si="10"/>
        <v>2571.029999999997</v>
      </c>
      <c r="M17">
        <f t="shared" ca="1" si="11"/>
        <v>1976.34323232323</v>
      </c>
      <c r="N17">
        <f t="shared" ca="1" si="12"/>
        <v>1381.6564646464631</v>
      </c>
      <c r="O17" s="22">
        <f t="shared" ca="1" si="7"/>
        <v>786.96969696969609</v>
      </c>
      <c r="P17">
        <f t="shared" ca="1" si="13"/>
        <v>192.28292929292911</v>
      </c>
      <c r="Q17">
        <f t="shared" ca="1" si="14"/>
        <v>0</v>
      </c>
      <c r="R17">
        <v>0</v>
      </c>
      <c r="S17">
        <f t="shared" si="15"/>
        <v>16</v>
      </c>
    </row>
    <row r="18" spans="3:19" ht="14" customHeight="1" x14ac:dyDescent="0.15">
      <c r="C18">
        <f t="shared" ca="1" si="0"/>
        <v>50482.051515151514</v>
      </c>
      <c r="D18">
        <f t="shared" ca="1" si="1"/>
        <v>49784.271717171716</v>
      </c>
      <c r="E18">
        <f t="shared" ca="1" si="2"/>
        <v>49086.491919191918</v>
      </c>
      <c r="F18">
        <f t="shared" si="3"/>
        <v>48388.71212121212</v>
      </c>
      <c r="G18">
        <f t="shared" ca="1" si="4"/>
        <v>47690.932323232322</v>
      </c>
      <c r="H18">
        <f t="shared" ca="1" si="5"/>
        <v>46993.152525252524</v>
      </c>
      <c r="I18">
        <f t="shared" ca="1" si="6"/>
        <v>46295.372727272726</v>
      </c>
      <c r="J18">
        <f t="shared" ca="1" si="8"/>
        <v>43239</v>
      </c>
      <c r="K18" t="str">
        <f t="shared" ca="1" si="9"/>
        <v/>
      </c>
      <c r="L18">
        <f t="shared" ca="1" si="10"/>
        <v>2571.029999999997</v>
      </c>
      <c r="M18">
        <f t="shared" ca="1" si="11"/>
        <v>1976.34323232323</v>
      </c>
      <c r="N18">
        <f t="shared" ca="1" si="12"/>
        <v>1381.6564646464631</v>
      </c>
      <c r="O18" s="22">
        <f t="shared" ca="1" si="7"/>
        <v>786.96969696969609</v>
      </c>
      <c r="P18">
        <f t="shared" ca="1" si="13"/>
        <v>192.28292929292911</v>
      </c>
      <c r="Q18">
        <f t="shared" ca="1" si="14"/>
        <v>0</v>
      </c>
      <c r="R18">
        <v>0</v>
      </c>
      <c r="S18">
        <f t="shared" si="15"/>
        <v>17</v>
      </c>
    </row>
    <row r="19" spans="3:19" ht="14" customHeight="1" x14ac:dyDescent="0.15">
      <c r="C19">
        <f t="shared" ca="1" si="0"/>
        <v>51232.793939393938</v>
      </c>
      <c r="D19">
        <f t="shared" ca="1" si="1"/>
        <v>50535.01414141414</v>
      </c>
      <c r="E19">
        <f t="shared" ca="1" si="2"/>
        <v>49837.234343434342</v>
      </c>
      <c r="F19">
        <f t="shared" si="3"/>
        <v>49139.454545454544</v>
      </c>
      <c r="G19">
        <f t="shared" ca="1" si="4"/>
        <v>48441.674747474746</v>
      </c>
      <c r="H19">
        <f t="shared" ca="1" si="5"/>
        <v>47743.894949494948</v>
      </c>
      <c r="I19">
        <f t="shared" ca="1" si="6"/>
        <v>47046.115151515151</v>
      </c>
      <c r="J19">
        <f t="shared" ca="1" si="8"/>
        <v>43239</v>
      </c>
      <c r="K19" t="str">
        <f t="shared" ca="1" si="9"/>
        <v/>
      </c>
      <c r="L19">
        <f t="shared" ca="1" si="10"/>
        <v>2571.029999999997</v>
      </c>
      <c r="M19">
        <f t="shared" ca="1" si="11"/>
        <v>1976.34323232323</v>
      </c>
      <c r="N19">
        <f t="shared" ca="1" si="12"/>
        <v>1381.6564646464631</v>
      </c>
      <c r="O19" s="22">
        <f t="shared" ca="1" si="7"/>
        <v>786.96969696969609</v>
      </c>
      <c r="P19">
        <f t="shared" ca="1" si="13"/>
        <v>192.28292929292911</v>
      </c>
      <c r="Q19">
        <f t="shared" ca="1" si="14"/>
        <v>0</v>
      </c>
      <c r="R19">
        <v>0</v>
      </c>
      <c r="S19">
        <f t="shared" si="15"/>
        <v>18</v>
      </c>
    </row>
    <row r="20" spans="3:19" ht="14" customHeight="1" x14ac:dyDescent="0.15">
      <c r="C20">
        <f t="shared" ca="1" si="0"/>
        <v>51983.536363636362</v>
      </c>
      <c r="D20">
        <f t="shared" ca="1" si="1"/>
        <v>51285.756565656564</v>
      </c>
      <c r="E20">
        <f t="shared" ca="1" si="2"/>
        <v>50587.976767676766</v>
      </c>
      <c r="F20">
        <f t="shared" si="3"/>
        <v>49890.196969696968</v>
      </c>
      <c r="G20">
        <f t="shared" ca="1" si="4"/>
        <v>49192.41717171717</v>
      </c>
      <c r="H20">
        <f t="shared" ca="1" si="5"/>
        <v>48494.637373737372</v>
      </c>
      <c r="I20">
        <f t="shared" ca="1" si="6"/>
        <v>47796.857575757575</v>
      </c>
      <c r="J20">
        <f t="shared" ca="1" si="8"/>
        <v>43239</v>
      </c>
      <c r="K20" t="str">
        <f t="shared" ca="1" si="9"/>
        <v/>
      </c>
      <c r="L20">
        <f t="shared" ca="1" si="10"/>
        <v>2571.029999999997</v>
      </c>
      <c r="M20">
        <f t="shared" ca="1" si="11"/>
        <v>1976.34323232323</v>
      </c>
      <c r="N20">
        <f t="shared" ca="1" si="12"/>
        <v>1381.6564646464631</v>
      </c>
      <c r="O20" s="22">
        <f t="shared" ca="1" si="7"/>
        <v>786.96969696969609</v>
      </c>
      <c r="P20">
        <f t="shared" ca="1" si="13"/>
        <v>192.28292929292911</v>
      </c>
      <c r="Q20">
        <f t="shared" ca="1" si="14"/>
        <v>0</v>
      </c>
      <c r="R20">
        <v>0</v>
      </c>
      <c r="S20">
        <f t="shared" si="15"/>
        <v>19</v>
      </c>
    </row>
    <row r="21" spans="3:19" ht="14" customHeight="1" x14ac:dyDescent="0.15">
      <c r="C21">
        <f t="shared" ca="1" si="0"/>
        <v>52734.278787878786</v>
      </c>
      <c r="D21">
        <f t="shared" ca="1" si="1"/>
        <v>52036.498989898988</v>
      </c>
      <c r="E21">
        <f t="shared" ca="1" si="2"/>
        <v>51338.71919191919</v>
      </c>
      <c r="F21">
        <f t="shared" si="3"/>
        <v>50640.939393939392</v>
      </c>
      <c r="G21">
        <f t="shared" ca="1" si="4"/>
        <v>49943.159595959594</v>
      </c>
      <c r="H21">
        <f t="shared" ca="1" si="5"/>
        <v>49245.379797979796</v>
      </c>
      <c r="I21">
        <f t="shared" ca="1" si="6"/>
        <v>48547.6</v>
      </c>
      <c r="J21">
        <f t="shared" ca="1" si="8"/>
        <v>43239</v>
      </c>
      <c r="K21" t="str">
        <f t="shared" ca="1" si="9"/>
        <v/>
      </c>
      <c r="L21">
        <f t="shared" ca="1" si="10"/>
        <v>2571.029999999997</v>
      </c>
      <c r="M21">
        <f t="shared" ca="1" si="11"/>
        <v>1976.34323232323</v>
      </c>
      <c r="N21">
        <f t="shared" ca="1" si="12"/>
        <v>1381.6564646464631</v>
      </c>
      <c r="O21" s="22">
        <f t="shared" ca="1" si="7"/>
        <v>786.96969696969609</v>
      </c>
      <c r="P21">
        <f t="shared" ca="1" si="13"/>
        <v>192.28292929292911</v>
      </c>
      <c r="Q21">
        <f t="shared" ca="1" si="14"/>
        <v>0</v>
      </c>
      <c r="R21">
        <v>0</v>
      </c>
      <c r="S21">
        <f t="shared" si="15"/>
        <v>20</v>
      </c>
    </row>
    <row r="22" spans="3:19" ht="14" customHeight="1" x14ac:dyDescent="0.15">
      <c r="C22">
        <f t="shared" ca="1" si="0"/>
        <v>53485.02121212121</v>
      </c>
      <c r="D22">
        <f t="shared" ca="1" si="1"/>
        <v>52787.241414141412</v>
      </c>
      <c r="E22">
        <f t="shared" ca="1" si="2"/>
        <v>52089.461616161614</v>
      </c>
      <c r="F22">
        <f t="shared" si="3"/>
        <v>51391.681818181816</v>
      </c>
      <c r="G22">
        <f t="shared" ca="1" si="4"/>
        <v>50693.902020202018</v>
      </c>
      <c r="H22">
        <f t="shared" ca="1" si="5"/>
        <v>49996.12222222222</v>
      </c>
      <c r="I22">
        <f t="shared" ca="1" si="6"/>
        <v>49298.342424242423</v>
      </c>
      <c r="J22">
        <f t="shared" ca="1" si="8"/>
        <v>43239</v>
      </c>
      <c r="K22" t="str">
        <f t="shared" ca="1" si="9"/>
        <v/>
      </c>
      <c r="L22">
        <f t="shared" ca="1" si="10"/>
        <v>2571.029999999997</v>
      </c>
      <c r="M22">
        <f t="shared" ca="1" si="11"/>
        <v>1976.34323232323</v>
      </c>
      <c r="N22">
        <f t="shared" ca="1" si="12"/>
        <v>1381.6564646464631</v>
      </c>
      <c r="O22" s="22">
        <f t="shared" ca="1" si="7"/>
        <v>786.96969696969609</v>
      </c>
      <c r="P22">
        <f t="shared" ca="1" si="13"/>
        <v>192.28292929292911</v>
      </c>
      <c r="Q22">
        <f t="shared" ca="1" si="14"/>
        <v>0</v>
      </c>
      <c r="R22">
        <v>0</v>
      </c>
      <c r="S22">
        <f t="shared" si="15"/>
        <v>21</v>
      </c>
    </row>
    <row r="23" spans="3:19" ht="14" customHeight="1" x14ac:dyDescent="0.15">
      <c r="C23">
        <f t="shared" ca="1" si="0"/>
        <v>54235.763636363634</v>
      </c>
      <c r="D23">
        <f t="shared" ca="1" si="1"/>
        <v>53537.983838383836</v>
      </c>
      <c r="E23">
        <f t="shared" ca="1" si="2"/>
        <v>52840.204040404038</v>
      </c>
      <c r="F23">
        <f t="shared" si="3"/>
        <v>52142.42424242424</v>
      </c>
      <c r="G23">
        <f t="shared" ca="1" si="4"/>
        <v>51444.644444444442</v>
      </c>
      <c r="H23">
        <f t="shared" ca="1" si="5"/>
        <v>50746.864646464644</v>
      </c>
      <c r="I23">
        <f t="shared" ca="1" si="6"/>
        <v>50049.084848484847</v>
      </c>
      <c r="J23">
        <f t="shared" ca="1" si="8"/>
        <v>43239</v>
      </c>
      <c r="K23" t="str">
        <f t="shared" ca="1" si="9"/>
        <v/>
      </c>
      <c r="L23">
        <f t="shared" ca="1" si="10"/>
        <v>2571.029999999997</v>
      </c>
      <c r="M23">
        <f t="shared" ca="1" si="11"/>
        <v>1976.34323232323</v>
      </c>
      <c r="N23">
        <f t="shared" ca="1" si="12"/>
        <v>1381.6564646464631</v>
      </c>
      <c r="O23" s="22">
        <f t="shared" ca="1" si="7"/>
        <v>786.96969696969609</v>
      </c>
      <c r="P23">
        <f t="shared" ca="1" si="13"/>
        <v>192.28292929292911</v>
      </c>
      <c r="Q23">
        <f t="shared" ca="1" si="14"/>
        <v>0</v>
      </c>
      <c r="R23">
        <v>0</v>
      </c>
      <c r="S23">
        <f t="shared" si="15"/>
        <v>22</v>
      </c>
    </row>
    <row r="24" spans="3:19" ht="14" customHeight="1" x14ac:dyDescent="0.15">
      <c r="C24">
        <f t="shared" ca="1" si="0"/>
        <v>54986.506060606058</v>
      </c>
      <c r="D24">
        <f t="shared" ca="1" si="1"/>
        <v>54288.72626262626</v>
      </c>
      <c r="E24">
        <f t="shared" ca="1" si="2"/>
        <v>53590.946464646462</v>
      </c>
      <c r="F24">
        <f t="shared" si="3"/>
        <v>52893.166666666664</v>
      </c>
      <c r="G24">
        <f t="shared" ca="1" si="4"/>
        <v>52195.386868686866</v>
      </c>
      <c r="H24">
        <f t="shared" ca="1" si="5"/>
        <v>51497.607070707068</v>
      </c>
      <c r="I24">
        <f t="shared" ca="1" si="6"/>
        <v>50799.827272727271</v>
      </c>
      <c r="J24">
        <f t="shared" ca="1" si="8"/>
        <v>43239</v>
      </c>
      <c r="K24" t="str">
        <f t="shared" ca="1" si="9"/>
        <v/>
      </c>
      <c r="L24">
        <f t="shared" ca="1" si="10"/>
        <v>2571.029999999997</v>
      </c>
      <c r="M24">
        <f t="shared" ca="1" si="11"/>
        <v>1976.34323232323</v>
      </c>
      <c r="N24">
        <f t="shared" ca="1" si="12"/>
        <v>1381.6564646464631</v>
      </c>
      <c r="O24" s="22">
        <f t="shared" ca="1" si="7"/>
        <v>786.96969696969609</v>
      </c>
      <c r="P24">
        <f t="shared" ca="1" si="13"/>
        <v>192.28292929292911</v>
      </c>
      <c r="Q24">
        <f t="shared" ca="1" si="14"/>
        <v>0</v>
      </c>
      <c r="R24">
        <v>0</v>
      </c>
      <c r="S24">
        <f t="shared" si="15"/>
        <v>23</v>
      </c>
    </row>
    <row r="25" spans="3:19" ht="14" customHeight="1" x14ac:dyDescent="0.15">
      <c r="C25">
        <f t="shared" ca="1" si="0"/>
        <v>55737.248484848482</v>
      </c>
      <c r="D25">
        <f t="shared" ca="1" si="1"/>
        <v>55039.468686868684</v>
      </c>
      <c r="E25">
        <f t="shared" ca="1" si="2"/>
        <v>54341.688888888886</v>
      </c>
      <c r="F25">
        <f t="shared" si="3"/>
        <v>53643.909090909088</v>
      </c>
      <c r="G25">
        <f t="shared" ca="1" si="4"/>
        <v>52946.12929292929</v>
      </c>
      <c r="H25">
        <f t="shared" ca="1" si="5"/>
        <v>52248.349494949493</v>
      </c>
      <c r="I25">
        <f t="shared" ca="1" si="6"/>
        <v>51550.569696969695</v>
      </c>
      <c r="J25">
        <f t="shared" ca="1" si="8"/>
        <v>43239</v>
      </c>
      <c r="K25" t="str">
        <f t="shared" ca="1" si="9"/>
        <v/>
      </c>
      <c r="L25">
        <f t="shared" ca="1" si="10"/>
        <v>2571.029999999997</v>
      </c>
      <c r="M25">
        <f t="shared" ca="1" si="11"/>
        <v>1976.34323232323</v>
      </c>
      <c r="N25">
        <f t="shared" ca="1" si="12"/>
        <v>1381.6564646464631</v>
      </c>
      <c r="O25" s="22">
        <f t="shared" ca="1" si="7"/>
        <v>786.96969696969609</v>
      </c>
      <c r="P25">
        <f t="shared" ca="1" si="13"/>
        <v>192.28292929292911</v>
      </c>
      <c r="Q25">
        <f t="shared" ca="1" si="14"/>
        <v>0</v>
      </c>
      <c r="R25">
        <v>0</v>
      </c>
      <c r="S25">
        <f t="shared" si="15"/>
        <v>24</v>
      </c>
    </row>
    <row r="26" spans="3:19" ht="14" customHeight="1" x14ac:dyDescent="0.15">
      <c r="C26">
        <f t="shared" ca="1" si="0"/>
        <v>56487.990909090906</v>
      </c>
      <c r="D26">
        <f t="shared" ca="1" si="1"/>
        <v>55790.211111111108</v>
      </c>
      <c r="E26">
        <f t="shared" ca="1" si="2"/>
        <v>55092.43131313131</v>
      </c>
      <c r="F26">
        <f t="shared" si="3"/>
        <v>54394.651515151512</v>
      </c>
      <c r="G26">
        <f t="shared" ca="1" si="4"/>
        <v>53696.871717171714</v>
      </c>
      <c r="H26">
        <f t="shared" ca="1" si="5"/>
        <v>52999.091919191917</v>
      </c>
      <c r="I26">
        <f t="shared" ca="1" si="6"/>
        <v>52301.312121212119</v>
      </c>
      <c r="J26">
        <f t="shared" ca="1" si="8"/>
        <v>43239</v>
      </c>
      <c r="K26" t="str">
        <f t="shared" ca="1" si="9"/>
        <v/>
      </c>
      <c r="L26">
        <f t="shared" ca="1" si="10"/>
        <v>2571.029999999997</v>
      </c>
      <c r="M26">
        <f t="shared" ca="1" si="11"/>
        <v>1976.34323232323</v>
      </c>
      <c r="N26">
        <f t="shared" ca="1" si="12"/>
        <v>1381.6564646464631</v>
      </c>
      <c r="O26" s="22">
        <f t="shared" ca="1" si="7"/>
        <v>786.96969696969609</v>
      </c>
      <c r="P26">
        <f t="shared" ca="1" si="13"/>
        <v>192.28292929292911</v>
      </c>
      <c r="Q26">
        <f t="shared" ca="1" si="14"/>
        <v>0</v>
      </c>
      <c r="R26">
        <v>0</v>
      </c>
      <c r="S26">
        <f t="shared" si="15"/>
        <v>25</v>
      </c>
    </row>
    <row r="27" spans="3:19" ht="14" customHeight="1" x14ac:dyDescent="0.15">
      <c r="C27">
        <f t="shared" ca="1" si="0"/>
        <v>57238.73333333333</v>
      </c>
      <c r="D27">
        <f t="shared" ca="1" si="1"/>
        <v>56540.953535353532</v>
      </c>
      <c r="E27">
        <f t="shared" ca="1" si="2"/>
        <v>55843.173737373734</v>
      </c>
      <c r="F27">
        <f t="shared" si="3"/>
        <v>55145.393939393936</v>
      </c>
      <c r="G27">
        <f t="shared" ca="1" si="4"/>
        <v>54447.614141414138</v>
      </c>
      <c r="H27">
        <f t="shared" ca="1" si="5"/>
        <v>53749.834343434341</v>
      </c>
      <c r="I27">
        <f t="shared" ca="1" si="6"/>
        <v>53052.054545454543</v>
      </c>
      <c r="J27">
        <f t="shared" ca="1" si="8"/>
        <v>43239</v>
      </c>
      <c r="K27" t="str">
        <f t="shared" ca="1" si="9"/>
        <v/>
      </c>
      <c r="L27">
        <f t="shared" ca="1" si="10"/>
        <v>2571.029999999997</v>
      </c>
      <c r="M27">
        <f t="shared" ca="1" si="11"/>
        <v>1976.34323232323</v>
      </c>
      <c r="N27">
        <f t="shared" ca="1" si="12"/>
        <v>1381.6564646464631</v>
      </c>
      <c r="O27" s="22">
        <f t="shared" ca="1" si="7"/>
        <v>786.96969696969609</v>
      </c>
      <c r="P27">
        <f t="shared" ca="1" si="13"/>
        <v>192.28292929292911</v>
      </c>
      <c r="Q27">
        <f t="shared" ca="1" si="14"/>
        <v>0</v>
      </c>
      <c r="R27">
        <v>0</v>
      </c>
      <c r="S27">
        <f t="shared" si="15"/>
        <v>26</v>
      </c>
    </row>
    <row r="28" spans="3:19" ht="14" customHeight="1" x14ac:dyDescent="0.15">
      <c r="C28">
        <f t="shared" ca="1" si="0"/>
        <v>57989.475757575754</v>
      </c>
      <c r="D28">
        <f t="shared" ca="1" si="1"/>
        <v>57291.695959595956</v>
      </c>
      <c r="E28">
        <f t="shared" ca="1" si="2"/>
        <v>56593.916161616158</v>
      </c>
      <c r="F28">
        <f t="shared" si="3"/>
        <v>55896.13636363636</v>
      </c>
      <c r="G28">
        <f t="shared" ca="1" si="4"/>
        <v>55198.356565656562</v>
      </c>
      <c r="H28">
        <f t="shared" ca="1" si="5"/>
        <v>54500.576767676765</v>
      </c>
      <c r="I28">
        <f t="shared" ca="1" si="6"/>
        <v>53802.796969696967</v>
      </c>
      <c r="J28">
        <f t="shared" ca="1" si="8"/>
        <v>43239</v>
      </c>
      <c r="K28" t="str">
        <f t="shared" ca="1" si="9"/>
        <v/>
      </c>
      <c r="L28">
        <f t="shared" ca="1" si="10"/>
        <v>2571.029999999997</v>
      </c>
      <c r="M28">
        <f t="shared" ca="1" si="11"/>
        <v>1976.34323232323</v>
      </c>
      <c r="N28">
        <f t="shared" ca="1" si="12"/>
        <v>1381.6564646464631</v>
      </c>
      <c r="O28" s="22">
        <f t="shared" ca="1" si="7"/>
        <v>786.96969696969609</v>
      </c>
      <c r="P28">
        <f t="shared" ca="1" si="13"/>
        <v>192.28292929292911</v>
      </c>
      <c r="Q28">
        <f t="shared" ca="1" si="14"/>
        <v>0</v>
      </c>
      <c r="R28">
        <v>0</v>
      </c>
      <c r="S28">
        <f t="shared" si="15"/>
        <v>27</v>
      </c>
    </row>
    <row r="29" spans="3:19" ht="14" customHeight="1" x14ac:dyDescent="0.15">
      <c r="C29">
        <f t="shared" ca="1" si="0"/>
        <v>58740.218181818178</v>
      </c>
      <c r="D29">
        <f t="shared" ca="1" si="1"/>
        <v>58042.43838383838</v>
      </c>
      <c r="E29">
        <f t="shared" ca="1" si="2"/>
        <v>57344.658585858582</v>
      </c>
      <c r="F29">
        <f t="shared" si="3"/>
        <v>56646.878787878784</v>
      </c>
      <c r="G29">
        <f t="shared" ca="1" si="4"/>
        <v>55949.098989898986</v>
      </c>
      <c r="H29">
        <f t="shared" ca="1" si="5"/>
        <v>55251.319191919189</v>
      </c>
      <c r="I29">
        <f t="shared" ca="1" si="6"/>
        <v>54553.539393939391</v>
      </c>
      <c r="J29">
        <f t="shared" ca="1" si="8"/>
        <v>43239</v>
      </c>
      <c r="K29" t="str">
        <f t="shared" ca="1" si="9"/>
        <v/>
      </c>
      <c r="L29">
        <f t="shared" ca="1" si="10"/>
        <v>2571.029999999997</v>
      </c>
      <c r="M29">
        <f t="shared" ca="1" si="11"/>
        <v>1976.34323232323</v>
      </c>
      <c r="N29">
        <f t="shared" ca="1" si="12"/>
        <v>1381.6564646464631</v>
      </c>
      <c r="O29" s="22">
        <f t="shared" ca="1" si="7"/>
        <v>786.96969696969609</v>
      </c>
      <c r="P29">
        <f t="shared" ca="1" si="13"/>
        <v>192.28292929292911</v>
      </c>
      <c r="Q29">
        <f t="shared" ca="1" si="14"/>
        <v>0</v>
      </c>
      <c r="R29">
        <v>0</v>
      </c>
      <c r="S29">
        <f t="shared" si="15"/>
        <v>28</v>
      </c>
    </row>
    <row r="30" spans="3:19" ht="14" customHeight="1" x14ac:dyDescent="0.15">
      <c r="C30">
        <f t="shared" ca="1" si="0"/>
        <v>59490.960606060602</v>
      </c>
      <c r="D30">
        <f t="shared" ca="1" si="1"/>
        <v>58793.180808080804</v>
      </c>
      <c r="E30">
        <f t="shared" ca="1" si="2"/>
        <v>58095.401010101006</v>
      </c>
      <c r="F30">
        <f t="shared" si="3"/>
        <v>57397.621212121208</v>
      </c>
      <c r="G30">
        <f t="shared" ca="1" si="4"/>
        <v>56699.84141414141</v>
      </c>
      <c r="H30">
        <f t="shared" ca="1" si="5"/>
        <v>56002.061616161613</v>
      </c>
      <c r="I30">
        <f t="shared" ca="1" si="6"/>
        <v>55304.281818181815</v>
      </c>
      <c r="J30">
        <f t="shared" ca="1" si="8"/>
        <v>43239</v>
      </c>
      <c r="K30" t="str">
        <f t="shared" ca="1" si="9"/>
        <v/>
      </c>
      <c r="L30">
        <f t="shared" ca="1" si="10"/>
        <v>2571.029999999997</v>
      </c>
      <c r="M30">
        <f t="shared" ca="1" si="11"/>
        <v>1976.34323232323</v>
      </c>
      <c r="N30">
        <f t="shared" ca="1" si="12"/>
        <v>1381.6564646464631</v>
      </c>
      <c r="O30" s="22">
        <f t="shared" ca="1" si="7"/>
        <v>786.96969696969609</v>
      </c>
      <c r="P30">
        <f t="shared" ca="1" si="13"/>
        <v>192.28292929292911</v>
      </c>
      <c r="Q30">
        <f t="shared" ca="1" si="14"/>
        <v>0</v>
      </c>
      <c r="R30">
        <v>0</v>
      </c>
      <c r="S30">
        <f t="shared" si="15"/>
        <v>29</v>
      </c>
    </row>
    <row r="31" spans="3:19" ht="14" customHeight="1" x14ac:dyDescent="0.15">
      <c r="C31">
        <f t="shared" ca="1" si="0"/>
        <v>60241.703030303026</v>
      </c>
      <c r="D31">
        <f t="shared" ca="1" si="1"/>
        <v>59543.923232323228</v>
      </c>
      <c r="E31">
        <f t="shared" ca="1" si="2"/>
        <v>58846.14343434343</v>
      </c>
      <c r="F31">
        <f t="shared" si="3"/>
        <v>58148.363636363632</v>
      </c>
      <c r="G31">
        <f t="shared" ca="1" si="4"/>
        <v>57450.583838383835</v>
      </c>
      <c r="H31">
        <f t="shared" ca="1" si="5"/>
        <v>56752.804040404037</v>
      </c>
      <c r="I31">
        <f t="shared" ca="1" si="6"/>
        <v>56055.024242424239</v>
      </c>
      <c r="J31">
        <f t="shared" ca="1" si="8"/>
        <v>43239</v>
      </c>
      <c r="K31" t="str">
        <f t="shared" ca="1" si="9"/>
        <v/>
      </c>
      <c r="L31">
        <f t="shared" ca="1" si="10"/>
        <v>2571.029999999997</v>
      </c>
      <c r="M31">
        <f t="shared" ca="1" si="11"/>
        <v>1976.34323232323</v>
      </c>
      <c r="N31">
        <f t="shared" ca="1" si="12"/>
        <v>1381.6564646464631</v>
      </c>
      <c r="O31" s="22">
        <f t="shared" ca="1" si="7"/>
        <v>786.96969696969609</v>
      </c>
      <c r="P31">
        <f t="shared" ca="1" si="13"/>
        <v>192.28292929292911</v>
      </c>
      <c r="Q31">
        <f t="shared" ca="1" si="14"/>
        <v>0</v>
      </c>
      <c r="R31">
        <v>0</v>
      </c>
      <c r="S31">
        <f t="shared" si="15"/>
        <v>30</v>
      </c>
    </row>
    <row r="32" spans="3:19" ht="14" customHeight="1" x14ac:dyDescent="0.15">
      <c r="C32">
        <f t="shared" ca="1" si="0"/>
        <v>60992.44545454545</v>
      </c>
      <c r="D32">
        <f t="shared" ca="1" si="1"/>
        <v>60294.665656565652</v>
      </c>
      <c r="E32">
        <f t="shared" ca="1" si="2"/>
        <v>59596.885858585854</v>
      </c>
      <c r="F32">
        <f t="shared" si="3"/>
        <v>58899.106060606056</v>
      </c>
      <c r="G32">
        <f t="shared" ca="1" si="4"/>
        <v>58201.326262626259</v>
      </c>
      <c r="H32">
        <f t="shared" ca="1" si="5"/>
        <v>57503.546464646461</v>
      </c>
      <c r="I32">
        <f t="shared" ca="1" si="6"/>
        <v>56805.766666666663</v>
      </c>
      <c r="J32">
        <f t="shared" ca="1" si="8"/>
        <v>43239</v>
      </c>
      <c r="K32" t="str">
        <f t="shared" ca="1" si="9"/>
        <v/>
      </c>
      <c r="L32">
        <f t="shared" ca="1" si="10"/>
        <v>2571.029999999997</v>
      </c>
      <c r="M32">
        <f t="shared" ca="1" si="11"/>
        <v>1976.34323232323</v>
      </c>
      <c r="N32">
        <f t="shared" ca="1" si="12"/>
        <v>1381.6564646464631</v>
      </c>
      <c r="O32" s="22">
        <f t="shared" ca="1" si="7"/>
        <v>786.96969696969609</v>
      </c>
      <c r="P32">
        <f t="shared" ca="1" si="13"/>
        <v>192.28292929292911</v>
      </c>
      <c r="Q32">
        <f t="shared" ca="1" si="14"/>
        <v>0</v>
      </c>
      <c r="R32">
        <v>0</v>
      </c>
      <c r="S32">
        <f t="shared" si="15"/>
        <v>31</v>
      </c>
    </row>
    <row r="33" spans="3:19" ht="14" customHeight="1" x14ac:dyDescent="0.15">
      <c r="C33">
        <f t="shared" ca="1" si="0"/>
        <v>61743.187878787874</v>
      </c>
      <c r="D33">
        <f t="shared" ca="1" si="1"/>
        <v>61045.408080808076</v>
      </c>
      <c r="E33">
        <f t="shared" ca="1" si="2"/>
        <v>60347.628282828278</v>
      </c>
      <c r="F33">
        <f t="shared" si="3"/>
        <v>59649.84848484848</v>
      </c>
      <c r="G33">
        <f t="shared" ca="1" si="4"/>
        <v>58952.068686868683</v>
      </c>
      <c r="H33">
        <f t="shared" ca="1" si="5"/>
        <v>58254.288888888885</v>
      </c>
      <c r="I33">
        <f t="shared" ca="1" si="6"/>
        <v>57556.509090909087</v>
      </c>
      <c r="J33">
        <f t="shared" ca="1" si="8"/>
        <v>43239</v>
      </c>
      <c r="K33" t="str">
        <f t="shared" ca="1" si="9"/>
        <v/>
      </c>
      <c r="L33">
        <f t="shared" ca="1" si="10"/>
        <v>2571.029999999997</v>
      </c>
      <c r="M33">
        <f t="shared" ca="1" si="11"/>
        <v>1976.34323232323</v>
      </c>
      <c r="N33">
        <f t="shared" ca="1" si="12"/>
        <v>1381.6564646464631</v>
      </c>
      <c r="O33" s="22">
        <f t="shared" ca="1" si="7"/>
        <v>786.96969696969609</v>
      </c>
      <c r="P33">
        <f t="shared" ca="1" si="13"/>
        <v>192.28292929292911</v>
      </c>
      <c r="Q33">
        <f t="shared" ca="1" si="14"/>
        <v>0</v>
      </c>
      <c r="R33">
        <v>0</v>
      </c>
      <c r="S33">
        <f t="shared" si="15"/>
        <v>32</v>
      </c>
    </row>
    <row r="34" spans="3:19" ht="14" customHeight="1" x14ac:dyDescent="0.15"/>
    <row r="35" spans="3:19" ht="14" customHeight="1" x14ac:dyDescent="0.15"/>
    <row r="36" spans="3:19" ht="14" customHeight="1" x14ac:dyDescent="0.15"/>
    <row r="37" spans="3:19" ht="14" customHeight="1" x14ac:dyDescent="0.15"/>
    <row r="38" spans="3:19" ht="14" customHeight="1" x14ac:dyDescent="0.15"/>
    <row r="39" spans="3:19" ht="14" customHeight="1" x14ac:dyDescent="0.15"/>
    <row r="40" spans="3:19" ht="14" customHeight="1" x14ac:dyDescent="0.15"/>
    <row r="41" spans="3:19" ht="14" customHeight="1" x14ac:dyDescent="0.15"/>
    <row r="42" spans="3:19" ht="14" customHeight="1" x14ac:dyDescent="0.15"/>
    <row r="43" spans="3:19" ht="14" customHeight="1" x14ac:dyDescent="0.15"/>
    <row r="44" spans="3:19" ht="14" customHeight="1" x14ac:dyDescent="0.15"/>
    <row r="45" spans="3:19" ht="14" customHeight="1" x14ac:dyDescent="0.15"/>
    <row r="46" spans="3:19" ht="14" customHeight="1" x14ac:dyDescent="0.15"/>
    <row r="47" spans="3:19" ht="14" customHeight="1" x14ac:dyDescent="0.15"/>
    <row r="48" spans="3:19" ht="14" customHeight="1" x14ac:dyDescent="0.15"/>
    <row r="49" ht="14" customHeight="1" x14ac:dyDescent="0.15"/>
    <row r="50" ht="14" customHeight="1" x14ac:dyDescent="0.15"/>
    <row r="51" ht="14" customHeight="1" x14ac:dyDescent="0.15"/>
    <row r="52" ht="14" customHeight="1" x14ac:dyDescent="0.15"/>
  </sheetData>
  <pageMargins left="0.7" right="0.7" top="0.75" bottom="0.75" header="0.3" footer="0.3"/>
  <pageSetup scale="98" orientation="landscape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8680A-B4DA-F44C-9170-6326E9FB75A4}">
  <sheetPr>
    <tabColor rgb="FF66FF66"/>
    <pageSetUpPr fitToPage="1"/>
  </sheetPr>
  <dimension ref="A1:Z52"/>
  <sheetViews>
    <sheetView zoomScale="174" zoomScaleNormal="174" workbookViewId="0">
      <selection activeCell="V22" sqref="V22"/>
    </sheetView>
  </sheetViews>
  <sheetFormatPr baseColWidth="10" defaultRowHeight="14" x14ac:dyDescent="0.15"/>
  <cols>
    <col min="1" max="1" width="9" bestFit="1" customWidth="1"/>
    <col min="2" max="21" width="7" customWidth="1"/>
  </cols>
  <sheetData>
    <row r="1" spans="1:26" ht="14" customHeight="1" x14ac:dyDescent="0.15">
      <c r="A1" s="4" t="s">
        <v>3</v>
      </c>
      <c r="B1" s="24" t="s">
        <v>6</v>
      </c>
      <c r="C1" s="22" t="s">
        <v>13</v>
      </c>
      <c r="D1" s="22" t="s">
        <v>14</v>
      </c>
      <c r="E1" s="22" t="s">
        <v>15</v>
      </c>
      <c r="F1" s="22" t="s">
        <v>16</v>
      </c>
      <c r="G1" s="22" t="s">
        <v>17</v>
      </c>
      <c r="H1" s="22" t="s">
        <v>18</v>
      </c>
      <c r="I1" s="22" t="s">
        <v>19</v>
      </c>
      <c r="J1" t="s">
        <v>11</v>
      </c>
      <c r="K1" s="22" t="s">
        <v>12</v>
      </c>
      <c r="L1" s="22" t="s">
        <v>13</v>
      </c>
      <c r="M1" s="22" t="s">
        <v>14</v>
      </c>
      <c r="N1" s="22" t="s">
        <v>15</v>
      </c>
      <c r="O1" s="22" t="s">
        <v>16</v>
      </c>
      <c r="P1" s="22" t="s">
        <v>17</v>
      </c>
      <c r="Q1" s="22" t="s">
        <v>18</v>
      </c>
      <c r="R1" s="22" t="s">
        <v>19</v>
      </c>
      <c r="S1" t="s">
        <v>20</v>
      </c>
      <c r="U1" t="s">
        <v>21</v>
      </c>
      <c r="V1">
        <f>INDEX(LINEST($B$2:$B$13,,,TRUE),1,1)</f>
        <v>1107.8146853146854</v>
      </c>
      <c r="W1" t="s">
        <v>22</v>
      </c>
      <c r="X1">
        <f>INDEX(LINEST($B$2:$B$13,,,TRUE),1,2)</f>
        <v>28006.621212121208</v>
      </c>
      <c r="Y1" t="s">
        <v>23</v>
      </c>
      <c r="Z1">
        <f>INDEX(LINEST($B$2:$B$13,,,TRUE),3,1)</f>
        <v>0.92087847917286103</v>
      </c>
    </row>
    <row r="2" spans="1:26" ht="14" customHeight="1" x14ac:dyDescent="0.15">
      <c r="A2" s="12">
        <v>2013</v>
      </c>
      <c r="B2" s="22">
        <v>30486</v>
      </c>
      <c r="C2" s="22">
        <f t="shared" ref="C2:C33" ca="1" si="0">F2+2.66*O2</f>
        <v>32746.544988344987</v>
      </c>
      <c r="D2" s="22">
        <f t="shared" ref="D2:D33" ca="1" si="1">F2+(2/3)*2.66*O2</f>
        <v>31535.841958041954</v>
      </c>
      <c r="E2" s="22">
        <f t="shared" ref="E2:E33" ca="1" si="2">F2+(1/3)*2.66*O2</f>
        <v>30325.138927738924</v>
      </c>
      <c r="F2" s="22">
        <f t="shared" ref="F2:F33" si="3">INDEX(LINEST($B$2:$B$13,,,TRUE),1,1)* S2 +INDEX(LINEST($B$2:$B$13,,,TRUE),1,2)</f>
        <v>29114.435897435895</v>
      </c>
      <c r="G2" s="22">
        <f t="shared" ref="G2:G33" ca="1" si="4">F2-(1/3)*2.66*O2</f>
        <v>27903.732867132865</v>
      </c>
      <c r="H2" s="22">
        <f t="shared" ref="H2:H33" ca="1" si="5">F2-(2/3)*2.66*O2</f>
        <v>26693.029836829835</v>
      </c>
      <c r="I2" s="22">
        <f t="shared" ref="I2:I33" ca="1" si="6">F2-2.66*O2</f>
        <v>25482.326806526802</v>
      </c>
      <c r="J2" s="22">
        <f>B2</f>
        <v>30486</v>
      </c>
      <c r="K2" s="22"/>
      <c r="L2" s="22"/>
      <c r="M2" s="22"/>
      <c r="N2" s="22"/>
      <c r="O2" s="22">
        <f t="shared" ref="O2:O33" ca="1" si="7">AVERAGE($K$3:$K$13)</f>
        <v>1365.4545454545455</v>
      </c>
      <c r="P2" s="22"/>
      <c r="Q2" s="22"/>
      <c r="R2" s="22"/>
      <c r="S2">
        <v>1</v>
      </c>
    </row>
    <row r="3" spans="1:26" ht="14" customHeight="1" x14ac:dyDescent="0.15">
      <c r="A3" s="12">
        <v>2014</v>
      </c>
      <c r="B3" s="22">
        <v>31375</v>
      </c>
      <c r="C3" s="22">
        <f t="shared" ca="1" si="0"/>
        <v>33854.359673659674</v>
      </c>
      <c r="D3" s="22">
        <f t="shared" ca="1" si="1"/>
        <v>32643.65664335664</v>
      </c>
      <c r="E3" s="22">
        <f t="shared" ca="1" si="2"/>
        <v>31432.953613053611</v>
      </c>
      <c r="F3" s="22">
        <f t="shared" si="3"/>
        <v>30222.250582750581</v>
      </c>
      <c r="G3" s="22">
        <f t="shared" ca="1" si="4"/>
        <v>29011.547552447551</v>
      </c>
      <c r="H3" s="22">
        <f t="shared" ca="1" si="5"/>
        <v>27800.844522144522</v>
      </c>
      <c r="I3" s="22">
        <f t="shared" ca="1" si="6"/>
        <v>26590.141491841488</v>
      </c>
      <c r="J3">
        <f t="shared" ref="J3:J33" ca="1" si="8">IF(ISBLANK(B3),OFFSET(J3,-1,0,1,1),B3)</f>
        <v>31375</v>
      </c>
      <c r="K3" s="22">
        <f t="shared" ref="K3:K33" ca="1" si="9">IF(OR(OFFSET(K3,-1,-9,1,1)="",OFFSET(K3,0,-9,1,1)=""),"",IF(ISERROR(ABS(B3-OFFSET(K3,-1,-1,1,1))),"",ABS(B3-OFFSET(K3,-1,-1,1,1))))</f>
        <v>889</v>
      </c>
      <c r="L3" s="22">
        <f t="shared" ref="L3:L33" ca="1" si="10">3.267*O3</f>
        <v>4460.9399999999996</v>
      </c>
      <c r="M3" s="22">
        <f t="shared" ref="M3:M33" ca="1" si="11">(2/3)*(L3-O3)+O3</f>
        <v>3429.1115151515146</v>
      </c>
      <c r="N3" s="22">
        <f t="shared" ref="N3:N33" ca="1" si="12">(1/3)*(L3-O3)+O3</f>
        <v>2397.28303030303</v>
      </c>
      <c r="O3" s="22">
        <f t="shared" ca="1" si="7"/>
        <v>1365.4545454545455</v>
      </c>
      <c r="P3" s="22">
        <f t="shared" ref="P3:P33" ca="1" si="13">(MAX(O3-(1/3)*(L3-O3),0))</f>
        <v>333.62606060606095</v>
      </c>
      <c r="Q3" s="22">
        <f t="shared" ref="Q3:Q33" ca="1" si="14">MAX(O3-(2/3)*(L3-O3),0)</f>
        <v>0</v>
      </c>
      <c r="R3" s="22">
        <v>0</v>
      </c>
      <c r="S3">
        <f t="shared" ref="S3:S33" si="15">S2+1</f>
        <v>2</v>
      </c>
    </row>
    <row r="4" spans="1:26" ht="14" customHeight="1" x14ac:dyDescent="0.15">
      <c r="A4" s="12">
        <v>2015</v>
      </c>
      <c r="B4" s="22">
        <v>30578</v>
      </c>
      <c r="C4" s="22">
        <f t="shared" ca="1" si="0"/>
        <v>34962.174358974356</v>
      </c>
      <c r="D4" s="22">
        <f t="shared" ca="1" si="1"/>
        <v>33751.471328671323</v>
      </c>
      <c r="E4" s="22">
        <f t="shared" ca="1" si="2"/>
        <v>32540.768298368293</v>
      </c>
      <c r="F4" s="22">
        <f t="shared" si="3"/>
        <v>31330.065268065264</v>
      </c>
      <c r="G4" s="22">
        <f t="shared" ca="1" si="4"/>
        <v>30119.362237762234</v>
      </c>
      <c r="H4" s="22">
        <f t="shared" ca="1" si="5"/>
        <v>28908.659207459204</v>
      </c>
      <c r="I4" s="22">
        <f t="shared" ca="1" si="6"/>
        <v>27697.956177156171</v>
      </c>
      <c r="J4">
        <f t="shared" ca="1" si="8"/>
        <v>30578</v>
      </c>
      <c r="K4" s="22">
        <f t="shared" ca="1" si="9"/>
        <v>797</v>
      </c>
      <c r="L4" s="22">
        <f t="shared" ca="1" si="10"/>
        <v>4460.9399999999996</v>
      </c>
      <c r="M4" s="22">
        <f t="shared" ca="1" si="11"/>
        <v>3429.1115151515146</v>
      </c>
      <c r="N4" s="22">
        <f t="shared" ca="1" si="12"/>
        <v>2397.28303030303</v>
      </c>
      <c r="O4" s="22">
        <f t="shared" ca="1" si="7"/>
        <v>1365.4545454545455</v>
      </c>
      <c r="P4" s="22">
        <f t="shared" ca="1" si="13"/>
        <v>333.62606060606095</v>
      </c>
      <c r="Q4" s="22">
        <f t="shared" ca="1" si="14"/>
        <v>0</v>
      </c>
      <c r="R4" s="22">
        <v>0</v>
      </c>
      <c r="S4">
        <f t="shared" si="15"/>
        <v>3</v>
      </c>
    </row>
    <row r="5" spans="1:26" ht="14" customHeight="1" x14ac:dyDescent="0.15">
      <c r="A5" s="12">
        <v>2016</v>
      </c>
      <c r="B5" s="22">
        <v>30980</v>
      </c>
      <c r="C5" s="22">
        <f t="shared" ca="1" si="0"/>
        <v>36069.989044289039</v>
      </c>
      <c r="D5" s="22">
        <f t="shared" ca="1" si="1"/>
        <v>34859.286013986013</v>
      </c>
      <c r="E5" s="22">
        <f t="shared" ca="1" si="2"/>
        <v>33648.58298368298</v>
      </c>
      <c r="F5" s="22">
        <f t="shared" si="3"/>
        <v>32437.87995337995</v>
      </c>
      <c r="G5" s="22">
        <f t="shared" ca="1" si="4"/>
        <v>31227.176923076921</v>
      </c>
      <c r="H5" s="22">
        <f t="shared" ca="1" si="5"/>
        <v>30016.473892773891</v>
      </c>
      <c r="I5" s="22">
        <f t="shared" ca="1" si="6"/>
        <v>28805.770862470858</v>
      </c>
      <c r="J5">
        <f t="shared" ca="1" si="8"/>
        <v>30980</v>
      </c>
      <c r="K5" s="22">
        <f t="shared" ca="1" si="9"/>
        <v>402</v>
      </c>
      <c r="L5" s="22">
        <f t="shared" ca="1" si="10"/>
        <v>4460.9399999999996</v>
      </c>
      <c r="M5" s="22">
        <f t="shared" ca="1" si="11"/>
        <v>3429.1115151515146</v>
      </c>
      <c r="N5" s="22">
        <f t="shared" ca="1" si="12"/>
        <v>2397.28303030303</v>
      </c>
      <c r="O5" s="22">
        <f t="shared" ca="1" si="7"/>
        <v>1365.4545454545455</v>
      </c>
      <c r="P5" s="22">
        <f t="shared" ca="1" si="13"/>
        <v>333.62606060606095</v>
      </c>
      <c r="Q5" s="22">
        <f t="shared" ca="1" si="14"/>
        <v>0</v>
      </c>
      <c r="R5" s="22">
        <v>0</v>
      </c>
      <c r="S5">
        <f t="shared" si="15"/>
        <v>4</v>
      </c>
    </row>
    <row r="6" spans="1:26" ht="14" customHeight="1" x14ac:dyDescent="0.15">
      <c r="A6" s="12">
        <v>2017</v>
      </c>
      <c r="B6" s="22">
        <v>32090</v>
      </c>
      <c r="C6" s="22">
        <f t="shared" ca="1" si="0"/>
        <v>37177.803729603729</v>
      </c>
      <c r="D6" s="22">
        <f t="shared" ca="1" si="1"/>
        <v>35967.100699300696</v>
      </c>
      <c r="E6" s="22">
        <f t="shared" ca="1" si="2"/>
        <v>34756.39766899767</v>
      </c>
      <c r="F6" s="22">
        <f t="shared" si="3"/>
        <v>33545.694638694637</v>
      </c>
      <c r="G6" s="22">
        <f t="shared" ca="1" si="4"/>
        <v>32334.991608391607</v>
      </c>
      <c r="H6" s="22">
        <f t="shared" ca="1" si="5"/>
        <v>31124.288578088577</v>
      </c>
      <c r="I6" s="22">
        <f t="shared" ca="1" si="6"/>
        <v>29913.585547785544</v>
      </c>
      <c r="J6">
        <f t="shared" ca="1" si="8"/>
        <v>32090</v>
      </c>
      <c r="K6" s="22">
        <f t="shared" ca="1" si="9"/>
        <v>1110</v>
      </c>
      <c r="L6" s="22">
        <f t="shared" ca="1" si="10"/>
        <v>4460.9399999999996</v>
      </c>
      <c r="M6" s="22">
        <f t="shared" ca="1" si="11"/>
        <v>3429.1115151515146</v>
      </c>
      <c r="N6" s="22">
        <f t="shared" ca="1" si="12"/>
        <v>2397.28303030303</v>
      </c>
      <c r="O6" s="22">
        <f t="shared" ca="1" si="7"/>
        <v>1365.4545454545455</v>
      </c>
      <c r="P6" s="22">
        <f t="shared" ca="1" si="13"/>
        <v>333.62606060606095</v>
      </c>
      <c r="Q6" s="22">
        <f t="shared" ca="1" si="14"/>
        <v>0</v>
      </c>
      <c r="R6" s="22">
        <v>0</v>
      </c>
      <c r="S6">
        <f t="shared" si="15"/>
        <v>5</v>
      </c>
    </row>
    <row r="7" spans="1:26" ht="14" customHeight="1" x14ac:dyDescent="0.15">
      <c r="A7" s="12">
        <v>2018</v>
      </c>
      <c r="B7" s="22">
        <v>33910</v>
      </c>
      <c r="C7" s="22">
        <f t="shared" ca="1" si="0"/>
        <v>38285.618414918412</v>
      </c>
      <c r="D7" s="22">
        <f t="shared" ca="1" si="1"/>
        <v>37074.915384615379</v>
      </c>
      <c r="E7" s="22">
        <f t="shared" ca="1" si="2"/>
        <v>35864.212354312353</v>
      </c>
      <c r="F7" s="22">
        <f t="shared" si="3"/>
        <v>34653.509324009319</v>
      </c>
      <c r="G7" s="22">
        <f t="shared" ca="1" si="4"/>
        <v>33442.806293706286</v>
      </c>
      <c r="H7" s="22">
        <f t="shared" ca="1" si="5"/>
        <v>32232.10326340326</v>
      </c>
      <c r="I7" s="22">
        <f t="shared" ca="1" si="6"/>
        <v>31021.400233100227</v>
      </c>
      <c r="J7">
        <f t="shared" ca="1" si="8"/>
        <v>33910</v>
      </c>
      <c r="K7" s="22">
        <f t="shared" ca="1" si="9"/>
        <v>1820</v>
      </c>
      <c r="L7" s="22">
        <f t="shared" ca="1" si="10"/>
        <v>4460.9399999999996</v>
      </c>
      <c r="M7" s="22">
        <f t="shared" ca="1" si="11"/>
        <v>3429.1115151515146</v>
      </c>
      <c r="N7" s="22">
        <f t="shared" ca="1" si="12"/>
        <v>2397.28303030303</v>
      </c>
      <c r="O7" s="22">
        <f t="shared" ca="1" si="7"/>
        <v>1365.4545454545455</v>
      </c>
      <c r="P7" s="22">
        <f t="shared" ca="1" si="13"/>
        <v>333.62606060606095</v>
      </c>
      <c r="Q7" s="22">
        <f t="shared" ca="1" si="14"/>
        <v>0</v>
      </c>
      <c r="R7" s="22">
        <v>0</v>
      </c>
      <c r="S7">
        <f t="shared" si="15"/>
        <v>6</v>
      </c>
    </row>
    <row r="8" spans="1:26" ht="14" customHeight="1" x14ac:dyDescent="0.15">
      <c r="A8" s="2">
        <v>2019</v>
      </c>
      <c r="B8" s="22">
        <v>35121</v>
      </c>
      <c r="C8" s="22">
        <f t="shared" ca="1" si="0"/>
        <v>39393.433100233102</v>
      </c>
      <c r="D8" s="22">
        <f t="shared" ca="1" si="1"/>
        <v>38182.730069930069</v>
      </c>
      <c r="E8" s="22">
        <f t="shared" ca="1" si="2"/>
        <v>36972.027039627043</v>
      </c>
      <c r="F8" s="22">
        <f t="shared" si="3"/>
        <v>35761.324009324009</v>
      </c>
      <c r="G8" s="22">
        <f t="shared" ca="1" si="4"/>
        <v>34550.620979020976</v>
      </c>
      <c r="H8" s="22">
        <f t="shared" ca="1" si="5"/>
        <v>33339.91794871795</v>
      </c>
      <c r="I8" s="22">
        <f t="shared" ca="1" si="6"/>
        <v>32129.214918414917</v>
      </c>
      <c r="J8">
        <f t="shared" ca="1" si="8"/>
        <v>35121</v>
      </c>
      <c r="K8" s="22">
        <f t="shared" ca="1" si="9"/>
        <v>1211</v>
      </c>
      <c r="L8" s="22">
        <f t="shared" ca="1" si="10"/>
        <v>4460.9399999999996</v>
      </c>
      <c r="M8" s="22">
        <f t="shared" ca="1" si="11"/>
        <v>3429.1115151515146</v>
      </c>
      <c r="N8" s="22">
        <f t="shared" ca="1" si="12"/>
        <v>2397.28303030303</v>
      </c>
      <c r="O8" s="22">
        <f t="shared" ca="1" si="7"/>
        <v>1365.4545454545455</v>
      </c>
      <c r="P8" s="22">
        <f t="shared" ca="1" si="13"/>
        <v>333.62606060606095</v>
      </c>
      <c r="Q8" s="22">
        <f t="shared" ca="1" si="14"/>
        <v>0</v>
      </c>
      <c r="R8" s="22">
        <v>0</v>
      </c>
      <c r="S8">
        <f t="shared" si="15"/>
        <v>7</v>
      </c>
    </row>
    <row r="9" spans="1:26" ht="14" customHeight="1" x14ac:dyDescent="0.15">
      <c r="A9" s="2">
        <v>2020</v>
      </c>
      <c r="B9" s="22">
        <v>39316</v>
      </c>
      <c r="C9" s="22">
        <f t="shared" ca="1" si="0"/>
        <v>40501.247785547785</v>
      </c>
      <c r="D9" s="22">
        <f t="shared" ca="1" si="1"/>
        <v>39290.544755244751</v>
      </c>
      <c r="E9" s="22">
        <f t="shared" ca="1" si="2"/>
        <v>38079.841724941725</v>
      </c>
      <c r="F9" s="22">
        <f t="shared" si="3"/>
        <v>36869.138694638692</v>
      </c>
      <c r="G9" s="22">
        <f t="shared" ca="1" si="4"/>
        <v>35658.435664335659</v>
      </c>
      <c r="H9" s="22">
        <f t="shared" ca="1" si="5"/>
        <v>34447.732634032633</v>
      </c>
      <c r="I9" s="22">
        <f t="shared" ca="1" si="6"/>
        <v>33237.029603729599</v>
      </c>
      <c r="J9">
        <f t="shared" ca="1" si="8"/>
        <v>39316</v>
      </c>
      <c r="K9" s="22">
        <f t="shared" ca="1" si="9"/>
        <v>4195</v>
      </c>
      <c r="L9" s="22">
        <f t="shared" ca="1" si="10"/>
        <v>4460.9399999999996</v>
      </c>
      <c r="M9" s="22">
        <f t="shared" ca="1" si="11"/>
        <v>3429.1115151515146</v>
      </c>
      <c r="N9" s="22">
        <f t="shared" ca="1" si="12"/>
        <v>2397.28303030303</v>
      </c>
      <c r="O9" s="22">
        <f t="shared" ca="1" si="7"/>
        <v>1365.4545454545455</v>
      </c>
      <c r="P9" s="22">
        <f t="shared" ca="1" si="13"/>
        <v>333.62606060606095</v>
      </c>
      <c r="Q9" s="22">
        <f t="shared" ca="1" si="14"/>
        <v>0</v>
      </c>
      <c r="R9" s="22">
        <v>0</v>
      </c>
      <c r="S9">
        <f t="shared" si="15"/>
        <v>8</v>
      </c>
    </row>
    <row r="10" spans="1:26" ht="14" customHeight="1" x14ac:dyDescent="0.15">
      <c r="A10" s="2">
        <v>2021</v>
      </c>
      <c r="B10" s="22">
        <v>38069</v>
      </c>
      <c r="C10" s="22">
        <f t="shared" ca="1" si="0"/>
        <v>41609.062470862475</v>
      </c>
      <c r="D10" s="22">
        <f t="shared" ca="1" si="1"/>
        <v>40398.359440559441</v>
      </c>
      <c r="E10" s="22">
        <f t="shared" ca="1" si="2"/>
        <v>39187.656410256415</v>
      </c>
      <c r="F10" s="22">
        <f t="shared" si="3"/>
        <v>37976.953379953382</v>
      </c>
      <c r="G10" s="22">
        <f t="shared" ca="1" si="4"/>
        <v>36766.250349650349</v>
      </c>
      <c r="H10" s="22">
        <f t="shared" ca="1" si="5"/>
        <v>35555.547319347323</v>
      </c>
      <c r="I10" s="22">
        <f t="shared" ca="1" si="6"/>
        <v>34344.844289044289</v>
      </c>
      <c r="J10">
        <f t="shared" ca="1" si="8"/>
        <v>38069</v>
      </c>
      <c r="K10" s="22">
        <f t="shared" ca="1" si="9"/>
        <v>1247</v>
      </c>
      <c r="L10" s="22">
        <f t="shared" ca="1" si="10"/>
        <v>4460.9399999999996</v>
      </c>
      <c r="M10" s="22">
        <f t="shared" ca="1" si="11"/>
        <v>3429.1115151515146</v>
      </c>
      <c r="N10" s="22">
        <f t="shared" ca="1" si="12"/>
        <v>2397.28303030303</v>
      </c>
      <c r="O10" s="22">
        <f t="shared" ca="1" si="7"/>
        <v>1365.4545454545455</v>
      </c>
      <c r="P10" s="22">
        <f t="shared" ca="1" si="13"/>
        <v>333.62606060606095</v>
      </c>
      <c r="Q10" s="22">
        <f t="shared" ca="1" si="14"/>
        <v>0</v>
      </c>
      <c r="R10" s="22">
        <v>0</v>
      </c>
      <c r="S10">
        <f t="shared" si="15"/>
        <v>9</v>
      </c>
    </row>
    <row r="11" spans="1:26" ht="14" customHeight="1" x14ac:dyDescent="0.15">
      <c r="A11" s="2">
        <v>2022</v>
      </c>
      <c r="B11" s="22">
        <v>38822</v>
      </c>
      <c r="C11" s="22">
        <f t="shared" ca="1" si="0"/>
        <v>42716.877156177157</v>
      </c>
      <c r="D11" s="22">
        <f t="shared" ca="1" si="1"/>
        <v>41506.174125874124</v>
      </c>
      <c r="E11" s="22">
        <f t="shared" ca="1" si="2"/>
        <v>40295.471095571098</v>
      </c>
      <c r="F11" s="22">
        <f t="shared" si="3"/>
        <v>39084.768065268065</v>
      </c>
      <c r="G11" s="22">
        <f t="shared" ca="1" si="4"/>
        <v>37874.065034965031</v>
      </c>
      <c r="H11" s="22">
        <f t="shared" ca="1" si="5"/>
        <v>36663.362004662005</v>
      </c>
      <c r="I11" s="22">
        <f t="shared" ca="1" si="6"/>
        <v>35452.658974358972</v>
      </c>
      <c r="J11">
        <f t="shared" ca="1" si="8"/>
        <v>38822</v>
      </c>
      <c r="K11" s="22">
        <f t="shared" ca="1" si="9"/>
        <v>753</v>
      </c>
      <c r="L11" s="22">
        <f t="shared" ca="1" si="10"/>
        <v>4460.9399999999996</v>
      </c>
      <c r="M11" s="22">
        <f t="shared" ca="1" si="11"/>
        <v>3429.1115151515146</v>
      </c>
      <c r="N11" s="22">
        <f t="shared" ca="1" si="12"/>
        <v>2397.28303030303</v>
      </c>
      <c r="O11" s="22">
        <f t="shared" ca="1" si="7"/>
        <v>1365.4545454545455</v>
      </c>
      <c r="P11" s="22">
        <f t="shared" ca="1" si="13"/>
        <v>333.62606060606095</v>
      </c>
      <c r="Q11" s="22">
        <f t="shared" ca="1" si="14"/>
        <v>0</v>
      </c>
      <c r="R11" s="22">
        <v>0</v>
      </c>
      <c r="S11">
        <f t="shared" si="15"/>
        <v>10</v>
      </c>
    </row>
    <row r="12" spans="1:26" ht="14" customHeight="1" x14ac:dyDescent="0.15">
      <c r="A12" s="2">
        <v>2023</v>
      </c>
      <c r="B12" s="22">
        <v>40324</v>
      </c>
      <c r="C12" s="22">
        <f t="shared" ca="1" si="0"/>
        <v>43824.69184149184</v>
      </c>
      <c r="D12" s="22">
        <f t="shared" ca="1" si="1"/>
        <v>42613.988811188807</v>
      </c>
      <c r="E12" s="22">
        <f t="shared" ca="1" si="2"/>
        <v>41403.285780885781</v>
      </c>
      <c r="F12" s="22">
        <f t="shared" si="3"/>
        <v>40192.582750582747</v>
      </c>
      <c r="G12" s="22">
        <f t="shared" ca="1" si="4"/>
        <v>38981.879720279714</v>
      </c>
      <c r="H12" s="22">
        <f t="shared" ca="1" si="5"/>
        <v>37771.176689976688</v>
      </c>
      <c r="I12" s="22">
        <f t="shared" ca="1" si="6"/>
        <v>36560.473659673655</v>
      </c>
      <c r="J12">
        <f t="shared" ca="1" si="8"/>
        <v>40324</v>
      </c>
      <c r="K12" s="22">
        <f t="shared" ca="1" si="9"/>
        <v>1502</v>
      </c>
      <c r="L12" s="22">
        <f t="shared" ca="1" si="10"/>
        <v>4460.9399999999996</v>
      </c>
      <c r="M12" s="22">
        <f t="shared" ca="1" si="11"/>
        <v>3429.1115151515146</v>
      </c>
      <c r="N12" s="22">
        <f t="shared" ca="1" si="12"/>
        <v>2397.28303030303</v>
      </c>
      <c r="O12" s="22">
        <f t="shared" ca="1" si="7"/>
        <v>1365.4545454545455</v>
      </c>
      <c r="P12" s="22">
        <f t="shared" ca="1" si="13"/>
        <v>333.62606060606095</v>
      </c>
      <c r="Q12" s="22">
        <f t="shared" ca="1" si="14"/>
        <v>0</v>
      </c>
      <c r="R12" s="22">
        <v>0</v>
      </c>
      <c r="S12">
        <f t="shared" si="15"/>
        <v>11</v>
      </c>
    </row>
    <row r="13" spans="1:26" ht="14" customHeight="1" x14ac:dyDescent="0.15">
      <c r="A13" s="2">
        <v>2024</v>
      </c>
      <c r="B13" s="22">
        <v>41418</v>
      </c>
      <c r="C13" s="22">
        <f t="shared" ca="1" si="0"/>
        <v>44932.50652680653</v>
      </c>
      <c r="D13" s="22">
        <f t="shared" ca="1" si="1"/>
        <v>43721.803496503497</v>
      </c>
      <c r="E13" s="22">
        <f t="shared" ca="1" si="2"/>
        <v>42511.100466200471</v>
      </c>
      <c r="F13" s="22">
        <f t="shared" si="3"/>
        <v>41300.397435897437</v>
      </c>
      <c r="G13" s="22">
        <f t="shared" ca="1" si="4"/>
        <v>40089.694405594404</v>
      </c>
      <c r="H13" s="22">
        <f t="shared" ca="1" si="5"/>
        <v>38878.991375291378</v>
      </c>
      <c r="I13" s="22">
        <f t="shared" ca="1" si="6"/>
        <v>37668.288344988345</v>
      </c>
      <c r="J13">
        <f t="shared" ca="1" si="8"/>
        <v>41418</v>
      </c>
      <c r="K13" s="22">
        <f t="shared" ca="1" si="9"/>
        <v>1094</v>
      </c>
      <c r="L13" s="22">
        <f t="shared" ca="1" si="10"/>
        <v>4460.9399999999996</v>
      </c>
      <c r="M13" s="22">
        <f t="shared" ca="1" si="11"/>
        <v>3429.1115151515146</v>
      </c>
      <c r="N13" s="22">
        <f t="shared" ca="1" si="12"/>
        <v>2397.28303030303</v>
      </c>
      <c r="O13" s="22">
        <f t="shared" ca="1" si="7"/>
        <v>1365.4545454545455</v>
      </c>
      <c r="P13" s="22">
        <f t="shared" ca="1" si="13"/>
        <v>333.62606060606095</v>
      </c>
      <c r="Q13" s="22">
        <f t="shared" ca="1" si="14"/>
        <v>0</v>
      </c>
      <c r="R13" s="22">
        <v>0</v>
      </c>
      <c r="S13">
        <f t="shared" si="15"/>
        <v>12</v>
      </c>
    </row>
    <row r="14" spans="1:26" ht="14" customHeight="1" x14ac:dyDescent="0.15">
      <c r="C14">
        <f t="shared" ca="1" si="0"/>
        <v>46040.321212121213</v>
      </c>
      <c r="D14">
        <f t="shared" ca="1" si="1"/>
        <v>44829.618181818179</v>
      </c>
      <c r="E14">
        <f t="shared" ca="1" si="2"/>
        <v>43618.915151515153</v>
      </c>
      <c r="F14">
        <f t="shared" si="3"/>
        <v>42408.21212121212</v>
      </c>
      <c r="G14">
        <f t="shared" ca="1" si="4"/>
        <v>41197.509090909087</v>
      </c>
      <c r="H14">
        <f t="shared" ca="1" si="5"/>
        <v>39986.806060606061</v>
      </c>
      <c r="I14">
        <f t="shared" ca="1" si="6"/>
        <v>38776.103030303027</v>
      </c>
      <c r="J14">
        <f t="shared" ca="1" si="8"/>
        <v>41418</v>
      </c>
      <c r="L14">
        <f t="shared" ca="1" si="10"/>
        <v>4460.9399999999996</v>
      </c>
      <c r="M14">
        <f t="shared" ca="1" si="11"/>
        <v>3429.1115151515146</v>
      </c>
      <c r="N14">
        <f t="shared" ca="1" si="12"/>
        <v>2397.28303030303</v>
      </c>
      <c r="O14" s="22">
        <f t="shared" ca="1" si="7"/>
        <v>1365.4545454545455</v>
      </c>
      <c r="P14">
        <f t="shared" ca="1" si="13"/>
        <v>333.62606060606095</v>
      </c>
      <c r="Q14">
        <f t="shared" ca="1" si="14"/>
        <v>0</v>
      </c>
      <c r="R14">
        <v>0</v>
      </c>
      <c r="S14">
        <f t="shared" si="15"/>
        <v>13</v>
      </c>
    </row>
    <row r="15" spans="1:26" ht="14" customHeight="1" x14ac:dyDescent="0.15">
      <c r="C15">
        <f t="shared" ca="1" si="0"/>
        <v>47148.135897435895</v>
      </c>
      <c r="D15">
        <f t="shared" ca="1" si="1"/>
        <v>45937.432867132862</v>
      </c>
      <c r="E15">
        <f t="shared" ca="1" si="2"/>
        <v>44726.729836829836</v>
      </c>
      <c r="F15">
        <f t="shared" si="3"/>
        <v>43516.026806526803</v>
      </c>
      <c r="G15">
        <f t="shared" ca="1" si="4"/>
        <v>42305.32377622377</v>
      </c>
      <c r="H15">
        <f t="shared" ca="1" si="5"/>
        <v>41094.620745920744</v>
      </c>
      <c r="I15">
        <f t="shared" ca="1" si="6"/>
        <v>39883.91771561771</v>
      </c>
      <c r="J15">
        <f t="shared" ca="1" si="8"/>
        <v>41418</v>
      </c>
      <c r="K15" t="str">
        <f t="shared" ca="1" si="9"/>
        <v/>
      </c>
      <c r="L15">
        <f t="shared" ca="1" si="10"/>
        <v>4460.9399999999996</v>
      </c>
      <c r="M15">
        <f t="shared" ca="1" si="11"/>
        <v>3429.1115151515146</v>
      </c>
      <c r="N15">
        <f t="shared" ca="1" si="12"/>
        <v>2397.28303030303</v>
      </c>
      <c r="O15" s="22">
        <f t="shared" ca="1" si="7"/>
        <v>1365.4545454545455</v>
      </c>
      <c r="P15">
        <f t="shared" ca="1" si="13"/>
        <v>333.62606060606095</v>
      </c>
      <c r="Q15">
        <f t="shared" ca="1" si="14"/>
        <v>0</v>
      </c>
      <c r="R15">
        <v>0</v>
      </c>
      <c r="S15">
        <f t="shared" si="15"/>
        <v>14</v>
      </c>
    </row>
    <row r="16" spans="1:26" ht="14" customHeight="1" x14ac:dyDescent="0.15">
      <c r="C16">
        <f t="shared" ca="1" si="0"/>
        <v>48255.950582750585</v>
      </c>
      <c r="D16">
        <f t="shared" ca="1" si="1"/>
        <v>47045.247552447552</v>
      </c>
      <c r="E16">
        <f t="shared" ca="1" si="2"/>
        <v>45834.544522144526</v>
      </c>
      <c r="F16">
        <f t="shared" si="3"/>
        <v>44623.841491841493</v>
      </c>
      <c r="G16">
        <f t="shared" ca="1" si="4"/>
        <v>43413.13846153846</v>
      </c>
      <c r="H16">
        <f t="shared" ca="1" si="5"/>
        <v>42202.435431235433</v>
      </c>
      <c r="I16">
        <f t="shared" ca="1" si="6"/>
        <v>40991.7324009324</v>
      </c>
      <c r="J16">
        <f t="shared" ca="1" si="8"/>
        <v>41418</v>
      </c>
      <c r="K16" t="str">
        <f t="shared" ca="1" si="9"/>
        <v/>
      </c>
      <c r="L16">
        <f t="shared" ca="1" si="10"/>
        <v>4460.9399999999996</v>
      </c>
      <c r="M16">
        <f t="shared" ca="1" si="11"/>
        <v>3429.1115151515146</v>
      </c>
      <c r="N16">
        <f t="shared" ca="1" si="12"/>
        <v>2397.28303030303</v>
      </c>
      <c r="O16" s="22">
        <f t="shared" ca="1" si="7"/>
        <v>1365.4545454545455</v>
      </c>
      <c r="P16">
        <f t="shared" ca="1" si="13"/>
        <v>333.62606060606095</v>
      </c>
      <c r="Q16">
        <f t="shared" ca="1" si="14"/>
        <v>0</v>
      </c>
      <c r="R16">
        <v>0</v>
      </c>
      <c r="S16">
        <f t="shared" si="15"/>
        <v>15</v>
      </c>
    </row>
    <row r="17" spans="3:19" ht="14" customHeight="1" x14ac:dyDescent="0.15">
      <c r="C17">
        <f t="shared" ca="1" si="0"/>
        <v>49363.765268065268</v>
      </c>
      <c r="D17">
        <f t="shared" ca="1" si="1"/>
        <v>48153.062237762235</v>
      </c>
      <c r="E17">
        <f t="shared" ca="1" si="2"/>
        <v>46942.359207459209</v>
      </c>
      <c r="F17">
        <f t="shared" si="3"/>
        <v>45731.656177156176</v>
      </c>
      <c r="G17">
        <f t="shared" ca="1" si="4"/>
        <v>44520.953146853142</v>
      </c>
      <c r="H17">
        <f t="shared" ca="1" si="5"/>
        <v>43310.250116550116</v>
      </c>
      <c r="I17">
        <f t="shared" ca="1" si="6"/>
        <v>42099.547086247083</v>
      </c>
      <c r="J17">
        <f t="shared" ca="1" si="8"/>
        <v>41418</v>
      </c>
      <c r="K17" t="str">
        <f t="shared" ca="1" si="9"/>
        <v/>
      </c>
      <c r="L17">
        <f t="shared" ca="1" si="10"/>
        <v>4460.9399999999996</v>
      </c>
      <c r="M17">
        <f t="shared" ca="1" si="11"/>
        <v>3429.1115151515146</v>
      </c>
      <c r="N17">
        <f t="shared" ca="1" si="12"/>
        <v>2397.28303030303</v>
      </c>
      <c r="O17" s="22">
        <f t="shared" ca="1" si="7"/>
        <v>1365.4545454545455</v>
      </c>
      <c r="P17">
        <f t="shared" ca="1" si="13"/>
        <v>333.62606060606095</v>
      </c>
      <c r="Q17">
        <f t="shared" ca="1" si="14"/>
        <v>0</v>
      </c>
      <c r="R17">
        <v>0</v>
      </c>
      <c r="S17">
        <f t="shared" si="15"/>
        <v>16</v>
      </c>
    </row>
    <row r="18" spans="3:19" ht="14" customHeight="1" x14ac:dyDescent="0.15">
      <c r="C18">
        <f t="shared" ca="1" si="0"/>
        <v>50471.579953379951</v>
      </c>
      <c r="D18">
        <f t="shared" ca="1" si="1"/>
        <v>49260.876923076918</v>
      </c>
      <c r="E18">
        <f t="shared" ca="1" si="2"/>
        <v>48050.173892773892</v>
      </c>
      <c r="F18">
        <f t="shared" si="3"/>
        <v>46839.470862470858</v>
      </c>
      <c r="G18">
        <f t="shared" ca="1" si="4"/>
        <v>45628.767832167825</v>
      </c>
      <c r="H18">
        <f t="shared" ca="1" si="5"/>
        <v>44418.064801864799</v>
      </c>
      <c r="I18">
        <f t="shared" ca="1" si="6"/>
        <v>43207.361771561766</v>
      </c>
      <c r="J18">
        <f t="shared" ca="1" si="8"/>
        <v>41418</v>
      </c>
      <c r="K18" t="str">
        <f t="shared" ca="1" si="9"/>
        <v/>
      </c>
      <c r="L18">
        <f t="shared" ca="1" si="10"/>
        <v>4460.9399999999996</v>
      </c>
      <c r="M18">
        <f t="shared" ca="1" si="11"/>
        <v>3429.1115151515146</v>
      </c>
      <c r="N18">
        <f t="shared" ca="1" si="12"/>
        <v>2397.28303030303</v>
      </c>
      <c r="O18" s="22">
        <f t="shared" ca="1" si="7"/>
        <v>1365.4545454545455</v>
      </c>
      <c r="P18">
        <f t="shared" ca="1" si="13"/>
        <v>333.62606060606095</v>
      </c>
      <c r="Q18">
        <f t="shared" ca="1" si="14"/>
        <v>0</v>
      </c>
      <c r="R18">
        <v>0</v>
      </c>
      <c r="S18">
        <f t="shared" si="15"/>
        <v>17</v>
      </c>
    </row>
    <row r="19" spans="3:19" ht="14" customHeight="1" x14ac:dyDescent="0.15">
      <c r="C19">
        <f t="shared" ca="1" si="0"/>
        <v>51579.394638694641</v>
      </c>
      <c r="D19">
        <f t="shared" ca="1" si="1"/>
        <v>50368.691608391608</v>
      </c>
      <c r="E19">
        <f t="shared" ca="1" si="2"/>
        <v>49157.988578088582</v>
      </c>
      <c r="F19">
        <f t="shared" si="3"/>
        <v>47947.285547785548</v>
      </c>
      <c r="G19">
        <f t="shared" ca="1" si="4"/>
        <v>46736.582517482515</v>
      </c>
      <c r="H19">
        <f t="shared" ca="1" si="5"/>
        <v>45525.879487179489</v>
      </c>
      <c r="I19">
        <f t="shared" ca="1" si="6"/>
        <v>44315.176456876456</v>
      </c>
      <c r="J19">
        <f t="shared" ca="1" si="8"/>
        <v>41418</v>
      </c>
      <c r="K19" t="str">
        <f t="shared" ca="1" si="9"/>
        <v/>
      </c>
      <c r="L19">
        <f t="shared" ca="1" si="10"/>
        <v>4460.9399999999996</v>
      </c>
      <c r="M19">
        <f t="shared" ca="1" si="11"/>
        <v>3429.1115151515146</v>
      </c>
      <c r="N19">
        <f t="shared" ca="1" si="12"/>
        <v>2397.28303030303</v>
      </c>
      <c r="O19" s="22">
        <f t="shared" ca="1" si="7"/>
        <v>1365.4545454545455</v>
      </c>
      <c r="P19">
        <f t="shared" ca="1" si="13"/>
        <v>333.62606060606095</v>
      </c>
      <c r="Q19">
        <f t="shared" ca="1" si="14"/>
        <v>0</v>
      </c>
      <c r="R19">
        <v>0</v>
      </c>
      <c r="S19">
        <f t="shared" si="15"/>
        <v>18</v>
      </c>
    </row>
    <row r="20" spans="3:19" ht="14" customHeight="1" x14ac:dyDescent="0.15">
      <c r="C20">
        <f t="shared" ca="1" si="0"/>
        <v>52687.209324009324</v>
      </c>
      <c r="D20">
        <f t="shared" ca="1" si="1"/>
        <v>51476.50629370629</v>
      </c>
      <c r="E20">
        <f t="shared" ca="1" si="2"/>
        <v>50265.803263403264</v>
      </c>
      <c r="F20">
        <f t="shared" si="3"/>
        <v>49055.100233100231</v>
      </c>
      <c r="G20">
        <f t="shared" ca="1" si="4"/>
        <v>47844.397202797198</v>
      </c>
      <c r="H20">
        <f t="shared" ca="1" si="5"/>
        <v>46633.694172494172</v>
      </c>
      <c r="I20">
        <f t="shared" ca="1" si="6"/>
        <v>45422.991142191138</v>
      </c>
      <c r="J20">
        <f t="shared" ca="1" si="8"/>
        <v>41418</v>
      </c>
      <c r="K20" t="str">
        <f t="shared" ca="1" si="9"/>
        <v/>
      </c>
      <c r="L20">
        <f t="shared" ca="1" si="10"/>
        <v>4460.9399999999996</v>
      </c>
      <c r="M20">
        <f t="shared" ca="1" si="11"/>
        <v>3429.1115151515146</v>
      </c>
      <c r="N20">
        <f t="shared" ca="1" si="12"/>
        <v>2397.28303030303</v>
      </c>
      <c r="O20" s="22">
        <f t="shared" ca="1" si="7"/>
        <v>1365.4545454545455</v>
      </c>
      <c r="P20">
        <f t="shared" ca="1" si="13"/>
        <v>333.62606060606095</v>
      </c>
      <c r="Q20">
        <f t="shared" ca="1" si="14"/>
        <v>0</v>
      </c>
      <c r="R20">
        <v>0</v>
      </c>
      <c r="S20">
        <f t="shared" si="15"/>
        <v>19</v>
      </c>
    </row>
    <row r="21" spans="3:19" ht="14" customHeight="1" x14ac:dyDescent="0.15">
      <c r="C21">
        <f t="shared" ca="1" si="0"/>
        <v>53795.024009324006</v>
      </c>
      <c r="D21">
        <f t="shared" ca="1" si="1"/>
        <v>52584.320979020973</v>
      </c>
      <c r="E21">
        <f t="shared" ca="1" si="2"/>
        <v>51373.617948717947</v>
      </c>
      <c r="F21">
        <f t="shared" si="3"/>
        <v>50162.914918414914</v>
      </c>
      <c r="G21">
        <f t="shared" ca="1" si="4"/>
        <v>48952.21188811188</v>
      </c>
      <c r="H21">
        <f t="shared" ca="1" si="5"/>
        <v>47741.508857808854</v>
      </c>
      <c r="I21">
        <f t="shared" ca="1" si="6"/>
        <v>46530.805827505821</v>
      </c>
      <c r="J21">
        <f t="shared" ca="1" si="8"/>
        <v>41418</v>
      </c>
      <c r="K21" t="str">
        <f t="shared" ca="1" si="9"/>
        <v/>
      </c>
      <c r="L21">
        <f t="shared" ca="1" si="10"/>
        <v>4460.9399999999996</v>
      </c>
      <c r="M21">
        <f t="shared" ca="1" si="11"/>
        <v>3429.1115151515146</v>
      </c>
      <c r="N21">
        <f t="shared" ca="1" si="12"/>
        <v>2397.28303030303</v>
      </c>
      <c r="O21" s="22">
        <f t="shared" ca="1" si="7"/>
        <v>1365.4545454545455</v>
      </c>
      <c r="P21">
        <f t="shared" ca="1" si="13"/>
        <v>333.62606060606095</v>
      </c>
      <c r="Q21">
        <f t="shared" ca="1" si="14"/>
        <v>0</v>
      </c>
      <c r="R21">
        <v>0</v>
      </c>
      <c r="S21">
        <f t="shared" si="15"/>
        <v>20</v>
      </c>
    </row>
    <row r="22" spans="3:19" ht="14" customHeight="1" x14ac:dyDescent="0.15">
      <c r="C22">
        <f t="shared" ca="1" si="0"/>
        <v>54902.838694638696</v>
      </c>
      <c r="D22">
        <f t="shared" ca="1" si="1"/>
        <v>53692.135664335663</v>
      </c>
      <c r="E22">
        <f t="shared" ca="1" si="2"/>
        <v>52481.432634032637</v>
      </c>
      <c r="F22">
        <f t="shared" si="3"/>
        <v>51270.729603729604</v>
      </c>
      <c r="G22">
        <f t="shared" ca="1" si="4"/>
        <v>50060.02657342657</v>
      </c>
      <c r="H22">
        <f t="shared" ca="1" si="5"/>
        <v>48849.323543123544</v>
      </c>
      <c r="I22">
        <f t="shared" ca="1" si="6"/>
        <v>47638.620512820511</v>
      </c>
      <c r="J22">
        <f t="shared" ca="1" si="8"/>
        <v>41418</v>
      </c>
      <c r="K22" t="str">
        <f t="shared" ca="1" si="9"/>
        <v/>
      </c>
      <c r="L22">
        <f t="shared" ca="1" si="10"/>
        <v>4460.9399999999996</v>
      </c>
      <c r="M22">
        <f t="shared" ca="1" si="11"/>
        <v>3429.1115151515146</v>
      </c>
      <c r="N22">
        <f t="shared" ca="1" si="12"/>
        <v>2397.28303030303</v>
      </c>
      <c r="O22" s="22">
        <f t="shared" ca="1" si="7"/>
        <v>1365.4545454545455</v>
      </c>
      <c r="P22">
        <f t="shared" ca="1" si="13"/>
        <v>333.62606060606095</v>
      </c>
      <c r="Q22">
        <f t="shared" ca="1" si="14"/>
        <v>0</v>
      </c>
      <c r="R22">
        <v>0</v>
      </c>
      <c r="S22">
        <f t="shared" si="15"/>
        <v>21</v>
      </c>
    </row>
    <row r="23" spans="3:19" ht="14" customHeight="1" x14ac:dyDescent="0.15">
      <c r="C23">
        <f t="shared" ca="1" si="0"/>
        <v>56010.653379953379</v>
      </c>
      <c r="D23">
        <f t="shared" ca="1" si="1"/>
        <v>54799.950349650346</v>
      </c>
      <c r="E23">
        <f t="shared" ca="1" si="2"/>
        <v>53589.24731934732</v>
      </c>
      <c r="F23">
        <f t="shared" si="3"/>
        <v>52378.544289044286</v>
      </c>
      <c r="G23">
        <f t="shared" ca="1" si="4"/>
        <v>51167.841258741253</v>
      </c>
      <c r="H23">
        <f t="shared" ca="1" si="5"/>
        <v>49957.138228438227</v>
      </c>
      <c r="I23">
        <f t="shared" ca="1" si="6"/>
        <v>48746.435198135194</v>
      </c>
      <c r="J23">
        <f t="shared" ca="1" si="8"/>
        <v>41418</v>
      </c>
      <c r="K23" t="str">
        <f t="shared" ca="1" si="9"/>
        <v/>
      </c>
      <c r="L23">
        <f t="shared" ca="1" si="10"/>
        <v>4460.9399999999996</v>
      </c>
      <c r="M23">
        <f t="shared" ca="1" si="11"/>
        <v>3429.1115151515146</v>
      </c>
      <c r="N23">
        <f t="shared" ca="1" si="12"/>
        <v>2397.28303030303</v>
      </c>
      <c r="O23" s="22">
        <f t="shared" ca="1" si="7"/>
        <v>1365.4545454545455</v>
      </c>
      <c r="P23">
        <f t="shared" ca="1" si="13"/>
        <v>333.62606060606095</v>
      </c>
      <c r="Q23">
        <f t="shared" ca="1" si="14"/>
        <v>0</v>
      </c>
      <c r="R23">
        <v>0</v>
      </c>
      <c r="S23">
        <f t="shared" si="15"/>
        <v>22</v>
      </c>
    </row>
    <row r="24" spans="3:19" ht="14" customHeight="1" x14ac:dyDescent="0.15">
      <c r="C24">
        <f t="shared" ca="1" si="0"/>
        <v>57118.468065268062</v>
      </c>
      <c r="D24">
        <f t="shared" ca="1" si="1"/>
        <v>55907.765034965028</v>
      </c>
      <c r="E24">
        <f t="shared" ca="1" si="2"/>
        <v>54697.062004662002</v>
      </c>
      <c r="F24">
        <f t="shared" si="3"/>
        <v>53486.358974358969</v>
      </c>
      <c r="G24">
        <f t="shared" ca="1" si="4"/>
        <v>52275.655944055936</v>
      </c>
      <c r="H24">
        <f t="shared" ca="1" si="5"/>
        <v>51064.95291375291</v>
      </c>
      <c r="I24">
        <f t="shared" ca="1" si="6"/>
        <v>49854.249883449877</v>
      </c>
      <c r="J24">
        <f t="shared" ca="1" si="8"/>
        <v>41418</v>
      </c>
      <c r="K24" t="str">
        <f t="shared" ca="1" si="9"/>
        <v/>
      </c>
      <c r="L24">
        <f t="shared" ca="1" si="10"/>
        <v>4460.9399999999996</v>
      </c>
      <c r="M24">
        <f t="shared" ca="1" si="11"/>
        <v>3429.1115151515146</v>
      </c>
      <c r="N24">
        <f t="shared" ca="1" si="12"/>
        <v>2397.28303030303</v>
      </c>
      <c r="O24" s="22">
        <f t="shared" ca="1" si="7"/>
        <v>1365.4545454545455</v>
      </c>
      <c r="P24">
        <f t="shared" ca="1" si="13"/>
        <v>333.62606060606095</v>
      </c>
      <c r="Q24">
        <f t="shared" ca="1" si="14"/>
        <v>0</v>
      </c>
      <c r="R24">
        <v>0</v>
      </c>
      <c r="S24">
        <f t="shared" si="15"/>
        <v>23</v>
      </c>
    </row>
    <row r="25" spans="3:19" ht="14" customHeight="1" x14ac:dyDescent="0.15">
      <c r="C25">
        <f t="shared" ca="1" si="0"/>
        <v>58226.282750582752</v>
      </c>
      <c r="D25">
        <f t="shared" ca="1" si="1"/>
        <v>57015.579720279718</v>
      </c>
      <c r="E25">
        <f t="shared" ca="1" si="2"/>
        <v>55804.876689976692</v>
      </c>
      <c r="F25">
        <f t="shared" si="3"/>
        <v>54594.173659673659</v>
      </c>
      <c r="G25">
        <f t="shared" ca="1" si="4"/>
        <v>53383.470629370626</v>
      </c>
      <c r="H25">
        <f t="shared" ca="1" si="5"/>
        <v>52172.7675990676</v>
      </c>
      <c r="I25">
        <f t="shared" ca="1" si="6"/>
        <v>50962.064568764567</v>
      </c>
      <c r="J25">
        <f t="shared" ca="1" si="8"/>
        <v>41418</v>
      </c>
      <c r="K25" t="str">
        <f t="shared" ca="1" si="9"/>
        <v/>
      </c>
      <c r="L25">
        <f t="shared" ca="1" si="10"/>
        <v>4460.9399999999996</v>
      </c>
      <c r="M25">
        <f t="shared" ca="1" si="11"/>
        <v>3429.1115151515146</v>
      </c>
      <c r="N25">
        <f t="shared" ca="1" si="12"/>
        <v>2397.28303030303</v>
      </c>
      <c r="O25" s="22">
        <f t="shared" ca="1" si="7"/>
        <v>1365.4545454545455</v>
      </c>
      <c r="P25">
        <f t="shared" ca="1" si="13"/>
        <v>333.62606060606095</v>
      </c>
      <c r="Q25">
        <f t="shared" ca="1" si="14"/>
        <v>0</v>
      </c>
      <c r="R25">
        <v>0</v>
      </c>
      <c r="S25">
        <f t="shared" si="15"/>
        <v>24</v>
      </c>
    </row>
    <row r="26" spans="3:19" ht="14" customHeight="1" x14ac:dyDescent="0.15">
      <c r="C26">
        <f t="shared" ca="1" si="0"/>
        <v>59334.097435897442</v>
      </c>
      <c r="D26">
        <f t="shared" ca="1" si="1"/>
        <v>58123.394405594408</v>
      </c>
      <c r="E26">
        <f t="shared" ca="1" si="2"/>
        <v>56912.691375291382</v>
      </c>
      <c r="F26">
        <f t="shared" si="3"/>
        <v>55701.988344988349</v>
      </c>
      <c r="G26">
        <f t="shared" ca="1" si="4"/>
        <v>54491.285314685316</v>
      </c>
      <c r="H26">
        <f t="shared" ca="1" si="5"/>
        <v>53280.58228438229</v>
      </c>
      <c r="I26">
        <f t="shared" ca="1" si="6"/>
        <v>52069.879254079256</v>
      </c>
      <c r="J26">
        <f t="shared" ca="1" si="8"/>
        <v>41418</v>
      </c>
      <c r="K26" t="str">
        <f t="shared" ca="1" si="9"/>
        <v/>
      </c>
      <c r="L26">
        <f t="shared" ca="1" si="10"/>
        <v>4460.9399999999996</v>
      </c>
      <c r="M26">
        <f t="shared" ca="1" si="11"/>
        <v>3429.1115151515146</v>
      </c>
      <c r="N26">
        <f t="shared" ca="1" si="12"/>
        <v>2397.28303030303</v>
      </c>
      <c r="O26" s="22">
        <f t="shared" ca="1" si="7"/>
        <v>1365.4545454545455</v>
      </c>
      <c r="P26">
        <f t="shared" ca="1" si="13"/>
        <v>333.62606060606095</v>
      </c>
      <c r="Q26">
        <f t="shared" ca="1" si="14"/>
        <v>0</v>
      </c>
      <c r="R26">
        <v>0</v>
      </c>
      <c r="S26">
        <f t="shared" si="15"/>
        <v>25</v>
      </c>
    </row>
    <row r="27" spans="3:19" ht="14" customHeight="1" x14ac:dyDescent="0.15">
      <c r="C27">
        <f t="shared" ca="1" si="0"/>
        <v>60441.912121212124</v>
      </c>
      <c r="D27">
        <f t="shared" ca="1" si="1"/>
        <v>59231.209090909091</v>
      </c>
      <c r="E27">
        <f t="shared" ca="1" si="2"/>
        <v>58020.506060606065</v>
      </c>
      <c r="F27">
        <f t="shared" si="3"/>
        <v>56809.803030303032</v>
      </c>
      <c r="G27">
        <f t="shared" ca="1" si="4"/>
        <v>55599.1</v>
      </c>
      <c r="H27">
        <f t="shared" ca="1" si="5"/>
        <v>54388.396969696973</v>
      </c>
      <c r="I27">
        <f t="shared" ca="1" si="6"/>
        <v>53177.693939393939</v>
      </c>
      <c r="J27">
        <f t="shared" ca="1" si="8"/>
        <v>41418</v>
      </c>
      <c r="K27" t="str">
        <f t="shared" ca="1" si="9"/>
        <v/>
      </c>
      <c r="L27">
        <f t="shared" ca="1" si="10"/>
        <v>4460.9399999999996</v>
      </c>
      <c r="M27">
        <f t="shared" ca="1" si="11"/>
        <v>3429.1115151515146</v>
      </c>
      <c r="N27">
        <f t="shared" ca="1" si="12"/>
        <v>2397.28303030303</v>
      </c>
      <c r="O27" s="22">
        <f t="shared" ca="1" si="7"/>
        <v>1365.4545454545455</v>
      </c>
      <c r="P27">
        <f t="shared" ca="1" si="13"/>
        <v>333.62606060606095</v>
      </c>
      <c r="Q27">
        <f t="shared" ca="1" si="14"/>
        <v>0</v>
      </c>
      <c r="R27">
        <v>0</v>
      </c>
      <c r="S27">
        <f t="shared" si="15"/>
        <v>26</v>
      </c>
    </row>
    <row r="28" spans="3:19" ht="14" customHeight="1" x14ac:dyDescent="0.15">
      <c r="C28">
        <f t="shared" ca="1" si="0"/>
        <v>61549.726806526807</v>
      </c>
      <c r="D28">
        <f t="shared" ca="1" si="1"/>
        <v>60339.023776223774</v>
      </c>
      <c r="E28">
        <f t="shared" ca="1" si="2"/>
        <v>59128.320745920748</v>
      </c>
      <c r="F28">
        <f t="shared" si="3"/>
        <v>57917.617715617715</v>
      </c>
      <c r="G28">
        <f t="shared" ca="1" si="4"/>
        <v>56706.914685314681</v>
      </c>
      <c r="H28">
        <f t="shared" ca="1" si="5"/>
        <v>55496.211655011655</v>
      </c>
      <c r="I28">
        <f t="shared" ca="1" si="6"/>
        <v>54285.508624708622</v>
      </c>
      <c r="J28">
        <f t="shared" ca="1" si="8"/>
        <v>41418</v>
      </c>
      <c r="K28" t="str">
        <f t="shared" ca="1" si="9"/>
        <v/>
      </c>
      <c r="L28">
        <f t="shared" ca="1" si="10"/>
        <v>4460.9399999999996</v>
      </c>
      <c r="M28">
        <f t="shared" ca="1" si="11"/>
        <v>3429.1115151515146</v>
      </c>
      <c r="N28">
        <f t="shared" ca="1" si="12"/>
        <v>2397.28303030303</v>
      </c>
      <c r="O28" s="22">
        <f t="shared" ca="1" si="7"/>
        <v>1365.4545454545455</v>
      </c>
      <c r="P28">
        <f t="shared" ca="1" si="13"/>
        <v>333.62606060606095</v>
      </c>
      <c r="Q28">
        <f t="shared" ca="1" si="14"/>
        <v>0</v>
      </c>
      <c r="R28">
        <v>0</v>
      </c>
      <c r="S28">
        <f t="shared" si="15"/>
        <v>27</v>
      </c>
    </row>
    <row r="29" spans="3:19" ht="14" customHeight="1" x14ac:dyDescent="0.15">
      <c r="C29">
        <f t="shared" ca="1" si="0"/>
        <v>62657.541491841497</v>
      </c>
      <c r="D29">
        <f t="shared" ca="1" si="1"/>
        <v>61446.838461538464</v>
      </c>
      <c r="E29">
        <f t="shared" ca="1" si="2"/>
        <v>60236.135431235438</v>
      </c>
      <c r="F29">
        <f t="shared" si="3"/>
        <v>59025.432400932405</v>
      </c>
      <c r="G29">
        <f t="shared" ca="1" si="4"/>
        <v>57814.729370629371</v>
      </c>
      <c r="H29">
        <f t="shared" ca="1" si="5"/>
        <v>56604.026340326345</v>
      </c>
      <c r="I29">
        <f t="shared" ca="1" si="6"/>
        <v>55393.323310023312</v>
      </c>
      <c r="J29">
        <f t="shared" ca="1" si="8"/>
        <v>41418</v>
      </c>
      <c r="K29" t="str">
        <f t="shared" ca="1" si="9"/>
        <v/>
      </c>
      <c r="L29">
        <f t="shared" ca="1" si="10"/>
        <v>4460.9399999999996</v>
      </c>
      <c r="M29">
        <f t="shared" ca="1" si="11"/>
        <v>3429.1115151515146</v>
      </c>
      <c r="N29">
        <f t="shared" ca="1" si="12"/>
        <v>2397.28303030303</v>
      </c>
      <c r="O29" s="22">
        <f t="shared" ca="1" si="7"/>
        <v>1365.4545454545455</v>
      </c>
      <c r="P29">
        <f t="shared" ca="1" si="13"/>
        <v>333.62606060606095</v>
      </c>
      <c r="Q29">
        <f t="shared" ca="1" si="14"/>
        <v>0</v>
      </c>
      <c r="R29">
        <v>0</v>
      </c>
      <c r="S29">
        <f t="shared" si="15"/>
        <v>28</v>
      </c>
    </row>
    <row r="30" spans="3:19" ht="14" customHeight="1" x14ac:dyDescent="0.15">
      <c r="C30">
        <f t="shared" ca="1" si="0"/>
        <v>63765.35617715618</v>
      </c>
      <c r="D30">
        <f t="shared" ca="1" si="1"/>
        <v>62554.653146853147</v>
      </c>
      <c r="E30">
        <f t="shared" ca="1" si="2"/>
        <v>61343.950116550121</v>
      </c>
      <c r="F30">
        <f t="shared" si="3"/>
        <v>60133.247086247087</v>
      </c>
      <c r="G30">
        <f t="shared" ca="1" si="4"/>
        <v>58922.544055944054</v>
      </c>
      <c r="H30">
        <f t="shared" ca="1" si="5"/>
        <v>57711.841025641028</v>
      </c>
      <c r="I30">
        <f t="shared" ca="1" si="6"/>
        <v>56501.137995337995</v>
      </c>
      <c r="J30">
        <f t="shared" ca="1" si="8"/>
        <v>41418</v>
      </c>
      <c r="K30" t="str">
        <f t="shared" ca="1" si="9"/>
        <v/>
      </c>
      <c r="L30">
        <f t="shared" ca="1" si="10"/>
        <v>4460.9399999999996</v>
      </c>
      <c r="M30">
        <f t="shared" ca="1" si="11"/>
        <v>3429.1115151515146</v>
      </c>
      <c r="N30">
        <f t="shared" ca="1" si="12"/>
        <v>2397.28303030303</v>
      </c>
      <c r="O30" s="22">
        <f t="shared" ca="1" si="7"/>
        <v>1365.4545454545455</v>
      </c>
      <c r="P30">
        <f t="shared" ca="1" si="13"/>
        <v>333.62606060606095</v>
      </c>
      <c r="Q30">
        <f t="shared" ca="1" si="14"/>
        <v>0</v>
      </c>
      <c r="R30">
        <v>0</v>
      </c>
      <c r="S30">
        <f t="shared" si="15"/>
        <v>29</v>
      </c>
    </row>
    <row r="31" spans="3:19" ht="14" customHeight="1" x14ac:dyDescent="0.15">
      <c r="C31">
        <f t="shared" ca="1" si="0"/>
        <v>64873.170862470863</v>
      </c>
      <c r="D31">
        <f t="shared" ca="1" si="1"/>
        <v>63662.467832167829</v>
      </c>
      <c r="E31">
        <f t="shared" ca="1" si="2"/>
        <v>62451.764801864803</v>
      </c>
      <c r="F31">
        <f t="shared" si="3"/>
        <v>61241.06177156177</v>
      </c>
      <c r="G31">
        <f t="shared" ca="1" si="4"/>
        <v>60030.358741258737</v>
      </c>
      <c r="H31">
        <f t="shared" ca="1" si="5"/>
        <v>58819.655710955711</v>
      </c>
      <c r="I31">
        <f t="shared" ca="1" si="6"/>
        <v>57608.952680652677</v>
      </c>
      <c r="J31">
        <f t="shared" ca="1" si="8"/>
        <v>41418</v>
      </c>
      <c r="K31" t="str">
        <f t="shared" ca="1" si="9"/>
        <v/>
      </c>
      <c r="L31">
        <f t="shared" ca="1" si="10"/>
        <v>4460.9399999999996</v>
      </c>
      <c r="M31">
        <f t="shared" ca="1" si="11"/>
        <v>3429.1115151515146</v>
      </c>
      <c r="N31">
        <f t="shared" ca="1" si="12"/>
        <v>2397.28303030303</v>
      </c>
      <c r="O31" s="22">
        <f t="shared" ca="1" si="7"/>
        <v>1365.4545454545455</v>
      </c>
      <c r="P31">
        <f t="shared" ca="1" si="13"/>
        <v>333.62606060606095</v>
      </c>
      <c r="Q31">
        <f t="shared" ca="1" si="14"/>
        <v>0</v>
      </c>
      <c r="R31">
        <v>0</v>
      </c>
      <c r="S31">
        <f t="shared" si="15"/>
        <v>30</v>
      </c>
    </row>
    <row r="32" spans="3:19" ht="14" customHeight="1" x14ac:dyDescent="0.15">
      <c r="C32">
        <f t="shared" ca="1" si="0"/>
        <v>65980.985547785545</v>
      </c>
      <c r="D32">
        <f t="shared" ca="1" si="1"/>
        <v>64770.282517482519</v>
      </c>
      <c r="E32">
        <f t="shared" ca="1" si="2"/>
        <v>63559.579487179493</v>
      </c>
      <c r="F32">
        <f t="shared" si="3"/>
        <v>62348.87645687646</v>
      </c>
      <c r="G32">
        <f t="shared" ca="1" si="4"/>
        <v>61138.173426573427</v>
      </c>
      <c r="H32">
        <f t="shared" ca="1" si="5"/>
        <v>59927.470396270401</v>
      </c>
      <c r="I32">
        <f t="shared" ca="1" si="6"/>
        <v>58716.767365967367</v>
      </c>
      <c r="J32">
        <f t="shared" ca="1" si="8"/>
        <v>41418</v>
      </c>
      <c r="K32" t="str">
        <f t="shared" ca="1" si="9"/>
        <v/>
      </c>
      <c r="L32">
        <f t="shared" ca="1" si="10"/>
        <v>4460.9399999999996</v>
      </c>
      <c r="M32">
        <f t="shared" ca="1" si="11"/>
        <v>3429.1115151515146</v>
      </c>
      <c r="N32">
        <f t="shared" ca="1" si="12"/>
        <v>2397.28303030303</v>
      </c>
      <c r="O32" s="22">
        <f t="shared" ca="1" si="7"/>
        <v>1365.4545454545455</v>
      </c>
      <c r="P32">
        <f t="shared" ca="1" si="13"/>
        <v>333.62606060606095</v>
      </c>
      <c r="Q32">
        <f t="shared" ca="1" si="14"/>
        <v>0</v>
      </c>
      <c r="R32">
        <v>0</v>
      </c>
      <c r="S32">
        <f t="shared" si="15"/>
        <v>31</v>
      </c>
    </row>
    <row r="33" spans="3:19" ht="14" customHeight="1" x14ac:dyDescent="0.15">
      <c r="C33">
        <f t="shared" ca="1" si="0"/>
        <v>67088.800233100235</v>
      </c>
      <c r="D33">
        <f t="shared" ca="1" si="1"/>
        <v>65878.097202797202</v>
      </c>
      <c r="E33">
        <f t="shared" ca="1" si="2"/>
        <v>64667.394172494176</v>
      </c>
      <c r="F33">
        <f t="shared" si="3"/>
        <v>63456.691142191143</v>
      </c>
      <c r="G33">
        <f t="shared" ca="1" si="4"/>
        <v>62245.988111888109</v>
      </c>
      <c r="H33">
        <f t="shared" ca="1" si="5"/>
        <v>61035.285081585083</v>
      </c>
      <c r="I33">
        <f t="shared" ca="1" si="6"/>
        <v>59824.58205128205</v>
      </c>
      <c r="J33">
        <f t="shared" ca="1" si="8"/>
        <v>41418</v>
      </c>
      <c r="K33" t="str">
        <f t="shared" ca="1" si="9"/>
        <v/>
      </c>
      <c r="L33">
        <f t="shared" ca="1" si="10"/>
        <v>4460.9399999999996</v>
      </c>
      <c r="M33">
        <f t="shared" ca="1" si="11"/>
        <v>3429.1115151515146</v>
      </c>
      <c r="N33">
        <f t="shared" ca="1" si="12"/>
        <v>2397.28303030303</v>
      </c>
      <c r="O33" s="22">
        <f t="shared" ca="1" si="7"/>
        <v>1365.4545454545455</v>
      </c>
      <c r="P33">
        <f t="shared" ca="1" si="13"/>
        <v>333.62606060606095</v>
      </c>
      <c r="Q33">
        <f t="shared" ca="1" si="14"/>
        <v>0</v>
      </c>
      <c r="R33">
        <v>0</v>
      </c>
      <c r="S33">
        <f t="shared" si="15"/>
        <v>32</v>
      </c>
    </row>
    <row r="34" spans="3:19" ht="14" customHeight="1" x14ac:dyDescent="0.15"/>
    <row r="35" spans="3:19" ht="14" customHeight="1" x14ac:dyDescent="0.15"/>
    <row r="36" spans="3:19" ht="14" customHeight="1" x14ac:dyDescent="0.15"/>
    <row r="37" spans="3:19" ht="14" customHeight="1" x14ac:dyDescent="0.15"/>
    <row r="38" spans="3:19" ht="14" customHeight="1" x14ac:dyDescent="0.15"/>
    <row r="39" spans="3:19" ht="14" customHeight="1" x14ac:dyDescent="0.15"/>
    <row r="40" spans="3:19" ht="14" customHeight="1" x14ac:dyDescent="0.15"/>
    <row r="41" spans="3:19" ht="14" customHeight="1" x14ac:dyDescent="0.15"/>
    <row r="42" spans="3:19" ht="14" customHeight="1" x14ac:dyDescent="0.15"/>
    <row r="43" spans="3:19" ht="14" customHeight="1" x14ac:dyDescent="0.15"/>
    <row r="44" spans="3:19" ht="14" customHeight="1" x14ac:dyDescent="0.15"/>
    <row r="45" spans="3:19" ht="14" customHeight="1" x14ac:dyDescent="0.15"/>
    <row r="46" spans="3:19" ht="14" customHeight="1" x14ac:dyDescent="0.15"/>
    <row r="47" spans="3:19" ht="14" customHeight="1" x14ac:dyDescent="0.15"/>
    <row r="48" spans="3:19" ht="14" customHeight="1" x14ac:dyDescent="0.15"/>
    <row r="49" ht="14" customHeight="1" x14ac:dyDescent="0.15"/>
    <row r="50" ht="14" customHeight="1" x14ac:dyDescent="0.15"/>
    <row r="51" ht="14" customHeight="1" x14ac:dyDescent="0.15"/>
    <row r="52" ht="14" customHeight="1" x14ac:dyDescent="0.15"/>
  </sheetData>
  <pageMargins left="0.7" right="0.7" top="0.75" bottom="0.75" header="0.3" footer="0.3"/>
  <pageSetup scale="91" orientation="landscape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6FBC7-41CE-2A41-B3B8-C8E60F1024FA}">
  <sheetPr>
    <tabColor rgb="FF92D050"/>
  </sheetPr>
  <dimension ref="A1:M43"/>
  <sheetViews>
    <sheetView tabSelected="1" zoomScaleNormal="100" workbookViewId="0">
      <selection activeCell="K33" sqref="K33"/>
    </sheetView>
  </sheetViews>
  <sheetFormatPr baseColWidth="10" defaultColWidth="15.6640625" defaultRowHeight="14" customHeight="1" x14ac:dyDescent="0.15"/>
  <cols>
    <col min="1" max="1" width="24.33203125" style="2" customWidth="1"/>
    <col min="2" max="2" width="10.83203125" style="2" customWidth="1"/>
    <col min="3" max="3" width="15" style="2" bestFit="1" customWidth="1"/>
    <col min="4" max="8" width="10.83203125" style="2" customWidth="1"/>
    <col min="9" max="9" width="10.6640625" style="2" customWidth="1"/>
    <col min="10" max="10" width="10.1640625" style="2" customWidth="1"/>
    <col min="11" max="11" width="10.5" style="2" customWidth="1"/>
    <col min="12" max="12" width="11.1640625" style="2" customWidth="1"/>
    <col min="13" max="14" width="11.33203125" style="2" customWidth="1"/>
    <col min="15" max="16" width="11" style="2" customWidth="1"/>
    <col min="17" max="17" width="10.83203125" style="2" customWidth="1"/>
    <col min="18" max="18" width="1.6640625" style="2" customWidth="1"/>
    <col min="19" max="19" width="10.6640625" style="2" customWidth="1"/>
    <col min="20" max="20" width="1.6640625" style="2" customWidth="1"/>
    <col min="21" max="16384" width="15.6640625" style="2"/>
  </cols>
  <sheetData>
    <row r="1" spans="1:8" ht="12" customHeight="1" x14ac:dyDescent="0.15">
      <c r="A1" s="1" t="s">
        <v>0</v>
      </c>
      <c r="B1" s="1"/>
      <c r="C1" s="1"/>
      <c r="D1" s="1"/>
      <c r="E1" s="1"/>
      <c r="F1" s="1"/>
      <c r="G1" s="1"/>
      <c r="H1" s="1"/>
    </row>
    <row r="2" spans="1:8" ht="12" customHeight="1" x14ac:dyDescent="0.15"/>
    <row r="3" spans="1:8" ht="12" customHeight="1" x14ac:dyDescent="0.15">
      <c r="A3" s="3" t="s">
        <v>1</v>
      </c>
      <c r="B3" s="3"/>
      <c r="C3" s="3"/>
      <c r="D3" s="3"/>
      <c r="E3" s="3"/>
      <c r="F3" s="3"/>
      <c r="G3" s="3"/>
      <c r="H3" s="3"/>
    </row>
    <row r="4" spans="1:8" ht="12" customHeight="1" x14ac:dyDescent="0.15"/>
    <row r="5" spans="1:8" ht="12" customHeight="1" x14ac:dyDescent="0.15">
      <c r="A5" s="3" t="s">
        <v>2</v>
      </c>
      <c r="B5" s="3"/>
      <c r="C5" s="3"/>
      <c r="D5" s="3"/>
      <c r="E5" s="3"/>
      <c r="F5" s="3"/>
      <c r="G5" s="3"/>
      <c r="H5" s="3"/>
    </row>
    <row r="6" spans="1:8" ht="12" customHeight="1" x14ac:dyDescent="0.15"/>
    <row r="7" spans="1:8" ht="53.25" customHeight="1" x14ac:dyDescent="0.15">
      <c r="A7" s="4" t="s">
        <v>3</v>
      </c>
      <c r="B7" s="5" t="s">
        <v>4</v>
      </c>
      <c r="C7" s="6" t="s">
        <v>5</v>
      </c>
      <c r="D7" s="6" t="s">
        <v>6</v>
      </c>
      <c r="E7" s="4" t="s">
        <v>7</v>
      </c>
      <c r="F7" s="4" t="s">
        <v>8</v>
      </c>
      <c r="G7" s="4" t="s">
        <v>9</v>
      </c>
      <c r="H7" s="4" t="s">
        <v>10</v>
      </c>
    </row>
    <row r="8" spans="1:8" ht="14" customHeight="1" x14ac:dyDescent="0.15">
      <c r="A8" s="12">
        <v>2013</v>
      </c>
      <c r="B8" s="7">
        <v>35929</v>
      </c>
      <c r="C8" s="7">
        <v>1095331494</v>
      </c>
      <c r="D8" s="7">
        <v>30486</v>
      </c>
      <c r="E8" s="13">
        <v>37.1</v>
      </c>
      <c r="F8" s="13">
        <v>15.4</v>
      </c>
      <c r="G8" s="7">
        <v>14058</v>
      </c>
      <c r="H8" s="14">
        <v>5.5E-2</v>
      </c>
    </row>
    <row r="9" spans="1:8" ht="14" customHeight="1" x14ac:dyDescent="0.15">
      <c r="A9" s="12">
        <v>2014</v>
      </c>
      <c r="B9" s="7">
        <v>36477</v>
      </c>
      <c r="C9" s="7">
        <v>1144465875</v>
      </c>
      <c r="D9" s="7">
        <v>31375</v>
      </c>
      <c r="E9" s="13">
        <v>36.9</v>
      </c>
      <c r="F9" s="13">
        <v>15.4</v>
      </c>
      <c r="G9" s="7">
        <v>14515</v>
      </c>
      <c r="H9" s="14">
        <v>5.0999999999999997E-2</v>
      </c>
    </row>
    <row r="10" spans="1:8" ht="14" customHeight="1" x14ac:dyDescent="0.15">
      <c r="A10" s="12">
        <v>2015</v>
      </c>
      <c r="B10" s="7">
        <v>37865</v>
      </c>
      <c r="C10" s="7">
        <v>1157835970</v>
      </c>
      <c r="D10" s="7">
        <v>30578</v>
      </c>
      <c r="E10" s="13">
        <v>36.1</v>
      </c>
      <c r="F10" s="13">
        <v>15.6</v>
      </c>
      <c r="G10" s="7">
        <v>15009</v>
      </c>
      <c r="H10" s="14">
        <v>3.2000000000000001E-2</v>
      </c>
    </row>
    <row r="11" spans="1:8" ht="14" customHeight="1" x14ac:dyDescent="0.15">
      <c r="A11" s="12">
        <v>2016</v>
      </c>
      <c r="B11" s="7">
        <v>37938</v>
      </c>
      <c r="C11" s="7">
        <v>1175319240</v>
      </c>
      <c r="D11" s="7">
        <v>30980</v>
      </c>
      <c r="E11" s="13">
        <v>36.9</v>
      </c>
      <c r="F11" s="13">
        <v>15.8</v>
      </c>
      <c r="G11" s="7">
        <v>15460</v>
      </c>
      <c r="H11" s="14">
        <v>3.4000000000000002E-2</v>
      </c>
    </row>
    <row r="12" spans="1:8" ht="14" customHeight="1" x14ac:dyDescent="0.15">
      <c r="A12" s="12">
        <v>2017</v>
      </c>
      <c r="B12" s="7">
        <v>39453</v>
      </c>
      <c r="C12" s="7">
        <v>1266046770</v>
      </c>
      <c r="D12" s="7">
        <v>32090</v>
      </c>
      <c r="E12" s="13">
        <v>37.200000000000003</v>
      </c>
      <c r="F12" s="13">
        <v>15.9</v>
      </c>
      <c r="G12" s="7">
        <v>15497</v>
      </c>
      <c r="H12" s="14">
        <v>3.7999999999999999E-2</v>
      </c>
    </row>
    <row r="13" spans="1:8" ht="14" customHeight="1" x14ac:dyDescent="0.15">
      <c r="A13" s="12">
        <v>2018</v>
      </c>
      <c r="B13" s="7">
        <v>41182</v>
      </c>
      <c r="C13" s="7">
        <v>1396481620</v>
      </c>
      <c r="D13" s="7">
        <v>33910</v>
      </c>
      <c r="E13" s="13">
        <v>37.299999999999997</v>
      </c>
      <c r="F13" s="13">
        <v>15.9</v>
      </c>
      <c r="G13" s="7">
        <v>15817</v>
      </c>
      <c r="H13" s="14">
        <v>3.2000000000000001E-2</v>
      </c>
    </row>
    <row r="14" spans="1:8" ht="14" customHeight="1" x14ac:dyDescent="0.15">
      <c r="A14" s="2">
        <v>2019</v>
      </c>
      <c r="B14" s="8">
        <v>41948</v>
      </c>
      <c r="C14" s="8">
        <v>1473255708</v>
      </c>
      <c r="D14" s="8">
        <v>35121</v>
      </c>
      <c r="E14" s="10">
        <v>38</v>
      </c>
      <c r="F14" s="10">
        <v>16.2</v>
      </c>
      <c r="G14" s="8">
        <v>15925</v>
      </c>
      <c r="H14" s="11">
        <v>2.7E-2</v>
      </c>
    </row>
    <row r="15" spans="1:8" ht="14" customHeight="1" x14ac:dyDescent="0.15">
      <c r="A15" s="2">
        <v>2020</v>
      </c>
      <c r="B15" s="7">
        <v>42000</v>
      </c>
      <c r="C15" s="8">
        <v>1651272000</v>
      </c>
      <c r="D15" s="8">
        <v>39316</v>
      </c>
      <c r="E15" s="10">
        <v>37.4</v>
      </c>
      <c r="F15" s="10">
        <v>16.2</v>
      </c>
      <c r="G15" s="8">
        <v>15675</v>
      </c>
      <c r="H15" s="11">
        <v>5.0999999999999997E-2</v>
      </c>
    </row>
    <row r="16" spans="1:8" ht="14" customHeight="1" x14ac:dyDescent="0.15">
      <c r="A16" s="2">
        <v>2021</v>
      </c>
      <c r="B16" s="7">
        <f>(43010-42000)/3+B17</f>
        <v>43683.333333333328</v>
      </c>
      <c r="C16" s="8">
        <v>1611714563.3333333</v>
      </c>
      <c r="D16" s="8">
        <v>38069</v>
      </c>
      <c r="E16" s="10">
        <v>37.6</v>
      </c>
      <c r="F16" s="10">
        <v>16.152301875024364</v>
      </c>
      <c r="G16" s="8">
        <v>15887</v>
      </c>
      <c r="H16" s="11">
        <v>3.9E-2</v>
      </c>
    </row>
    <row r="17" spans="1:13" ht="14" customHeight="1" x14ac:dyDescent="0.15">
      <c r="A17" s="2">
        <v>2022</v>
      </c>
      <c r="B17" s="7">
        <f>(43010-42000)/3+B18</f>
        <v>43346.666666666664</v>
      </c>
      <c r="C17" s="9">
        <v>1656664146.6666665</v>
      </c>
      <c r="D17" s="9">
        <v>38822</v>
      </c>
      <c r="E17" s="10">
        <v>37.9</v>
      </c>
      <c r="F17" s="10">
        <v>15.9</v>
      </c>
      <c r="G17" s="8">
        <v>15877</v>
      </c>
      <c r="H17" s="11">
        <v>3.3000000000000002E-2</v>
      </c>
    </row>
    <row r="18" spans="1:13" ht="14" customHeight="1" x14ac:dyDescent="0.15">
      <c r="A18" s="2">
        <v>2023</v>
      </c>
      <c r="B18" s="7">
        <v>43010</v>
      </c>
      <c r="C18" s="9">
        <v>1734335240</v>
      </c>
      <c r="D18" s="9">
        <v>40324</v>
      </c>
      <c r="E18" s="10">
        <v>39</v>
      </c>
      <c r="F18" s="10">
        <v>15.9</v>
      </c>
      <c r="G18" s="8">
        <v>15573</v>
      </c>
      <c r="H18" s="11">
        <v>3.5999999999999997E-2</v>
      </c>
    </row>
    <row r="19" spans="1:13" ht="14" customHeight="1" x14ac:dyDescent="0.15">
      <c r="A19" s="2">
        <v>2024</v>
      </c>
      <c r="B19" s="7">
        <v>43239</v>
      </c>
      <c r="C19" s="9">
        <v>1790872902</v>
      </c>
      <c r="D19" s="9">
        <v>41418</v>
      </c>
      <c r="E19" s="10">
        <v>42</v>
      </c>
      <c r="F19" s="10">
        <v>16</v>
      </c>
      <c r="G19" s="8">
        <v>15758</v>
      </c>
      <c r="H19" s="11">
        <v>3.2000000000000001E-2</v>
      </c>
    </row>
    <row r="20" spans="1:13" ht="14" customHeight="1" x14ac:dyDescent="0.15">
      <c r="A20" s="12"/>
      <c r="B20" s="7"/>
      <c r="C20" s="7"/>
      <c r="D20" s="7"/>
      <c r="E20" s="13"/>
      <c r="F20" s="13"/>
      <c r="G20" s="7"/>
      <c r="H20" s="14"/>
      <c r="M20" s="15"/>
    </row>
    <row r="21" spans="1:13" ht="14" customHeight="1" x14ac:dyDescent="0.15">
      <c r="A21" s="12"/>
      <c r="B21" s="8"/>
      <c r="C21" s="8"/>
      <c r="D21" s="8"/>
      <c r="E21" s="10"/>
      <c r="F21" s="10"/>
      <c r="G21" s="8"/>
      <c r="H21" s="11"/>
      <c r="M21" s="15"/>
    </row>
    <row r="22" spans="1:13" ht="14" customHeight="1" x14ac:dyDescent="0.15">
      <c r="A22" s="16"/>
      <c r="B22" s="17"/>
      <c r="C22" s="17"/>
      <c r="D22" s="17"/>
      <c r="E22" s="17"/>
      <c r="F22" s="17"/>
      <c r="G22" s="17"/>
      <c r="H22" s="17"/>
      <c r="M22" s="15"/>
    </row>
    <row r="23" spans="1:13" ht="14" customHeight="1" x14ac:dyDescent="0.15">
      <c r="A23" s="16"/>
      <c r="B23" s="17"/>
      <c r="C23" s="17"/>
      <c r="D23" s="17"/>
      <c r="E23" s="17"/>
      <c r="F23" s="17"/>
      <c r="G23" s="17"/>
      <c r="H23" s="17"/>
      <c r="M23" s="15"/>
    </row>
    <row r="24" spans="1:13" ht="14" customHeight="1" x14ac:dyDescent="0.15">
      <c r="A24" s="12"/>
      <c r="B24" s="17"/>
      <c r="C24" s="17"/>
      <c r="D24" s="17"/>
      <c r="E24" s="17"/>
      <c r="F24" s="17"/>
      <c r="G24" s="17"/>
      <c r="H24" s="17"/>
      <c r="M24" s="15"/>
    </row>
    <row r="25" spans="1:13" ht="14" customHeight="1" x14ac:dyDescent="0.15">
      <c r="A25" s="12"/>
      <c r="B25" s="17"/>
      <c r="C25" s="17"/>
      <c r="D25" s="17"/>
      <c r="E25" s="17"/>
      <c r="F25" s="17"/>
      <c r="G25" s="17"/>
      <c r="H25" s="17"/>
      <c r="M25" s="15"/>
    </row>
    <row r="26" spans="1:13" ht="14" hidden="1" customHeight="1" x14ac:dyDescent="0.15">
      <c r="A26" s="12">
        <v>2005</v>
      </c>
      <c r="B26" s="8">
        <v>18694</v>
      </c>
      <c r="C26" s="8">
        <v>593870992</v>
      </c>
      <c r="D26" s="8">
        <v>31768</v>
      </c>
      <c r="E26" s="10">
        <v>35.1</v>
      </c>
      <c r="F26" s="10">
        <v>14.6</v>
      </c>
      <c r="G26" s="8">
        <v>6186</v>
      </c>
      <c r="H26" s="11">
        <v>3.9E-2</v>
      </c>
      <c r="M26" s="15"/>
    </row>
    <row r="27" spans="1:13" ht="14" customHeight="1" x14ac:dyDescent="0.15">
      <c r="A27" s="12"/>
      <c r="B27" s="8"/>
      <c r="C27" s="8"/>
      <c r="D27" s="8"/>
      <c r="E27" s="10"/>
      <c r="F27" s="10"/>
      <c r="G27" s="8"/>
      <c r="H27" s="11"/>
      <c r="M27" s="15"/>
    </row>
    <row r="28" spans="1:13" ht="14" customHeight="1" x14ac:dyDescent="0.15">
      <c r="A28" s="12"/>
      <c r="B28" s="8"/>
      <c r="C28" s="8"/>
      <c r="D28" s="8"/>
      <c r="E28" s="10"/>
      <c r="F28" s="10"/>
      <c r="G28" s="8"/>
      <c r="H28" s="11"/>
    </row>
    <row r="29" spans="1:13" ht="14" customHeight="1" x14ac:dyDescent="0.15">
      <c r="A29" s="29"/>
      <c r="B29" s="8"/>
      <c r="C29" s="8"/>
      <c r="D29" s="8" t="s">
        <v>24</v>
      </c>
      <c r="E29" s="10"/>
      <c r="F29" s="8"/>
      <c r="G29" s="11"/>
      <c r="H29" s="18"/>
    </row>
    <row r="30" spans="1:13" ht="14" customHeight="1" x14ac:dyDescent="0.15">
      <c r="A30" s="29"/>
      <c r="B30" s="8" t="s">
        <v>25</v>
      </c>
      <c r="C30" s="8" t="s">
        <v>24</v>
      </c>
      <c r="D30" t="s">
        <v>26</v>
      </c>
    </row>
    <row r="31" spans="1:13" ht="14" customHeight="1" x14ac:dyDescent="0.15">
      <c r="A31" s="4" t="s">
        <v>3</v>
      </c>
      <c r="B31" s="6" t="s">
        <v>6</v>
      </c>
      <c r="C31" s="25" t="s">
        <v>26</v>
      </c>
      <c r="D31" s="25" t="s">
        <v>27</v>
      </c>
      <c r="I31" s="19"/>
    </row>
    <row r="32" spans="1:13" ht="14" customHeight="1" x14ac:dyDescent="0.15">
      <c r="A32" s="12">
        <v>2013</v>
      </c>
      <c r="B32" s="26">
        <v>30486</v>
      </c>
      <c r="C32" s="27">
        <v>29555</v>
      </c>
      <c r="D32" s="27">
        <v>39799.398219445298</v>
      </c>
    </row>
    <row r="33" spans="1:4" ht="14" customHeight="1" x14ac:dyDescent="0.15">
      <c r="A33" s="12">
        <v>2014</v>
      </c>
      <c r="B33" s="26">
        <v>31375</v>
      </c>
      <c r="C33" s="27">
        <v>30578</v>
      </c>
      <c r="D33" s="27">
        <v>40522.368027656303</v>
      </c>
    </row>
    <row r="34" spans="1:4" x14ac:dyDescent="0.15">
      <c r="A34" s="12">
        <v>2015</v>
      </c>
      <c r="B34" s="26">
        <v>30578</v>
      </c>
      <c r="C34" s="27">
        <v>30980</v>
      </c>
      <c r="D34" s="27">
        <v>41005.430874103899</v>
      </c>
    </row>
    <row r="35" spans="1:4" ht="14" customHeight="1" x14ac:dyDescent="0.15">
      <c r="A35" s="12">
        <v>2016</v>
      </c>
      <c r="B35" s="26">
        <v>30980</v>
      </c>
      <c r="C35" s="27">
        <v>32090</v>
      </c>
      <c r="D35" s="27">
        <v>41943.0678335384</v>
      </c>
    </row>
    <row r="36" spans="1:4" ht="14" customHeight="1" x14ac:dyDescent="0.15">
      <c r="A36" s="12">
        <v>2017</v>
      </c>
      <c r="B36" s="26">
        <v>32090</v>
      </c>
      <c r="C36" s="27">
        <v>33378</v>
      </c>
      <c r="D36" s="27">
        <v>42716.071984856397</v>
      </c>
    </row>
    <row r="37" spans="1:4" ht="14" customHeight="1" x14ac:dyDescent="0.15">
      <c r="A37" s="12">
        <v>2018</v>
      </c>
      <c r="B37" s="26">
        <v>33910</v>
      </c>
      <c r="C37" s="27">
        <v>35121</v>
      </c>
      <c r="D37" s="27">
        <v>43876.5573189114</v>
      </c>
    </row>
    <row r="38" spans="1:4" ht="14" customHeight="1" x14ac:dyDescent="0.15">
      <c r="A38" s="2">
        <v>2019</v>
      </c>
      <c r="B38" s="28">
        <v>35121</v>
      </c>
      <c r="C38" s="27">
        <v>35778</v>
      </c>
      <c r="D38" s="27">
        <v>43901.301268550902</v>
      </c>
    </row>
    <row r="39" spans="1:4" ht="14" customHeight="1" x14ac:dyDescent="0.15">
      <c r="A39" s="2">
        <v>2020</v>
      </c>
      <c r="B39" s="28">
        <v>39316</v>
      </c>
      <c r="C39" s="27">
        <v>36786</v>
      </c>
      <c r="D39" s="27">
        <v>44579.610447131199</v>
      </c>
    </row>
    <row r="40" spans="1:4" ht="14" customHeight="1" x14ac:dyDescent="0.15">
      <c r="A40" s="2">
        <v>2021</v>
      </c>
      <c r="B40" s="28">
        <v>38069</v>
      </c>
      <c r="C40" s="27">
        <v>39021</v>
      </c>
      <c r="D40" s="27">
        <v>45174.363463694201</v>
      </c>
    </row>
    <row r="41" spans="1:4" ht="14" customHeight="1" x14ac:dyDescent="0.15">
      <c r="A41" s="2">
        <v>2022</v>
      </c>
      <c r="B41" s="28">
        <v>38822</v>
      </c>
      <c r="C41" s="27">
        <v>40324</v>
      </c>
      <c r="D41" s="27">
        <v>43227.794685184803</v>
      </c>
    </row>
    <row r="42" spans="1:4" ht="14" customHeight="1" x14ac:dyDescent="0.15">
      <c r="A42" s="2">
        <v>2023</v>
      </c>
      <c r="B42" s="28">
        <v>40324</v>
      </c>
      <c r="C42" s="27">
        <v>41418</v>
      </c>
      <c r="D42" s="27">
        <v>42640.496200412897</v>
      </c>
    </row>
    <row r="43" spans="1:4" ht="14" customHeight="1" x14ac:dyDescent="0.15">
      <c r="A43" s="2">
        <v>2024</v>
      </c>
      <c r="B43" s="28">
        <v>41418</v>
      </c>
      <c r="C43" s="27">
        <v>43174</v>
      </c>
      <c r="D43" s="27">
        <v>43174</v>
      </c>
    </row>
  </sheetData>
  <sortState xmlns:xlrd2="http://schemas.microsoft.com/office/spreadsheetml/2017/richdata2" ref="A8:H19">
    <sortCondition ref="A8:A19"/>
  </sortState>
  <pageMargins left="0.75" right="0.75" top="0.5" bottom="1" header="0.5" footer="0.5"/>
  <pageSetup firstPageNumber="132" pageOrder="overThenDown" orientation="portrait" r:id="rId1"/>
  <headerFooter alignWithMargins="0">
    <oddHeader>&amp;R&amp;"Verdana,Bold"&amp;9TABLE 17</oddHeader>
    <oddFooter>&amp;C&amp;"Verdana,Bold"&amp;9&amp;P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6" baseType="variant">
      <vt:variant>
        <vt:lpstr>Worksheets</vt:lpstr>
      </vt:variant>
      <vt:variant>
        <vt:i4>4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Unemployment Rate 2013-2024XmR </vt:lpstr>
      <vt:lpstr>Pop Growth 2013-2024 Trend XmR</vt:lpstr>
      <vt:lpstr>Per Cap Personal Inc 2013-2024</vt:lpstr>
      <vt:lpstr>Demographics Last 10yr Modified</vt:lpstr>
      <vt:lpstr>Demographics Last 10yr Modif</vt:lpstr>
      <vt:lpstr>'Demographics Last 10yr Modified'!Print_Area</vt:lpstr>
      <vt:lpstr>'Per Cap Personal Inc 2013-2024'!Print_Area</vt:lpstr>
      <vt:lpstr>'Pop Growth 2013-2024 Trend XmR'!Print_Area</vt:lpstr>
      <vt:lpstr>'Unemployment Rate 2013-2024XmR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 Demographics Last 10 Unemplo</dc:title>
  <dc:creator>D S and QI Macros</dc:creator>
  <dc:description>
_x000d_QI Macros 2025.01
_x000d_qimacros.com</dc:description>
  <cp:lastModifiedBy>D S</cp:lastModifiedBy>
  <cp:lastPrinted>2026-02-19T00:07:05Z</cp:lastPrinted>
  <dcterms:created xsi:type="dcterms:W3CDTF">2026-02-15T20:36:06Z</dcterms:created>
  <dcterms:modified xsi:type="dcterms:W3CDTF">2026-02-22T07:42:24Z</dcterms:modified>
</cp:coreProperties>
</file>
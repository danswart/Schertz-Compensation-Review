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D/R Working Directory/Schertz Compensation Review/ACFR FY23/"/>
    </mc:Choice>
  </mc:AlternateContent>
  <xr:revisionPtr revIDLastSave="0" documentId="8_{AC2CA60B-1C24-7A4A-9C03-1566739D54B2}" xr6:coauthVersionLast="47" xr6:coauthVersionMax="47" xr10:uidLastSave="{00000000-0000-0000-0000-000000000000}"/>
  <bookViews>
    <workbookView xWindow="7660" yWindow="4020" windowWidth="26840" windowHeight="15940" xr2:uid="{720F43F5-9711-A343-A96B-6A97F59D5FA2}"/>
  </bookViews>
  <sheets>
    <sheet name="Prop Tax Payers" sheetId="1" r:id="rId1"/>
  </sheets>
  <externalReferences>
    <externalReference r:id="rId2"/>
  </externalReferences>
  <definedNames>
    <definedName name="_xlnm.Print_Area" localSheetId="0">'Prop Tax Payers'!$A$1:$M$38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7" i="1" l="1"/>
  <c r="C38" i="1"/>
  <c r="I35" i="1"/>
  <c r="M33" i="1"/>
  <c r="M32" i="1"/>
  <c r="M31" i="1"/>
  <c r="M30" i="1"/>
  <c r="M29" i="1"/>
  <c r="M28" i="1"/>
  <c r="M27" i="1"/>
  <c r="C26" i="1"/>
  <c r="G26" i="1" s="1"/>
  <c r="C25" i="1"/>
  <c r="G25" i="1" s="1"/>
  <c r="C24" i="1"/>
  <c r="G24" i="1" s="1"/>
  <c r="C23" i="1"/>
  <c r="G23" i="1" s="1"/>
  <c r="C22" i="1"/>
  <c r="G22" i="1" s="1"/>
  <c r="M21" i="1"/>
  <c r="G21" i="1"/>
  <c r="C21" i="1"/>
  <c r="C20" i="1"/>
  <c r="G20" i="1" s="1"/>
  <c r="M19" i="1"/>
  <c r="C19" i="1"/>
  <c r="G19" i="1" s="1"/>
  <c r="C18" i="1"/>
  <c r="G18" i="1" s="1"/>
  <c r="M17" i="1"/>
  <c r="M35" i="1" s="1"/>
  <c r="C17" i="1"/>
  <c r="C35" i="1" l="1"/>
  <c r="G17" i="1"/>
  <c r="G35" i="1" s="1"/>
</calcChain>
</file>

<file path=xl/sharedStrings.xml><?xml version="1.0" encoding="utf-8"?>
<sst xmlns="http://schemas.openxmlformats.org/spreadsheetml/2006/main" count="77" uniqueCount="63">
  <si>
    <t>CITY OF SCHERTZ, TEXAS</t>
  </si>
  <si>
    <t>PRINCIPAL PROPERTY OF TAX PAYERS</t>
  </si>
  <si>
    <t>CURRENT YEAR AND NINE YEARS AGO</t>
  </si>
  <si>
    <t>Percentage</t>
  </si>
  <si>
    <t>of</t>
  </si>
  <si>
    <t>Total City</t>
  </si>
  <si>
    <t>Taxable</t>
  </si>
  <si>
    <t>Assessed</t>
  </si>
  <si>
    <t>Taxpayer</t>
  </si>
  <si>
    <t>Value</t>
  </si>
  <si>
    <t>Rank</t>
  </si>
  <si>
    <t>SYSCO Central Texas</t>
  </si>
  <si>
    <t>Sun Life Assurance Company of Canada</t>
  </si>
  <si>
    <t>Caterpillar Inc.</t>
  </si>
  <si>
    <t>Amazon Com Services Inc</t>
  </si>
  <si>
    <t>Rebublic Beverage Company</t>
  </si>
  <si>
    <t>HGIT Schertz Parkway LP</t>
  </si>
  <si>
    <t>Eastgroup Properties LP</t>
  </si>
  <si>
    <t>WHC Schertz Apts LLC</t>
  </si>
  <si>
    <t>DG Industrial Portfolio II Property Owner LP</t>
  </si>
  <si>
    <t>AR AMZ 1150 Schwab RD LLC</t>
  </si>
  <si>
    <t>San Antonio MTA LP</t>
  </si>
  <si>
    <t>GE Oil &amp; Gas Inc.</t>
  </si>
  <si>
    <t>Visionary Properties</t>
  </si>
  <si>
    <t>Wal-Mart Real Estate Business Trust</t>
  </si>
  <si>
    <t>H.E.Butt Grocery Co.</t>
  </si>
  <si>
    <t>EM Limited Partnership</t>
  </si>
  <si>
    <t>Case Cameron LLC</t>
  </si>
  <si>
    <t>Totals</t>
  </si>
  <si>
    <t>Total Taxable</t>
  </si>
  <si>
    <t>Assessed Value</t>
  </si>
  <si>
    <t>*Source: Guadalupe, Bexar, and Comal Appraisal Districts</t>
  </si>
  <si>
    <t>Bexar</t>
  </si>
  <si>
    <t>Schertz 1518 LTD</t>
  </si>
  <si>
    <t>Pecan Grove TX LLC</t>
  </si>
  <si>
    <t>JEN TEXAS 32 LLC</t>
  </si>
  <si>
    <t>C4LC AT INTERSTATE 10 LLC</t>
  </si>
  <si>
    <t>NAJDS PROPERTY INVESTMENTS INC</t>
  </si>
  <si>
    <t>SA LIBERTY HOME BUILDINGS LLC</t>
  </si>
  <si>
    <t>SCHINDLER ALAN &amp; CAROL TRUST</t>
  </si>
  <si>
    <t>SCOTT FELDER HOMES LLC</t>
  </si>
  <si>
    <t>MHP MANAGER LLC</t>
  </si>
  <si>
    <t>BRIGHTLAND HOMES LTD</t>
  </si>
  <si>
    <t>Comal</t>
  </si>
  <si>
    <t>SYSCO CENTRAL TEXAS</t>
  </si>
  <si>
    <t>SUN LIFE ASSURANCE COMPANY OF CANADA</t>
  </si>
  <si>
    <t>CATERPILLAR INC</t>
  </si>
  <si>
    <t>REPUBLIC BEVERAGE COMPANY</t>
  </si>
  <si>
    <t>EAST GROUP PROPERTIES LP</t>
  </si>
  <si>
    <t>DG INDUSTRIAL PORTFOLIO II</t>
  </si>
  <si>
    <t>AR AMZ 1150 SCHWAB RD LLC</t>
  </si>
  <si>
    <t>GOOGLE FIBER INC</t>
  </si>
  <si>
    <t>BALTISSE-ACKERMAN SCHERTZ LLLP</t>
  </si>
  <si>
    <t>Guadalupe</t>
  </si>
  <si>
    <t>HGIT SCHERTZ PARKWAY LP</t>
  </si>
  <si>
    <t>WHC SCHERTZ APTS LLC</t>
  </si>
  <si>
    <t>EM LIMITED PARTNERSHIP</t>
  </si>
  <si>
    <t>MI RED VINES LLC</t>
  </si>
  <si>
    <t>H E BUTT GROCERY CO</t>
  </si>
  <si>
    <t>BCDPF TRI COUNTY DC LLC</t>
  </si>
  <si>
    <t>CAPITAL GROUP COMPANIES INC</t>
  </si>
  <si>
    <t>CELLCO PARTNERSHIP</t>
  </si>
  <si>
    <t>PROLOGIS TEXAS I 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</si>
</sst>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_(* #,##0_);&quot;$&quot;\(* #,##0\);&quot;$&quot;_(* &quot;-&quot;???_);_(@_)"/>
    <numFmt numFmtId="166" formatCode="_$_(* #,##0.00%_);_$\(* #,##0.00%\);_$_(* &quot;-&quot;???_);_$_(@_)"/>
    <numFmt numFmtId="167" formatCode="_(&quot;$&quot;* #,##0_);_(&quot;$&quot;* \(#,##0\);_(&quot;$&quot;* &quot;-&quot;??_);_(@_)"/>
  </numFmts>
  <fonts count="9" x14ac:knownFonts="1">
    <font>
      <sz val="11"/>
      <name val="Times New Roman"/>
      <family val="1"/>
    </font>
    <font>
      <b/>
      <sz val="9"/>
      <name val="Verdana"/>
      <family val="2"/>
    </font>
    <font>
      <sz val="9"/>
      <name val="Verdana"/>
      <family val="2"/>
    </font>
    <font>
      <sz val="8"/>
      <name val="Verdana"/>
      <family val="2"/>
    </font>
    <font>
      <sz val="10"/>
      <name val="Arial"/>
      <family val="2"/>
    </font>
    <font>
      <u val="singleAccounting"/>
      <sz val="8"/>
      <name val="Verdana"/>
      <family val="2"/>
    </font>
    <font>
      <u/>
      <sz val="8"/>
      <name val="Verdana"/>
      <family val="2"/>
    </font>
    <font>
      <u val="doubleAccounting"/>
      <sz val="8"/>
      <name val="Verdana"/>
      <family val="2"/>
    </font>
    <font>
      <sz val="8.5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1" fontId="3" fillId="0" borderId="0" xfId="0" applyNumberFormat="1" applyFont="1"/>
    <xf numFmtId="10" fontId="3" fillId="0" borderId="0" xfId="0" applyNumberFormat="1" applyFont="1" applyAlignment="1">
      <alignment horizontal="center"/>
    </xf>
    <xf numFmtId="0" fontId="3" fillId="0" borderId="0" xfId="2" applyFont="1"/>
    <xf numFmtId="42" fontId="3" fillId="0" borderId="0" xfId="0" applyNumberFormat="1" applyFont="1"/>
    <xf numFmtId="1" fontId="3" fillId="0" borderId="0" xfId="0" applyNumberFormat="1" applyFont="1" applyAlignment="1">
      <alignment horizontal="center"/>
    </xf>
    <xf numFmtId="164" fontId="3" fillId="0" borderId="0" xfId="3" applyNumberFormat="1" applyFont="1" applyFill="1"/>
    <xf numFmtId="0" fontId="3" fillId="0" borderId="0" xfId="0" applyFont="1" applyAlignment="1">
      <alignment vertical="center"/>
    </xf>
    <xf numFmtId="41" fontId="3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41" fontId="5" fillId="0" borderId="0" xfId="0" applyNumberFormat="1" applyFont="1" applyAlignment="1">
      <alignment vertical="center"/>
    </xf>
    <xf numFmtId="10" fontId="5" fillId="0" borderId="0" xfId="0" applyNumberFormat="1" applyFont="1" applyAlignment="1">
      <alignment horizontal="center"/>
    </xf>
    <xf numFmtId="41" fontId="3" fillId="0" borderId="0" xfId="0" applyNumberFormat="1" applyFont="1" applyAlignment="1">
      <alignment horizontal="center"/>
    </xf>
    <xf numFmtId="41" fontId="5" fillId="0" borderId="0" xfId="0" applyNumberFormat="1" applyFont="1"/>
    <xf numFmtId="10" fontId="6" fillId="0" borderId="0" xfId="0" applyNumberFormat="1" applyFont="1" applyAlignment="1">
      <alignment horizontal="center"/>
    </xf>
    <xf numFmtId="165" fontId="7" fillId="0" borderId="0" xfId="0" applyNumberFormat="1" applyFont="1"/>
    <xf numFmtId="166" fontId="7" fillId="0" borderId="0" xfId="0" applyNumberFormat="1" applyFont="1" applyAlignment="1">
      <alignment horizontal="center"/>
    </xf>
    <xf numFmtId="0" fontId="3" fillId="0" borderId="0" xfId="0" applyFont="1" applyAlignment="1">
      <alignment horizontal="left" vertical="center" indent="1"/>
    </xf>
    <xf numFmtId="0" fontId="8" fillId="0" borderId="0" xfId="0" applyFont="1"/>
    <xf numFmtId="41" fontId="8" fillId="0" borderId="0" xfId="0" applyNumberFormat="1" applyFont="1"/>
    <xf numFmtId="167" fontId="2" fillId="0" borderId="0" xfId="1" applyNumberFormat="1" applyFont="1"/>
    <xf numFmtId="167" fontId="2" fillId="2" borderId="0" xfId="1" applyNumberFormat="1" applyFont="1" applyFill="1"/>
  </cellXfs>
  <cellStyles count="4">
    <cellStyle name="Comma 6" xfId="3" xr:uid="{481600B8-497D-DE4A-8F23-7305B4D3AC2E}"/>
    <cellStyle name="Currency" xfId="1" builtinId="4"/>
    <cellStyle name="Normal" xfId="0" builtinId="0"/>
    <cellStyle name="Normal_Tbl 10 PrinTaxPayers 2" xfId="2" xr:uid="{4835489D-DD8A-E043-AC84-45EA730FC6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/R%20Working%20Directory/Schertz%20Compensation%20Review/ACFR%20FY23/FY24%20City%20of%20Schertz%20Stat%20Tables%20(2)-MODIFIED.xlsx" TargetMode="External"/><Relationship Id="rId1" Type="http://schemas.openxmlformats.org/officeDocument/2006/relationships/externalLinkPath" Target="FY24%20City%20of%20Schertz%20Stat%20Tables%20(2)-MODIFI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&amp;S Consumption"/>
      <sheetName val="W&amp;S Consumers"/>
      <sheetName val="Prop Tax Rates"/>
      <sheetName val="Prop Tax Payers"/>
      <sheetName val="Tax Levies &amp; Collections"/>
      <sheetName val="Taxable Assessed Values"/>
      <sheetName val="Debt Ratios by Type"/>
      <sheetName val="OS Bond Debt Ratios"/>
      <sheetName val="Gov Activity Debt "/>
      <sheetName val="Debt Margin Info"/>
      <sheetName val="Pledged Rev Coverage"/>
      <sheetName val="Demographics Last 10"/>
      <sheetName val="Top 10 Employers"/>
      <sheetName val="FTE by Function"/>
      <sheetName val="OP Indicators by Function"/>
      <sheetName val="Assets by Func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0">
          <cell r="G10">
            <v>6740344392</v>
          </cell>
        </row>
      </sheetData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5FF3B-47CD-BA4C-BD18-7124BCE85482}">
  <sheetPr>
    <tabColor rgb="FF92D050"/>
  </sheetPr>
  <dimension ref="A1:M77"/>
  <sheetViews>
    <sheetView tabSelected="1" zoomScaleNormal="100" zoomScaleSheetLayoutView="72" workbookViewId="0">
      <selection activeCell="O56" sqref="O56"/>
    </sheetView>
  </sheetViews>
  <sheetFormatPr baseColWidth="10" defaultColWidth="9.1640625" defaultRowHeight="14" customHeight="1" x14ac:dyDescent="0.15"/>
  <cols>
    <col min="1" max="1" width="31.33203125" style="2" customWidth="1"/>
    <col min="2" max="2" width="1.1640625" style="2" customWidth="1"/>
    <col min="3" max="3" width="14.6640625" style="2" customWidth="1"/>
    <col min="4" max="4" width="0.5" style="2" customWidth="1"/>
    <col min="5" max="5" width="4.33203125" style="2" customWidth="1"/>
    <col min="6" max="6" width="0.5" style="2" customWidth="1"/>
    <col min="7" max="7" width="9.33203125" style="2" customWidth="1"/>
    <col min="8" max="8" width="0.5" style="2" customWidth="1"/>
    <col min="9" max="9" width="14.33203125" style="2" customWidth="1"/>
    <col min="10" max="10" width="0.5" style="2" customWidth="1"/>
    <col min="11" max="11" width="3.6640625" style="2" customWidth="1"/>
    <col min="12" max="12" width="0.5" style="2" customWidth="1"/>
    <col min="13" max="13" width="10.1640625" style="2" bestFit="1" customWidth="1"/>
    <col min="14" max="17" width="9.1640625" style="2"/>
    <col min="18" max="18" width="11" style="2" bestFit="1" customWidth="1"/>
    <col min="19" max="16384" width="9.1640625" style="2"/>
  </cols>
  <sheetData>
    <row r="1" spans="1:13" ht="12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2" x14ac:dyDescent="0.15"/>
    <row r="3" spans="1:13" ht="12" x14ac:dyDescent="0.1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2" x14ac:dyDescent="0.15"/>
    <row r="5" spans="1:13" ht="12" x14ac:dyDescent="0.15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12" x14ac:dyDescent="0.15"/>
    <row r="7" spans="1:13" ht="12" x14ac:dyDescent="0.15"/>
    <row r="8" spans="1:13" ht="12" x14ac:dyDescent="0.15"/>
    <row r="9" spans="1:13" ht="12" x14ac:dyDescent="0.15">
      <c r="A9" s="4"/>
      <c r="B9" s="4"/>
      <c r="C9" s="5">
        <v>2024</v>
      </c>
      <c r="D9" s="5"/>
      <c r="E9" s="5"/>
      <c r="F9" s="5"/>
      <c r="G9" s="5"/>
      <c r="H9" s="4"/>
      <c r="I9" s="6">
        <v>2015</v>
      </c>
      <c r="J9" s="5"/>
      <c r="K9" s="5"/>
      <c r="L9" s="5"/>
      <c r="M9" s="5"/>
    </row>
    <row r="10" spans="1:13" ht="12" x14ac:dyDescent="0.15">
      <c r="A10" s="4"/>
      <c r="B10" s="4"/>
      <c r="C10" s="7"/>
      <c r="D10" s="7"/>
      <c r="E10" s="7"/>
      <c r="F10" s="7"/>
      <c r="G10" s="7" t="s">
        <v>3</v>
      </c>
      <c r="H10" s="4"/>
      <c r="I10" s="7"/>
      <c r="J10" s="7"/>
      <c r="K10" s="7"/>
      <c r="L10" s="7"/>
      <c r="M10" s="7" t="s">
        <v>3</v>
      </c>
    </row>
    <row r="11" spans="1:13" ht="12" x14ac:dyDescent="0.15">
      <c r="A11" s="4"/>
      <c r="B11" s="4"/>
      <c r="C11" s="7"/>
      <c r="D11" s="7"/>
      <c r="E11" s="7"/>
      <c r="F11" s="7"/>
      <c r="G11" s="7" t="s">
        <v>4</v>
      </c>
      <c r="H11" s="4"/>
      <c r="I11" s="7"/>
      <c r="J11" s="7"/>
      <c r="K11" s="7"/>
      <c r="L11" s="7"/>
      <c r="M11" s="7" t="s">
        <v>4</v>
      </c>
    </row>
    <row r="12" spans="1:13" ht="12" x14ac:dyDescent="0.15">
      <c r="A12" s="4"/>
      <c r="B12" s="4"/>
      <c r="C12" s="7"/>
      <c r="D12" s="7"/>
      <c r="E12" s="7"/>
      <c r="F12" s="7"/>
      <c r="G12" s="7" t="s">
        <v>5</v>
      </c>
      <c r="H12" s="4"/>
      <c r="I12" s="7"/>
      <c r="J12" s="7"/>
      <c r="K12" s="7"/>
      <c r="L12" s="7"/>
      <c r="M12" s="7" t="s">
        <v>5</v>
      </c>
    </row>
    <row r="13" spans="1:13" ht="12" x14ac:dyDescent="0.15">
      <c r="A13" s="4"/>
      <c r="B13" s="4"/>
      <c r="C13" s="7" t="s">
        <v>6</v>
      </c>
      <c r="D13" s="7"/>
      <c r="E13" s="7"/>
      <c r="F13" s="7"/>
      <c r="G13" s="7" t="s">
        <v>6</v>
      </c>
      <c r="H13" s="4"/>
      <c r="I13" s="7" t="s">
        <v>6</v>
      </c>
      <c r="J13" s="7"/>
      <c r="K13" s="7"/>
      <c r="L13" s="7"/>
      <c r="M13" s="7" t="s">
        <v>6</v>
      </c>
    </row>
    <row r="14" spans="1:13" ht="12" x14ac:dyDescent="0.15">
      <c r="A14" s="4"/>
      <c r="B14" s="4"/>
      <c r="C14" s="7" t="s">
        <v>7</v>
      </c>
      <c r="D14" s="7"/>
      <c r="E14" s="7"/>
      <c r="F14" s="7"/>
      <c r="G14" s="7" t="s">
        <v>7</v>
      </c>
      <c r="H14" s="4"/>
      <c r="I14" s="7" t="s">
        <v>7</v>
      </c>
      <c r="J14" s="7"/>
      <c r="K14" s="7"/>
      <c r="L14" s="7"/>
      <c r="M14" s="7" t="s">
        <v>7</v>
      </c>
    </row>
    <row r="15" spans="1:13" ht="12" x14ac:dyDescent="0.15">
      <c r="A15" s="8" t="s">
        <v>8</v>
      </c>
      <c r="B15" s="4"/>
      <c r="C15" s="9" t="s">
        <v>9</v>
      </c>
      <c r="D15" s="7"/>
      <c r="E15" s="9" t="s">
        <v>10</v>
      </c>
      <c r="F15" s="7"/>
      <c r="G15" s="9" t="s">
        <v>9</v>
      </c>
      <c r="H15" s="4"/>
      <c r="I15" s="9" t="s">
        <v>9</v>
      </c>
      <c r="J15" s="7"/>
      <c r="K15" s="9" t="s">
        <v>10</v>
      </c>
      <c r="L15" s="7"/>
      <c r="M15" s="9" t="s">
        <v>9</v>
      </c>
    </row>
    <row r="16" spans="1:13" ht="12" x14ac:dyDescent="0.15">
      <c r="A16" s="4"/>
      <c r="B16" s="4"/>
      <c r="C16" s="10"/>
      <c r="D16" s="10"/>
      <c r="E16" s="10"/>
      <c r="F16" s="4"/>
      <c r="G16" s="11"/>
      <c r="H16" s="4"/>
      <c r="I16" s="10"/>
      <c r="J16" s="10"/>
      <c r="K16" s="10"/>
      <c r="L16" s="4"/>
      <c r="M16" s="11"/>
    </row>
    <row r="17" spans="1:13" ht="14" customHeight="1" x14ac:dyDescent="0.15">
      <c r="A17" s="12" t="s">
        <v>11</v>
      </c>
      <c r="B17" s="4"/>
      <c r="C17" s="13">
        <f>C57</f>
        <v>156322530</v>
      </c>
      <c r="D17" s="13"/>
      <c r="E17" s="14">
        <v>1</v>
      </c>
      <c r="F17" s="4"/>
      <c r="G17" s="11">
        <f t="shared" ref="G17:G26" si="0">SUM(C17/C$38)</f>
        <v>2.3192068670190882E-2</v>
      </c>
      <c r="H17" s="4"/>
      <c r="I17" s="13">
        <v>100587449</v>
      </c>
      <c r="J17" s="10"/>
      <c r="K17" s="14">
        <v>2</v>
      </c>
      <c r="L17" s="4"/>
      <c r="M17" s="11">
        <f>I17/I$38</f>
        <v>3.3117743275470631E-2</v>
      </c>
    </row>
    <row r="18" spans="1:13" ht="14" customHeight="1" x14ac:dyDescent="0.15">
      <c r="A18" s="4" t="s">
        <v>12</v>
      </c>
      <c r="B18" s="4"/>
      <c r="C18" s="10">
        <f>C58</f>
        <v>112840728</v>
      </c>
      <c r="D18" s="10"/>
      <c r="E18" s="14">
        <v>2</v>
      </c>
      <c r="F18" s="4"/>
      <c r="G18" s="11">
        <f t="shared" si="0"/>
        <v>1.6741092359305668E-2</v>
      </c>
      <c r="H18" s="4"/>
      <c r="I18" s="13"/>
      <c r="J18" s="13"/>
      <c r="K18" s="14"/>
      <c r="L18" s="4"/>
      <c r="M18" s="11"/>
    </row>
    <row r="19" spans="1:13" ht="14" customHeight="1" x14ac:dyDescent="0.15">
      <c r="A19" s="12" t="s">
        <v>13</v>
      </c>
      <c r="B19" s="4"/>
      <c r="C19" s="10">
        <f>C59</f>
        <v>106594902</v>
      </c>
      <c r="D19" s="10"/>
      <c r="E19" s="14">
        <v>3</v>
      </c>
      <c r="F19" s="4"/>
      <c r="G19" s="11">
        <f t="shared" si="0"/>
        <v>1.5814459291800531E-2</v>
      </c>
      <c r="H19" s="4"/>
      <c r="I19" s="10">
        <v>157733450</v>
      </c>
      <c r="J19" s="10"/>
      <c r="K19" s="14">
        <v>1</v>
      </c>
      <c r="L19" s="4"/>
      <c r="M19" s="11">
        <f>I19/I$38</f>
        <v>5.1932681015245584E-2</v>
      </c>
    </row>
    <row r="20" spans="1:13" ht="14" customHeight="1" x14ac:dyDescent="0.15">
      <c r="A20" s="12" t="s">
        <v>14</v>
      </c>
      <c r="B20" s="4"/>
      <c r="C20" s="15">
        <f>C68</f>
        <v>80229218</v>
      </c>
      <c r="D20" s="13"/>
      <c r="E20" s="14">
        <v>4</v>
      </c>
      <c r="F20" s="4"/>
      <c r="G20" s="11">
        <f t="shared" si="0"/>
        <v>1.1902836611022828E-2</v>
      </c>
      <c r="H20" s="4"/>
      <c r="I20" s="10"/>
      <c r="J20" s="10"/>
      <c r="K20" s="14"/>
      <c r="L20" s="4"/>
      <c r="M20" s="11"/>
    </row>
    <row r="21" spans="1:13" ht="14" customHeight="1" x14ac:dyDescent="0.15">
      <c r="A21" s="12" t="s">
        <v>15</v>
      </c>
      <c r="B21" s="4"/>
      <c r="C21" s="10">
        <f>C60</f>
        <v>68123480</v>
      </c>
      <c r="D21" s="10"/>
      <c r="E21" s="14">
        <v>5</v>
      </c>
      <c r="F21" s="4"/>
      <c r="G21" s="11">
        <f t="shared" si="0"/>
        <v>1.0106824820532108E-2</v>
      </c>
      <c r="H21" s="4"/>
      <c r="I21" s="10">
        <v>48082040</v>
      </c>
      <c r="J21" s="10"/>
      <c r="K21" s="14">
        <v>3</v>
      </c>
      <c r="L21" s="4"/>
      <c r="M21" s="11">
        <f>I21/I$38</f>
        <v>1.5830689342573048E-2</v>
      </c>
    </row>
    <row r="22" spans="1:13" ht="14" customHeight="1" x14ac:dyDescent="0.15">
      <c r="A22" s="12" t="s">
        <v>16</v>
      </c>
      <c r="B22" s="4"/>
      <c r="C22" s="10">
        <f>C69</f>
        <v>61550582</v>
      </c>
      <c r="D22" s="10"/>
      <c r="E22" s="14">
        <v>6</v>
      </c>
      <c r="F22" s="4"/>
      <c r="G22" s="11">
        <f t="shared" si="0"/>
        <v>9.1316672295043769E-3</v>
      </c>
      <c r="H22" s="4"/>
      <c r="I22" s="10"/>
      <c r="J22" s="10"/>
      <c r="K22" s="14"/>
      <c r="L22" s="4"/>
      <c r="M22" s="11"/>
    </row>
    <row r="23" spans="1:13" ht="14" customHeight="1" x14ac:dyDescent="0.15">
      <c r="A23" s="12" t="s">
        <v>17</v>
      </c>
      <c r="B23" s="4"/>
      <c r="C23" s="10">
        <f>C61</f>
        <v>43686637</v>
      </c>
      <c r="D23" s="10"/>
      <c r="E23" s="14">
        <v>7</v>
      </c>
      <c r="F23" s="4"/>
      <c r="G23" s="11">
        <f t="shared" si="0"/>
        <v>6.4813657076411299E-3</v>
      </c>
      <c r="H23" s="4"/>
      <c r="I23" s="10"/>
      <c r="J23" s="10"/>
      <c r="K23" s="14"/>
      <c r="L23" s="4"/>
      <c r="M23" s="11"/>
    </row>
    <row r="24" spans="1:13" s="18" customFormat="1" ht="14" customHeight="1" x14ac:dyDescent="0.15">
      <c r="A24" s="12" t="s">
        <v>18</v>
      </c>
      <c r="B24" s="16"/>
      <c r="C24" s="17">
        <f>C70</f>
        <v>35174800</v>
      </c>
      <c r="D24" s="17"/>
      <c r="E24" s="14">
        <v>8</v>
      </c>
      <c r="F24" s="16"/>
      <c r="G24" s="11">
        <f t="shared" si="0"/>
        <v>5.2185464056923219E-3</v>
      </c>
      <c r="H24" s="16"/>
      <c r="I24" s="17"/>
      <c r="J24" s="17"/>
      <c r="K24" s="14"/>
      <c r="L24" s="16"/>
      <c r="M24" s="11"/>
    </row>
    <row r="25" spans="1:13" ht="14" customHeight="1" x14ac:dyDescent="0.15">
      <c r="A25" s="12" t="s">
        <v>19</v>
      </c>
      <c r="B25" s="4"/>
      <c r="C25" s="10">
        <f>C62</f>
        <v>32374472</v>
      </c>
      <c r="D25" s="10"/>
      <c r="E25" s="14">
        <v>9</v>
      </c>
      <c r="F25" s="4"/>
      <c r="G25" s="11">
        <f t="shared" si="0"/>
        <v>4.803088702474121E-3</v>
      </c>
      <c r="H25" s="4"/>
      <c r="I25" s="13"/>
      <c r="J25" s="10"/>
      <c r="K25" s="14"/>
      <c r="L25" s="4"/>
      <c r="M25" s="11"/>
    </row>
    <row r="26" spans="1:13" s="18" customFormat="1" ht="14" customHeight="1" x14ac:dyDescent="0.3">
      <c r="A26" s="12" t="s">
        <v>20</v>
      </c>
      <c r="B26" s="16"/>
      <c r="C26" s="19">
        <f>C63</f>
        <v>28910120</v>
      </c>
      <c r="D26" s="17"/>
      <c r="E26" s="14">
        <v>10</v>
      </c>
      <c r="F26" s="16"/>
      <c r="G26" s="20">
        <f t="shared" si="0"/>
        <v>4.289116151737429E-3</v>
      </c>
      <c r="H26" s="16"/>
      <c r="I26" s="17"/>
      <c r="J26" s="17"/>
      <c r="K26" s="14"/>
      <c r="L26" s="16"/>
      <c r="M26" s="11"/>
    </row>
    <row r="27" spans="1:13" ht="14" customHeight="1" x14ac:dyDescent="0.15">
      <c r="A27" s="12" t="s">
        <v>21</v>
      </c>
      <c r="B27" s="4"/>
      <c r="C27" s="10"/>
      <c r="D27" s="10"/>
      <c r="E27" s="14"/>
      <c r="F27" s="4"/>
      <c r="G27" s="11"/>
      <c r="H27" s="4"/>
      <c r="I27" s="10">
        <v>23253974</v>
      </c>
      <c r="J27" s="10"/>
      <c r="K27" s="14">
        <v>4</v>
      </c>
      <c r="L27" s="4"/>
      <c r="M27" s="11">
        <f t="shared" ref="M27:M33" si="1">I27/I$38</f>
        <v>7.656215051904427E-3</v>
      </c>
    </row>
    <row r="28" spans="1:13" ht="14" customHeight="1" x14ac:dyDescent="0.15">
      <c r="A28" s="12" t="s">
        <v>22</v>
      </c>
      <c r="B28" s="4"/>
      <c r="C28" s="10"/>
      <c r="D28" s="10"/>
      <c r="E28" s="14"/>
      <c r="F28" s="4"/>
      <c r="G28" s="11"/>
      <c r="H28" s="4"/>
      <c r="I28" s="10">
        <v>19500000</v>
      </c>
      <c r="J28" s="10"/>
      <c r="K28" s="14">
        <v>5</v>
      </c>
      <c r="L28" s="4"/>
      <c r="M28" s="11">
        <f t="shared" si="1"/>
        <v>6.4202442779086417E-3</v>
      </c>
    </row>
    <row r="29" spans="1:13" ht="14" customHeight="1" x14ac:dyDescent="0.15">
      <c r="A29" s="12" t="s">
        <v>23</v>
      </c>
      <c r="B29" s="4"/>
      <c r="C29" s="10"/>
      <c r="D29" s="10"/>
      <c r="E29" s="14"/>
      <c r="F29" s="4"/>
      <c r="G29" s="11"/>
      <c r="H29" s="4"/>
      <c r="I29" s="10">
        <v>18058140</v>
      </c>
      <c r="J29" s="10"/>
      <c r="K29" s="14">
        <v>6</v>
      </c>
      <c r="L29" s="4"/>
      <c r="M29" s="11">
        <f t="shared" si="1"/>
        <v>5.9455215387011874E-3</v>
      </c>
    </row>
    <row r="30" spans="1:13" ht="14" customHeight="1" x14ac:dyDescent="0.15">
      <c r="A30" s="12" t="s">
        <v>24</v>
      </c>
      <c r="B30" s="4"/>
      <c r="C30" s="10"/>
      <c r="D30" s="10"/>
      <c r="E30" s="14"/>
      <c r="F30" s="4"/>
      <c r="G30" s="21"/>
      <c r="H30" s="4"/>
      <c r="I30" s="10">
        <v>12459300</v>
      </c>
      <c r="J30" s="10"/>
      <c r="K30" s="14">
        <v>7</v>
      </c>
      <c r="L30" s="4"/>
      <c r="M30" s="11">
        <f t="shared" si="1"/>
        <v>4.1021410016280581E-3</v>
      </c>
    </row>
    <row r="31" spans="1:13" ht="15.75" customHeight="1" x14ac:dyDescent="0.15">
      <c r="A31" s="12" t="s">
        <v>25</v>
      </c>
      <c r="B31" s="4"/>
      <c r="C31" s="10"/>
      <c r="D31" s="10"/>
      <c r="E31" s="14"/>
      <c r="F31" s="4"/>
      <c r="G31" s="21"/>
      <c r="H31" s="4"/>
      <c r="I31" s="10">
        <v>11301240</v>
      </c>
      <c r="J31" s="10"/>
      <c r="K31" s="14">
        <v>8</v>
      </c>
      <c r="L31" s="4"/>
      <c r="M31" s="11">
        <f t="shared" si="1"/>
        <v>3.720857509911398E-3</v>
      </c>
    </row>
    <row r="32" spans="1:13" ht="15.75" customHeight="1" x14ac:dyDescent="0.15">
      <c r="A32" s="12" t="s">
        <v>26</v>
      </c>
      <c r="B32" s="4"/>
      <c r="C32" s="10"/>
      <c r="D32" s="10"/>
      <c r="E32" s="14"/>
      <c r="F32" s="4"/>
      <c r="G32" s="21"/>
      <c r="H32" s="4"/>
      <c r="I32" s="10">
        <v>9875405</v>
      </c>
      <c r="J32" s="10"/>
      <c r="K32" s="14">
        <v>9</v>
      </c>
      <c r="L32" s="4"/>
      <c r="M32" s="11">
        <f t="shared" si="1"/>
        <v>3.2514108945271994E-3</v>
      </c>
    </row>
    <row r="33" spans="1:13" ht="15.75" customHeight="1" x14ac:dyDescent="0.3">
      <c r="A33" s="12" t="s">
        <v>27</v>
      </c>
      <c r="B33" s="4"/>
      <c r="C33" s="10"/>
      <c r="D33" s="10"/>
      <c r="E33" s="14"/>
      <c r="F33" s="4"/>
      <c r="G33" s="11"/>
      <c r="H33" s="4"/>
      <c r="I33" s="22">
        <v>5878860</v>
      </c>
      <c r="J33" s="10"/>
      <c r="K33" s="14">
        <v>10</v>
      </c>
      <c r="L33" s="4"/>
      <c r="M33" s="23">
        <f t="shared" si="1"/>
        <v>1.9355752449038972E-3</v>
      </c>
    </row>
    <row r="34" spans="1:13" ht="14" customHeight="1" x14ac:dyDescent="0.15">
      <c r="A34" s="4"/>
      <c r="B34" s="4"/>
      <c r="C34" s="10"/>
      <c r="D34" s="10"/>
      <c r="E34" s="10"/>
      <c r="F34" s="4"/>
      <c r="G34" s="11"/>
      <c r="H34" s="4"/>
      <c r="I34" s="10"/>
      <c r="J34" s="10"/>
      <c r="K34" s="10"/>
      <c r="L34" s="4"/>
      <c r="M34" s="11"/>
    </row>
    <row r="35" spans="1:13" ht="14" customHeight="1" x14ac:dyDescent="0.3">
      <c r="A35" s="4" t="s">
        <v>28</v>
      </c>
      <c r="B35" s="4"/>
      <c r="C35" s="24">
        <f>SUM(C17:C34)</f>
        <v>725807469</v>
      </c>
      <c r="D35" s="10"/>
      <c r="E35" s="10"/>
      <c r="F35" s="4"/>
      <c r="G35" s="25">
        <f>SUM(G17:G34)</f>
        <v>0.10768106594990137</v>
      </c>
      <c r="H35" s="4"/>
      <c r="I35" s="24">
        <f>SUM(I17:I34)</f>
        <v>406729858</v>
      </c>
      <c r="J35" s="10"/>
      <c r="K35" s="10"/>
      <c r="L35" s="4"/>
      <c r="M35" s="25">
        <f>SUM(M17:M34)</f>
        <v>0.13391307915277409</v>
      </c>
    </row>
    <row r="36" spans="1:13" ht="14" customHeight="1" x14ac:dyDescent="0.15">
      <c r="A36" s="4"/>
      <c r="B36" s="4"/>
      <c r="C36" s="10"/>
      <c r="D36" s="10"/>
      <c r="E36" s="10"/>
      <c r="F36" s="4"/>
      <c r="G36" s="4"/>
      <c r="H36" s="4"/>
      <c r="I36" s="10"/>
      <c r="J36" s="10"/>
      <c r="K36" s="10"/>
      <c r="L36" s="4"/>
      <c r="M36" s="4"/>
    </row>
    <row r="37" spans="1:13" ht="14" customHeight="1" x14ac:dyDescent="0.15">
      <c r="A37" s="4" t="s">
        <v>29</v>
      </c>
      <c r="B37" s="4"/>
      <c r="C37" s="10"/>
      <c r="D37" s="10"/>
      <c r="E37" s="10"/>
      <c r="F37" s="4"/>
      <c r="G37" s="4"/>
      <c r="H37" s="4"/>
      <c r="I37" s="10"/>
      <c r="J37" s="10"/>
      <c r="K37" s="10"/>
      <c r="L37" s="4"/>
      <c r="M37" s="4"/>
    </row>
    <row r="38" spans="1:13" s="18" customFormat="1" ht="14" customHeight="1" x14ac:dyDescent="0.3">
      <c r="A38" s="26" t="s">
        <v>30</v>
      </c>
      <c r="B38" s="16"/>
      <c r="C38" s="24">
        <f>'[1]Debt Margin Info'!G10</f>
        <v>6740344392</v>
      </c>
      <c r="D38" s="17"/>
      <c r="E38" s="17"/>
      <c r="F38" s="16"/>
      <c r="G38" s="16"/>
      <c r="H38" s="16"/>
      <c r="I38" s="24">
        <v>3037267611</v>
      </c>
      <c r="J38" s="17"/>
      <c r="K38" s="17"/>
      <c r="L38" s="16"/>
      <c r="M38" s="16"/>
    </row>
    <row r="39" spans="1:13" ht="14" customHeight="1" x14ac:dyDescent="0.15">
      <c r="A39" s="27"/>
      <c r="B39" s="27"/>
      <c r="C39" s="28"/>
      <c r="D39" s="28"/>
      <c r="E39" s="28"/>
      <c r="F39" s="27"/>
      <c r="G39" s="27"/>
      <c r="H39" s="27"/>
      <c r="I39" s="28"/>
      <c r="J39" s="28"/>
      <c r="K39" s="28"/>
      <c r="L39" s="27"/>
      <c r="M39" s="27"/>
    </row>
    <row r="40" spans="1:13" ht="14" customHeight="1" x14ac:dyDescent="0.15">
      <c r="A40" s="2" t="s">
        <v>31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</row>
    <row r="44" spans="1:13" ht="14" customHeight="1" x14ac:dyDescent="0.15">
      <c r="A44" s="2" t="s">
        <v>32</v>
      </c>
    </row>
    <row r="45" spans="1:13" ht="14" customHeight="1" x14ac:dyDescent="0.15">
      <c r="A45" s="2" t="s">
        <v>33</v>
      </c>
      <c r="C45" s="29">
        <v>12465260</v>
      </c>
    </row>
    <row r="46" spans="1:13" ht="14" customHeight="1" x14ac:dyDescent="0.15">
      <c r="A46" s="2" t="s">
        <v>34</v>
      </c>
      <c r="C46" s="29">
        <v>11732490</v>
      </c>
    </row>
    <row r="47" spans="1:13" ht="14" customHeight="1" x14ac:dyDescent="0.15">
      <c r="A47" s="2" t="s">
        <v>35</v>
      </c>
      <c r="C47" s="29">
        <v>7513230</v>
      </c>
    </row>
    <row r="48" spans="1:13" ht="14" customHeight="1" x14ac:dyDescent="0.15">
      <c r="A48" s="2" t="s">
        <v>36</v>
      </c>
      <c r="C48" s="29">
        <v>7423140</v>
      </c>
    </row>
    <row r="49" spans="1:3" ht="14" customHeight="1" x14ac:dyDescent="0.15">
      <c r="A49" s="2" t="s">
        <v>37</v>
      </c>
      <c r="C49" s="29">
        <v>4598940</v>
      </c>
    </row>
    <row r="50" spans="1:3" ht="14" customHeight="1" x14ac:dyDescent="0.15">
      <c r="A50" s="2" t="s">
        <v>38</v>
      </c>
      <c r="C50" s="29">
        <v>4122500</v>
      </c>
    </row>
    <row r="51" spans="1:3" ht="14" customHeight="1" x14ac:dyDescent="0.15">
      <c r="A51" s="2" t="s">
        <v>39</v>
      </c>
      <c r="C51" s="29">
        <v>3900000</v>
      </c>
    </row>
    <row r="52" spans="1:3" ht="14" customHeight="1" x14ac:dyDescent="0.15">
      <c r="A52" s="2" t="s">
        <v>40</v>
      </c>
      <c r="C52" s="29">
        <v>3825951</v>
      </c>
    </row>
    <row r="53" spans="1:3" ht="14" customHeight="1" x14ac:dyDescent="0.15">
      <c r="A53" s="2" t="s">
        <v>41</v>
      </c>
      <c r="C53" s="29">
        <v>3517170</v>
      </c>
    </row>
    <row r="54" spans="1:3" ht="14" customHeight="1" x14ac:dyDescent="0.15">
      <c r="A54" s="2" t="s">
        <v>42</v>
      </c>
      <c r="C54" s="29">
        <v>3428260</v>
      </c>
    </row>
    <row r="56" spans="1:3" ht="14" customHeight="1" x14ac:dyDescent="0.15">
      <c r="A56" s="2" t="s">
        <v>43</v>
      </c>
    </row>
    <row r="57" spans="1:3" ht="14" customHeight="1" x14ac:dyDescent="0.15">
      <c r="A57" s="2" t="s">
        <v>44</v>
      </c>
      <c r="C57" s="30">
        <f>85045970+71276560</f>
        <v>156322530</v>
      </c>
    </row>
    <row r="58" spans="1:3" ht="14" customHeight="1" x14ac:dyDescent="0.15">
      <c r="A58" s="2" t="s">
        <v>45</v>
      </c>
      <c r="C58" s="30">
        <v>112840728</v>
      </c>
    </row>
    <row r="59" spans="1:3" ht="14" customHeight="1" x14ac:dyDescent="0.15">
      <c r="A59" s="2" t="s">
        <v>46</v>
      </c>
      <c r="C59" s="30">
        <v>106594902</v>
      </c>
    </row>
    <row r="60" spans="1:3" ht="14" customHeight="1" x14ac:dyDescent="0.15">
      <c r="A60" s="2" t="s">
        <v>47</v>
      </c>
      <c r="C60" s="30">
        <v>68123480</v>
      </c>
    </row>
    <row r="61" spans="1:3" ht="14" customHeight="1" x14ac:dyDescent="0.15">
      <c r="A61" s="2" t="s">
        <v>48</v>
      </c>
      <c r="C61" s="30">
        <v>43686637</v>
      </c>
    </row>
    <row r="62" spans="1:3" ht="14" customHeight="1" x14ac:dyDescent="0.15">
      <c r="A62" s="2" t="s">
        <v>49</v>
      </c>
      <c r="C62" s="30">
        <v>32374472</v>
      </c>
    </row>
    <row r="63" spans="1:3" ht="14" customHeight="1" x14ac:dyDescent="0.15">
      <c r="A63" s="2" t="s">
        <v>50</v>
      </c>
      <c r="C63" s="30">
        <v>28910120</v>
      </c>
    </row>
    <row r="64" spans="1:3" ht="14" customHeight="1" x14ac:dyDescent="0.15">
      <c r="A64" s="2" t="s">
        <v>51</v>
      </c>
      <c r="C64" s="29">
        <v>24472820</v>
      </c>
    </row>
    <row r="65" spans="1:3" ht="14" customHeight="1" x14ac:dyDescent="0.15">
      <c r="A65" s="2" t="s">
        <v>52</v>
      </c>
      <c r="C65" s="29">
        <v>22000000</v>
      </c>
    </row>
    <row r="67" spans="1:3" ht="14" customHeight="1" x14ac:dyDescent="0.15">
      <c r="A67" s="2" t="s">
        <v>53</v>
      </c>
    </row>
    <row r="68" spans="1:3" ht="14" customHeight="1" x14ac:dyDescent="0.15">
      <c r="A68" s="2" t="s">
        <v>14</v>
      </c>
      <c r="C68" s="30">
        <v>80229218</v>
      </c>
    </row>
    <row r="69" spans="1:3" ht="14" customHeight="1" x14ac:dyDescent="0.15">
      <c r="A69" s="2" t="s">
        <v>54</v>
      </c>
      <c r="C69" s="30">
        <v>61550582</v>
      </c>
    </row>
    <row r="70" spans="1:3" ht="14" customHeight="1" x14ac:dyDescent="0.15">
      <c r="A70" s="2" t="s">
        <v>55</v>
      </c>
      <c r="C70" s="30">
        <v>35174800</v>
      </c>
    </row>
    <row r="71" spans="1:3" ht="14" customHeight="1" x14ac:dyDescent="0.15">
      <c r="A71" s="2" t="s">
        <v>56</v>
      </c>
      <c r="C71" s="29">
        <v>28807900</v>
      </c>
    </row>
    <row r="72" spans="1:3" ht="14" customHeight="1" x14ac:dyDescent="0.15">
      <c r="A72" s="2" t="s">
        <v>57</v>
      </c>
      <c r="C72" s="29">
        <v>19485685</v>
      </c>
    </row>
    <row r="73" spans="1:3" ht="14" customHeight="1" x14ac:dyDescent="0.15">
      <c r="A73" s="2" t="s">
        <v>58</v>
      </c>
      <c r="C73" s="29">
        <v>17404847</v>
      </c>
    </row>
    <row r="74" spans="1:3" ht="14" customHeight="1" x14ac:dyDescent="0.15">
      <c r="A74" s="2" t="s">
        <v>59</v>
      </c>
      <c r="C74" s="29">
        <v>15510400</v>
      </c>
    </row>
    <row r="75" spans="1:3" ht="14" customHeight="1" x14ac:dyDescent="0.15">
      <c r="A75" s="2" t="s">
        <v>60</v>
      </c>
      <c r="C75" s="29">
        <v>14500000</v>
      </c>
    </row>
    <row r="76" spans="1:3" ht="14" customHeight="1" x14ac:dyDescent="0.15">
      <c r="A76" s="2" t="s">
        <v>61</v>
      </c>
      <c r="C76" s="29">
        <v>13679226</v>
      </c>
    </row>
    <row r="77" spans="1:3" ht="14" customHeight="1" x14ac:dyDescent="0.15">
      <c r="A77" s="2" t="s">
        <v>62</v>
      </c>
      <c r="C77" s="29">
        <v>12942800</v>
      </c>
    </row>
  </sheetData>
  <mergeCells count="5">
    <mergeCell ref="A1:M1"/>
    <mergeCell ref="A3:M3"/>
    <mergeCell ref="A5:M5"/>
    <mergeCell ref="C9:G9"/>
    <mergeCell ref="I9:M9"/>
  </mergeCells>
  <pageMargins left="0.75" right="0.75" top="0.5" bottom="1" header="0.5" footer="0.5"/>
  <pageSetup firstPageNumber="101" orientation="portrait" useFirstPageNumber="1" r:id="rId1"/>
  <headerFooter differentOddEven="1" alignWithMargins="0">
    <oddHeader>&amp;R&amp;"Verdana,Bold"&amp;9TABLE 9</oddHeader>
    <oddFooter>&amp;C&amp;"Verdana,Bold"&amp;9&amp;P</oddFooter>
    <evenHeader>&amp;R&amp;"Verdana,Bold"&amp;9TABLE 9</evenHeader>
    <evenFooter>&amp;C&amp;"Verdana,Bold"&amp;9&amp;P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Prop Tax Payers</vt:lpstr>
      <vt:lpstr>'Prop Tax Payers'!Print_Area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S</dc:creator>
  <cp:lastModifiedBy>D S</cp:lastModifiedBy>
  <dcterms:created xsi:type="dcterms:W3CDTF">2026-02-15T21:00:56Z</dcterms:created>
  <dcterms:modified xsi:type="dcterms:W3CDTF">2026-02-15T21:01:31Z</dcterms:modified>
</cp:coreProperties>
</file>
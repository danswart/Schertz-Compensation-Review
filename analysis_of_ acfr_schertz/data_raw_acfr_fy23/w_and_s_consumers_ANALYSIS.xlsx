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ACFR FY23/"/>
    </mc:Choice>
  </mc:AlternateContent>
  <xr:revisionPtr revIDLastSave="0" documentId="8_{1075CDDD-CA95-6A4F-AAE9-56F31DC9044D}" xr6:coauthVersionLast="47" xr6:coauthVersionMax="47" xr10:uidLastSave="{00000000-0000-0000-0000-000000000000}"/>
  <bookViews>
    <workbookView xWindow="7260" yWindow="3520" windowWidth="27240" windowHeight="16440" xr2:uid="{3FD026CA-B862-5646-A957-F0C1957A90FB}"/>
  </bookViews>
  <sheets>
    <sheet name="W&amp;S Concumers" sheetId="1" r:id="rId1"/>
  </sheets>
  <externalReferences>
    <externalReference r:id="rId2"/>
  </externalReferences>
  <definedNames>
    <definedName name="_xlnm._FilterDatabase" localSheetId="0" hidden="1">'W&amp;S Concumers'!$A$11:$M$29</definedName>
    <definedName name="_xlnm.Print_Area" localSheetId="0">'W&amp;S Concumers'!$A$1:$M$33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8" i="1" l="1"/>
  <c r="AC38" i="1"/>
  <c r="AC37" i="1"/>
  <c r="AC36" i="1"/>
  <c r="C33" i="1"/>
  <c r="T31" i="1"/>
  <c r="I31" i="1"/>
  <c r="AJ30" i="1"/>
  <c r="AC30" i="1"/>
  <c r="AF29" i="1"/>
  <c r="AC29" i="1"/>
  <c r="T29" i="1"/>
  <c r="AJ28" i="1"/>
  <c r="AC28" i="1"/>
  <c r="M27" i="1"/>
  <c r="M26" i="1"/>
  <c r="M25" i="1"/>
  <c r="AJ24" i="1"/>
  <c r="AC24" i="1"/>
  <c r="M24" i="1"/>
  <c r="AJ23" i="1"/>
  <c r="AC23" i="1"/>
  <c r="M23" i="1"/>
  <c r="AJ22" i="1"/>
  <c r="AC22" i="1"/>
  <c r="M22" i="1"/>
  <c r="AJ21" i="1"/>
  <c r="AC21" i="1"/>
  <c r="M21" i="1"/>
  <c r="AJ20" i="1"/>
  <c r="AJ37" i="1" s="1"/>
  <c r="AC20" i="1"/>
  <c r="M20" i="1"/>
  <c r="AJ19" i="1"/>
  <c r="AJ36" i="1" s="1"/>
  <c r="AC19" i="1"/>
  <c r="M19" i="1"/>
  <c r="C19" i="1"/>
  <c r="G19" i="1" s="1"/>
  <c r="AJ18" i="1"/>
  <c r="AJ29" i="1" s="1"/>
  <c r="AC18" i="1"/>
  <c r="AC35" i="1" s="1"/>
  <c r="M18" i="1"/>
  <c r="M31" i="1" s="1"/>
  <c r="C18" i="1"/>
  <c r="G18" i="1" s="1"/>
  <c r="AJ17" i="1"/>
  <c r="AJ35" i="1" s="1"/>
  <c r="AC17" i="1"/>
  <c r="AC34" i="1" s="1"/>
  <c r="C17" i="1"/>
  <c r="G17" i="1" s="1"/>
  <c r="AJ16" i="1"/>
  <c r="AJ34" i="1" s="1"/>
  <c r="AC16" i="1"/>
  <c r="AC33" i="1" s="1"/>
  <c r="G16" i="1"/>
  <c r="C16" i="1"/>
  <c r="AJ15" i="1"/>
  <c r="AJ33" i="1" s="1"/>
  <c r="AC15" i="1"/>
  <c r="AC32" i="1" s="1"/>
  <c r="G15" i="1"/>
  <c r="C15" i="1"/>
  <c r="AJ14" i="1"/>
  <c r="AJ32" i="1" s="1"/>
  <c r="AC14" i="1"/>
  <c r="AC31" i="1" s="1"/>
  <c r="G14" i="1"/>
  <c r="C14" i="1"/>
  <c r="AJ13" i="1"/>
  <c r="AJ31" i="1" s="1"/>
  <c r="AC13" i="1"/>
  <c r="C13" i="1"/>
  <c r="AJ12" i="1"/>
  <c r="AC12" i="1"/>
  <c r="C12" i="1"/>
  <c r="G12" i="1" s="1"/>
  <c r="AJ11" i="1"/>
  <c r="AC11" i="1"/>
  <c r="T11" i="1"/>
  <c r="AJ10" i="1"/>
  <c r="AC10" i="1"/>
  <c r="G13" i="1" l="1"/>
  <c r="G31" i="1" s="1"/>
  <c r="C31" i="1"/>
</calcChain>
</file>

<file path=xl/sharedStrings.xml><?xml version="1.0" encoding="utf-8"?>
<sst xmlns="http://schemas.openxmlformats.org/spreadsheetml/2006/main" count="110" uniqueCount="50">
  <si>
    <t>CITY OF SCHERTZ, TEXAS</t>
  </si>
  <si>
    <t>PRINCIPAL WATER AND SEWER CONSUMERS</t>
  </si>
  <si>
    <t>LAST TEN FISCAL YEARS</t>
  </si>
  <si>
    <t>TAXPAYERS</t>
  </si>
  <si>
    <t>Total
Water
Consumption
(In Gallons)</t>
  </si>
  <si>
    <t>Rank</t>
  </si>
  <si>
    <t>Percentage of
Total City
Water
Consumption</t>
  </si>
  <si>
    <t>City of Selma</t>
  </si>
  <si>
    <t>SYSCO</t>
  </si>
  <si>
    <t>Lions Fut Ball Club</t>
  </si>
  <si>
    <t>Scenic Hills Lawn Care</t>
  </si>
  <si>
    <t>Caterpillar</t>
  </si>
  <si>
    <t>Sysco</t>
  </si>
  <si>
    <t>City of Cibolo</t>
  </si>
  <si>
    <t>WHC Schertz Apts, LLC</t>
  </si>
  <si>
    <t>Sycamore Creek Apartments</t>
  </si>
  <si>
    <t>Beck Readymix Concrete</t>
  </si>
  <si>
    <t>Waterford Ridge Apartments</t>
  </si>
  <si>
    <t>Pecan Grove TXLLC</t>
  </si>
  <si>
    <t>Ranger Excavating</t>
  </si>
  <si>
    <t>Crossvine Master Community</t>
  </si>
  <si>
    <t>Beck Readymix</t>
  </si>
  <si>
    <t>IPT San Antonio Logistics</t>
  </si>
  <si>
    <t>Pecan Grove</t>
  </si>
  <si>
    <t>Ray D. Corbett Jr High School</t>
  </si>
  <si>
    <t>Big Time Management</t>
  </si>
  <si>
    <t>Manco Structures</t>
  </si>
  <si>
    <t>Comal ISD School</t>
  </si>
  <si>
    <t>Comal ISD</t>
  </si>
  <si>
    <t>Sebastian Apartments</t>
  </si>
  <si>
    <t>Pecan Grove TxLLC</t>
  </si>
  <si>
    <t>APG Texas 1LP</t>
  </si>
  <si>
    <t>Legacy Oaks Apartments</t>
  </si>
  <si>
    <t>Val Verde</t>
  </si>
  <si>
    <t>Homestead Residential Master</t>
  </si>
  <si>
    <t>City of Schertz (Soccor Field)</t>
  </si>
  <si>
    <t>Republic Beverage Company</t>
  </si>
  <si>
    <t>YMCA/Splash Pad</t>
  </si>
  <si>
    <t>Caterpillar Inc</t>
  </si>
  <si>
    <t>DDC Ashton, LTD</t>
  </si>
  <si>
    <t>City of Schertz(Soccor Field)</t>
  </si>
  <si>
    <t>Schertz 1518</t>
  </si>
  <si>
    <t xml:space="preserve">Colgate Inc. </t>
  </si>
  <si>
    <t>Silver Tree Nursing Rehab.</t>
  </si>
  <si>
    <t>Wal-Mart Supercenter</t>
  </si>
  <si>
    <t>Big Time Management Properties</t>
  </si>
  <si>
    <t>City of Schertz (Ball Park)</t>
  </si>
  <si>
    <t>TOTAL</t>
  </si>
  <si>
    <t>Total City Water Consumption</t>
  </si>
  <si>
    <t>*Source: Schertz Utility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</si>
</sst>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"/>
    <numFmt numFmtId="165" formatCode="_(* #,##0_);_(* \(#,##0\);_(* &quot;-&quot;??_);_(@_)"/>
    <numFmt numFmtId="166" formatCode="0_);\(0\)"/>
  </numFmts>
  <fonts count="6" x14ac:knownFonts="1">
    <font>
      <sz val="11"/>
      <name val="Times New Roman"/>
      <family val="1"/>
    </font>
    <font>
      <b/>
      <sz val="9"/>
      <name val="Verdana"/>
      <family val="2"/>
    </font>
    <font>
      <sz val="9"/>
      <name val="Verdana"/>
      <family val="2"/>
    </font>
    <font>
      <sz val="10"/>
      <name val="Arial"/>
      <family val="2"/>
    </font>
    <font>
      <sz val="8"/>
      <name val="Verdana"/>
      <family val="2"/>
    </font>
    <font>
      <u/>
      <sz val="9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3" fontId="3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1" xfId="1" applyFont="1" applyBorder="1" applyAlignment="1">
      <alignment horizontal="center"/>
    </xf>
    <xf numFmtId="164" fontId="4" fillId="0" borderId="0" xfId="1" applyNumberFormat="1" applyFont="1" applyAlignment="1">
      <alignment horizontal="center"/>
    </xf>
    <xf numFmtId="0" fontId="2" fillId="0" borderId="0" xfId="1" applyFont="1" applyAlignment="1">
      <alignment horizontal="centerContinuous"/>
    </xf>
    <xf numFmtId="0" fontId="2" fillId="0" borderId="0" xfId="1" applyFont="1" applyAlignment="1">
      <alignment horizontal="center"/>
    </xf>
    <xf numFmtId="0" fontId="3" fillId="0" borderId="0" xfId="1" applyAlignment="1">
      <alignment horizontal="center"/>
    </xf>
    <xf numFmtId="0" fontId="4" fillId="0" borderId="1" xfId="1" applyFont="1" applyBorder="1" applyAlignment="1">
      <alignment horizontal="center" wrapText="1"/>
    </xf>
    <xf numFmtId="164" fontId="4" fillId="0" borderId="1" xfId="1" applyNumberFormat="1" applyFont="1" applyBorder="1" applyAlignment="1">
      <alignment horizontal="center" wrapText="1"/>
    </xf>
    <xf numFmtId="164" fontId="4" fillId="0" borderId="0" xfId="1" applyNumberFormat="1" applyFont="1" applyAlignment="1">
      <alignment horizontal="center" wrapText="1"/>
    </xf>
    <xf numFmtId="0" fontId="2" fillId="0" borderId="0" xfId="1" applyFont="1"/>
    <xf numFmtId="165" fontId="2" fillId="0" borderId="0" xfId="2" applyNumberFormat="1" applyFont="1" applyFill="1"/>
    <xf numFmtId="166" fontId="2" fillId="0" borderId="0" xfId="1" applyNumberFormat="1" applyFont="1"/>
    <xf numFmtId="0" fontId="3" fillId="0" borderId="0" xfId="1"/>
    <xf numFmtId="37" fontId="2" fillId="0" borderId="0" xfId="1" applyNumberFormat="1" applyFont="1"/>
    <xf numFmtId="164" fontId="2" fillId="0" borderId="0" xfId="1" applyNumberFormat="1" applyFont="1"/>
    <xf numFmtId="10" fontId="2" fillId="0" borderId="0" xfId="1" applyNumberFormat="1" applyFont="1"/>
    <xf numFmtId="165" fontId="3" fillId="0" borderId="0" xfId="2" applyNumberFormat="1" applyFont="1"/>
    <xf numFmtId="0" fontId="1" fillId="0" borderId="0" xfId="1" applyFont="1"/>
    <xf numFmtId="165" fontId="5" fillId="0" borderId="0" xfId="1" applyNumberFormat="1" applyFont="1"/>
    <xf numFmtId="3" fontId="2" fillId="0" borderId="0" xfId="1" applyNumberFormat="1" applyFont="1" applyAlignment="1">
      <alignment horizontal="right" wrapText="1"/>
    </xf>
  </cellXfs>
  <cellStyles count="3">
    <cellStyle name="Comma 10" xfId="2" xr:uid="{C52B2182-B53B-AF41-8DFE-5716F8E40344}"/>
    <cellStyle name="Normal" xfId="0" builtinId="0"/>
    <cellStyle name="Normal 2 3" xfId="1" xr:uid="{9342BEC6-42CB-CC48-94B4-CFCF5025F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/R%20Working%20Directory/Schertz%20Compensation%20Review/ACFR%20FY23/FY24%20City%20of%20Schertz%20Stat%20Tables%20(2)-MODIFIED.xlsx" TargetMode="External"/><Relationship Id="rId1" Type="http://schemas.openxmlformats.org/officeDocument/2006/relationships/externalLinkPath" Target="FY24%20City%20of%20Schertz%20Stat%20Tables%20(2)-MODIFI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&amp;S Consumption"/>
      <sheetName val="W&amp;S Concumers"/>
      <sheetName val="Prop Tax Rates"/>
      <sheetName val="Prop Tax Payers"/>
      <sheetName val="Tax Levies &amp; Collections"/>
      <sheetName val="Taxable Assessed Values"/>
      <sheetName val="Debt Ratios by Type"/>
      <sheetName val="OS Bond Debt Ratios"/>
      <sheetName val="Gov Activity Debt "/>
      <sheetName val="Debt Margin Info"/>
      <sheetName val="Pledged Rev Coverage"/>
      <sheetName val="Demographics Last 10"/>
      <sheetName val="Top 10 Employers"/>
      <sheetName val="FTE by Function"/>
      <sheetName val="OP Indicators by Function"/>
      <sheetName val="Assets by Function"/>
    </sheetNames>
    <sheetDataSet>
      <sheetData sheetId="0">
        <row r="13">
          <cell r="C13">
            <v>2425608700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AFBE4-55FC-8240-A8B3-5A42E7DE205E}">
  <sheetPr>
    <tabColor rgb="FF92D050"/>
  </sheetPr>
  <dimension ref="A1:AJ64"/>
  <sheetViews>
    <sheetView tabSelected="1" zoomScaleNormal="100" zoomScaleSheetLayoutView="71" workbookViewId="0">
      <selection activeCell="G56" sqref="G56"/>
    </sheetView>
  </sheetViews>
  <sheetFormatPr baseColWidth="10" defaultColWidth="9.1640625" defaultRowHeight="12" x14ac:dyDescent="0.15"/>
  <cols>
    <col min="1" max="1" width="23.33203125" style="2" customWidth="1"/>
    <col min="2" max="2" width="4.6640625" style="2" customWidth="1"/>
    <col min="3" max="3" width="14.6640625" style="2" customWidth="1"/>
    <col min="4" max="4" width="0.83203125" style="2" customWidth="1"/>
    <col min="5" max="5" width="4.6640625" style="2" customWidth="1"/>
    <col min="6" max="6" width="0.83203125" style="2" customWidth="1"/>
    <col min="7" max="7" width="10.5" style="2" customWidth="1"/>
    <col min="8" max="8" width="0.83203125" style="2" customWidth="1"/>
    <col min="9" max="9" width="14.6640625" style="2" customWidth="1"/>
    <col min="10" max="10" width="0.83203125" style="2" customWidth="1"/>
    <col min="11" max="11" width="4.6640625" style="2" customWidth="1"/>
    <col min="12" max="12" width="0.83203125" style="2" customWidth="1"/>
    <col min="13" max="13" width="10.5" style="2" customWidth="1"/>
    <col min="14" max="19" width="9.1640625" style="2"/>
    <col min="20" max="20" width="14" style="2" bestFit="1" customWidth="1"/>
    <col min="21" max="25" width="9.1640625" style="2"/>
    <col min="26" max="26" width="9.5" style="2" bestFit="1" customWidth="1"/>
    <col min="27" max="27" width="25.83203125" style="2" bestFit="1" customWidth="1"/>
    <col min="28" max="28" width="10" style="2" bestFit="1" customWidth="1"/>
    <col min="29" max="29" width="15" style="2" bestFit="1" customWidth="1"/>
    <col min="30" max="30" width="15" style="2" customWidth="1"/>
    <col min="31" max="31" width="27.6640625" style="2" bestFit="1" customWidth="1"/>
    <col min="32" max="33" width="15" style="2" customWidth="1"/>
    <col min="34" max="34" width="25.6640625" style="2" bestFit="1" customWidth="1"/>
    <col min="35" max="35" width="7.6640625" style="2" bestFit="1" customWidth="1"/>
    <col min="36" max="36" width="12.1640625" style="2" bestFit="1" customWidth="1"/>
    <col min="37" max="16384" width="9.1640625" style="2"/>
  </cols>
  <sheetData>
    <row r="1" spans="1:36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36" x14ac:dyDescent="0.1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spans="1:36" x14ac:dyDescent="0.15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9" spans="1:36" ht="13" x14ac:dyDescent="0.15">
      <c r="A9" s="4"/>
      <c r="B9" s="4"/>
      <c r="C9" s="5">
        <v>2024</v>
      </c>
      <c r="D9" s="5"/>
      <c r="E9" s="5"/>
      <c r="F9" s="5"/>
      <c r="G9" s="5"/>
      <c r="H9" s="6"/>
      <c r="I9" s="5">
        <v>2015</v>
      </c>
      <c r="J9" s="5"/>
      <c r="K9" s="5"/>
      <c r="L9" s="5"/>
      <c r="M9" s="5"/>
      <c r="N9" s="7"/>
      <c r="O9" s="8"/>
      <c r="P9" s="8"/>
      <c r="Q9" s="8"/>
      <c r="R9" s="8"/>
      <c r="S9" s="8"/>
      <c r="T9" s="8">
        <v>2023</v>
      </c>
      <c r="U9" s="8"/>
      <c r="V9" s="8"/>
      <c r="W9" s="8"/>
      <c r="X9" s="8"/>
      <c r="Y9" s="8"/>
      <c r="Z9" s="9"/>
      <c r="AA9" s="9"/>
      <c r="AB9" s="9">
        <v>2021</v>
      </c>
      <c r="AC9" s="9"/>
      <c r="AD9" s="9"/>
      <c r="AE9" s="9"/>
      <c r="AF9" s="9"/>
      <c r="AG9" s="9"/>
      <c r="AH9" s="9">
        <v>2012</v>
      </c>
      <c r="AI9" s="9"/>
      <c r="AJ9" s="9"/>
    </row>
    <row r="10" spans="1:36" ht="63.75" customHeight="1" x14ac:dyDescent="0.15">
      <c r="A10" s="10" t="s">
        <v>3</v>
      </c>
      <c r="B10" s="4"/>
      <c r="C10" s="10" t="s">
        <v>4</v>
      </c>
      <c r="D10" s="4"/>
      <c r="E10" s="11" t="s">
        <v>5</v>
      </c>
      <c r="F10" s="4"/>
      <c r="G10" s="11" t="s">
        <v>6</v>
      </c>
      <c r="H10" s="12"/>
      <c r="I10" s="11" t="s">
        <v>4</v>
      </c>
      <c r="J10" s="12"/>
      <c r="K10" s="11" t="s">
        <v>5</v>
      </c>
      <c r="L10" s="4"/>
      <c r="M10" s="11" t="s">
        <v>6</v>
      </c>
      <c r="N10" s="8"/>
      <c r="O10" s="8"/>
      <c r="P10" s="8"/>
      <c r="Q10" s="8"/>
      <c r="R10" s="13"/>
      <c r="S10" s="13"/>
      <c r="T10" s="14"/>
      <c r="U10" s="13"/>
      <c r="V10" s="15">
        <v>1</v>
      </c>
      <c r="W10" s="13"/>
      <c r="X10" s="8"/>
      <c r="Y10" s="8"/>
      <c r="Z10" s="16"/>
      <c r="AA10" s="16" t="s">
        <v>7</v>
      </c>
      <c r="AB10" s="16">
        <v>34375405</v>
      </c>
      <c r="AC10" s="16">
        <f>AB10*100</f>
        <v>3437540500</v>
      </c>
      <c r="AD10" s="16"/>
      <c r="AE10" s="13" t="s">
        <v>8</v>
      </c>
      <c r="AF10" s="17">
        <v>23384500</v>
      </c>
      <c r="AG10" s="16"/>
      <c r="AH10" s="16" t="s">
        <v>9</v>
      </c>
      <c r="AI10" s="16">
        <v>251410</v>
      </c>
      <c r="AJ10" s="16">
        <f>AI10*100</f>
        <v>25141000</v>
      </c>
    </row>
    <row r="11" spans="1:36" ht="13" x14ac:dyDescent="0.15">
      <c r="A11" s="13"/>
      <c r="B11" s="13"/>
      <c r="C11" s="13"/>
      <c r="D11" s="13"/>
      <c r="E11" s="15"/>
      <c r="F11" s="13"/>
      <c r="G11" s="18"/>
      <c r="H11" s="18"/>
      <c r="I11" s="17"/>
      <c r="J11" s="18"/>
      <c r="K11" s="15"/>
      <c r="L11" s="13"/>
      <c r="M11" s="18"/>
      <c r="N11" s="13"/>
      <c r="O11" s="13"/>
      <c r="P11" s="13"/>
      <c r="Q11" s="13"/>
      <c r="R11" s="13" t="s">
        <v>10</v>
      </c>
      <c r="S11" s="13"/>
      <c r="T11" s="14">
        <f>8201400+7557400</f>
        <v>15758800</v>
      </c>
      <c r="U11" s="13"/>
      <c r="V11" s="15">
        <v>2</v>
      </c>
      <c r="W11" s="13"/>
      <c r="X11" s="13"/>
      <c r="Y11" s="13"/>
      <c r="Z11" s="16"/>
      <c r="AA11" s="16" t="s">
        <v>7</v>
      </c>
      <c r="AB11" s="16">
        <v>1064616</v>
      </c>
      <c r="AC11" s="16">
        <f t="shared" ref="AC11:AC24" si="0">AB11*100</f>
        <v>106461600</v>
      </c>
      <c r="AD11" s="16"/>
      <c r="AE11" s="13" t="s">
        <v>11</v>
      </c>
      <c r="AF11" s="17">
        <v>20741100</v>
      </c>
      <c r="AG11" s="16"/>
      <c r="AH11" s="16" t="s">
        <v>12</v>
      </c>
      <c r="AI11" s="16">
        <v>101023</v>
      </c>
      <c r="AJ11" s="16">
        <f t="shared" ref="AJ11:AJ24" si="1">AI11*100</f>
        <v>10102300</v>
      </c>
    </row>
    <row r="12" spans="1:36" ht="14" customHeight="1" x14ac:dyDescent="0.15">
      <c r="A12" s="13" t="s">
        <v>13</v>
      </c>
      <c r="B12" s="13"/>
      <c r="C12" s="14">
        <f>155968*100</f>
        <v>15596800</v>
      </c>
      <c r="D12" s="13"/>
      <c r="E12" s="15">
        <v>1</v>
      </c>
      <c r="F12" s="13"/>
      <c r="G12" s="19">
        <f>C12/$C$33</f>
        <v>6.4300560927242718E-3</v>
      </c>
      <c r="H12" s="18"/>
      <c r="I12" s="17"/>
      <c r="J12" s="18"/>
      <c r="K12" s="15"/>
      <c r="L12" s="13"/>
      <c r="M12" s="19"/>
      <c r="N12" s="13"/>
      <c r="O12" s="13"/>
      <c r="P12" s="13"/>
      <c r="Q12" s="13"/>
      <c r="R12" s="13" t="s">
        <v>14</v>
      </c>
      <c r="S12" s="13"/>
      <c r="T12" s="14">
        <v>14287200</v>
      </c>
      <c r="U12" s="13"/>
      <c r="V12" s="15">
        <v>3</v>
      </c>
      <c r="W12" s="13"/>
      <c r="X12" s="13"/>
      <c r="Y12" s="13"/>
      <c r="Z12" s="16"/>
      <c r="AA12" s="16" t="s">
        <v>11</v>
      </c>
      <c r="AB12" s="16">
        <v>172401</v>
      </c>
      <c r="AC12" s="16">
        <f t="shared" si="0"/>
        <v>17240100</v>
      </c>
      <c r="AD12" s="16"/>
      <c r="AE12" s="13" t="s">
        <v>15</v>
      </c>
      <c r="AF12" s="14">
        <v>10869700</v>
      </c>
      <c r="AG12" s="16"/>
      <c r="AH12" s="16" t="s">
        <v>16</v>
      </c>
      <c r="AI12" s="16">
        <v>85676</v>
      </c>
      <c r="AJ12" s="16">
        <f t="shared" si="1"/>
        <v>8567600</v>
      </c>
    </row>
    <row r="13" spans="1:36" ht="14" customHeight="1" x14ac:dyDescent="0.15">
      <c r="A13" s="13" t="s">
        <v>14</v>
      </c>
      <c r="B13" s="13"/>
      <c r="C13" s="14">
        <f>140166*100</f>
        <v>14016600</v>
      </c>
      <c r="D13" s="13"/>
      <c r="E13" s="15">
        <v>2</v>
      </c>
      <c r="F13" s="13"/>
      <c r="G13" s="19">
        <f>C14/$C$33</f>
        <v>4.6841850460051532E-3</v>
      </c>
      <c r="H13" s="18"/>
      <c r="I13" s="17"/>
      <c r="J13" s="18"/>
      <c r="K13" s="15"/>
      <c r="L13" s="13"/>
      <c r="N13" s="13"/>
      <c r="O13" s="13"/>
      <c r="P13" s="13"/>
      <c r="Q13" s="13"/>
      <c r="R13" s="13" t="s">
        <v>13</v>
      </c>
      <c r="S13" s="13"/>
      <c r="T13" s="14">
        <v>12822500</v>
      </c>
      <c r="U13" s="13"/>
      <c r="V13" s="15">
        <v>4</v>
      </c>
      <c r="W13" s="13"/>
      <c r="X13" s="13"/>
      <c r="Y13" s="13"/>
      <c r="Z13" s="16"/>
      <c r="AA13" s="16" t="s">
        <v>13</v>
      </c>
      <c r="AB13" s="16">
        <v>148932</v>
      </c>
      <c r="AC13" s="16">
        <f t="shared" si="0"/>
        <v>14893200</v>
      </c>
      <c r="AD13" s="16"/>
      <c r="AE13" s="13" t="s">
        <v>17</v>
      </c>
      <c r="AF13" s="17">
        <v>9537700</v>
      </c>
      <c r="AG13" s="16"/>
      <c r="AH13" s="16" t="s">
        <v>18</v>
      </c>
      <c r="AI13" s="16">
        <v>67662</v>
      </c>
      <c r="AJ13" s="16">
        <f t="shared" si="1"/>
        <v>6766200</v>
      </c>
    </row>
    <row r="14" spans="1:36" ht="14" customHeight="1" x14ac:dyDescent="0.15">
      <c r="A14" s="13" t="s">
        <v>19</v>
      </c>
      <c r="B14" s="13"/>
      <c r="C14" s="14">
        <f>113620*100</f>
        <v>11362000</v>
      </c>
      <c r="D14" s="13"/>
      <c r="E14" s="15">
        <v>3</v>
      </c>
      <c r="F14" s="13"/>
      <c r="G14" s="19">
        <f>C15/$C$33</f>
        <v>4.477597726294435E-3</v>
      </c>
      <c r="H14" s="18"/>
      <c r="I14" s="17"/>
      <c r="J14" s="18"/>
      <c r="K14" s="15"/>
      <c r="L14" s="13"/>
      <c r="N14" s="13"/>
      <c r="O14" s="13"/>
      <c r="P14" s="13"/>
      <c r="Q14" s="13"/>
      <c r="R14" s="13" t="s">
        <v>20</v>
      </c>
      <c r="S14" s="13"/>
      <c r="T14" s="14">
        <v>12051600</v>
      </c>
      <c r="U14" s="13"/>
      <c r="V14" s="15">
        <v>5</v>
      </c>
      <c r="W14" s="13"/>
      <c r="X14" s="13"/>
      <c r="Y14" s="13"/>
      <c r="Z14" s="16"/>
      <c r="AA14" s="16" t="s">
        <v>20</v>
      </c>
      <c r="AB14" s="16">
        <v>125061</v>
      </c>
      <c r="AC14" s="16">
        <f t="shared" si="0"/>
        <v>12506100</v>
      </c>
      <c r="AD14" s="16"/>
      <c r="AE14" s="13" t="s">
        <v>21</v>
      </c>
      <c r="AF14" s="17">
        <v>9366900</v>
      </c>
      <c r="AG14" s="16"/>
      <c r="AH14" s="16" t="s">
        <v>22</v>
      </c>
      <c r="AI14" s="16">
        <v>64474</v>
      </c>
      <c r="AJ14" s="16">
        <f t="shared" si="1"/>
        <v>6447400</v>
      </c>
    </row>
    <row r="15" spans="1:36" ht="13" x14ac:dyDescent="0.15">
      <c r="A15" s="13" t="s">
        <v>20</v>
      </c>
      <c r="B15" s="13"/>
      <c r="C15" s="14">
        <f>108609*100</f>
        <v>10860900</v>
      </c>
      <c r="D15" s="13"/>
      <c r="E15" s="15">
        <v>4</v>
      </c>
      <c r="F15" s="13"/>
      <c r="G15" s="19">
        <f>C16/$C$33</f>
        <v>3.8667819751800857E-3</v>
      </c>
      <c r="H15" s="18"/>
      <c r="I15" s="17"/>
      <c r="K15" s="15"/>
      <c r="M15" s="19"/>
      <c r="N15" s="13"/>
      <c r="O15" s="13"/>
      <c r="P15" s="13"/>
      <c r="Q15" s="13"/>
      <c r="R15" s="13" t="s">
        <v>23</v>
      </c>
      <c r="S15" s="13"/>
      <c r="T15" s="14">
        <v>9768200</v>
      </c>
      <c r="U15" s="13"/>
      <c r="V15" s="15">
        <v>6</v>
      </c>
      <c r="W15" s="13"/>
      <c r="X15" s="13"/>
      <c r="Y15" s="13"/>
      <c r="Z15" s="16"/>
      <c r="AA15" s="16" t="s">
        <v>18</v>
      </c>
      <c r="AB15" s="16">
        <v>110736</v>
      </c>
      <c r="AC15" s="16">
        <f>AB15*100</f>
        <v>11073600</v>
      </c>
      <c r="AD15" s="16"/>
      <c r="AE15" s="13" t="s">
        <v>24</v>
      </c>
      <c r="AF15" s="17">
        <v>8695600</v>
      </c>
      <c r="AG15" s="16"/>
      <c r="AH15" s="16" t="s">
        <v>15</v>
      </c>
      <c r="AI15" s="16">
        <v>63049</v>
      </c>
      <c r="AJ15" s="16">
        <f t="shared" si="1"/>
        <v>6304900</v>
      </c>
    </row>
    <row r="16" spans="1:36" ht="14" customHeight="1" x14ac:dyDescent="0.15">
      <c r="A16" s="13" t="s">
        <v>15</v>
      </c>
      <c r="B16" s="13"/>
      <c r="C16" s="14">
        <f>93793*100</f>
        <v>9379300</v>
      </c>
      <c r="D16" s="13"/>
      <c r="E16" s="15">
        <v>5</v>
      </c>
      <c r="F16" s="13"/>
      <c r="G16" s="19">
        <f>C17/$C$33</f>
        <v>3.3482317242678095E-3</v>
      </c>
      <c r="H16" s="18"/>
      <c r="I16" s="17">
        <v>9908400</v>
      </c>
      <c r="J16" s="18"/>
      <c r="K16" s="15">
        <v>4</v>
      </c>
      <c r="L16" s="13"/>
      <c r="M16" s="19"/>
      <c r="N16" s="13"/>
      <c r="O16" s="13"/>
      <c r="P16" s="13"/>
      <c r="Q16" s="13"/>
      <c r="R16" s="13" t="s">
        <v>15</v>
      </c>
      <c r="S16" s="13"/>
      <c r="T16" s="14">
        <v>8581900</v>
      </c>
      <c r="U16" s="13"/>
      <c r="V16" s="15">
        <v>7</v>
      </c>
      <c r="W16" s="13"/>
      <c r="X16" s="13"/>
      <c r="Y16" s="13"/>
      <c r="Z16" s="16"/>
      <c r="AA16" s="16" t="s">
        <v>15</v>
      </c>
      <c r="AB16" s="16">
        <v>87606</v>
      </c>
      <c r="AC16" s="16">
        <f t="shared" si="0"/>
        <v>8760600</v>
      </c>
      <c r="AD16" s="16"/>
      <c r="AE16" s="13" t="s">
        <v>25</v>
      </c>
      <c r="AF16" s="17">
        <v>8200700</v>
      </c>
      <c r="AG16" s="16"/>
      <c r="AH16" s="16" t="s">
        <v>26</v>
      </c>
      <c r="AI16" s="16">
        <v>62754</v>
      </c>
      <c r="AJ16" s="16">
        <f t="shared" si="1"/>
        <v>6275400</v>
      </c>
    </row>
    <row r="17" spans="1:36" ht="14" customHeight="1" x14ac:dyDescent="0.15">
      <c r="A17" s="13" t="s">
        <v>27</v>
      </c>
      <c r="B17" s="13"/>
      <c r="C17" s="14">
        <f>81215*100</f>
        <v>8121500</v>
      </c>
      <c r="D17" s="13"/>
      <c r="E17" s="15">
        <v>8</v>
      </c>
      <c r="F17" s="13"/>
      <c r="G17" s="19">
        <f>C17/$C$33</f>
        <v>3.3482317242678095E-3</v>
      </c>
      <c r="H17" s="18"/>
      <c r="I17" s="14"/>
      <c r="J17" s="18"/>
      <c r="K17" s="15"/>
      <c r="L17" s="13"/>
      <c r="M17" s="19"/>
      <c r="N17" s="13"/>
      <c r="O17" s="13"/>
      <c r="P17" s="13"/>
      <c r="Q17" s="13"/>
      <c r="R17" s="13" t="s">
        <v>28</v>
      </c>
      <c r="S17" s="13"/>
      <c r="T17" s="14">
        <v>7150300</v>
      </c>
      <c r="U17" s="13"/>
      <c r="V17" s="15">
        <v>8</v>
      </c>
      <c r="W17" s="13"/>
      <c r="X17" s="13"/>
      <c r="Y17" s="13"/>
      <c r="Z17" s="16"/>
      <c r="AA17" s="16" t="s">
        <v>29</v>
      </c>
      <c r="AB17" s="16">
        <v>66390</v>
      </c>
      <c r="AC17" s="16">
        <f t="shared" si="0"/>
        <v>6639000</v>
      </c>
      <c r="AD17" s="16"/>
      <c r="AE17" s="13" t="s">
        <v>23</v>
      </c>
      <c r="AF17" s="14">
        <v>7725100</v>
      </c>
      <c r="AG17" s="16"/>
      <c r="AH17" s="16" t="s">
        <v>25</v>
      </c>
      <c r="AI17" s="16">
        <v>59665</v>
      </c>
      <c r="AJ17" s="16">
        <f t="shared" si="1"/>
        <v>5966500</v>
      </c>
    </row>
    <row r="18" spans="1:36" ht="14" customHeight="1" x14ac:dyDescent="0.15">
      <c r="A18" s="13" t="s">
        <v>30</v>
      </c>
      <c r="B18" s="13"/>
      <c r="C18" s="14">
        <f>80721*100</f>
        <v>8072100</v>
      </c>
      <c r="D18" s="13"/>
      <c r="E18" s="15">
        <v>9</v>
      </c>
      <c r="F18" s="13"/>
      <c r="G18" s="19">
        <f>C18/$C$33</f>
        <v>3.3278657023286568E-3</v>
      </c>
      <c r="H18" s="18"/>
      <c r="I18" s="17">
        <v>7717900</v>
      </c>
      <c r="J18" s="18"/>
      <c r="K18" s="15">
        <v>8</v>
      </c>
      <c r="L18" s="13"/>
      <c r="M18" s="19">
        <f t="shared" ref="M18:M27" si="2">I18/$I$33</f>
        <v>4.9716330454391122E-3</v>
      </c>
      <c r="N18" s="13"/>
      <c r="O18" s="13"/>
      <c r="P18" s="13"/>
      <c r="Q18" s="13"/>
      <c r="R18" s="13" t="s">
        <v>31</v>
      </c>
      <c r="S18" s="13"/>
      <c r="T18" s="14">
        <v>6158400</v>
      </c>
      <c r="U18" s="13"/>
      <c r="V18" s="15">
        <v>9</v>
      </c>
      <c r="W18" s="13"/>
      <c r="X18" s="13"/>
      <c r="Y18" s="13"/>
      <c r="Z18" s="16"/>
      <c r="AA18" s="16" t="s">
        <v>32</v>
      </c>
      <c r="AB18" s="16">
        <v>66172</v>
      </c>
      <c r="AC18" s="16">
        <f t="shared" si="0"/>
        <v>6617200</v>
      </c>
      <c r="AD18" s="16"/>
      <c r="AE18" s="13" t="s">
        <v>33</v>
      </c>
      <c r="AF18" s="17">
        <v>6301600</v>
      </c>
      <c r="AG18" s="16"/>
      <c r="AH18" s="16" t="s">
        <v>12</v>
      </c>
      <c r="AI18" s="16">
        <v>45540</v>
      </c>
      <c r="AJ18" s="16">
        <f t="shared" si="1"/>
        <v>4554000</v>
      </c>
    </row>
    <row r="19" spans="1:36" ht="14" customHeight="1" x14ac:dyDescent="0.15">
      <c r="A19" s="13" t="s">
        <v>34</v>
      </c>
      <c r="B19" s="13"/>
      <c r="C19" s="14">
        <f>77123*100</f>
        <v>7712300</v>
      </c>
      <c r="D19" s="13"/>
      <c r="E19" s="15">
        <v>10</v>
      </c>
      <c r="F19" s="13"/>
      <c r="G19" s="19">
        <f>C19/$C$33</f>
        <v>3.179531801646325E-3</v>
      </c>
      <c r="H19" s="18"/>
      <c r="I19" s="17"/>
      <c r="J19" s="18"/>
      <c r="K19" s="15"/>
      <c r="L19" s="13"/>
      <c r="M19" s="19">
        <f t="shared" si="2"/>
        <v>0</v>
      </c>
      <c r="N19" s="13"/>
      <c r="O19" s="13"/>
      <c r="P19" s="13"/>
      <c r="Q19" s="13"/>
      <c r="R19" s="13" t="s">
        <v>35</v>
      </c>
      <c r="S19" s="13"/>
      <c r="T19" s="14">
        <v>6095200</v>
      </c>
      <c r="U19" s="13"/>
      <c r="V19" s="15">
        <v>10</v>
      </c>
      <c r="W19" s="13"/>
      <c r="X19" s="13"/>
      <c r="Y19" s="13"/>
      <c r="Z19" s="16">
        <v>10</v>
      </c>
      <c r="AA19" s="16" t="s">
        <v>36</v>
      </c>
      <c r="AB19" s="16">
        <v>58243</v>
      </c>
      <c r="AC19" s="16">
        <f t="shared" si="0"/>
        <v>5824300</v>
      </c>
      <c r="AD19" s="16"/>
      <c r="AE19" s="13" t="s">
        <v>37</v>
      </c>
      <c r="AF19" s="17">
        <v>5281200</v>
      </c>
      <c r="AG19" s="16"/>
      <c r="AH19" s="16" t="s">
        <v>32</v>
      </c>
      <c r="AI19" s="16">
        <v>44441</v>
      </c>
      <c r="AJ19" s="16">
        <f t="shared" si="1"/>
        <v>4444100</v>
      </c>
    </row>
    <row r="20" spans="1:36" ht="14" customHeight="1" x14ac:dyDescent="0.15">
      <c r="A20" s="13" t="s">
        <v>38</v>
      </c>
      <c r="B20" s="13"/>
      <c r="C20" s="17"/>
      <c r="D20" s="13"/>
      <c r="E20" s="15"/>
      <c r="F20" s="13"/>
      <c r="G20" s="19"/>
      <c r="H20" s="18"/>
      <c r="I20" s="17">
        <v>15705500</v>
      </c>
      <c r="J20" s="18"/>
      <c r="K20" s="15">
        <v>1</v>
      </c>
      <c r="L20" s="13"/>
      <c r="M20" s="19">
        <f t="shared" si="2"/>
        <v>1.0116998509328181E-2</v>
      </c>
      <c r="N20" s="13"/>
      <c r="O20" s="13"/>
      <c r="P20" s="13"/>
      <c r="Q20" s="13"/>
      <c r="R20" s="13" t="s">
        <v>8</v>
      </c>
      <c r="S20" s="13"/>
      <c r="T20" s="17"/>
      <c r="U20" s="13"/>
      <c r="V20" s="15"/>
      <c r="W20" s="13"/>
      <c r="X20" s="13"/>
      <c r="Y20" s="13"/>
      <c r="Z20" s="16"/>
      <c r="AA20" s="16" t="s">
        <v>39</v>
      </c>
      <c r="AB20" s="16">
        <v>48081</v>
      </c>
      <c r="AC20" s="16">
        <f t="shared" si="0"/>
        <v>4808100</v>
      </c>
      <c r="AD20" s="16"/>
      <c r="AE20" s="16"/>
      <c r="AF20" s="17"/>
      <c r="AG20" s="16"/>
      <c r="AH20" s="16" t="s">
        <v>40</v>
      </c>
      <c r="AI20" s="16">
        <v>41964</v>
      </c>
      <c r="AJ20" s="16">
        <f t="shared" si="1"/>
        <v>4196400</v>
      </c>
    </row>
    <row r="21" spans="1:36" ht="14" customHeight="1" x14ac:dyDescent="0.15">
      <c r="A21" s="13" t="s">
        <v>41</v>
      </c>
      <c r="B21" s="13"/>
      <c r="C21" s="17"/>
      <c r="D21" s="13"/>
      <c r="E21" s="15"/>
      <c r="F21" s="13"/>
      <c r="G21" s="19"/>
      <c r="H21" s="18"/>
      <c r="I21" s="17">
        <v>11373500</v>
      </c>
      <c r="J21" s="18"/>
      <c r="K21" s="15">
        <v>2</v>
      </c>
      <c r="L21" s="13"/>
      <c r="M21" s="19">
        <f t="shared" si="2"/>
        <v>7.3264577724901515E-3</v>
      </c>
      <c r="N21" s="13"/>
      <c r="O21" s="13"/>
      <c r="P21" s="13"/>
      <c r="Q21" s="13"/>
      <c r="R21" s="13" t="s">
        <v>11</v>
      </c>
      <c r="S21" s="13"/>
      <c r="T21" s="17"/>
      <c r="U21" s="13"/>
      <c r="V21" s="15"/>
      <c r="W21" s="13"/>
      <c r="X21" s="13"/>
      <c r="Y21" s="13"/>
      <c r="Z21" s="16"/>
      <c r="AA21" s="16" t="s">
        <v>12</v>
      </c>
      <c r="AB21" s="16">
        <v>44381</v>
      </c>
      <c r="AC21" s="16">
        <f t="shared" si="0"/>
        <v>4438100</v>
      </c>
      <c r="AD21" s="16"/>
      <c r="AE21" s="16"/>
      <c r="AF21" s="17"/>
      <c r="AG21" s="16"/>
      <c r="AH21" s="16" t="s">
        <v>37</v>
      </c>
      <c r="AI21" s="16">
        <v>40355</v>
      </c>
      <c r="AJ21" s="16">
        <f t="shared" si="1"/>
        <v>4035500</v>
      </c>
    </row>
    <row r="22" spans="1:36" ht="14" customHeight="1" x14ac:dyDescent="0.15">
      <c r="A22" s="13" t="s">
        <v>21</v>
      </c>
      <c r="B22" s="13"/>
      <c r="C22" s="14"/>
      <c r="D22" s="13"/>
      <c r="E22" s="15"/>
      <c r="F22" s="13"/>
      <c r="G22" s="19"/>
      <c r="H22" s="18"/>
      <c r="I22" s="14">
        <v>9916200</v>
      </c>
      <c r="J22" s="18"/>
      <c r="K22" s="15">
        <v>3</v>
      </c>
      <c r="L22" s="13"/>
      <c r="M22" s="19">
        <f t="shared" si="2"/>
        <v>6.3877100772468318E-3</v>
      </c>
      <c r="N22" s="13"/>
      <c r="O22" s="13"/>
      <c r="P22" s="13"/>
      <c r="Q22" s="13"/>
      <c r="R22" s="13" t="s">
        <v>17</v>
      </c>
      <c r="S22" s="13"/>
      <c r="T22" s="17"/>
      <c r="U22" s="13"/>
      <c r="V22" s="15"/>
      <c r="W22" s="13"/>
      <c r="X22" s="13"/>
      <c r="Y22" s="13"/>
      <c r="Z22" s="16"/>
      <c r="AA22" s="16" t="s">
        <v>42</v>
      </c>
      <c r="AB22" s="16">
        <v>42092</v>
      </c>
      <c r="AC22" s="16">
        <f t="shared" si="0"/>
        <v>4209200</v>
      </c>
      <c r="AD22" s="16"/>
      <c r="AE22" s="16"/>
      <c r="AF22" s="17"/>
      <c r="AG22" s="16"/>
      <c r="AH22" s="16" t="s">
        <v>12</v>
      </c>
      <c r="AI22" s="16">
        <v>35070</v>
      </c>
      <c r="AJ22" s="16">
        <f t="shared" si="1"/>
        <v>3507000</v>
      </c>
    </row>
    <row r="23" spans="1:36" ht="14" customHeight="1" x14ac:dyDescent="0.15">
      <c r="A23" s="13" t="s">
        <v>8</v>
      </c>
      <c r="B23" s="13"/>
      <c r="C23" s="14"/>
      <c r="D23" s="13"/>
      <c r="E23" s="15"/>
      <c r="F23" s="13"/>
      <c r="G23" s="19"/>
      <c r="H23" s="18"/>
      <c r="I23" s="14">
        <v>8754100</v>
      </c>
      <c r="J23" s="18"/>
      <c r="K23" s="15">
        <v>5</v>
      </c>
      <c r="L23" s="13"/>
      <c r="M23" s="19">
        <f t="shared" si="2"/>
        <v>5.6391211136550779E-3</v>
      </c>
      <c r="N23" s="13"/>
      <c r="O23" s="13"/>
      <c r="P23" s="13"/>
      <c r="Q23" s="13"/>
      <c r="R23" s="13" t="s">
        <v>21</v>
      </c>
      <c r="S23" s="13"/>
      <c r="T23" s="17"/>
      <c r="U23" s="13"/>
      <c r="V23" s="15"/>
      <c r="W23" s="13"/>
      <c r="X23" s="13"/>
      <c r="Y23" s="13"/>
      <c r="Z23" s="16"/>
      <c r="AA23" s="16" t="s">
        <v>43</v>
      </c>
      <c r="AB23" s="16">
        <v>42031</v>
      </c>
      <c r="AC23" s="16">
        <f t="shared" si="0"/>
        <v>4203100</v>
      </c>
      <c r="AD23" s="16"/>
      <c r="AE23" s="16"/>
      <c r="AF23" s="17"/>
      <c r="AG23" s="16"/>
      <c r="AH23" s="16" t="s">
        <v>44</v>
      </c>
      <c r="AI23" s="16">
        <v>32557</v>
      </c>
      <c r="AJ23" s="16">
        <f t="shared" si="1"/>
        <v>3255700</v>
      </c>
    </row>
    <row r="24" spans="1:36" ht="14" customHeight="1" x14ac:dyDescent="0.15">
      <c r="A24" s="13" t="s">
        <v>45</v>
      </c>
      <c r="B24" s="13"/>
      <c r="C24" s="17"/>
      <c r="D24" s="13"/>
      <c r="E24" s="15"/>
      <c r="F24" s="13"/>
      <c r="G24" s="19"/>
      <c r="H24" s="18"/>
      <c r="I24" s="17">
        <v>8497800</v>
      </c>
      <c r="J24" s="18"/>
      <c r="K24" s="15">
        <v>6</v>
      </c>
      <c r="L24" s="13"/>
      <c r="M24" s="19">
        <f t="shared" si="2"/>
        <v>5.4740205617502796E-3</v>
      </c>
      <c r="N24" s="13"/>
      <c r="O24" s="13"/>
      <c r="P24" s="13"/>
      <c r="Q24" s="13"/>
      <c r="R24" s="13" t="s">
        <v>24</v>
      </c>
      <c r="S24" s="13"/>
      <c r="T24" s="17"/>
      <c r="U24" s="13"/>
      <c r="V24" s="15"/>
      <c r="W24" s="13"/>
      <c r="X24" s="13"/>
      <c r="Y24" s="13"/>
      <c r="Z24" s="16"/>
      <c r="AA24" s="16" t="s">
        <v>22</v>
      </c>
      <c r="AB24" s="16">
        <v>487088</v>
      </c>
      <c r="AC24" s="16">
        <f t="shared" si="0"/>
        <v>48708800</v>
      </c>
      <c r="AD24" s="16"/>
      <c r="AE24" s="16"/>
      <c r="AF24" s="17"/>
      <c r="AG24" s="16"/>
      <c r="AH24" s="16" t="s">
        <v>29</v>
      </c>
      <c r="AI24" s="16">
        <v>31980</v>
      </c>
      <c r="AJ24" s="16">
        <f t="shared" si="1"/>
        <v>3198000</v>
      </c>
    </row>
    <row r="25" spans="1:36" ht="14" customHeight="1" x14ac:dyDescent="0.15">
      <c r="A25" s="13" t="s">
        <v>29</v>
      </c>
      <c r="B25" s="13"/>
      <c r="C25" s="17"/>
      <c r="D25" s="13"/>
      <c r="E25" s="15"/>
      <c r="F25" s="13"/>
      <c r="G25" s="19"/>
      <c r="H25" s="18"/>
      <c r="I25" s="17">
        <v>8002100</v>
      </c>
      <c r="J25" s="18"/>
      <c r="K25" s="15">
        <v>7</v>
      </c>
      <c r="L25" s="13"/>
      <c r="M25" s="19">
        <f t="shared" si="2"/>
        <v>5.1547059164939058E-3</v>
      </c>
      <c r="N25" s="13"/>
      <c r="O25" s="13"/>
      <c r="P25" s="13"/>
      <c r="Q25" s="13"/>
      <c r="R25" s="13" t="s">
        <v>25</v>
      </c>
      <c r="S25" s="13"/>
      <c r="T25" s="17"/>
      <c r="U25" s="13"/>
      <c r="V25" s="15"/>
      <c r="W25" s="13"/>
      <c r="X25" s="13"/>
      <c r="Y25" s="13"/>
      <c r="Z25" s="16"/>
      <c r="AA25" s="16"/>
      <c r="AB25" s="16"/>
      <c r="AC25" s="16"/>
      <c r="AD25" s="16"/>
      <c r="AE25" s="16"/>
      <c r="AF25" s="14"/>
      <c r="AG25" s="16"/>
      <c r="AH25" s="16"/>
      <c r="AI25" s="16"/>
      <c r="AJ25" s="16"/>
    </row>
    <row r="26" spans="1:36" ht="14" customHeight="1" x14ac:dyDescent="0.15">
      <c r="A26" s="13" t="s">
        <v>46</v>
      </c>
      <c r="B26" s="13"/>
      <c r="C26" s="17"/>
      <c r="D26" s="13"/>
      <c r="E26" s="15"/>
      <c r="F26" s="13"/>
      <c r="G26" s="19"/>
      <c r="H26" s="18"/>
      <c r="I26" s="17">
        <v>7271400</v>
      </c>
      <c r="J26" s="18"/>
      <c r="K26" s="15">
        <v>9</v>
      </c>
      <c r="L26" s="13"/>
      <c r="M26" s="19">
        <f t="shared" si="2"/>
        <v>4.6840115221246656E-3</v>
      </c>
      <c r="N26" s="13"/>
      <c r="O26" s="13"/>
      <c r="P26" s="13"/>
      <c r="Q26" s="13"/>
      <c r="R26" s="13" t="s">
        <v>33</v>
      </c>
      <c r="S26" s="13"/>
      <c r="T26" s="17"/>
      <c r="U26" s="13"/>
      <c r="V26" s="15"/>
      <c r="W26" s="13"/>
      <c r="X26" s="13"/>
      <c r="Y26" s="13"/>
      <c r="Z26" s="16"/>
      <c r="AA26" s="16"/>
      <c r="AB26" s="16"/>
      <c r="AC26" s="16"/>
      <c r="AD26" s="16"/>
      <c r="AE26" s="16"/>
      <c r="AF26" s="17"/>
      <c r="AG26" s="16"/>
      <c r="AH26" s="16"/>
      <c r="AI26" s="16"/>
      <c r="AJ26" s="16"/>
    </row>
    <row r="27" spans="1:36" ht="14" customHeight="1" x14ac:dyDescent="0.15">
      <c r="A27" s="13" t="s">
        <v>38</v>
      </c>
      <c r="B27" s="13"/>
      <c r="C27" s="17"/>
      <c r="D27" s="13"/>
      <c r="E27" s="15"/>
      <c r="F27" s="13"/>
      <c r="G27" s="19"/>
      <c r="H27" s="18"/>
      <c r="I27" s="17">
        <v>6426400</v>
      </c>
      <c r="J27" s="18"/>
      <c r="K27" s="15">
        <v>10</v>
      </c>
      <c r="L27" s="13"/>
      <c r="M27" s="19">
        <f t="shared" si="2"/>
        <v>4.1396885944635078E-3</v>
      </c>
      <c r="N27" s="13"/>
      <c r="O27" s="13"/>
      <c r="P27" s="13"/>
      <c r="Q27" s="13"/>
      <c r="R27" s="13" t="s">
        <v>37</v>
      </c>
      <c r="S27" s="13"/>
      <c r="T27" s="17"/>
      <c r="U27" s="13"/>
      <c r="V27" s="15"/>
      <c r="W27" s="13"/>
      <c r="X27" s="13"/>
      <c r="Y27" s="13"/>
      <c r="Z27" s="16"/>
      <c r="AA27" s="16"/>
      <c r="AB27" s="16"/>
      <c r="AC27" s="16"/>
      <c r="AD27" s="16"/>
      <c r="AE27" s="16"/>
      <c r="AF27" s="17"/>
      <c r="AG27" s="16"/>
      <c r="AH27" s="16"/>
      <c r="AI27" s="16"/>
      <c r="AJ27" s="16"/>
    </row>
    <row r="28" spans="1:36" ht="14" customHeight="1" x14ac:dyDescent="0.15">
      <c r="A28" s="13"/>
      <c r="B28" s="13"/>
      <c r="C28" s="17"/>
      <c r="D28" s="13"/>
      <c r="E28" s="15"/>
      <c r="F28" s="13"/>
      <c r="G28" s="19"/>
      <c r="H28" s="18"/>
      <c r="I28" s="17"/>
      <c r="J28" s="18"/>
      <c r="K28" s="15"/>
      <c r="L28" s="13"/>
      <c r="M28" s="19"/>
      <c r="N28" s="13"/>
      <c r="O28" s="13"/>
      <c r="P28" s="13"/>
      <c r="Q28" s="13"/>
      <c r="R28" s="13"/>
      <c r="S28" s="13"/>
      <c r="T28" s="13"/>
      <c r="U28" s="13"/>
      <c r="V28" s="18"/>
      <c r="W28" s="13"/>
      <c r="X28" s="13"/>
      <c r="Y28" s="13"/>
      <c r="Z28" s="16"/>
      <c r="AA28" s="16" t="s">
        <v>7</v>
      </c>
      <c r="AB28" s="16"/>
      <c r="AC28" s="20">
        <f t="shared" ref="AC28:AC38" si="3">SUMIF($AA$10:$AA$24,AA28,$AC$10:$AC$24)</f>
        <v>3544002100</v>
      </c>
      <c r="AD28" s="20"/>
      <c r="AE28" s="20"/>
      <c r="AF28" s="18"/>
      <c r="AG28" s="20"/>
      <c r="AH28" s="16" t="s">
        <v>9</v>
      </c>
      <c r="AI28" s="16"/>
      <c r="AJ28" s="20">
        <f t="shared" ref="AJ28:AJ38" si="4">SUMIF($AH$10:$AH$24,AH28,$AJ$10:$AJ$24)</f>
        <v>25141000</v>
      </c>
    </row>
    <row r="29" spans="1:36" ht="14" customHeight="1" x14ac:dyDescent="0.15">
      <c r="A29" s="13"/>
      <c r="B29" s="13"/>
      <c r="C29" s="17"/>
      <c r="D29" s="13"/>
      <c r="E29" s="15"/>
      <c r="F29" s="13"/>
      <c r="G29" s="19"/>
      <c r="H29" s="18"/>
      <c r="I29" s="17"/>
      <c r="J29" s="18"/>
      <c r="K29" s="15"/>
      <c r="L29" s="13"/>
      <c r="M29" s="19"/>
      <c r="N29" s="13"/>
      <c r="O29" s="13"/>
      <c r="P29" s="13"/>
      <c r="Q29" s="13"/>
      <c r="R29" s="21" t="s">
        <v>47</v>
      </c>
      <c r="S29" s="13"/>
      <c r="T29" s="22">
        <f>SUM(T10:T28)</f>
        <v>92674100</v>
      </c>
      <c r="U29" s="13"/>
      <c r="V29" s="15"/>
      <c r="W29" s="13"/>
      <c r="X29" s="13"/>
      <c r="Y29" s="13"/>
      <c r="Z29" s="16"/>
      <c r="AA29" s="16" t="s">
        <v>11</v>
      </c>
      <c r="AB29" s="16"/>
      <c r="AC29" s="20">
        <f t="shared" si="3"/>
        <v>17240100</v>
      </c>
      <c r="AD29" s="20"/>
      <c r="AE29" s="20"/>
      <c r="AF29" s="22">
        <f>SUM(AF10:AF28)</f>
        <v>110104100</v>
      </c>
      <c r="AG29" s="20"/>
      <c r="AH29" s="16" t="s">
        <v>12</v>
      </c>
      <c r="AI29" s="16"/>
      <c r="AJ29" s="20">
        <f t="shared" si="4"/>
        <v>18163300</v>
      </c>
    </row>
    <row r="30" spans="1:36" ht="14" customHeight="1" x14ac:dyDescent="0.15">
      <c r="A30" s="13"/>
      <c r="B30" s="13"/>
      <c r="C30" s="13"/>
      <c r="D30" s="13"/>
      <c r="E30" s="18"/>
      <c r="F30" s="13"/>
      <c r="G30" s="18"/>
      <c r="H30" s="18"/>
      <c r="I30" s="18"/>
      <c r="J30" s="18"/>
      <c r="K30" s="18"/>
      <c r="L30" s="13"/>
      <c r="M30" s="19"/>
      <c r="N30" s="13"/>
      <c r="O30" s="13"/>
      <c r="P30" s="13"/>
      <c r="Q30" s="13"/>
      <c r="R30" s="13"/>
      <c r="S30" s="13"/>
      <c r="T30" s="13"/>
      <c r="U30" s="13"/>
      <c r="V30" s="15"/>
      <c r="W30" s="13"/>
      <c r="X30" s="13"/>
      <c r="Y30" s="13"/>
      <c r="Z30" s="16"/>
      <c r="AA30" s="16" t="s">
        <v>13</v>
      </c>
      <c r="AB30" s="16"/>
      <c r="AC30" s="20">
        <f t="shared" si="3"/>
        <v>14893200</v>
      </c>
      <c r="AD30" s="20"/>
      <c r="AE30" s="20"/>
      <c r="AF30" s="18"/>
      <c r="AG30" s="20"/>
      <c r="AH30" s="16" t="s">
        <v>16</v>
      </c>
      <c r="AI30" s="16"/>
      <c r="AJ30" s="20">
        <f t="shared" si="4"/>
        <v>8567600</v>
      </c>
    </row>
    <row r="31" spans="1:36" ht="14" customHeight="1" x14ac:dyDescent="0.15">
      <c r="A31" s="21" t="s">
        <v>47</v>
      </c>
      <c r="B31" s="13"/>
      <c r="C31" s="22">
        <f>SUM(C12:C30)</f>
        <v>85121500</v>
      </c>
      <c r="D31" s="13"/>
      <c r="E31" s="15"/>
      <c r="F31" s="13"/>
      <c r="G31" s="19">
        <f>SUM(G12:G30)</f>
        <v>3.266248179271454E-2</v>
      </c>
      <c r="H31" s="18"/>
      <c r="I31" s="22">
        <f>SUM(I12:I30)</f>
        <v>93573300</v>
      </c>
      <c r="J31" s="18"/>
      <c r="K31" s="15"/>
      <c r="L31" s="13"/>
      <c r="M31" s="19">
        <f>SUM(M12:M30)</f>
        <v>5.3894347112991708E-2</v>
      </c>
      <c r="N31" s="13"/>
      <c r="O31" s="13"/>
      <c r="P31" s="13"/>
      <c r="Q31" s="13"/>
      <c r="R31" s="13" t="s">
        <v>48</v>
      </c>
      <c r="S31" s="13"/>
      <c r="T31" s="23">
        <f>'[1]W&amp;S Consumption'!T12</f>
        <v>0</v>
      </c>
      <c r="U31" s="17"/>
      <c r="V31" s="17"/>
      <c r="W31" s="17"/>
      <c r="X31" s="13"/>
      <c r="Y31" s="13"/>
      <c r="Z31" s="16"/>
      <c r="AA31" s="16" t="s">
        <v>20</v>
      </c>
      <c r="AB31" s="16"/>
      <c r="AC31" s="20">
        <f t="shared" si="3"/>
        <v>12506100</v>
      </c>
      <c r="AD31" s="20"/>
      <c r="AE31" s="20"/>
      <c r="AF31" s="17">
        <v>1552387300</v>
      </c>
      <c r="AG31" s="20"/>
      <c r="AH31" s="16" t="s">
        <v>18</v>
      </c>
      <c r="AI31" s="16"/>
      <c r="AJ31" s="20">
        <f t="shared" si="4"/>
        <v>6766200</v>
      </c>
    </row>
    <row r="32" spans="1:36" ht="13" x14ac:dyDescent="0.15">
      <c r="A32" s="13"/>
      <c r="B32" s="13"/>
      <c r="C32" s="13"/>
      <c r="D32" s="13"/>
      <c r="E32" s="15"/>
      <c r="F32" s="13"/>
      <c r="G32" s="19"/>
      <c r="H32" s="18"/>
      <c r="I32" s="18"/>
      <c r="J32" s="18"/>
      <c r="K32" s="15"/>
      <c r="L32" s="13"/>
      <c r="M32" s="18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6"/>
      <c r="AA32" s="16" t="s">
        <v>18</v>
      </c>
      <c r="AB32" s="16"/>
      <c r="AC32" s="20">
        <f t="shared" si="3"/>
        <v>11073600</v>
      </c>
      <c r="AD32" s="20"/>
      <c r="AE32" s="20"/>
      <c r="AF32" s="20"/>
      <c r="AG32" s="20"/>
      <c r="AH32" s="16" t="s">
        <v>22</v>
      </c>
      <c r="AI32" s="16"/>
      <c r="AJ32" s="20">
        <f t="shared" si="4"/>
        <v>6447400</v>
      </c>
    </row>
    <row r="33" spans="1:36" ht="13" x14ac:dyDescent="0.15">
      <c r="A33" s="13" t="s">
        <v>48</v>
      </c>
      <c r="B33" s="13"/>
      <c r="C33" s="23">
        <f>'[1]W&amp;S Consumption'!C13</f>
        <v>2425608700</v>
      </c>
      <c r="D33" s="17"/>
      <c r="E33" s="17"/>
      <c r="F33" s="17"/>
      <c r="G33" s="17"/>
      <c r="H33" s="17"/>
      <c r="I33" s="17">
        <v>1552387300</v>
      </c>
      <c r="J33" s="18"/>
      <c r="K33" s="18"/>
      <c r="L33" s="13"/>
      <c r="M33" s="18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6"/>
      <c r="AA33" s="16" t="s">
        <v>15</v>
      </c>
      <c r="AB33" s="16"/>
      <c r="AC33" s="20">
        <f t="shared" si="3"/>
        <v>8760600</v>
      </c>
      <c r="AD33" s="20"/>
      <c r="AE33" s="20"/>
      <c r="AF33" s="20"/>
      <c r="AG33" s="20"/>
      <c r="AH33" s="16" t="s">
        <v>15</v>
      </c>
      <c r="AI33" s="16"/>
      <c r="AJ33" s="20">
        <f t="shared" si="4"/>
        <v>6304900</v>
      </c>
    </row>
    <row r="34" spans="1:36" ht="13" x14ac:dyDescent="0.15">
      <c r="A34" s="13"/>
      <c r="B34" s="13"/>
      <c r="C34" s="13"/>
      <c r="D34" s="13"/>
      <c r="E34" s="18"/>
      <c r="F34" s="13"/>
      <c r="G34" s="18"/>
      <c r="H34" s="18"/>
      <c r="I34" s="18"/>
      <c r="J34" s="18"/>
      <c r="K34" s="18"/>
      <c r="L34" s="13"/>
      <c r="M34" s="18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6"/>
      <c r="AA34" s="16" t="s">
        <v>29</v>
      </c>
      <c r="AB34" s="16"/>
      <c r="AC34" s="20">
        <f t="shared" si="3"/>
        <v>6639000</v>
      </c>
      <c r="AD34" s="20"/>
      <c r="AE34" s="20"/>
      <c r="AF34" s="20"/>
      <c r="AG34" s="20"/>
      <c r="AH34" s="16" t="s">
        <v>26</v>
      </c>
      <c r="AI34" s="16"/>
      <c r="AJ34" s="20">
        <f t="shared" si="4"/>
        <v>6275400</v>
      </c>
    </row>
    <row r="35" spans="1:36" ht="13" x14ac:dyDescent="0.15">
      <c r="A35" s="13"/>
      <c r="B35" s="13"/>
      <c r="C35" s="13"/>
      <c r="D35" s="13"/>
      <c r="E35" s="18"/>
      <c r="F35" s="13"/>
      <c r="G35" s="18"/>
      <c r="H35" s="18"/>
      <c r="I35" s="18"/>
      <c r="J35" s="18"/>
      <c r="K35" s="18"/>
      <c r="L35" s="13"/>
      <c r="M35" s="18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6"/>
      <c r="AA35" s="16" t="s">
        <v>32</v>
      </c>
      <c r="AB35" s="16"/>
      <c r="AC35" s="20">
        <f t="shared" si="3"/>
        <v>6617200</v>
      </c>
      <c r="AD35" s="20"/>
      <c r="AE35" s="20"/>
      <c r="AF35" s="20"/>
      <c r="AG35" s="20"/>
      <c r="AH35" s="16" t="s">
        <v>25</v>
      </c>
      <c r="AI35" s="16"/>
      <c r="AJ35" s="20">
        <f t="shared" si="4"/>
        <v>5966500</v>
      </c>
    </row>
    <row r="36" spans="1:36" ht="13" x14ac:dyDescent="0.15">
      <c r="A36" s="13" t="s">
        <v>49</v>
      </c>
      <c r="B36" s="13"/>
      <c r="C36" s="13"/>
      <c r="D36" s="13"/>
      <c r="E36" s="18"/>
      <c r="F36" s="13"/>
      <c r="G36" s="18"/>
      <c r="H36" s="18"/>
      <c r="I36" s="18"/>
      <c r="J36" s="18"/>
      <c r="K36" s="18"/>
      <c r="L36" s="13"/>
      <c r="M36" s="18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6"/>
      <c r="AA36" s="16" t="s">
        <v>36</v>
      </c>
      <c r="AB36" s="16"/>
      <c r="AC36" s="20">
        <f t="shared" si="3"/>
        <v>5824300</v>
      </c>
      <c r="AD36" s="20"/>
      <c r="AE36" s="20"/>
      <c r="AF36" s="20"/>
      <c r="AG36" s="20"/>
      <c r="AH36" s="16" t="s">
        <v>32</v>
      </c>
      <c r="AI36" s="16"/>
      <c r="AJ36" s="20">
        <f t="shared" si="4"/>
        <v>4444100</v>
      </c>
    </row>
    <row r="37" spans="1:36" ht="13" x14ac:dyDescent="0.15">
      <c r="A37" s="13"/>
      <c r="B37" s="13"/>
      <c r="C37" s="13"/>
      <c r="D37" s="13"/>
      <c r="E37" s="18"/>
      <c r="F37" s="13"/>
      <c r="G37" s="18"/>
      <c r="H37" s="18"/>
      <c r="I37" s="18"/>
      <c r="J37" s="18"/>
      <c r="K37" s="18"/>
      <c r="L37" s="13"/>
      <c r="M37" s="18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6"/>
      <c r="AA37" s="16" t="s">
        <v>39</v>
      </c>
      <c r="AB37" s="16"/>
      <c r="AC37" s="20">
        <f t="shared" si="3"/>
        <v>4808100</v>
      </c>
      <c r="AD37" s="20"/>
      <c r="AE37" s="20"/>
      <c r="AF37" s="20"/>
      <c r="AG37" s="20"/>
      <c r="AH37" s="16" t="s">
        <v>40</v>
      </c>
      <c r="AI37" s="16"/>
      <c r="AJ37" s="20">
        <f t="shared" si="4"/>
        <v>4196400</v>
      </c>
    </row>
    <row r="38" spans="1:36" ht="13" x14ac:dyDescent="0.15">
      <c r="A38" s="13"/>
      <c r="B38" s="13"/>
      <c r="C38" s="13"/>
      <c r="D38" s="13"/>
      <c r="E38" s="18"/>
      <c r="F38" s="13"/>
      <c r="G38" s="18"/>
      <c r="H38" s="18"/>
      <c r="I38" s="18"/>
      <c r="J38" s="18"/>
      <c r="K38" s="18"/>
      <c r="L38" s="13"/>
      <c r="M38" s="18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6"/>
      <c r="AA38" s="16" t="s">
        <v>12</v>
      </c>
      <c r="AB38" s="16"/>
      <c r="AC38" s="20">
        <f t="shared" si="3"/>
        <v>4438100</v>
      </c>
      <c r="AD38" s="20"/>
      <c r="AE38" s="20"/>
      <c r="AF38" s="20"/>
      <c r="AG38" s="20"/>
      <c r="AH38" s="16" t="s">
        <v>37</v>
      </c>
      <c r="AI38" s="16"/>
      <c r="AJ38" s="20">
        <f t="shared" si="4"/>
        <v>4035500</v>
      </c>
    </row>
    <row r="39" spans="1:36" x14ac:dyDescent="0.15">
      <c r="A39" s="13"/>
      <c r="B39" s="13"/>
      <c r="C39" s="13"/>
      <c r="D39" s="13"/>
      <c r="E39" s="18"/>
      <c r="F39" s="13"/>
      <c r="G39" s="18"/>
      <c r="H39" s="18"/>
      <c r="I39" s="18"/>
      <c r="J39" s="18"/>
      <c r="K39" s="18"/>
      <c r="L39" s="13"/>
      <c r="M39" s="18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spans="1:36" x14ac:dyDescent="0.15">
      <c r="A40" s="13"/>
      <c r="B40" s="13"/>
      <c r="C40" s="13"/>
      <c r="D40" s="13"/>
      <c r="E40" s="18"/>
      <c r="F40" s="13"/>
      <c r="G40" s="18"/>
      <c r="H40" s="18"/>
      <c r="I40" s="18"/>
      <c r="J40" s="18"/>
      <c r="K40" s="18"/>
      <c r="L40" s="13"/>
      <c r="M40" s="18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 spans="1:36" x14ac:dyDescent="0.15">
      <c r="A41" s="13"/>
      <c r="B41" s="13"/>
      <c r="C41" s="13"/>
      <c r="D41" s="13"/>
      <c r="E41" s="18"/>
      <c r="F41" s="13"/>
      <c r="G41" s="18"/>
      <c r="H41" s="18"/>
      <c r="I41" s="18"/>
      <c r="J41" s="18"/>
      <c r="K41" s="18"/>
      <c r="L41" s="13"/>
      <c r="M41" s="18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 spans="1:36" x14ac:dyDescent="0.15">
      <c r="A42" s="13"/>
      <c r="B42" s="13"/>
      <c r="C42" s="13"/>
      <c r="D42" s="13"/>
      <c r="E42" s="18"/>
      <c r="F42" s="13"/>
      <c r="G42" s="18"/>
      <c r="H42" s="18"/>
      <c r="I42" s="18"/>
      <c r="J42" s="18"/>
      <c r="K42" s="18"/>
      <c r="L42" s="13"/>
      <c r="M42" s="18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 spans="1:36" x14ac:dyDescent="0.15">
      <c r="A43" s="13"/>
      <c r="B43" s="13"/>
      <c r="C43" s="13"/>
      <c r="D43" s="13"/>
      <c r="E43" s="18"/>
      <c r="F43" s="13"/>
      <c r="G43" s="18"/>
      <c r="H43" s="18"/>
      <c r="I43" s="18"/>
      <c r="J43" s="18"/>
      <c r="K43" s="18"/>
      <c r="L43" s="13"/>
      <c r="M43" s="18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spans="1:36" x14ac:dyDescent="0.15">
      <c r="A44" s="13"/>
      <c r="B44" s="13"/>
      <c r="C44" s="13"/>
      <c r="D44" s="13"/>
      <c r="E44" s="18"/>
      <c r="F44" s="13"/>
      <c r="G44" s="18"/>
      <c r="H44" s="18"/>
      <c r="I44" s="18"/>
      <c r="J44" s="18"/>
      <c r="K44" s="18"/>
      <c r="L44" s="13"/>
      <c r="M44" s="18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 spans="1:36" x14ac:dyDescent="0.15">
      <c r="A45" s="13"/>
      <c r="B45" s="13"/>
      <c r="C45" s="13"/>
      <c r="D45" s="13"/>
      <c r="E45" s="18"/>
      <c r="F45" s="13"/>
      <c r="G45" s="18"/>
      <c r="H45" s="18"/>
      <c r="I45" s="18"/>
      <c r="J45" s="18"/>
      <c r="K45" s="18"/>
      <c r="L45" s="13"/>
      <c r="M45" s="18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 spans="1:36" x14ac:dyDescent="0.15">
      <c r="A46" s="13"/>
      <c r="B46" s="13"/>
      <c r="C46" s="13"/>
      <c r="D46" s="13"/>
      <c r="E46" s="18"/>
      <c r="F46" s="13"/>
      <c r="G46" s="18"/>
      <c r="H46" s="18"/>
      <c r="I46" s="18"/>
      <c r="J46" s="18"/>
      <c r="K46" s="18"/>
      <c r="L46" s="13"/>
      <c r="M46" s="18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 spans="1:36" x14ac:dyDescent="0.15">
      <c r="A47" s="13"/>
      <c r="B47" s="13"/>
      <c r="C47" s="13"/>
      <c r="D47" s="13"/>
      <c r="E47" s="18"/>
      <c r="F47" s="13"/>
      <c r="G47" s="18"/>
      <c r="H47" s="18"/>
      <c r="I47" s="18"/>
      <c r="J47" s="18"/>
      <c r="K47" s="18"/>
      <c r="L47" s="13"/>
      <c r="M47" s="18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 spans="1:36" x14ac:dyDescent="0.15">
      <c r="A48" s="13"/>
      <c r="B48" s="13"/>
      <c r="C48" s="13"/>
      <c r="D48" s="13"/>
      <c r="E48" s="18"/>
      <c r="F48" s="13"/>
      <c r="G48" s="18"/>
      <c r="H48" s="18"/>
      <c r="I48" s="18"/>
      <c r="J48" s="18"/>
      <c r="K48" s="18"/>
      <c r="L48" s="13"/>
      <c r="M48" s="18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 spans="1:36" x14ac:dyDescent="0.15">
      <c r="A49" s="13"/>
      <c r="B49" s="13"/>
      <c r="C49" s="13"/>
      <c r="D49" s="13"/>
      <c r="E49" s="18"/>
      <c r="F49" s="13"/>
      <c r="G49" s="18"/>
      <c r="H49" s="18"/>
      <c r="I49" s="18"/>
      <c r="J49" s="18"/>
      <c r="K49" s="18"/>
      <c r="L49" s="13"/>
      <c r="M49" s="18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 spans="1:36" x14ac:dyDescent="0.15">
      <c r="A50" s="13"/>
      <c r="B50" s="13"/>
      <c r="C50" s="13"/>
      <c r="D50" s="13"/>
      <c r="E50" s="18"/>
      <c r="F50" s="13"/>
      <c r="G50" s="18"/>
      <c r="H50" s="18"/>
      <c r="I50" s="18"/>
      <c r="J50" s="18"/>
      <c r="K50" s="18"/>
      <c r="L50" s="13"/>
      <c r="M50" s="18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 spans="1:36" x14ac:dyDescent="0.15">
      <c r="A51" s="13"/>
      <c r="B51" s="13"/>
      <c r="C51" s="13"/>
      <c r="D51" s="13"/>
      <c r="E51" s="18"/>
      <c r="F51" s="13"/>
      <c r="G51" s="18"/>
      <c r="H51" s="18"/>
      <c r="I51" s="18"/>
      <c r="J51" s="18"/>
      <c r="K51" s="18"/>
      <c r="L51" s="13"/>
      <c r="M51" s="18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 spans="1:36" x14ac:dyDescent="0.15">
      <c r="A52" s="13"/>
      <c r="B52" s="13"/>
      <c r="C52" s="13"/>
      <c r="D52" s="13"/>
      <c r="E52" s="18"/>
      <c r="F52" s="13"/>
      <c r="G52" s="18"/>
      <c r="H52" s="18"/>
      <c r="I52" s="18"/>
      <c r="J52" s="18"/>
      <c r="K52" s="18"/>
      <c r="L52" s="13"/>
      <c r="M52" s="18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  <row r="53" spans="1:36" x14ac:dyDescent="0.15">
      <c r="A53" s="13"/>
      <c r="B53" s="13"/>
      <c r="C53" s="13"/>
      <c r="D53" s="13"/>
      <c r="E53" s="18"/>
      <c r="F53" s="13"/>
      <c r="G53" s="18"/>
      <c r="H53" s="18"/>
      <c r="I53" s="18"/>
      <c r="J53" s="18"/>
      <c r="K53" s="18"/>
      <c r="L53" s="13"/>
      <c r="M53" s="18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</row>
    <row r="54" spans="1:36" x14ac:dyDescent="0.15">
      <c r="A54" s="13"/>
      <c r="B54" s="13"/>
      <c r="C54" s="13"/>
      <c r="D54" s="13"/>
      <c r="E54" s="18"/>
      <c r="F54" s="13"/>
      <c r="G54" s="18"/>
      <c r="H54" s="18"/>
      <c r="I54" s="18"/>
      <c r="J54" s="18"/>
      <c r="K54" s="18"/>
      <c r="L54" s="13"/>
      <c r="M54" s="18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</row>
    <row r="55" spans="1:36" x14ac:dyDescent="0.15">
      <c r="A55" s="13"/>
      <c r="B55" s="13"/>
      <c r="C55" s="13"/>
      <c r="D55" s="13"/>
      <c r="E55" s="18"/>
      <c r="F55" s="13"/>
      <c r="G55" s="18"/>
      <c r="H55" s="18"/>
      <c r="I55" s="18"/>
      <c r="J55" s="18"/>
      <c r="K55" s="18"/>
      <c r="L55" s="13"/>
      <c r="M55" s="18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</row>
    <row r="56" spans="1:36" x14ac:dyDescent="0.15">
      <c r="A56" s="13"/>
      <c r="B56" s="13"/>
      <c r="C56" s="13"/>
      <c r="D56" s="13"/>
      <c r="E56" s="18"/>
      <c r="F56" s="13"/>
      <c r="G56" s="18"/>
      <c r="H56" s="18"/>
      <c r="I56" s="18"/>
      <c r="J56" s="18"/>
      <c r="K56" s="18"/>
      <c r="L56" s="13"/>
      <c r="M56" s="18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</row>
    <row r="57" spans="1:36" x14ac:dyDescent="0.15">
      <c r="A57" s="13"/>
      <c r="B57" s="13"/>
      <c r="C57" s="13"/>
      <c r="D57" s="13"/>
      <c r="E57" s="18"/>
      <c r="F57" s="13"/>
      <c r="G57" s="18"/>
      <c r="H57" s="18"/>
      <c r="I57" s="18"/>
      <c r="J57" s="18"/>
      <c r="K57" s="18"/>
      <c r="L57" s="13"/>
      <c r="M57" s="18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</row>
    <row r="58" spans="1:36" x14ac:dyDescent="0.15">
      <c r="A58" s="13"/>
      <c r="B58" s="13"/>
      <c r="C58" s="13"/>
      <c r="D58" s="13"/>
      <c r="E58" s="18"/>
      <c r="F58" s="13"/>
      <c r="G58" s="18"/>
      <c r="H58" s="18"/>
      <c r="I58" s="18"/>
      <c r="J58" s="18"/>
      <c r="K58" s="18"/>
      <c r="L58" s="13"/>
      <c r="M58" s="18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</row>
    <row r="59" spans="1:36" x14ac:dyDescent="0.15">
      <c r="A59" s="13"/>
      <c r="B59" s="13"/>
      <c r="C59" s="13"/>
      <c r="D59" s="13"/>
      <c r="E59" s="18"/>
      <c r="F59" s="13"/>
      <c r="G59" s="18"/>
      <c r="H59" s="18"/>
      <c r="I59" s="18"/>
      <c r="J59" s="18"/>
      <c r="K59" s="18"/>
      <c r="L59" s="13"/>
      <c r="M59" s="18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</row>
    <row r="60" spans="1:36" x14ac:dyDescent="0.15">
      <c r="A60" s="13"/>
      <c r="B60" s="13"/>
      <c r="C60" s="13"/>
      <c r="D60" s="13"/>
      <c r="E60" s="18"/>
      <c r="F60" s="13"/>
      <c r="G60" s="18"/>
      <c r="H60" s="18"/>
      <c r="I60" s="18"/>
      <c r="J60" s="18"/>
      <c r="K60" s="18"/>
      <c r="L60" s="13"/>
      <c r="M60" s="18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</row>
    <row r="61" spans="1:36" x14ac:dyDescent="0.15">
      <c r="A61" s="13"/>
      <c r="B61" s="13"/>
      <c r="C61" s="13"/>
      <c r="D61" s="13"/>
      <c r="E61" s="18"/>
      <c r="F61" s="13"/>
      <c r="G61" s="18"/>
      <c r="H61" s="18"/>
      <c r="I61" s="18"/>
      <c r="J61" s="18"/>
      <c r="K61" s="18"/>
      <c r="L61" s="13"/>
      <c r="M61" s="18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</row>
    <row r="62" spans="1:36" x14ac:dyDescent="0.15">
      <c r="A62" s="13"/>
      <c r="B62" s="13"/>
      <c r="C62" s="13"/>
      <c r="D62" s="13"/>
      <c r="E62" s="18"/>
      <c r="F62" s="13"/>
      <c r="G62" s="18"/>
      <c r="H62" s="18"/>
      <c r="I62" s="18"/>
      <c r="J62" s="18"/>
      <c r="K62" s="18"/>
      <c r="L62" s="13"/>
      <c r="M62" s="18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</row>
    <row r="63" spans="1:36" x14ac:dyDescent="0.15">
      <c r="A63" s="13"/>
      <c r="B63" s="13"/>
      <c r="C63" s="13"/>
      <c r="D63" s="13"/>
      <c r="E63" s="18"/>
      <c r="F63" s="13"/>
      <c r="G63" s="18"/>
      <c r="H63" s="18"/>
      <c r="I63" s="18"/>
      <c r="J63" s="18"/>
      <c r="K63" s="18"/>
      <c r="L63" s="13"/>
      <c r="M63" s="18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</row>
    <row r="64" spans="1:36" x14ac:dyDescent="0.15">
      <c r="N64" s="13"/>
    </row>
  </sheetData>
  <autoFilter ref="A11:M29" xr:uid="{00000000-0001-0000-0600-000000000000}">
    <sortState xmlns:xlrd2="http://schemas.microsoft.com/office/spreadsheetml/2017/richdata2" ref="A12:M29">
      <sortCondition ref="E11:E29"/>
    </sortState>
  </autoFilter>
  <mergeCells count="5">
    <mergeCell ref="A1:M1"/>
    <mergeCell ref="A3:M3"/>
    <mergeCell ref="A5:M5"/>
    <mergeCell ref="C9:G9"/>
    <mergeCell ref="I9:M9"/>
  </mergeCells>
  <pageMargins left="0.75" right="0.75" top="0.5" bottom="1" header="0.5" footer="0.5"/>
  <pageSetup firstPageNumber="99" orientation="portrait" useFirstPageNumber="1" r:id="rId1"/>
  <headerFooter differentOddEven="1" alignWithMargins="0">
    <oddHeader>&amp;R&amp;"Verdana,Bold"&amp;9TABLE 7</oddHeader>
    <oddFooter>&amp;C&amp;"Verdana,Bold"&amp;9&amp;P</oddFooter>
    <evenHeader>&amp;R&amp;"Verdana,Bold"&amp;9TABLE 7</evenHeader>
    <evenFooter>&amp;C&amp;"Verdana,Bold"&amp;9&amp;P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W&amp;S Concumers</vt:lpstr>
      <vt:lpstr>'W&amp;S Concumers'!Print_Area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2026-02-15T20:58:28Z</dcterms:created>
  <dcterms:modified xsi:type="dcterms:W3CDTF">2026-02-15T20:59:32Z</dcterms:modified>
</cp:coreProperties>
</file>
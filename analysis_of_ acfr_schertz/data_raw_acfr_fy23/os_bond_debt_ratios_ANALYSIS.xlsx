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CFR FY23/"/>
    </mc:Choice>
  </mc:AlternateContent>
  <xr:revisionPtr revIDLastSave="0" documentId="8_{16634FD9-CCE0-F944-B5A3-3C633F527683}" xr6:coauthVersionLast="47" xr6:coauthVersionMax="47" xr10:uidLastSave="{00000000-0000-0000-0000-000000000000}"/>
  <bookViews>
    <workbookView xWindow="7260" yWindow="3520" windowWidth="27240" windowHeight="16440" xr2:uid="{380316F3-DA02-464D-A3C4-98A23B7D7245}"/>
  </bookViews>
  <sheets>
    <sheet name="OS Bond Debt Ratios" sheetId="1" r:id="rId1"/>
  </sheets>
  <externalReferences>
    <externalReference r:id="rId2"/>
  </externalReferences>
  <definedNames>
    <definedName name="_xlnm.Print_Area" localSheetId="0">'OS Bond Debt Ratios'!$A$1:$M$27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O18" i="1"/>
  <c r="I18" i="1"/>
  <c r="O17" i="1"/>
  <c r="E17" i="1"/>
  <c r="C17" i="1"/>
  <c r="I17" i="1" s="1"/>
  <c r="P16" i="1"/>
  <c r="O16" i="1"/>
  <c r="E16" i="1"/>
  <c r="C16" i="1"/>
  <c r="I16" i="1" s="1"/>
  <c r="P15" i="1"/>
  <c r="E15" i="1"/>
  <c r="C15" i="1"/>
  <c r="I15" i="1" s="1"/>
  <c r="M18" i="1" l="1"/>
  <c r="K18" i="1"/>
  <c r="K17" i="1"/>
  <c r="M17" i="1"/>
  <c r="K16" i="1"/>
  <c r="M16" i="1"/>
  <c r="K15" i="1"/>
  <c r="M15" i="1"/>
</calcChain>
</file>

<file path=xl/sharedStrings.xml><?xml version="1.0" encoding="utf-8"?>
<sst xmlns="http://schemas.openxmlformats.org/spreadsheetml/2006/main" count="36" uniqueCount="36">
  <si>
    <t>CITY OF SCHERTZ, TEXAS</t>
  </si>
  <si>
    <t>RATIOS OF GENERAL BONDED DEBT OUTSTANDING</t>
  </si>
  <si>
    <t>LAST TEN FISCAL YEARS</t>
  </si>
  <si>
    <t>General Bonded Debt Outstanding</t>
  </si>
  <si>
    <t>Less:</t>
  </si>
  <si>
    <t>Percentage of</t>
  </si>
  <si>
    <t>General</t>
  </si>
  <si>
    <t>Certificates</t>
  </si>
  <si>
    <t>Amounts</t>
  </si>
  <si>
    <t>Actual Taxable</t>
  </si>
  <si>
    <t>Taxable
Assessed Value</t>
  </si>
  <si>
    <t>Fiscal</t>
  </si>
  <si>
    <t xml:space="preserve">Obligation </t>
  </si>
  <si>
    <t>of</t>
  </si>
  <si>
    <t>Available for</t>
  </si>
  <si>
    <t>Value of</t>
  </si>
  <si>
    <t>Per</t>
  </si>
  <si>
    <t>Assessed</t>
  </si>
  <si>
    <t>Year</t>
  </si>
  <si>
    <t>Bonds</t>
  </si>
  <si>
    <t>Obligation</t>
  </si>
  <si>
    <t xml:space="preserve">Debt Service </t>
  </si>
  <si>
    <t>Total</t>
  </si>
  <si>
    <t>Property</t>
  </si>
  <si>
    <t>Capita</t>
  </si>
  <si>
    <t>Population</t>
  </si>
  <si>
    <t>Value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</si>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</sst>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$_(* #,##0_);_$\(* #,##0\);_$_(* &quot;-&quot;???_);_$_(@_)"/>
  </numFmts>
  <fonts count="4" x14ac:knownFonts="1">
    <font>
      <sz val="11"/>
      <name val="Times New Roman"/>
      <family val="1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1" fontId="0" fillId="0" borderId="0" xfId="0" applyNumberFormat="1" applyAlignment="1">
      <alignment horizontal="center" wrapText="1"/>
    </xf>
    <xf numFmtId="0" fontId="2" fillId="0" borderId="1" xfId="0" applyFont="1" applyBorder="1" applyAlignment="1">
      <alignment horizontal="center"/>
    </xf>
    <xf numFmtId="41" fontId="0" fillId="0" borderId="0" xfId="0" applyNumberFormat="1" applyAlignment="1">
      <alignment horizontal="center"/>
    </xf>
    <xf numFmtId="42" fontId="2" fillId="0" borderId="0" xfId="0" applyNumberFormat="1" applyFont="1" applyAlignment="1">
      <alignment horizontal="center"/>
    </xf>
    <xf numFmtId="164" fontId="2" fillId="0" borderId="0" xfId="0" applyNumberFormat="1" applyFont="1"/>
    <xf numFmtId="10" fontId="2" fillId="0" borderId="0" xfId="0" applyNumberFormat="1" applyFont="1" applyAlignment="1">
      <alignment horizontal="center"/>
    </xf>
    <xf numFmtId="42" fontId="2" fillId="0" borderId="0" xfId="0" applyNumberFormat="1" applyFont="1"/>
    <xf numFmtId="165" fontId="2" fillId="0" borderId="0" xfId="1" applyNumberFormat="1" applyFont="1"/>
    <xf numFmtId="41" fontId="2" fillId="0" borderId="0" xfId="0" applyNumberFormat="1" applyFont="1"/>
    <xf numFmtId="41" fontId="0" fillId="0" borderId="0" xfId="0" applyNumberFormat="1"/>
    <xf numFmtId="166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/R%20Working%20Directory/Schertz%20Compensation%20Review/ACFR%20FY23/FY24%20City%20of%20Schertz%20Stat%20Tables%20(2)-MODIFIED.xlsx" TargetMode="External"/><Relationship Id="rId1" Type="http://schemas.openxmlformats.org/officeDocument/2006/relationships/externalLinkPath" Target="FY24%20City%20of%20Schertz%20Stat%20Tables%20(2)-MODIFI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&amp;S Consumption"/>
      <sheetName val="W&amp;S Concumers"/>
      <sheetName val="Prop Tax Rates"/>
      <sheetName val="Prop Tax Payers"/>
      <sheetName val="Tax Levies &amp; Collections"/>
      <sheetName val="Table 11#-MOD XmR "/>
      <sheetName val="Table 11#-MOD XmR  Trended"/>
      <sheetName val="Taxable Assessed Values"/>
      <sheetName val="Debt Ratios by Type"/>
      <sheetName val="OS Bond Debt Ratios"/>
      <sheetName val="Gov Activity Debt "/>
      <sheetName val="Debt Margin Info"/>
      <sheetName val="Pledged Rev Coverage"/>
      <sheetName val="Demographics Last 10"/>
      <sheetName val="Top 10 Employers"/>
      <sheetName val="FTE by Function"/>
      <sheetName val="Op Metrics by Function XmR 19"/>
      <sheetName val="Sheet38"/>
      <sheetName val="Op Metrics by Function XmR "/>
      <sheetName val="Op Metrics by Function"/>
      <sheetName val="Assets by Fun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H12">
            <v>7617926151</v>
          </cell>
        </row>
        <row r="13">
          <cell r="H13">
            <v>6740344392</v>
          </cell>
        </row>
        <row r="14">
          <cell r="H14">
            <v>4205887894</v>
          </cell>
        </row>
        <row r="15">
          <cell r="H15">
            <v>4126637372</v>
          </cell>
        </row>
      </sheetData>
      <sheetData sheetId="8">
        <row r="15">
          <cell r="C15">
            <v>49860745</v>
          </cell>
          <cell r="E15">
            <v>44612349</v>
          </cell>
          <cell r="M15">
            <v>22590898</v>
          </cell>
          <cell r="P15">
            <v>3263722</v>
          </cell>
        </row>
        <row r="16">
          <cell r="C16">
            <v>54504618</v>
          </cell>
          <cell r="E16">
            <v>25983440</v>
          </cell>
          <cell r="M16">
            <v>23529237</v>
          </cell>
          <cell r="P16">
            <v>4087062</v>
          </cell>
          <cell r="AB16">
            <v>43010</v>
          </cell>
        </row>
        <row r="17">
          <cell r="C17">
            <v>58837302</v>
          </cell>
          <cell r="E17">
            <v>27869333</v>
          </cell>
          <cell r="M17">
            <v>24216388</v>
          </cell>
          <cell r="P17">
            <v>5111592</v>
          </cell>
          <cell r="AB17">
            <v>42673.333333333328</v>
          </cell>
        </row>
        <row r="18">
          <cell r="AB18">
            <v>42336.666666666664</v>
          </cell>
        </row>
        <row r="19">
          <cell r="AB19">
            <v>42000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AA8E-91D9-B741-B774-1DAE3E66A434}">
  <sheetPr>
    <tabColor rgb="FF92D050"/>
  </sheetPr>
  <dimension ref="A1:P34"/>
  <sheetViews>
    <sheetView tabSelected="1" zoomScale="94" zoomScaleNormal="94" workbookViewId="0">
      <selection activeCell="G17" sqref="G17"/>
    </sheetView>
  </sheetViews>
  <sheetFormatPr baseColWidth="10" defaultColWidth="9.1640625" defaultRowHeight="12" x14ac:dyDescent="0.15"/>
  <cols>
    <col min="1" max="1" width="5.33203125" style="2" customWidth="1"/>
    <col min="2" max="2" width="0.5" style="2" customWidth="1"/>
    <col min="3" max="3" width="13.6640625" style="2" customWidth="1"/>
    <col min="4" max="4" width="0.5" style="2" customWidth="1"/>
    <col min="5" max="5" width="13.6640625" style="2" customWidth="1"/>
    <col min="6" max="6" width="0.5" style="2" customWidth="1"/>
    <col min="7" max="7" width="13.6640625" style="2" customWidth="1"/>
    <col min="8" max="8" width="0.5" style="2" customWidth="1"/>
    <col min="9" max="9" width="17.6640625" style="2" bestFit="1" customWidth="1"/>
    <col min="10" max="10" width="0.5" style="2" customWidth="1"/>
    <col min="11" max="11" width="12.6640625" style="2" customWidth="1"/>
    <col min="12" max="12" width="0.5" style="2" customWidth="1"/>
    <col min="13" max="13" width="11.1640625" style="2" customWidth="1"/>
    <col min="14" max="14" width="2.6640625" style="2" customWidth="1"/>
    <col min="15" max="15" width="11.1640625" style="2" bestFit="1" customWidth="1"/>
    <col min="16" max="16" width="19.5" style="2" bestFit="1" customWidth="1"/>
    <col min="17" max="16384" width="9.1640625" style="2"/>
  </cols>
  <sheetData>
    <row r="1" spans="1:16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6" x14ac:dyDescent="0.1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6" x14ac:dyDescent="0.1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10" spans="1:16" ht="14" customHeight="1" x14ac:dyDescent="0.15">
      <c r="C10" s="4" t="s">
        <v>3</v>
      </c>
      <c r="D10" s="4"/>
      <c r="E10" s="4"/>
      <c r="F10" s="4"/>
      <c r="G10" s="4"/>
      <c r="H10" s="4"/>
      <c r="I10" s="4"/>
      <c r="J10" s="5"/>
      <c r="K10" s="5"/>
      <c r="L10" s="5"/>
      <c r="M10" s="5"/>
    </row>
    <row r="11" spans="1:16" ht="14" customHeight="1" x14ac:dyDescent="0.15">
      <c r="A11" s="5"/>
      <c r="B11" s="5"/>
      <c r="C11" s="5"/>
      <c r="D11" s="5"/>
      <c r="E11" s="5"/>
      <c r="F11" s="5"/>
      <c r="G11" s="5" t="s">
        <v>4</v>
      </c>
      <c r="H11" s="5"/>
      <c r="I11" s="5"/>
      <c r="J11" s="5"/>
      <c r="K11" s="5" t="s">
        <v>5</v>
      </c>
      <c r="L11" s="5"/>
      <c r="M11" s="5"/>
    </row>
    <row r="12" spans="1:16" ht="14" customHeight="1" x14ac:dyDescent="0.15">
      <c r="A12" s="5"/>
      <c r="B12" s="5"/>
      <c r="C12" s="5" t="s">
        <v>6</v>
      </c>
      <c r="D12" s="5"/>
      <c r="E12" s="5" t="s">
        <v>7</v>
      </c>
      <c r="F12" s="5"/>
      <c r="G12" s="5" t="s">
        <v>8</v>
      </c>
      <c r="H12" s="5"/>
      <c r="I12" s="5"/>
      <c r="J12" s="5"/>
      <c r="K12" s="5" t="s">
        <v>9</v>
      </c>
      <c r="L12" s="5"/>
      <c r="M12" s="5"/>
      <c r="P12" s="6" t="s">
        <v>10</v>
      </c>
    </row>
    <row r="13" spans="1:16" ht="14" customHeight="1" x14ac:dyDescent="0.15">
      <c r="A13" s="5" t="s">
        <v>11</v>
      </c>
      <c r="B13" s="5"/>
      <c r="C13" s="5" t="s">
        <v>12</v>
      </c>
      <c r="D13" s="5"/>
      <c r="E13" s="5" t="s">
        <v>13</v>
      </c>
      <c r="F13" s="5"/>
      <c r="G13" s="5" t="s">
        <v>14</v>
      </c>
      <c r="H13" s="5"/>
      <c r="I13" s="5"/>
      <c r="J13" s="5"/>
      <c r="K13" s="5" t="s">
        <v>15</v>
      </c>
      <c r="L13" s="5"/>
      <c r="M13" s="5" t="s">
        <v>16</v>
      </c>
      <c r="P13" s="6" t="s">
        <v>17</v>
      </c>
    </row>
    <row r="14" spans="1:16" ht="14" customHeight="1" x14ac:dyDescent="0.15">
      <c r="A14" s="7" t="s">
        <v>18</v>
      </c>
      <c r="B14" s="5"/>
      <c r="C14" s="7" t="s">
        <v>19</v>
      </c>
      <c r="D14" s="5"/>
      <c r="E14" s="7" t="s">
        <v>20</v>
      </c>
      <c r="F14" s="5"/>
      <c r="G14" s="7" t="s">
        <v>21</v>
      </c>
      <c r="H14" s="5"/>
      <c r="I14" s="7" t="s">
        <v>22</v>
      </c>
      <c r="J14" s="5"/>
      <c r="K14" s="7" t="s">
        <v>23</v>
      </c>
      <c r="L14" s="5"/>
      <c r="M14" s="7" t="s">
        <v>24</v>
      </c>
      <c r="O14" s="8" t="s">
        <v>25</v>
      </c>
      <c r="P14" s="6" t="s">
        <v>26</v>
      </c>
    </row>
    <row r="15" spans="1:16" ht="14" customHeight="1" x14ac:dyDescent="0.15">
      <c r="A15" s="5">
        <v>2024</v>
      </c>
      <c r="B15" s="5"/>
      <c r="C15" s="9">
        <f>'[1]Debt Ratios by Type'!P15+'[1]Debt Ratios by Type'!C15</f>
        <v>53124467</v>
      </c>
      <c r="D15" s="5"/>
      <c r="E15" s="9">
        <f>'[1]Debt Ratios by Type'!M15+'[1]Debt Ratios by Type'!E15</f>
        <v>67203247</v>
      </c>
      <c r="F15" s="5"/>
      <c r="G15" s="10">
        <v>-1786712</v>
      </c>
      <c r="H15" s="5"/>
      <c r="I15" s="10">
        <f>C15+E15+G15</f>
        <v>118541002</v>
      </c>
      <c r="J15" s="5"/>
      <c r="K15" s="11">
        <f>I15/'[1]Taxable Assessed Values'!H12</f>
        <v>1.5560796947925152E-2</v>
      </c>
      <c r="L15" s="5"/>
      <c r="M15" s="12">
        <f>I15/O15</f>
        <v>2741.5296838502277</v>
      </c>
      <c r="O15" s="8">
        <v>43239</v>
      </c>
      <c r="P15" s="6">
        <f>'[1]Taxable Assessed Values'!H12</f>
        <v>7617926151</v>
      </c>
    </row>
    <row r="16" spans="1:16" ht="14" customHeight="1" x14ac:dyDescent="0.15">
      <c r="A16" s="5">
        <v>2023</v>
      </c>
      <c r="B16" s="5"/>
      <c r="C16" s="9">
        <f>'[1]Debt Ratios by Type'!P16+'[1]Debt Ratios by Type'!C16</f>
        <v>58591680</v>
      </c>
      <c r="D16" s="5"/>
      <c r="E16" s="9">
        <f>'[1]Debt Ratios by Type'!M16+'[1]Debt Ratios by Type'!E16</f>
        <v>49512677</v>
      </c>
      <c r="F16" s="5"/>
      <c r="G16" s="10">
        <v>-867965</v>
      </c>
      <c r="H16" s="5"/>
      <c r="I16" s="10">
        <f>C16+E16+G16</f>
        <v>107236392</v>
      </c>
      <c r="J16" s="5"/>
      <c r="K16" s="11">
        <f>I16/'[1]Taxable Assessed Values'!H13</f>
        <v>1.5909630986701073E-2</v>
      </c>
      <c r="L16" s="5"/>
      <c r="M16" s="12">
        <f>I16/O16</f>
        <v>2493.2897465705651</v>
      </c>
      <c r="O16" s="8">
        <f>'[1]Debt Ratios by Type'!AB16</f>
        <v>43010</v>
      </c>
      <c r="P16" s="6">
        <f>'[1]Taxable Assessed Values'!H13</f>
        <v>6740344392</v>
      </c>
    </row>
    <row r="17" spans="1:16" ht="14" customHeight="1" x14ac:dyDescent="0.15">
      <c r="A17" s="5">
        <v>2022</v>
      </c>
      <c r="B17" s="5"/>
      <c r="C17" s="13">
        <f>'[1]Debt Ratios by Type'!C17+'[1]Debt Ratios by Type'!P17</f>
        <v>63948894</v>
      </c>
      <c r="D17" s="14"/>
      <c r="E17" s="13">
        <f>'[1]Debt Ratios by Type'!E17+'[1]Debt Ratios by Type'!M17</f>
        <v>52085721</v>
      </c>
      <c r="F17" s="14"/>
      <c r="G17" s="13">
        <v>-1550080</v>
      </c>
      <c r="H17" s="14"/>
      <c r="I17" s="13">
        <f>C17+E17+G17</f>
        <v>114484535</v>
      </c>
      <c r="K17" s="11">
        <f>I17/'[1]Taxable Assessed Values'!H14</f>
        <v>2.7220063369573017E-2</v>
      </c>
      <c r="M17" s="14">
        <f>I17/O17</f>
        <v>2682.8120996719267</v>
      </c>
      <c r="O17" s="8">
        <f>'[1]Debt Ratios by Type'!AB17</f>
        <v>42673.333333333328</v>
      </c>
      <c r="P17" s="13">
        <v>4205887894</v>
      </c>
    </row>
    <row r="18" spans="1:16" ht="14" customHeight="1" x14ac:dyDescent="0.15">
      <c r="A18" s="5">
        <v>2021</v>
      </c>
      <c r="B18" s="5"/>
      <c r="C18" s="13">
        <v>43285000</v>
      </c>
      <c r="D18" s="14"/>
      <c r="E18" s="13">
        <v>24855000</v>
      </c>
      <c r="F18" s="14"/>
      <c r="G18" s="13">
        <v>-934899</v>
      </c>
      <c r="H18" s="14"/>
      <c r="I18" s="13">
        <f>C18+E18+G18</f>
        <v>67205101</v>
      </c>
      <c r="K18" s="11">
        <f>I18/'[1]Taxable Assessed Values'!H15</f>
        <v>1.6285681280356516E-2</v>
      </c>
      <c r="M18" s="14">
        <f>I18/O18</f>
        <v>1587.39707897016</v>
      </c>
      <c r="O18" s="8">
        <f>'[1]Debt Ratios by Type'!AB18</f>
        <v>42336.666666666664</v>
      </c>
      <c r="P18" s="13">
        <v>4306840068</v>
      </c>
    </row>
    <row r="19" spans="1:16" ht="14" customHeight="1" x14ac:dyDescent="0.15">
      <c r="A19" s="5" t="s">
        <v>27</v>
      </c>
      <c r="B19" s="5"/>
      <c r="C19" s="13">
        <v>46223908</v>
      </c>
      <c r="D19" s="14"/>
      <c r="E19" s="13">
        <v>15801473</v>
      </c>
      <c r="F19" s="14"/>
      <c r="G19" s="13">
        <v>-1051874</v>
      </c>
      <c r="H19" s="14"/>
      <c r="I19" s="13">
        <v>60973507</v>
      </c>
      <c r="K19" s="11">
        <v>1.4683708637939316E-2</v>
      </c>
      <c r="M19" s="14">
        <v>1480.5863484046429</v>
      </c>
      <c r="O19" s="8">
        <f>'[1]Debt Ratios by Type'!AB19</f>
        <v>42000</v>
      </c>
      <c r="P19" s="13">
        <v>4152459607</v>
      </c>
    </row>
    <row r="20" spans="1:16" ht="14" customHeight="1" x14ac:dyDescent="0.15">
      <c r="A20" s="5" t="s">
        <v>28</v>
      </c>
      <c r="C20" s="13">
        <v>54687960</v>
      </c>
      <c r="D20" s="14"/>
      <c r="E20" s="13">
        <v>16834029</v>
      </c>
      <c r="F20" s="14"/>
      <c r="G20" s="13">
        <v>-1084908</v>
      </c>
      <c r="H20" s="14"/>
      <c r="I20" s="13">
        <v>70437081</v>
      </c>
      <c r="K20" s="11">
        <v>1.8057229382909101E-2</v>
      </c>
      <c r="M20" s="14">
        <v>1785.3415709831952</v>
      </c>
      <c r="O20" s="8">
        <v>41948</v>
      </c>
      <c r="P20" s="13">
        <v>3900769022</v>
      </c>
    </row>
    <row r="21" spans="1:16" ht="14" customHeight="1" x14ac:dyDescent="0.15">
      <c r="A21" s="5" t="s">
        <v>29</v>
      </c>
      <c r="C21" s="13">
        <v>54880553</v>
      </c>
      <c r="D21" s="14"/>
      <c r="E21" s="13">
        <v>13636966</v>
      </c>
      <c r="F21" s="14"/>
      <c r="G21" s="13">
        <v>-809427</v>
      </c>
      <c r="H21" s="14"/>
      <c r="I21" s="13">
        <v>67708092</v>
      </c>
      <c r="K21" s="11">
        <v>1.8562851538406828E-2</v>
      </c>
      <c r="M21" s="14">
        <v>1784.7037798513363</v>
      </c>
      <c r="O21" s="15">
        <v>41182</v>
      </c>
      <c r="P21" s="13">
        <v>3647504903</v>
      </c>
    </row>
    <row r="22" spans="1:16" ht="14" customHeight="1" x14ac:dyDescent="0.15">
      <c r="A22" s="5" t="s">
        <v>30</v>
      </c>
      <c r="C22" s="13">
        <v>59147240</v>
      </c>
      <c r="D22" s="14"/>
      <c r="E22" s="13">
        <v>9011415</v>
      </c>
      <c r="F22" s="14"/>
      <c r="G22" s="13">
        <v>-924989</v>
      </c>
      <c r="H22" s="14"/>
      <c r="I22" s="13">
        <v>67233666</v>
      </c>
      <c r="K22" s="11">
        <v>1.9916069550185846E-2</v>
      </c>
      <c r="M22" s="14">
        <v>1775.6151062986928</v>
      </c>
      <c r="O22" s="15">
        <v>39453</v>
      </c>
      <c r="P22" s="13">
        <v>3375850131</v>
      </c>
    </row>
    <row r="23" spans="1:16" ht="14" customHeight="1" x14ac:dyDescent="0.15">
      <c r="A23" s="5" t="s">
        <v>31</v>
      </c>
      <c r="C23" s="13">
        <v>59366867</v>
      </c>
      <c r="D23" s="14"/>
      <c r="E23" s="13">
        <v>4057189</v>
      </c>
      <c r="F23" s="14"/>
      <c r="G23" s="13">
        <v>-813306</v>
      </c>
      <c r="H23" s="14"/>
      <c r="I23" s="13">
        <v>62610750</v>
      </c>
      <c r="K23" s="11">
        <v>2.0614169714003511E-2</v>
      </c>
      <c r="M23" s="14">
        <v>1716.4446089316555</v>
      </c>
      <c r="O23" s="15">
        <v>37938</v>
      </c>
      <c r="P23" s="13">
        <v>3037267611</v>
      </c>
    </row>
    <row r="24" spans="1:16" ht="14" customHeight="1" x14ac:dyDescent="0.15">
      <c r="A24" s="5" t="s">
        <v>32</v>
      </c>
      <c r="C24" s="13">
        <v>56900692</v>
      </c>
      <c r="D24" s="14"/>
      <c r="E24" s="13">
        <v>277801</v>
      </c>
      <c r="F24" s="14"/>
      <c r="G24" s="13">
        <v>-847178</v>
      </c>
      <c r="H24" s="14"/>
      <c r="I24" s="13">
        <v>56331315</v>
      </c>
      <c r="K24" s="11">
        <v>2.0465044294393577E-2</v>
      </c>
      <c r="M24" s="14">
        <v>1567.8509003868742</v>
      </c>
      <c r="O24" s="15">
        <v>37865</v>
      </c>
      <c r="P24" s="13">
        <v>2752562574</v>
      </c>
    </row>
    <row r="25" spans="1:16" ht="14" customHeight="1" x14ac:dyDescent="0.15">
      <c r="A25" s="5" t="s">
        <v>33</v>
      </c>
      <c r="C25" s="13">
        <v>60453966</v>
      </c>
      <c r="D25" s="14"/>
      <c r="E25" s="13">
        <v>543934</v>
      </c>
      <c r="F25" s="14"/>
      <c r="G25" s="13">
        <v>-517199</v>
      </c>
      <c r="H25" s="14"/>
      <c r="I25" s="13">
        <v>60480701</v>
      </c>
      <c r="K25" s="11">
        <v>2.3258538006989619E-2</v>
      </c>
      <c r="M25" s="14">
        <v>1753.1146120177395</v>
      </c>
      <c r="O25" s="15">
        <v>36477</v>
      </c>
      <c r="P25" s="13">
        <v>2600365551</v>
      </c>
    </row>
    <row r="26" spans="1:16" ht="14" customHeight="1" x14ac:dyDescent="0.15">
      <c r="A26" s="5" t="s">
        <v>34</v>
      </c>
      <c r="C26" s="13">
        <v>60821252</v>
      </c>
      <c r="D26" s="14"/>
      <c r="E26" s="13">
        <v>801767</v>
      </c>
      <c r="F26" s="14"/>
      <c r="G26" s="13">
        <v>-227674</v>
      </c>
      <c r="H26" s="14"/>
      <c r="I26" s="13">
        <v>61395345</v>
      </c>
      <c r="K26" s="11">
        <v>2.5461822664937763E-2</v>
      </c>
      <c r="M26" s="14">
        <v>1830.2928988790841</v>
      </c>
      <c r="O26" s="15">
        <v>35929</v>
      </c>
      <c r="P26" s="13">
        <v>2411270623</v>
      </c>
    </row>
    <row r="27" spans="1:16" ht="14" hidden="1" customHeight="1" x14ac:dyDescent="0.15">
      <c r="A27" s="5" t="s">
        <v>35</v>
      </c>
      <c r="C27" s="14">
        <v>63292230</v>
      </c>
      <c r="D27" s="14"/>
      <c r="E27" s="14">
        <v>1581300</v>
      </c>
      <c r="F27" s="14"/>
      <c r="G27" s="16">
        <v>-117250</v>
      </c>
      <c r="H27" s="14"/>
      <c r="I27" s="14">
        <v>64756280</v>
      </c>
      <c r="K27" s="11">
        <v>2.7393905140848235E-2</v>
      </c>
      <c r="M27" s="14">
        <v>2418.0836445108289</v>
      </c>
      <c r="O27" s="15">
        <v>34499</v>
      </c>
      <c r="P27" s="14">
        <v>2363893708</v>
      </c>
    </row>
    <row r="28" spans="1:16" ht="14" customHeight="1" x14ac:dyDescent="0.15">
      <c r="K28" s="5"/>
    </row>
    <row r="29" spans="1:16" ht="14" customHeight="1" x14ac:dyDescent="0.15"/>
    <row r="30" spans="1:16" ht="14" customHeight="1" x14ac:dyDescent="0.15"/>
    <row r="31" spans="1:16" ht="14" customHeight="1" x14ac:dyDescent="0.15"/>
    <row r="32" spans="1:16" ht="14" customHeight="1" x14ac:dyDescent="0.15"/>
    <row r="33" ht="14" customHeight="1" x14ac:dyDescent="0.15"/>
    <row r="34" ht="14" customHeight="1" x14ac:dyDescent="0.15"/>
  </sheetData>
  <mergeCells count="4">
    <mergeCell ref="A1:M1"/>
    <mergeCell ref="A3:M3"/>
    <mergeCell ref="A5:M5"/>
    <mergeCell ref="C10:I10"/>
  </mergeCells>
  <pageMargins left="0.75" right="0.75" top="0.5" bottom="1" header="0.5" footer="0.5"/>
  <pageSetup firstPageNumber="128" orientation="portrait" r:id="rId1"/>
  <headerFooter differentOddEven="1" alignWithMargins="0">
    <oddHeader>&amp;R&amp;"Verdana,Bold"&amp;9TABLE 13</oddHeader>
    <oddFooter>&amp;C&amp;"Verdana,Bold"&amp;9&amp;P</oddFooter>
    <evenHeader>&amp;R&amp;"Verdana,Bold"&amp;9TABLE 14</evenHeader>
    <evenFooter>&amp;C&amp;"Verdana,Bold"&amp;9&amp;P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OS Bond Debt Ratios</vt:lpstr>
      <vt:lpstr>'OS Bond Debt Ratios'!Print_Area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2026-02-15T20:32:14Z</dcterms:created>
  <dcterms:modified xsi:type="dcterms:W3CDTF">2026-02-15T20:32:50Z</dcterms:modified>
</cp:coreProperties>
</file>
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6E53AC3D-A51E-954C-B823-085458879F56}" xr6:coauthVersionLast="47" xr6:coauthVersionMax="47" xr10:uidLastSave="{00000000-0000-0000-0000-000000000000}"/>
  <bookViews>
    <workbookView xWindow="7660" yWindow="4020" windowWidth="26840" windowHeight="15940" xr2:uid="{5DCB7E3D-0792-E747-8434-7AA615913A17}"/>
  </bookViews>
  <sheets>
    <sheet name="Pledged Rev Coverage" sheetId="1" r:id="rId1"/>
  </sheets>
  <definedNames>
    <definedName name="_xlnm.Print_Area" localSheetId="0">'Pledged Rev Coverage'!$A$1:$M$29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M26" i="1" s="1"/>
  <c r="G25" i="1"/>
  <c r="M25" i="1" s="1"/>
  <c r="G24" i="1"/>
  <c r="M24" i="1" s="1"/>
  <c r="G23" i="1"/>
  <c r="M23" i="1" s="1"/>
  <c r="M22" i="1"/>
  <c r="M20" i="1"/>
  <c r="E19" i="1"/>
  <c r="G19" i="1" s="1"/>
  <c r="M19" i="1" s="1"/>
  <c r="G18" i="1"/>
  <c r="M18" i="1" s="1"/>
  <c r="I17" i="1"/>
  <c r="E17" i="1"/>
  <c r="G17" i="1" s="1"/>
  <c r="M17" i="1" s="1"/>
  <c r="E16" i="1"/>
  <c r="G16" i="1" s="1"/>
  <c r="M16" i="1" s="1"/>
  <c r="G15" i="1"/>
  <c r="M15" i="1" s="1"/>
</calcChain>
</file>

<file path=xl/sharedStrings.xml><?xml version="1.0" encoding="utf-8"?>
<sst xmlns="http://schemas.openxmlformats.org/spreadsheetml/2006/main" count="20" uniqueCount="20">
  <si>
    <t>CITY OF SCHERTZ, TEXAS</t>
  </si>
  <si>
    <t>PLEDGED REVENUE COVERAGE</t>
  </si>
  <si>
    <t>LAST TEN FISCAL YEARS</t>
  </si>
  <si>
    <t>Water Revenue Bonds</t>
  </si>
  <si>
    <t>Utility</t>
  </si>
  <si>
    <t xml:space="preserve">Less:  </t>
  </si>
  <si>
    <t>Net</t>
  </si>
  <si>
    <t>Debt Service</t>
  </si>
  <si>
    <t>Fiscal</t>
  </si>
  <si>
    <t>Service</t>
  </si>
  <si>
    <t>Operating</t>
  </si>
  <si>
    <t>Available</t>
  </si>
  <si>
    <t>Year</t>
  </si>
  <si>
    <t>Charges</t>
  </si>
  <si>
    <t>Expenses</t>
  </si>
  <si>
    <t>Revenue</t>
  </si>
  <si>
    <t>Principal</t>
  </si>
  <si>
    <t>Interest</t>
  </si>
  <si>
    <t>Coverage</t>
  </si>
  <si>
    <t xml:space="preserve">NOTE: Details regarding the City's outstanding debt can be found in the notes to the basic financial statements. Operating expenses do not include the depreciation, interest, or amortization expenses.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</si>
</sst>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&quot;$&quot;_(* #,##0_);&quot;$&quot;\(* #,##0\);&quot;$&quot;_(* &quot;-&quot;???_);_(@_)"/>
    <numFmt numFmtId="165" formatCode="_$_(* #,##0_);_$\(* #,##0\);_$_(* &quot;-&quot;???_);_$_(@_)"/>
  </numFmts>
  <fonts count="5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i/>
      <sz val="9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43" fontId="2" fillId="0" borderId="0" xfId="1" applyFont="1"/>
    <xf numFmtId="41" fontId="2" fillId="0" borderId="0" xfId="0" applyNumberFormat="1" applyFont="1"/>
    <xf numFmtId="10" fontId="2" fillId="0" borderId="0" xfId="0" applyNumberFormat="1" applyFont="1"/>
    <xf numFmtId="0" fontId="4" fillId="0" borderId="0" xfId="0" applyFont="1" applyAlignment="1">
      <alignment horizontal="justify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D1BA-1627-5B40-BB13-2A7663B6AA66}">
  <sheetPr>
    <tabColor theme="9" tint="0.39997558519241921"/>
  </sheetPr>
  <dimension ref="A1:Q30"/>
  <sheetViews>
    <sheetView tabSelected="1" zoomScaleNormal="100" zoomScaleSheetLayoutView="70" workbookViewId="0">
      <selection activeCell="M15" sqref="M15"/>
    </sheetView>
  </sheetViews>
  <sheetFormatPr baseColWidth="10" defaultColWidth="9.1640625" defaultRowHeight="12" x14ac:dyDescent="0.15"/>
  <cols>
    <col min="1" max="1" width="6" style="4" bestFit="1" customWidth="1"/>
    <col min="2" max="2" width="0.83203125" style="2" customWidth="1"/>
    <col min="3" max="3" width="14.5" style="2" bestFit="1" customWidth="1"/>
    <col min="4" max="4" width="0.83203125" style="2" customWidth="1"/>
    <col min="5" max="5" width="15.1640625" style="2" customWidth="1"/>
    <col min="6" max="6" width="0.83203125" style="2" customWidth="1"/>
    <col min="7" max="7" width="14.33203125" style="2" customWidth="1"/>
    <col min="8" max="8" width="0.83203125" style="2" customWidth="1"/>
    <col min="9" max="9" width="14.33203125" style="2" customWidth="1"/>
    <col min="10" max="10" width="0.83203125" style="2" customWidth="1"/>
    <col min="11" max="11" width="13.5" style="2" customWidth="1"/>
    <col min="12" max="12" width="0.83203125" style="2" customWidth="1"/>
    <col min="13" max="13" width="9.33203125" style="2" bestFit="1" customWidth="1"/>
    <col min="14" max="14" width="2.6640625" style="2" customWidth="1"/>
    <col min="15" max="15" width="10.6640625" style="2" customWidth="1"/>
    <col min="16" max="16" width="9.1640625" style="2"/>
    <col min="17" max="17" width="11.1640625" style="2" bestFit="1" customWidth="1"/>
    <col min="18" max="18" width="14.33203125" style="2" bestFit="1" customWidth="1"/>
    <col min="19" max="16384" width="9.1640625" style="2"/>
  </cols>
  <sheetData>
    <row r="1" spans="1:13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10" spans="1:13" ht="14" customHeight="1" x14ac:dyDescent="0.15">
      <c r="C10" s="5" t="s">
        <v>3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4" customHeight="1" x14ac:dyDescent="0.15">
      <c r="B11" s="4"/>
      <c r="C11" s="4" t="s">
        <v>4</v>
      </c>
      <c r="D11" s="4"/>
      <c r="E11" s="4" t="s">
        <v>5</v>
      </c>
      <c r="F11" s="4"/>
      <c r="G11" s="4" t="s">
        <v>6</v>
      </c>
      <c r="H11" s="4"/>
      <c r="I11" s="6" t="s">
        <v>7</v>
      </c>
      <c r="J11" s="6"/>
      <c r="K11" s="6"/>
      <c r="L11" s="4"/>
      <c r="M11" s="4"/>
    </row>
    <row r="12" spans="1:13" ht="14" customHeight="1" x14ac:dyDescent="0.15">
      <c r="A12" s="4" t="s">
        <v>8</v>
      </c>
      <c r="B12" s="4"/>
      <c r="C12" s="4" t="s">
        <v>9</v>
      </c>
      <c r="D12" s="4"/>
      <c r="E12" s="4" t="s">
        <v>10</v>
      </c>
      <c r="F12" s="4"/>
      <c r="G12" s="4" t="s">
        <v>11</v>
      </c>
      <c r="H12" s="4"/>
      <c r="I12" s="4"/>
      <c r="J12" s="4"/>
      <c r="K12" s="4"/>
      <c r="L12" s="4"/>
      <c r="M12" s="4"/>
    </row>
    <row r="13" spans="1:13" ht="14" customHeight="1" x14ac:dyDescent="0.15">
      <c r="A13" s="7" t="s">
        <v>12</v>
      </c>
      <c r="B13" s="4"/>
      <c r="C13" s="7" t="s">
        <v>13</v>
      </c>
      <c r="D13" s="4"/>
      <c r="E13" s="7" t="s">
        <v>14</v>
      </c>
      <c r="F13" s="4"/>
      <c r="G13" s="7" t="s">
        <v>15</v>
      </c>
      <c r="H13" s="4"/>
      <c r="I13" s="7" t="s">
        <v>16</v>
      </c>
      <c r="J13" s="4"/>
      <c r="K13" s="7" t="s">
        <v>17</v>
      </c>
      <c r="L13" s="4"/>
      <c r="M13" s="7" t="s">
        <v>18</v>
      </c>
    </row>
    <row r="14" spans="1:13" ht="14" customHeight="1" x14ac:dyDescent="0.15">
      <c r="A14" s="4">
        <v>2024</v>
      </c>
      <c r="C14" s="8">
        <v>32811920</v>
      </c>
      <c r="D14" s="8"/>
      <c r="E14" s="8">
        <v>31257030</v>
      </c>
      <c r="F14" s="8"/>
      <c r="G14" s="9">
        <v>1554890</v>
      </c>
      <c r="H14" s="8"/>
      <c r="I14" s="8">
        <v>1630000</v>
      </c>
      <c r="J14" s="8"/>
      <c r="K14" s="8">
        <v>967183</v>
      </c>
      <c r="M14" s="10">
        <v>0.6</v>
      </c>
    </row>
    <row r="15" spans="1:13" ht="14" customHeight="1" x14ac:dyDescent="0.15">
      <c r="A15" s="4">
        <v>2023</v>
      </c>
      <c r="C15" s="8">
        <v>31283976</v>
      </c>
      <c r="D15" s="8"/>
      <c r="E15" s="8">
        <v>29200652</v>
      </c>
      <c r="F15" s="8"/>
      <c r="G15" s="9">
        <f>C15-E15</f>
        <v>2083324</v>
      </c>
      <c r="H15" s="8"/>
      <c r="I15" s="8">
        <v>1580000</v>
      </c>
      <c r="J15" s="8"/>
      <c r="K15" s="8">
        <v>1017794.14</v>
      </c>
      <c r="M15" s="10">
        <f t="shared" ref="M15:M20" si="0">(G15/(I15+K15))</f>
        <v>0.80195884959537245</v>
      </c>
    </row>
    <row r="16" spans="1:13" ht="14" customHeight="1" x14ac:dyDescent="0.15">
      <c r="A16" s="4">
        <v>2022</v>
      </c>
      <c r="C16" s="9">
        <v>30876559</v>
      </c>
      <c r="D16" s="9"/>
      <c r="E16" s="9">
        <f>26921967-2559869</f>
        <v>24362098</v>
      </c>
      <c r="F16" s="9"/>
      <c r="G16" s="9">
        <f>C16-E16</f>
        <v>6514461</v>
      </c>
      <c r="H16" s="9"/>
      <c r="I16" s="9">
        <v>1180000</v>
      </c>
      <c r="J16" s="9"/>
      <c r="K16" s="9">
        <v>912019</v>
      </c>
      <c r="M16" s="10">
        <f t="shared" si="0"/>
        <v>3.1139588120375579</v>
      </c>
    </row>
    <row r="17" spans="1:17" ht="14" customHeight="1" x14ac:dyDescent="0.15">
      <c r="A17" s="4">
        <v>2021</v>
      </c>
      <c r="C17" s="9">
        <v>28030614</v>
      </c>
      <c r="D17" s="9"/>
      <c r="E17" s="9">
        <f>24765551-2534305</f>
        <v>22231246</v>
      </c>
      <c r="F17" s="9"/>
      <c r="G17" s="9">
        <f>C17-E17</f>
        <v>5799368</v>
      </c>
      <c r="H17" s="9"/>
      <c r="I17" s="9">
        <f>590000+850000+200000+150000+66953</f>
        <v>1856953</v>
      </c>
      <c r="J17" s="9"/>
      <c r="K17" s="9">
        <v>515413</v>
      </c>
      <c r="M17" s="10">
        <f t="shared" si="0"/>
        <v>2.4445502928300269</v>
      </c>
    </row>
    <row r="18" spans="1:17" ht="14" customHeight="1" x14ac:dyDescent="0.15">
      <c r="A18" s="4">
        <v>2020</v>
      </c>
      <c r="C18" s="9">
        <v>29735911</v>
      </c>
      <c r="D18" s="9"/>
      <c r="E18" s="9">
        <v>24032772</v>
      </c>
      <c r="F18" s="9"/>
      <c r="G18" s="9">
        <f>SUM(C18-E18)</f>
        <v>5703139</v>
      </c>
      <c r="H18" s="9"/>
      <c r="I18" s="9">
        <v>1961953</v>
      </c>
      <c r="J18" s="9"/>
      <c r="K18" s="9">
        <v>612643</v>
      </c>
      <c r="M18" s="10">
        <f t="shared" si="0"/>
        <v>2.2151588054980276</v>
      </c>
    </row>
    <row r="19" spans="1:17" ht="14" customHeight="1" x14ac:dyDescent="0.15">
      <c r="A19" s="4">
        <v>2019</v>
      </c>
      <c r="C19" s="9">
        <v>27246250</v>
      </c>
      <c r="D19" s="9"/>
      <c r="E19" s="9">
        <f>24977492-2354506</f>
        <v>22622986</v>
      </c>
      <c r="F19" s="9"/>
      <c r="G19" s="9">
        <f>SUM(C19-E19)</f>
        <v>4623264</v>
      </c>
      <c r="H19" s="9"/>
      <c r="I19" s="9">
        <v>1845132</v>
      </c>
      <c r="J19" s="9"/>
      <c r="K19" s="9">
        <v>561880</v>
      </c>
      <c r="M19" s="10">
        <f t="shared" si="0"/>
        <v>1.9207482139681895</v>
      </c>
      <c r="Q19" s="11"/>
    </row>
    <row r="20" spans="1:17" ht="14" customHeight="1" x14ac:dyDescent="0.15">
      <c r="A20" s="4">
        <v>2018</v>
      </c>
      <c r="C20" s="9">
        <v>27099237</v>
      </c>
      <c r="D20" s="9"/>
      <c r="E20" s="9">
        <v>20802263</v>
      </c>
      <c r="F20" s="9"/>
      <c r="G20" s="9">
        <v>6296974</v>
      </c>
      <c r="H20" s="9"/>
      <c r="I20" s="9">
        <v>1671134</v>
      </c>
      <c r="J20" s="9"/>
      <c r="K20" s="9">
        <v>391609</v>
      </c>
      <c r="M20" s="10">
        <f t="shared" si="0"/>
        <v>3.0527186372708575</v>
      </c>
    </row>
    <row r="21" spans="1:17" ht="14" customHeight="1" x14ac:dyDescent="0.15">
      <c r="A21" s="4">
        <v>2017</v>
      </c>
      <c r="C21" s="9">
        <v>25390713</v>
      </c>
      <c r="D21" s="9"/>
      <c r="E21" s="9">
        <v>18697162</v>
      </c>
      <c r="F21" s="9"/>
      <c r="G21" s="9">
        <v>6693551</v>
      </c>
      <c r="H21" s="9"/>
      <c r="I21" s="9">
        <v>1554541</v>
      </c>
      <c r="J21" s="9"/>
      <c r="K21" s="9">
        <v>368390</v>
      </c>
      <c r="M21" s="10">
        <v>3.48</v>
      </c>
    </row>
    <row r="22" spans="1:17" ht="14" customHeight="1" x14ac:dyDescent="0.15">
      <c r="A22" s="4">
        <v>2016</v>
      </c>
      <c r="C22" s="9">
        <v>22003794</v>
      </c>
      <c r="D22" s="9"/>
      <c r="E22" s="9">
        <v>17603487</v>
      </c>
      <c r="F22" s="9"/>
      <c r="G22" s="9">
        <v>4400307</v>
      </c>
      <c r="H22" s="9"/>
      <c r="I22" s="9">
        <v>1441741</v>
      </c>
      <c r="J22" s="9"/>
      <c r="K22" s="9">
        <v>417346</v>
      </c>
      <c r="M22" s="10">
        <f t="shared" ref="M22:M26" si="1">(G22/(I22+K22))</f>
        <v>2.3669182776276743</v>
      </c>
    </row>
    <row r="23" spans="1:17" ht="14" customHeight="1" x14ac:dyDescent="0.15">
      <c r="A23" s="4">
        <v>2015</v>
      </c>
      <c r="C23" s="9">
        <v>20700369</v>
      </c>
      <c r="D23" s="9"/>
      <c r="E23" s="9">
        <v>15916597</v>
      </c>
      <c r="F23" s="9"/>
      <c r="G23" s="9">
        <f t="shared" ref="G23:G26" si="2">SUM(C23-E23)</f>
        <v>4783772</v>
      </c>
      <c r="H23" s="9"/>
      <c r="I23" s="9">
        <v>1448407</v>
      </c>
      <c r="J23" s="9"/>
      <c r="K23" s="9">
        <v>428912</v>
      </c>
      <c r="M23" s="10">
        <f t="shared" si="1"/>
        <v>2.548193460994109</v>
      </c>
    </row>
    <row r="24" spans="1:17" ht="14" customHeight="1" x14ac:dyDescent="0.15">
      <c r="A24" s="4">
        <v>2014</v>
      </c>
      <c r="C24" s="9">
        <v>19147872</v>
      </c>
      <c r="D24" s="9"/>
      <c r="E24" s="9">
        <v>15246653</v>
      </c>
      <c r="F24" s="9"/>
      <c r="G24" s="9">
        <f t="shared" si="2"/>
        <v>3901219</v>
      </c>
      <c r="H24" s="9"/>
      <c r="I24" s="9">
        <v>1010500</v>
      </c>
      <c r="J24" s="9"/>
      <c r="K24" s="9">
        <v>426100</v>
      </c>
      <c r="M24" s="10">
        <f t="shared" si="1"/>
        <v>2.7155916747876931</v>
      </c>
    </row>
    <row r="25" spans="1:17" ht="14" customHeight="1" x14ac:dyDescent="0.15">
      <c r="A25" s="4">
        <v>2013</v>
      </c>
      <c r="C25" s="9">
        <v>17696327</v>
      </c>
      <c r="D25" s="9"/>
      <c r="E25" s="9">
        <v>14553274</v>
      </c>
      <c r="F25" s="9"/>
      <c r="G25" s="9">
        <f t="shared" si="2"/>
        <v>3143053</v>
      </c>
      <c r="H25" s="9"/>
      <c r="I25" s="9">
        <v>728800</v>
      </c>
      <c r="J25" s="9"/>
      <c r="K25" s="9">
        <v>359680</v>
      </c>
      <c r="M25" s="10">
        <f t="shared" si="1"/>
        <v>2.8875615537262971</v>
      </c>
    </row>
    <row r="26" spans="1:17" ht="14" hidden="1" customHeight="1" x14ac:dyDescent="0.15">
      <c r="A26" s="4">
        <v>2012</v>
      </c>
      <c r="C26" s="9">
        <v>17411568</v>
      </c>
      <c r="D26" s="9"/>
      <c r="E26" s="9">
        <v>14185126</v>
      </c>
      <c r="F26" s="9"/>
      <c r="G26" s="9">
        <f t="shared" si="2"/>
        <v>3226442</v>
      </c>
      <c r="H26" s="9"/>
      <c r="I26" s="9">
        <v>697100</v>
      </c>
      <c r="J26" s="9"/>
      <c r="K26" s="9">
        <v>396968</v>
      </c>
      <c r="M26" s="10">
        <f t="shared" si="1"/>
        <v>2.9490324184602783</v>
      </c>
    </row>
    <row r="27" spans="1:17" ht="14" customHeight="1" x14ac:dyDescent="0.15">
      <c r="C27" s="11"/>
      <c r="D27" s="11"/>
      <c r="E27" s="11"/>
      <c r="F27" s="11"/>
      <c r="G27" s="11"/>
      <c r="H27" s="11"/>
      <c r="I27" s="11"/>
      <c r="J27" s="11"/>
      <c r="K27" s="11"/>
      <c r="M27" s="12"/>
    </row>
    <row r="28" spans="1:17" ht="14" customHeight="1" x14ac:dyDescent="0.15"/>
    <row r="29" spans="1:17" ht="24" customHeight="1" x14ac:dyDescent="0.15">
      <c r="A29" s="13" t="s">
        <v>19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7" ht="14" customHeight="1" x14ac:dyDescent="0.15"/>
  </sheetData>
  <mergeCells count="6">
    <mergeCell ref="A1:M1"/>
    <mergeCell ref="A3:M3"/>
    <mergeCell ref="A5:M5"/>
    <mergeCell ref="C10:M10"/>
    <mergeCell ref="I11:K11"/>
    <mergeCell ref="A29:M29"/>
  </mergeCells>
  <pageMargins left="0.75" right="0.75" top="0.5" bottom="1" header="0.5" footer="0.5"/>
  <pageSetup firstPageNumber="131" orientation="portrait" r:id="rId1"/>
  <headerFooter alignWithMargins="0">
    <oddHeader>&amp;R&amp;"Verdana,Bold"&amp;9TABLE 16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Pledged Rev Coverage</vt:lpstr>
      <vt:lpstr>'Pledged Rev Coverage'!Print_Area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2026-02-15T20:35:04Z</dcterms:created>
  <dcterms:modified xsi:type="dcterms:W3CDTF">2026-02-15T20:35:37Z</dcterms:modified>
</cp:coreProperties>
</file>
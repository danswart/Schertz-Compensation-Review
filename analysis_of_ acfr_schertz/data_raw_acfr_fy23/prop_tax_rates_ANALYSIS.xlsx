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D/R Working Directory/Schertz Compensation Review/ACFR FY23/"/>
    </mc:Choice>
  </mc:AlternateContent>
  <xr:revisionPtr revIDLastSave="0" documentId="8_{39C16631-CB7F-3247-870F-D9D6DF01059F}" xr6:coauthVersionLast="47" xr6:coauthVersionMax="47" xr10:uidLastSave="{00000000-0000-0000-0000-000000000000}"/>
  <bookViews>
    <workbookView xWindow="7260" yWindow="3520" windowWidth="27240" windowHeight="16440" xr2:uid="{D3FF6498-E11E-374C-9854-B1F69BCF19A4}"/>
  </bookViews>
  <sheets>
    <sheet name="Prop Tax Rates" sheetId="1" r:id="rId1"/>
  </sheets>
  <definedNames>
    <definedName name="_xlnm.Print_Area" localSheetId="0">'Prop Tax Rates'!$A$1:$M$45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1" l="1"/>
  <c r="G25" i="1"/>
  <c r="G24" i="1"/>
  <c r="G23" i="1"/>
  <c r="G22" i="1"/>
  <c r="G21" i="1"/>
  <c r="G20" i="1"/>
  <c r="G19" i="1"/>
  <c r="G18" i="1"/>
  <c r="G17" i="1"/>
  <c r="G16" i="1"/>
</calcChain>
</file>

<file path=xl/sharedStrings.xml><?xml version="1.0" encoding="utf-8"?>
<sst xmlns="http://schemas.openxmlformats.org/spreadsheetml/2006/main" count="37" uniqueCount="30">
  <si>
    <t>CITY OF SCHERTZ, TEXAS</t>
  </si>
  <si>
    <t>DIRECT AND OVERLAPPING PROPERTY TAX RATES</t>
  </si>
  <si>
    <t xml:space="preserve">LAST TEN FISCAL YEARS </t>
  </si>
  <si>
    <t>(UNAUDITED)</t>
  </si>
  <si>
    <t>City Direct Rates</t>
  </si>
  <si>
    <t>Overlapping School Districts</t>
  </si>
  <si>
    <t>Schertz-</t>
  </si>
  <si>
    <t>Cibolo-</t>
  </si>
  <si>
    <t>Fiscal</t>
  </si>
  <si>
    <t>Basic</t>
  </si>
  <si>
    <t>Debt</t>
  </si>
  <si>
    <t>Universal</t>
  </si>
  <si>
    <t>Comal</t>
  </si>
  <si>
    <t>Year</t>
  </si>
  <si>
    <t>Rate</t>
  </si>
  <si>
    <t>Service</t>
  </si>
  <si>
    <t>Total</t>
  </si>
  <si>
    <t>City ISD</t>
  </si>
  <si>
    <t>ISD</t>
  </si>
  <si>
    <t>Overlapping Counties</t>
  </si>
  <si>
    <t>Bexar</t>
  </si>
  <si>
    <t>Community</t>
  </si>
  <si>
    <t>Hospital</t>
  </si>
  <si>
    <t>River</t>
  </si>
  <si>
    <t>College</t>
  </si>
  <si>
    <t>Guadalupe</t>
  </si>
  <si>
    <t>County</t>
  </si>
  <si>
    <t>District</t>
  </si>
  <si>
    <t>Authority</t>
  </si>
  <si>
    <t>*Source: Guadalupe, Bexar, and Comal Appraisal Districts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</si>
</sst>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000_);_(* \(#,##0.0000\);_(* &quot;-&quot;??_);_(@_)"/>
    <numFmt numFmtId="165" formatCode="0.0000"/>
    <numFmt numFmtId="166" formatCode="0.00000"/>
  </numFmts>
  <fonts count="4" x14ac:knownFonts="1">
    <font>
      <sz val="11"/>
      <name val="Times New Roman"/>
      <family val="1"/>
    </font>
    <font>
      <b/>
      <sz val="9"/>
      <name val="Verdana"/>
      <family val="2"/>
    </font>
    <font>
      <sz val="9"/>
      <name val="Verdana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44" fontId="2" fillId="0" borderId="1" xfId="0" applyNumberFormat="1" applyFont="1" applyBorder="1" applyAlignment="1">
      <alignment horizontal="center"/>
    </xf>
    <xf numFmtId="44" fontId="2" fillId="0" borderId="0" xfId="0" applyNumberFormat="1" applyFont="1" applyAlignment="1">
      <alignment horizontal="center"/>
    </xf>
    <xf numFmtId="44" fontId="2" fillId="0" borderId="0" xfId="0" applyNumberFormat="1" applyFont="1"/>
    <xf numFmtId="0" fontId="2" fillId="0" borderId="1" xfId="0" applyFont="1" applyBorder="1" applyAlignment="1">
      <alignment horizontal="center"/>
    </xf>
    <xf numFmtId="164" fontId="2" fillId="0" borderId="0" xfId="1" applyNumberFormat="1" applyFont="1" applyFill="1"/>
    <xf numFmtId="165" fontId="2" fillId="0" borderId="0" xfId="0" applyNumberFormat="1" applyFont="1"/>
    <xf numFmtId="164" fontId="2" fillId="0" borderId="0" xfId="1" applyNumberFormat="1" applyFont="1" applyFill="1" applyBorder="1"/>
    <xf numFmtId="166" fontId="2" fillId="0" borderId="0" xfId="0" applyNumberFormat="1" applyFont="1"/>
    <xf numFmtId="164" fontId="2" fillId="0" borderId="1" xfId="1" applyNumberFormat="1" applyFont="1" applyFill="1" applyBorder="1" applyAlignment="1">
      <alignment horizontal="center"/>
    </xf>
    <xf numFmtId="164" fontId="2" fillId="0" borderId="0" xfId="1" applyNumberFormat="1" applyFont="1"/>
    <xf numFmtId="164" fontId="2" fillId="0" borderId="0" xfId="1" applyNumberFormat="1" applyFont="1" applyBorder="1"/>
  </cellXfs>
  <cellStyles count="2">
    <cellStyle name="Comma 2" xfId="1" xr:uid="{EAA3E5FE-040D-F44B-B0B7-3CA297D401E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A4065-6978-AD46-8E3A-C4AD569A825A}">
  <sheetPr>
    <tabColor rgb="FF00FF00"/>
  </sheetPr>
  <dimension ref="A1:M48"/>
  <sheetViews>
    <sheetView tabSelected="1" zoomScaleNormal="100" zoomScaleSheetLayoutView="74" workbookViewId="0">
      <selection activeCell="L64" sqref="L64"/>
    </sheetView>
  </sheetViews>
  <sheetFormatPr baseColWidth="10" defaultColWidth="9.1640625" defaultRowHeight="14" customHeight="1" x14ac:dyDescent="0.15"/>
  <cols>
    <col min="1" max="1" width="10.33203125" style="2" customWidth="1"/>
    <col min="2" max="2" width="1.6640625" style="2" customWidth="1"/>
    <col min="3" max="3" width="11.33203125" style="2" customWidth="1"/>
    <col min="4" max="4" width="1.6640625" style="2" customWidth="1"/>
    <col min="5" max="5" width="11.33203125" style="2" customWidth="1"/>
    <col min="6" max="6" width="1.6640625" style="2" customWidth="1"/>
    <col min="7" max="7" width="11.33203125" style="2" customWidth="1"/>
    <col min="8" max="8" width="1.6640625" style="2" customWidth="1"/>
    <col min="9" max="9" width="11.33203125" style="2" customWidth="1"/>
    <col min="10" max="10" width="1.6640625" style="2" customWidth="1"/>
    <col min="11" max="11" width="12.33203125" style="2" customWidth="1"/>
    <col min="12" max="12" width="1.6640625" style="2" customWidth="1"/>
    <col min="13" max="13" width="12.1640625" style="2" bestFit="1" customWidth="1"/>
    <col min="14" max="16384" width="9.1640625" style="2"/>
  </cols>
  <sheetData>
    <row r="1" spans="1:13" ht="12" x14ac:dyDescent="0.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2" x14ac:dyDescent="0.15"/>
    <row r="3" spans="1:13" ht="12" x14ac:dyDescent="0.1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12" x14ac:dyDescent="0.15"/>
    <row r="5" spans="1:13" ht="12" x14ac:dyDescent="0.15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12" x14ac:dyDescent="0.15">
      <c r="A6" s="3" t="s">
        <v>3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ht="12" x14ac:dyDescent="0.15"/>
    <row r="8" spans="1:13" ht="12" x14ac:dyDescent="0.15"/>
    <row r="9" spans="1:13" ht="12" x14ac:dyDescent="0.15">
      <c r="A9" s="4"/>
      <c r="B9" s="4"/>
      <c r="C9" s="5" t="s">
        <v>4</v>
      </c>
      <c r="D9" s="5"/>
      <c r="E9" s="5"/>
      <c r="F9" s="4"/>
      <c r="G9" s="4"/>
      <c r="H9" s="4"/>
      <c r="I9" s="6" t="s">
        <v>5</v>
      </c>
      <c r="J9" s="6"/>
      <c r="K9" s="6"/>
      <c r="L9" s="7"/>
      <c r="M9" s="8"/>
    </row>
    <row r="10" spans="1:13" ht="12" x14ac:dyDescent="0.15">
      <c r="A10" s="4"/>
      <c r="B10" s="4"/>
      <c r="C10" s="4"/>
      <c r="D10" s="4"/>
      <c r="E10" s="4"/>
      <c r="F10" s="4"/>
      <c r="G10" s="4"/>
      <c r="H10" s="4"/>
      <c r="I10" s="4" t="s">
        <v>6</v>
      </c>
      <c r="J10" s="4"/>
      <c r="K10" s="4"/>
      <c r="L10" s="4"/>
      <c r="M10" s="4"/>
    </row>
    <row r="11" spans="1:13" ht="12" x14ac:dyDescent="0.15">
      <c r="A11" s="4"/>
      <c r="B11" s="4"/>
      <c r="C11" s="4"/>
      <c r="D11" s="4"/>
      <c r="E11" s="4"/>
      <c r="F11" s="4"/>
      <c r="G11" s="4"/>
      <c r="H11" s="4"/>
      <c r="I11" s="4" t="s">
        <v>7</v>
      </c>
      <c r="J11" s="4"/>
      <c r="K11" s="4"/>
      <c r="L11" s="4"/>
      <c r="M11" s="4"/>
    </row>
    <row r="12" spans="1:13" ht="12" x14ac:dyDescent="0.15">
      <c r="A12" s="4" t="s">
        <v>8</v>
      </c>
      <c r="B12" s="4"/>
      <c r="C12" s="4" t="s">
        <v>9</v>
      </c>
      <c r="D12" s="4"/>
      <c r="E12" s="4" t="s">
        <v>10</v>
      </c>
      <c r="F12" s="4"/>
      <c r="G12" s="4"/>
      <c r="H12" s="4"/>
      <c r="I12" s="4" t="s">
        <v>11</v>
      </c>
      <c r="J12" s="4"/>
      <c r="K12" s="4" t="s">
        <v>12</v>
      </c>
      <c r="L12" s="4"/>
      <c r="M12" s="4"/>
    </row>
    <row r="13" spans="1:13" ht="12" x14ac:dyDescent="0.15">
      <c r="A13" s="9" t="s">
        <v>13</v>
      </c>
      <c r="B13" s="4"/>
      <c r="C13" s="9" t="s">
        <v>14</v>
      </c>
      <c r="D13" s="4"/>
      <c r="E13" s="9" t="s">
        <v>15</v>
      </c>
      <c r="F13" s="4"/>
      <c r="G13" s="9" t="s">
        <v>16</v>
      </c>
      <c r="H13" s="4"/>
      <c r="I13" s="9" t="s">
        <v>17</v>
      </c>
      <c r="J13" s="4"/>
      <c r="K13" s="9" t="s">
        <v>18</v>
      </c>
      <c r="L13" s="4"/>
      <c r="M13" s="4"/>
    </row>
    <row r="14" spans="1:13" ht="12" x14ac:dyDescent="0.15">
      <c r="A14" s="4">
        <v>2024</v>
      </c>
      <c r="B14" s="4"/>
      <c r="C14" s="10">
        <v>0.33239999999999997</v>
      </c>
      <c r="D14" s="4"/>
      <c r="E14" s="10">
        <v>0.15479999999999999</v>
      </c>
      <c r="G14" s="10">
        <v>0.48720000000000002</v>
      </c>
      <c r="I14" s="10">
        <v>1.1392</v>
      </c>
      <c r="K14" s="10">
        <v>1.2746</v>
      </c>
      <c r="L14" s="4"/>
      <c r="M14" s="4"/>
    </row>
    <row r="15" spans="1:13" ht="12" x14ac:dyDescent="0.15">
      <c r="A15" s="4">
        <v>2023</v>
      </c>
      <c r="B15" s="4"/>
      <c r="C15" s="10">
        <v>0.34699999999999998</v>
      </c>
      <c r="D15" s="4"/>
      <c r="E15" s="10">
        <v>0.14799999999999999</v>
      </c>
      <c r="G15" s="10">
        <v>0.495</v>
      </c>
      <c r="I15" s="10">
        <v>1.3246</v>
      </c>
      <c r="K15" s="10">
        <v>1.2746</v>
      </c>
      <c r="L15" s="4"/>
      <c r="M15" s="4"/>
    </row>
    <row r="16" spans="1:13" ht="12" x14ac:dyDescent="0.15">
      <c r="A16" s="4">
        <v>2022</v>
      </c>
      <c r="B16" s="4"/>
      <c r="C16" s="10">
        <v>0.35170000000000001</v>
      </c>
      <c r="D16" s="4"/>
      <c r="E16" s="10">
        <v>0.16039999999999999</v>
      </c>
      <c r="G16" s="10">
        <f>SUM(C16:E16)</f>
        <v>0.5121</v>
      </c>
      <c r="I16" s="10">
        <v>1.395</v>
      </c>
      <c r="K16" s="10">
        <v>1.292</v>
      </c>
      <c r="L16" s="4"/>
      <c r="M16" s="4"/>
    </row>
    <row r="17" spans="1:13" ht="12" x14ac:dyDescent="0.15">
      <c r="A17" s="4">
        <v>2021</v>
      </c>
      <c r="B17" s="4"/>
      <c r="C17" s="10">
        <v>0.34699999999999998</v>
      </c>
      <c r="D17" s="4"/>
      <c r="E17" s="10">
        <v>0.1651</v>
      </c>
      <c r="G17" s="10">
        <f>SUM(C17:E17)</f>
        <v>0.5121</v>
      </c>
      <c r="I17" s="10">
        <v>1.4106000000000001</v>
      </c>
      <c r="K17" s="10">
        <v>1.2757000000000001</v>
      </c>
      <c r="L17" s="4"/>
      <c r="M17" s="4"/>
    </row>
    <row r="18" spans="1:13" ht="14" customHeight="1" x14ac:dyDescent="0.15">
      <c r="A18" s="4">
        <v>2020</v>
      </c>
      <c r="C18" s="10">
        <v>0.34960000000000002</v>
      </c>
      <c r="D18" s="4"/>
      <c r="E18" s="10">
        <v>0.16500000000000001</v>
      </c>
      <c r="G18" s="10">
        <f>SUM(C18,E18)</f>
        <v>0.51460000000000006</v>
      </c>
      <c r="I18" s="10">
        <v>1.42</v>
      </c>
      <c r="K18" s="10">
        <v>1.32</v>
      </c>
      <c r="L18" s="4"/>
      <c r="M18" s="4"/>
    </row>
    <row r="19" spans="1:13" ht="14" customHeight="1" x14ac:dyDescent="0.15">
      <c r="A19" s="4">
        <v>2019</v>
      </c>
      <c r="B19" s="4"/>
      <c r="C19" s="10">
        <v>0.34970000000000001</v>
      </c>
      <c r="D19" s="4"/>
      <c r="E19" s="10">
        <v>0.16489999999999999</v>
      </c>
      <c r="F19" s="4"/>
      <c r="G19" s="10">
        <f>SUM(C19,E19)</f>
        <v>0.51459999999999995</v>
      </c>
      <c r="H19" s="4"/>
      <c r="I19" s="10">
        <v>1.49</v>
      </c>
      <c r="J19" s="4"/>
      <c r="K19" s="10">
        <v>1.32</v>
      </c>
      <c r="M19" s="11"/>
    </row>
    <row r="20" spans="1:13" ht="14" customHeight="1" x14ac:dyDescent="0.15">
      <c r="A20" s="4">
        <v>2018</v>
      </c>
      <c r="C20" s="10">
        <v>0.32479999999999998</v>
      </c>
      <c r="D20" s="10"/>
      <c r="E20" s="10">
        <v>0.16619999999999999</v>
      </c>
      <c r="F20" s="12"/>
      <c r="G20" s="10">
        <f t="shared" ref="G20:G26" si="0">SUM(C20:E20)</f>
        <v>0.49099999999999999</v>
      </c>
      <c r="H20" s="13"/>
      <c r="I20" s="10">
        <v>1.49</v>
      </c>
      <c r="J20" s="10"/>
      <c r="K20" s="10">
        <v>1.39</v>
      </c>
      <c r="L20" s="10"/>
      <c r="M20" s="12"/>
    </row>
    <row r="21" spans="1:13" ht="14" customHeight="1" x14ac:dyDescent="0.15">
      <c r="A21" s="4">
        <v>2017</v>
      </c>
      <c r="C21" s="10">
        <v>0.31680000000000003</v>
      </c>
      <c r="D21" s="10"/>
      <c r="E21" s="10">
        <v>0.17430000000000001</v>
      </c>
      <c r="F21" s="12"/>
      <c r="G21" s="10">
        <f t="shared" si="0"/>
        <v>0.49110000000000004</v>
      </c>
      <c r="H21" s="13"/>
      <c r="I21" s="10">
        <v>1.47</v>
      </c>
      <c r="J21" s="10"/>
      <c r="K21" s="10">
        <v>1.39</v>
      </c>
      <c r="L21" s="10"/>
      <c r="M21" s="10"/>
    </row>
    <row r="22" spans="1:13" ht="14" customHeight="1" x14ac:dyDescent="0.15">
      <c r="A22" s="4">
        <v>2016</v>
      </c>
      <c r="C22" s="10">
        <v>0.31590000000000001</v>
      </c>
      <c r="D22" s="10"/>
      <c r="E22" s="10">
        <v>0.17519999999999999</v>
      </c>
      <c r="F22" s="12"/>
      <c r="G22" s="10">
        <f t="shared" si="0"/>
        <v>0.49109999999999998</v>
      </c>
      <c r="H22" s="13"/>
      <c r="I22" s="10">
        <v>1.49</v>
      </c>
      <c r="J22" s="10"/>
      <c r="K22" s="10">
        <v>1.39</v>
      </c>
      <c r="L22" s="10"/>
      <c r="M22" s="10"/>
    </row>
    <row r="23" spans="1:13" ht="14" customHeight="1" x14ac:dyDescent="0.15">
      <c r="A23" s="4">
        <v>2015</v>
      </c>
      <c r="C23" s="10">
        <v>0.31640000000000001</v>
      </c>
      <c r="D23" s="10"/>
      <c r="E23" s="10">
        <v>0.18099999999999999</v>
      </c>
      <c r="F23" s="12"/>
      <c r="G23" s="10">
        <f t="shared" si="0"/>
        <v>0.49740000000000001</v>
      </c>
      <c r="H23" s="13"/>
      <c r="I23" s="10">
        <v>1.49</v>
      </c>
      <c r="J23" s="10"/>
      <c r="K23" s="10">
        <v>1.39</v>
      </c>
      <c r="L23" s="10"/>
      <c r="M23" s="10"/>
    </row>
    <row r="24" spans="1:13" ht="14" customHeight="1" x14ac:dyDescent="0.15">
      <c r="A24" s="4">
        <v>2014</v>
      </c>
      <c r="C24" s="10">
        <v>0.30099999999999999</v>
      </c>
      <c r="D24" s="10"/>
      <c r="E24" s="10">
        <v>0.19639999999999999</v>
      </c>
      <c r="F24" s="12"/>
      <c r="G24" s="10">
        <f t="shared" si="0"/>
        <v>0.49739999999999995</v>
      </c>
      <c r="H24" s="13"/>
      <c r="I24" s="10">
        <v>1.49</v>
      </c>
      <c r="J24" s="10"/>
      <c r="K24" s="10">
        <v>1.43</v>
      </c>
      <c r="L24" s="10"/>
      <c r="M24" s="10"/>
    </row>
    <row r="25" spans="1:13" ht="14" customHeight="1" x14ac:dyDescent="0.15">
      <c r="A25" s="4">
        <v>2013</v>
      </c>
      <c r="C25" s="10">
        <v>0.29930000000000001</v>
      </c>
      <c r="D25" s="10"/>
      <c r="E25" s="10">
        <v>0.2006</v>
      </c>
      <c r="F25" s="12"/>
      <c r="G25" s="10">
        <f t="shared" si="0"/>
        <v>0.49990000000000001</v>
      </c>
      <c r="H25" s="13"/>
      <c r="I25" s="10">
        <v>1.46</v>
      </c>
      <c r="J25" s="10"/>
      <c r="K25" s="10">
        <v>1.43</v>
      </c>
      <c r="L25" s="10"/>
      <c r="M25" s="10"/>
    </row>
    <row r="26" spans="1:13" ht="14" hidden="1" customHeight="1" x14ac:dyDescent="0.15">
      <c r="A26" s="4">
        <v>2012</v>
      </c>
      <c r="C26" s="10">
        <v>0.29930000000000001</v>
      </c>
      <c r="D26" s="10"/>
      <c r="E26" s="10">
        <v>0.185</v>
      </c>
      <c r="F26" s="12"/>
      <c r="G26" s="10">
        <f t="shared" si="0"/>
        <v>0.48430000000000001</v>
      </c>
      <c r="H26" s="13"/>
      <c r="I26" s="10">
        <v>1.4350000000000001</v>
      </c>
      <c r="J26" s="10"/>
      <c r="K26" s="10">
        <v>1.43</v>
      </c>
      <c r="L26" s="10"/>
      <c r="M26" s="10"/>
    </row>
    <row r="27" spans="1:13" ht="12" x14ac:dyDescent="0.15">
      <c r="A27" s="4"/>
      <c r="C27" s="10"/>
      <c r="D27" s="10"/>
      <c r="E27" s="10"/>
      <c r="F27" s="12"/>
      <c r="G27" s="10"/>
      <c r="H27" s="12"/>
      <c r="I27" s="10"/>
      <c r="J27" s="10"/>
      <c r="K27" s="10"/>
      <c r="L27" s="10"/>
      <c r="M27" s="10"/>
    </row>
    <row r="28" spans="1:13" ht="12" x14ac:dyDescent="0.15">
      <c r="A28" s="4"/>
      <c r="C28" s="14" t="s">
        <v>19</v>
      </c>
      <c r="D28" s="14"/>
      <c r="E28" s="14"/>
      <c r="F28" s="14"/>
      <c r="G28" s="14"/>
      <c r="H28" s="14"/>
      <c r="I28" s="14"/>
      <c r="J28" s="14"/>
      <c r="K28" s="14"/>
      <c r="L28" s="14"/>
      <c r="M28" s="14"/>
    </row>
    <row r="29" spans="1:13" ht="12" x14ac:dyDescent="0.15">
      <c r="A29" s="4"/>
      <c r="B29" s="4"/>
      <c r="C29" s="5" t="s">
        <v>20</v>
      </c>
      <c r="D29" s="5"/>
      <c r="E29" s="5"/>
      <c r="F29" s="5"/>
      <c r="G29" s="5"/>
      <c r="H29" s="5"/>
      <c r="I29" s="5"/>
      <c r="J29" s="8"/>
      <c r="K29" s="4"/>
      <c r="L29" s="4"/>
      <c r="M29" s="4"/>
    </row>
    <row r="30" spans="1:13" ht="12" x14ac:dyDescent="0.15">
      <c r="A30" s="4"/>
      <c r="B30" s="4"/>
      <c r="C30" s="4"/>
      <c r="D30" s="4"/>
      <c r="E30" s="4"/>
      <c r="F30" s="4"/>
      <c r="G30" s="4"/>
      <c r="H30" s="4"/>
      <c r="I30" s="4" t="s">
        <v>21</v>
      </c>
      <c r="J30" s="4"/>
      <c r="K30" s="4"/>
      <c r="L30" s="4"/>
      <c r="M30" s="4"/>
    </row>
    <row r="31" spans="1:13" ht="12" x14ac:dyDescent="0.15">
      <c r="A31" s="4" t="s">
        <v>8</v>
      </c>
      <c r="B31" s="4"/>
      <c r="C31" s="4" t="s">
        <v>20</v>
      </c>
      <c r="D31" s="4"/>
      <c r="E31" s="4" t="s">
        <v>22</v>
      </c>
      <c r="F31" s="4"/>
      <c r="G31" s="4" t="s">
        <v>23</v>
      </c>
      <c r="H31" s="4"/>
      <c r="I31" s="4" t="s">
        <v>24</v>
      </c>
      <c r="J31" s="4"/>
      <c r="K31" s="4" t="s">
        <v>12</v>
      </c>
      <c r="L31" s="4"/>
      <c r="M31" s="4" t="s">
        <v>25</v>
      </c>
    </row>
    <row r="32" spans="1:13" ht="12" x14ac:dyDescent="0.15">
      <c r="A32" s="9" t="s">
        <v>13</v>
      </c>
      <c r="B32" s="4"/>
      <c r="C32" s="9" t="s">
        <v>26</v>
      </c>
      <c r="D32" s="4"/>
      <c r="E32" s="9" t="s">
        <v>27</v>
      </c>
      <c r="F32" s="4"/>
      <c r="G32" s="9" t="s">
        <v>28</v>
      </c>
      <c r="H32" s="4"/>
      <c r="I32" s="9" t="s">
        <v>27</v>
      </c>
      <c r="J32" s="4"/>
      <c r="K32" s="9" t="s">
        <v>26</v>
      </c>
      <c r="L32" s="4"/>
      <c r="M32" s="9" t="s">
        <v>26</v>
      </c>
    </row>
    <row r="33" spans="1:13" ht="14" customHeight="1" x14ac:dyDescent="0.15">
      <c r="A33" s="4">
        <v>2024</v>
      </c>
      <c r="B33" s="4"/>
      <c r="C33" s="10">
        <v>0.27633099999999999</v>
      </c>
      <c r="D33" s="4"/>
      <c r="E33" s="10">
        <v>0.27623500000000001</v>
      </c>
      <c r="F33" s="4"/>
      <c r="G33" s="10">
        <v>1.8360000000000001E-2</v>
      </c>
      <c r="H33" s="4"/>
      <c r="I33" s="10">
        <v>0.14915</v>
      </c>
      <c r="J33" s="4"/>
      <c r="K33" s="10">
        <v>0.22620000000000001</v>
      </c>
      <c r="L33" s="4"/>
      <c r="M33" s="10">
        <v>0.27310000000000001</v>
      </c>
    </row>
    <row r="34" spans="1:13" ht="14" customHeight="1" x14ac:dyDescent="0.15">
      <c r="A34" s="4">
        <v>2023</v>
      </c>
      <c r="B34" s="4"/>
      <c r="C34" s="10">
        <v>0.26235000000000003</v>
      </c>
      <c r="D34" s="4"/>
      <c r="E34" s="10">
        <v>0.27623500000000001</v>
      </c>
      <c r="F34" s="4"/>
      <c r="G34" s="10">
        <v>1.8360000000000001E-2</v>
      </c>
      <c r="H34" s="4"/>
      <c r="I34" s="10">
        <v>0.14915</v>
      </c>
      <c r="J34" s="4"/>
      <c r="K34" s="10">
        <v>0.284715</v>
      </c>
      <c r="L34" s="4"/>
      <c r="M34" s="10">
        <v>0.34389999999999998</v>
      </c>
    </row>
    <row r="35" spans="1:13" ht="14" customHeight="1" x14ac:dyDescent="0.15">
      <c r="A35" s="4">
        <v>2022</v>
      </c>
      <c r="B35" s="4"/>
      <c r="C35" s="10">
        <v>0.27629999999999999</v>
      </c>
      <c r="D35" s="4"/>
      <c r="E35" s="10">
        <v>0.2762</v>
      </c>
      <c r="F35" s="4"/>
      <c r="G35" s="10">
        <v>1.8599999999999998E-2</v>
      </c>
      <c r="H35" s="4"/>
      <c r="I35" s="10">
        <v>0.1492</v>
      </c>
      <c r="J35" s="4"/>
      <c r="K35" s="10">
        <v>0.314</v>
      </c>
      <c r="L35" s="4"/>
      <c r="M35" s="10">
        <v>0.37990000000000002</v>
      </c>
    </row>
    <row r="36" spans="1:13" ht="14" customHeight="1" x14ac:dyDescent="0.15">
      <c r="A36" s="4">
        <v>2021</v>
      </c>
      <c r="B36" s="4"/>
      <c r="C36" s="10">
        <v>0.26235000000000003</v>
      </c>
      <c r="D36" s="4"/>
      <c r="E36" s="10">
        <v>0.27623500000000001</v>
      </c>
      <c r="F36" s="4"/>
      <c r="G36" s="10">
        <v>1.8579999999999999E-2</v>
      </c>
      <c r="H36" s="4"/>
      <c r="I36" s="10">
        <v>0.14915</v>
      </c>
      <c r="J36" s="4"/>
      <c r="K36" s="10">
        <v>0.32241500000000001</v>
      </c>
      <c r="L36" s="4"/>
      <c r="M36" s="10">
        <v>0.38540000000000002</v>
      </c>
    </row>
    <row r="37" spans="1:13" ht="14" customHeight="1" x14ac:dyDescent="0.15">
      <c r="A37" s="4">
        <v>2020</v>
      </c>
      <c r="B37" s="4"/>
      <c r="C37" s="10">
        <v>0.27742899999999998</v>
      </c>
      <c r="D37" s="4"/>
      <c r="E37" s="10">
        <v>0.27623500000000001</v>
      </c>
      <c r="F37" s="4"/>
      <c r="G37" s="10">
        <v>1.8579999999999999E-2</v>
      </c>
      <c r="H37" s="4"/>
      <c r="I37" s="10">
        <v>0.14915</v>
      </c>
      <c r="J37" s="4"/>
      <c r="K37" s="10">
        <v>0.32241500000000001</v>
      </c>
      <c r="L37" s="4"/>
      <c r="M37" s="10">
        <v>0.33189999999999997</v>
      </c>
    </row>
    <row r="38" spans="1:13" ht="14" customHeight="1" x14ac:dyDescent="0.15">
      <c r="A38" s="4">
        <v>2019</v>
      </c>
      <c r="B38" s="4"/>
      <c r="C38" s="10">
        <v>0.27739999999999998</v>
      </c>
      <c r="D38" s="4"/>
      <c r="E38" s="10">
        <v>0.2762</v>
      </c>
      <c r="F38" s="4"/>
      <c r="G38" s="10">
        <v>1.8599999999999998E-2</v>
      </c>
      <c r="H38" s="4"/>
      <c r="I38" s="10">
        <v>0.1492</v>
      </c>
      <c r="J38" s="4"/>
      <c r="K38" s="10">
        <v>0.29520000000000002</v>
      </c>
      <c r="L38" s="4"/>
      <c r="M38" s="10">
        <v>0.33189999999999997</v>
      </c>
    </row>
    <row r="39" spans="1:13" ht="14" customHeight="1" x14ac:dyDescent="0.15">
      <c r="A39" s="4">
        <v>2018</v>
      </c>
      <c r="C39" s="10">
        <v>0.2928</v>
      </c>
      <c r="D39" s="10"/>
      <c r="E39" s="10">
        <v>0.27623500000000001</v>
      </c>
      <c r="F39" s="12"/>
      <c r="G39" s="10">
        <v>1.729E-2</v>
      </c>
      <c r="H39" s="13"/>
      <c r="I39" s="10">
        <v>0.14915</v>
      </c>
      <c r="J39" s="10"/>
      <c r="K39" s="10">
        <v>0.30782100000000001</v>
      </c>
      <c r="L39" s="10"/>
      <c r="M39" s="10">
        <v>0.37990000000000002</v>
      </c>
    </row>
    <row r="40" spans="1:13" ht="14" customHeight="1" x14ac:dyDescent="0.15">
      <c r="A40" s="4">
        <v>2017</v>
      </c>
      <c r="C40" s="10">
        <v>0.2928</v>
      </c>
      <c r="D40" s="10"/>
      <c r="E40" s="10">
        <v>0.27623500000000001</v>
      </c>
      <c r="F40" s="12"/>
      <c r="G40" s="10">
        <v>1.729E-2</v>
      </c>
      <c r="H40" s="13"/>
      <c r="I40" s="10">
        <v>0.14915</v>
      </c>
      <c r="J40" s="10"/>
      <c r="K40" s="10">
        <v>0.2928</v>
      </c>
      <c r="L40" s="10"/>
      <c r="M40" s="10">
        <v>0.3851</v>
      </c>
    </row>
    <row r="41" spans="1:13" ht="14" customHeight="1" x14ac:dyDescent="0.15">
      <c r="A41" s="4">
        <v>2016</v>
      </c>
      <c r="C41" s="10">
        <v>0.29292099999999999</v>
      </c>
      <c r="D41" s="10"/>
      <c r="E41" s="10">
        <v>0.2762</v>
      </c>
      <c r="F41" s="12"/>
      <c r="G41" s="10">
        <v>1.729E-2</v>
      </c>
      <c r="H41" s="13"/>
      <c r="I41" s="10">
        <v>0.14915</v>
      </c>
      <c r="J41" s="10"/>
      <c r="K41" s="10">
        <v>0.29292099999999999</v>
      </c>
      <c r="L41" s="10"/>
      <c r="M41" s="10">
        <v>0.3851</v>
      </c>
    </row>
    <row r="42" spans="1:13" ht="14" customHeight="1" x14ac:dyDescent="0.15">
      <c r="A42" s="4">
        <v>2015</v>
      </c>
      <c r="C42" s="15">
        <v>0.29289999999999999</v>
      </c>
      <c r="D42" s="15"/>
      <c r="E42" s="15">
        <v>0.27623500000000001</v>
      </c>
      <c r="F42" s="16"/>
      <c r="G42" s="15">
        <v>1.7798000000000001E-2</v>
      </c>
      <c r="H42" s="13"/>
      <c r="I42" s="10">
        <v>0.14915</v>
      </c>
      <c r="J42" s="10"/>
      <c r="K42" s="15">
        <v>0.29289999999999999</v>
      </c>
      <c r="L42" s="10"/>
      <c r="M42" s="10">
        <v>0.39410000000000001</v>
      </c>
    </row>
    <row r="43" spans="1:13" ht="14" customHeight="1" x14ac:dyDescent="0.15">
      <c r="A43" s="4">
        <v>2014</v>
      </c>
      <c r="C43" s="15">
        <v>0.278221</v>
      </c>
      <c r="D43" s="15"/>
      <c r="E43" s="15">
        <v>0.27623999999999999</v>
      </c>
      <c r="F43" s="16"/>
      <c r="G43" s="15">
        <v>1.737E-2</v>
      </c>
      <c r="H43" s="13"/>
      <c r="I43" s="10">
        <v>0.14915</v>
      </c>
      <c r="J43" s="10"/>
      <c r="K43" s="15">
        <v>0.278221</v>
      </c>
      <c r="L43" s="10"/>
      <c r="M43" s="10">
        <v>0.39989999999999998</v>
      </c>
    </row>
    <row r="44" spans="1:13" ht="14" customHeight="1" x14ac:dyDescent="0.15">
      <c r="A44" s="4">
        <v>2013</v>
      </c>
      <c r="C44" s="15">
        <v>0.30522100000000002</v>
      </c>
      <c r="D44" s="15"/>
      <c r="E44" s="15">
        <v>0.27623500000000001</v>
      </c>
      <c r="F44" s="16"/>
      <c r="G44" s="15">
        <v>1.737E-2</v>
      </c>
      <c r="H44" s="13"/>
      <c r="I44" s="10">
        <v>0.141623</v>
      </c>
      <c r="J44" s="10"/>
      <c r="K44" s="10">
        <v>0.35042099999999998</v>
      </c>
      <c r="L44" s="10"/>
      <c r="M44" s="10">
        <v>0.40360000000000001</v>
      </c>
    </row>
    <row r="45" spans="1:13" ht="14" hidden="1" customHeight="1" x14ac:dyDescent="0.15">
      <c r="A45" s="4">
        <v>2012</v>
      </c>
      <c r="C45" s="15">
        <v>0.32686599999999999</v>
      </c>
      <c r="D45" s="15"/>
      <c r="E45" s="15">
        <v>0.27623500000000001</v>
      </c>
      <c r="F45" s="16"/>
      <c r="G45" s="15">
        <v>1.6652E-2</v>
      </c>
      <c r="H45" s="13"/>
      <c r="I45" s="10">
        <v>0.141623</v>
      </c>
      <c r="J45" s="10"/>
      <c r="K45" s="10">
        <v>0.33400000000000002</v>
      </c>
      <c r="L45" s="10"/>
      <c r="M45" s="10">
        <v>0.40360000000000001</v>
      </c>
    </row>
    <row r="46" spans="1:13" ht="14" customHeight="1" x14ac:dyDescent="0.15">
      <c r="A46" s="4"/>
      <c r="C46" s="10"/>
      <c r="D46" s="10"/>
      <c r="E46" s="10"/>
      <c r="F46" s="12"/>
      <c r="G46" s="10"/>
      <c r="H46" s="12"/>
      <c r="I46" s="10"/>
      <c r="J46" s="10"/>
      <c r="K46" s="10"/>
      <c r="L46" s="10"/>
      <c r="M46" s="10"/>
    </row>
    <row r="47" spans="1:13" ht="14" customHeight="1" x14ac:dyDescent="0.15">
      <c r="A47" s="4"/>
      <c r="C47" s="10"/>
      <c r="D47" s="10"/>
      <c r="E47" s="10"/>
      <c r="F47" s="12"/>
      <c r="G47" s="10"/>
      <c r="H47" s="12"/>
      <c r="I47" s="10"/>
      <c r="J47" s="10"/>
      <c r="K47" s="10"/>
      <c r="L47" s="10"/>
      <c r="M47" s="10"/>
    </row>
    <row r="48" spans="1:13" ht="14" customHeight="1" x14ac:dyDescent="0.15">
      <c r="A48" s="2" t="s">
        <v>29</v>
      </c>
    </row>
  </sheetData>
  <mergeCells count="8">
    <mergeCell ref="C28:M28"/>
    <mergeCell ref="C29:I29"/>
    <mergeCell ref="A1:M1"/>
    <mergeCell ref="A3:M3"/>
    <mergeCell ref="A5:M5"/>
    <mergeCell ref="A6:M6"/>
    <mergeCell ref="C9:E9"/>
    <mergeCell ref="I9:K9"/>
  </mergeCells>
  <pageMargins left="0.75" right="0.75" top="0.5" bottom="1" header="0.5" footer="0.5"/>
  <pageSetup firstPageNumber="120" orientation="portrait" r:id="rId1"/>
  <headerFooter alignWithMargins="0">
    <oddHeader>&amp;R&amp;"Verdana,Bold"&amp;9TABLE 8</oddHeader>
    <oddFooter>&amp;C&amp;"Verdana,Bold"&amp;9&amp;P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Prop Tax Rates</vt:lpstr>
      <vt:lpstr>'Prop Tax Rates'!Print_Area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S</dc:creator>
  <cp:lastModifiedBy>D S</cp:lastModifiedBy>
  <dcterms:created xsi:type="dcterms:W3CDTF">2026-02-15T21:00:10Z</dcterms:created>
  <dcterms:modified xsi:type="dcterms:W3CDTF">2026-02-15T21:00:35Z</dcterms:modified>
</cp:coreProperties>
</file>
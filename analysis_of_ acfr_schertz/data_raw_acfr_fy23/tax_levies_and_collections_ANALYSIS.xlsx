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13EAAFB4-FA7A-6149-8E27-A231D30B636B}" xr6:coauthVersionLast="47" xr6:coauthVersionMax="47" xr10:uidLastSave="{00000000-0000-0000-0000-000000000000}"/>
  <bookViews>
    <workbookView xWindow="7260" yWindow="3520" windowWidth="27240" windowHeight="16440" xr2:uid="{E28969E1-515C-A844-A4A5-A558F644EB87}"/>
  </bookViews>
  <sheets>
    <sheet name="Tax Levies &amp; Collections" sheetId="1" r:id="rId1"/>
  </sheets>
  <definedNames>
    <definedName name="_xlnm.Print_Area" localSheetId="0">'Tax Levies &amp; Collections'!$A$1:$M$27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G25" i="1"/>
  <c r="I24" i="1"/>
  <c r="E24" i="1"/>
  <c r="G24" i="1" s="1"/>
  <c r="C24" i="1"/>
  <c r="M24" i="1" s="1"/>
  <c r="M23" i="1"/>
  <c r="I23" i="1"/>
  <c r="G23" i="1"/>
  <c r="M22" i="1"/>
  <c r="I22" i="1"/>
  <c r="G22" i="1"/>
  <c r="M21" i="1"/>
  <c r="I21" i="1"/>
  <c r="G21" i="1"/>
  <c r="M20" i="1"/>
  <c r="I20" i="1"/>
  <c r="G20" i="1"/>
  <c r="I19" i="1"/>
  <c r="K19" i="1" s="1"/>
  <c r="M19" i="1" s="1"/>
  <c r="G19" i="1"/>
  <c r="I18" i="1"/>
  <c r="K18" i="1" s="1"/>
  <c r="M18" i="1" s="1"/>
  <c r="G18" i="1"/>
  <c r="I17" i="1"/>
  <c r="K17" i="1" s="1"/>
  <c r="M17" i="1" s="1"/>
  <c r="G17" i="1"/>
  <c r="I16" i="1"/>
  <c r="K16" i="1" s="1"/>
  <c r="M16" i="1" s="1"/>
  <c r="G16" i="1"/>
  <c r="K15" i="1"/>
  <c r="M15" i="1" s="1"/>
  <c r="I15" i="1"/>
  <c r="G15" i="1"/>
  <c r="I14" i="1"/>
  <c r="K14" i="1" s="1"/>
  <c r="M14" i="1" s="1"/>
  <c r="G14" i="1"/>
  <c r="I13" i="1"/>
  <c r="K13" i="1" s="1"/>
  <c r="M13" i="1" s="1"/>
  <c r="E13" i="1"/>
  <c r="G13" i="1" s="1"/>
</calcChain>
</file>

<file path=xl/sharedStrings.xml><?xml version="1.0" encoding="utf-8"?>
<sst xmlns="http://schemas.openxmlformats.org/spreadsheetml/2006/main" count="23" uniqueCount="19">
  <si>
    <t>CITY OF SCHERTZ, TEXAS</t>
  </si>
  <si>
    <t>PROPERTY TAX LEVIES AND COLLECTIONS</t>
  </si>
  <si>
    <t>LAST TEN FISCAL YEARS</t>
  </si>
  <si>
    <t>(UNAUDITED)</t>
  </si>
  <si>
    <t>Collected Within</t>
  </si>
  <si>
    <t>Total Collections</t>
  </si>
  <si>
    <t>Fiscal Year</t>
  </si>
  <si>
    <t>Taxes Levied</t>
  </si>
  <si>
    <t>Fiscal Year of Levy</t>
  </si>
  <si>
    <t>Collections In</t>
  </si>
  <si>
    <t>To Date</t>
  </si>
  <si>
    <t>Ended</t>
  </si>
  <si>
    <t xml:space="preserve">for the </t>
  </si>
  <si>
    <t>% of</t>
  </si>
  <si>
    <t>Subsequent</t>
  </si>
  <si>
    <t>September 30,</t>
  </si>
  <si>
    <t>Amount</t>
  </si>
  <si>
    <t>Levy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</si>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</sst>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</numFmts>
  <fonts count="4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1" fontId="2" fillId="0" borderId="0" xfId="0" applyNumberFormat="1" applyFont="1" applyAlignment="1">
      <alignment horizontal="center"/>
    </xf>
    <xf numFmtId="10" fontId="2" fillId="0" borderId="0" xfId="0" applyNumberFormat="1" applyFont="1"/>
    <xf numFmtId="41" fontId="2" fillId="0" borderId="0" xfId="0" applyNumberFormat="1" applyFont="1"/>
    <xf numFmtId="42" fontId="2" fillId="0" borderId="0" xfId="0" applyNumberFormat="1" applyFont="1"/>
    <xf numFmtId="41" fontId="2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EE84-2D77-0D45-99F7-8A397A38743C}">
  <sheetPr>
    <tabColor rgb="FF00FF00"/>
  </sheetPr>
  <dimension ref="A1:U25"/>
  <sheetViews>
    <sheetView tabSelected="1" zoomScaleNormal="100" zoomScaleSheetLayoutView="76" workbookViewId="0">
      <selection activeCell="P24" sqref="P24"/>
    </sheetView>
  </sheetViews>
  <sheetFormatPr baseColWidth="10" defaultColWidth="9.1640625" defaultRowHeight="12" customHeight="1" x14ac:dyDescent="0.15"/>
  <cols>
    <col min="1" max="1" width="13.33203125" style="2" customWidth="1"/>
    <col min="2" max="2" width="0.5" style="2" customWidth="1"/>
    <col min="3" max="3" width="14" style="2" bestFit="1" customWidth="1"/>
    <col min="4" max="4" width="0.5" style="2" customWidth="1"/>
    <col min="5" max="5" width="14" style="2" bestFit="1" customWidth="1"/>
    <col min="6" max="6" width="0.6640625" style="2" customWidth="1"/>
    <col min="7" max="7" width="9.83203125" style="2" customWidth="1"/>
    <col min="8" max="8" width="0.6640625" style="2" customWidth="1"/>
    <col min="9" max="9" width="12.6640625" style="2" customWidth="1"/>
    <col min="10" max="10" width="0.6640625" style="2" customWidth="1"/>
    <col min="11" max="11" width="14" style="2" bestFit="1" customWidth="1"/>
    <col min="12" max="12" width="0.83203125" style="2" customWidth="1"/>
    <col min="13" max="13" width="9.33203125" style="2" customWidth="1"/>
    <col min="14" max="16" width="9.1640625" style="2"/>
    <col min="17" max="17" width="10.33203125" style="2" bestFit="1" customWidth="1"/>
    <col min="18" max="18" width="9.1640625" style="2"/>
    <col min="19" max="19" width="10.6640625" style="2" bestFit="1" customWidth="1"/>
    <col min="20" max="16384" width="9.1640625" style="2"/>
  </cols>
  <sheetData>
    <row r="1" spans="1:2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1" x14ac:dyDescent="0.15"/>
    <row r="3" spans="1:21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1" x14ac:dyDescent="0.15"/>
    <row r="5" spans="1:21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21" x14ac:dyDescent="0.15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21" x14ac:dyDescent="0.15"/>
    <row r="8" spans="1:21" x14ac:dyDescent="0.15"/>
    <row r="9" spans="1:21" x14ac:dyDescent="0.15">
      <c r="C9" s="4"/>
      <c r="E9" s="3" t="s">
        <v>4</v>
      </c>
      <c r="F9" s="5"/>
      <c r="G9" s="5"/>
      <c r="K9" s="3" t="s">
        <v>5</v>
      </c>
      <c r="L9" s="5"/>
      <c r="M9" s="5"/>
    </row>
    <row r="10" spans="1:21" x14ac:dyDescent="0.15">
      <c r="A10" s="4" t="s">
        <v>6</v>
      </c>
      <c r="B10" s="4"/>
      <c r="C10" s="4" t="s">
        <v>7</v>
      </c>
      <c r="D10" s="4"/>
      <c r="E10" s="6" t="s">
        <v>8</v>
      </c>
      <c r="F10" s="6"/>
      <c r="G10" s="6"/>
      <c r="H10" s="4"/>
      <c r="I10" s="4" t="s">
        <v>9</v>
      </c>
      <c r="J10" s="4"/>
      <c r="K10" s="6" t="s">
        <v>10</v>
      </c>
      <c r="L10" s="6"/>
      <c r="M10" s="6"/>
    </row>
    <row r="11" spans="1:21" x14ac:dyDescent="0.15">
      <c r="A11" s="4" t="s">
        <v>11</v>
      </c>
      <c r="B11" s="4"/>
      <c r="C11" s="4" t="s">
        <v>12</v>
      </c>
      <c r="D11" s="4"/>
      <c r="E11" s="4"/>
      <c r="F11" s="4"/>
      <c r="G11" s="4" t="s">
        <v>13</v>
      </c>
      <c r="H11" s="4"/>
      <c r="I11" s="4" t="s">
        <v>14</v>
      </c>
      <c r="J11" s="4"/>
      <c r="K11" s="4"/>
      <c r="L11" s="4"/>
      <c r="M11" s="4" t="s">
        <v>13</v>
      </c>
    </row>
    <row r="12" spans="1:21" x14ac:dyDescent="0.15">
      <c r="A12" s="7" t="s">
        <v>15</v>
      </c>
      <c r="B12" s="4"/>
      <c r="C12" s="8" t="s">
        <v>6</v>
      </c>
      <c r="D12" s="4"/>
      <c r="E12" s="8" t="s">
        <v>16</v>
      </c>
      <c r="F12" s="4"/>
      <c r="G12" s="8" t="s">
        <v>17</v>
      </c>
      <c r="H12" s="4"/>
      <c r="I12" s="8" t="s">
        <v>18</v>
      </c>
      <c r="J12" s="4"/>
      <c r="K12" s="8" t="s">
        <v>16</v>
      </c>
      <c r="L12" s="4"/>
      <c r="M12" s="8" t="s">
        <v>17</v>
      </c>
      <c r="T12" s="2">
        <v>2022</v>
      </c>
      <c r="U12" s="2">
        <v>2023</v>
      </c>
    </row>
    <row r="13" spans="1:21" x14ac:dyDescent="0.15">
      <c r="A13" s="4">
        <v>2024</v>
      </c>
      <c r="C13" s="9">
        <v>28354039.440000001</v>
      </c>
      <c r="E13" s="9">
        <f>28023427.37</f>
        <v>28023427.370000001</v>
      </c>
      <c r="G13" s="10">
        <f t="shared" ref="G13:G25" si="0">SUM(E13/C13)</f>
        <v>0.98833985998010587</v>
      </c>
      <c r="I13" s="11">
        <f>SUM(S13:AC13)</f>
        <v>0</v>
      </c>
      <c r="K13" s="9">
        <f>I13+E13</f>
        <v>28023427.370000001</v>
      </c>
      <c r="M13" s="10">
        <f>SUM(K13/C13)</f>
        <v>0.98833985998010587</v>
      </c>
    </row>
    <row r="14" spans="1:21" x14ac:dyDescent="0.15">
      <c r="A14" s="4">
        <v>2023</v>
      </c>
      <c r="C14" s="9">
        <v>26144518.079999998</v>
      </c>
      <c r="E14" s="9">
        <v>25757953.149999999</v>
      </c>
      <c r="G14" s="10">
        <f t="shared" si="0"/>
        <v>0.98521430271473565</v>
      </c>
      <c r="I14" s="11">
        <f>SUM(S14:AC14)</f>
        <v>57109.9</v>
      </c>
      <c r="K14" s="9">
        <f>25757953.15+I14</f>
        <v>25815063.049999997</v>
      </c>
      <c r="M14" s="10">
        <f>SUM(K14/C14)</f>
        <v>0.98739869562743909</v>
      </c>
      <c r="U14" s="2">
        <v>57109.9</v>
      </c>
    </row>
    <row r="15" spans="1:21" ht="12" customHeight="1" x14ac:dyDescent="0.15">
      <c r="A15" s="4">
        <v>2022</v>
      </c>
      <c r="C15" s="9">
        <v>22951478</v>
      </c>
      <c r="E15" s="9">
        <v>22775565</v>
      </c>
      <c r="G15" s="10">
        <f t="shared" si="0"/>
        <v>0.99233543913816791</v>
      </c>
      <c r="I15" s="11">
        <f t="shared" ref="I15:I24" si="1">SUM(S15:AC15)</f>
        <v>110107.16</v>
      </c>
      <c r="K15" s="9">
        <f>E15+I15</f>
        <v>22885672.16</v>
      </c>
      <c r="M15" s="10">
        <f>SUM(K15/C15)</f>
        <v>0.99713282778564416</v>
      </c>
      <c r="S15" s="2">
        <v>0</v>
      </c>
      <c r="T15" s="2">
        <v>137846.29</v>
      </c>
      <c r="U15" s="2">
        <v>-27739.13</v>
      </c>
    </row>
    <row r="16" spans="1:21" ht="12" customHeight="1" x14ac:dyDescent="0.15">
      <c r="A16" s="4">
        <v>2021</v>
      </c>
      <c r="C16" s="9">
        <v>22011090</v>
      </c>
      <c r="E16" s="9">
        <v>21787625</v>
      </c>
      <c r="G16" s="10">
        <f t="shared" si="0"/>
        <v>0.98984761772361118</v>
      </c>
      <c r="I16" s="11">
        <f t="shared" si="1"/>
        <v>24328.5</v>
      </c>
      <c r="K16" s="9">
        <f>I16+E16</f>
        <v>21811953.5</v>
      </c>
      <c r="M16" s="10">
        <f>SUM(K16/C16)</f>
        <v>0.99095290146921389</v>
      </c>
      <c r="S16" s="9">
        <v>40262</v>
      </c>
      <c r="T16" s="2">
        <v>1872.83</v>
      </c>
      <c r="U16" s="2">
        <v>-17806.330000000002</v>
      </c>
    </row>
    <row r="17" spans="1:21" ht="12" customHeight="1" x14ac:dyDescent="0.15">
      <c r="A17" s="4">
        <v>2020</v>
      </c>
      <c r="C17" s="9">
        <v>20854329.060000002</v>
      </c>
      <c r="E17" s="9">
        <v>20758492.939999998</v>
      </c>
      <c r="G17" s="10">
        <f t="shared" si="0"/>
        <v>0.99540449756382599</v>
      </c>
      <c r="I17" s="11">
        <f t="shared" si="1"/>
        <v>82648.01999999999</v>
      </c>
      <c r="K17" s="9">
        <f>I17+E17</f>
        <v>20841140.959999997</v>
      </c>
      <c r="M17" s="10">
        <f t="shared" ref="M17:M25" si="2">SUM(K17/C17)</f>
        <v>0.99936760852089457</v>
      </c>
      <c r="S17" s="9">
        <v>68692</v>
      </c>
      <c r="T17" s="2">
        <v>14934.73</v>
      </c>
      <c r="U17" s="2">
        <v>-978.71</v>
      </c>
    </row>
    <row r="18" spans="1:21" ht="12" customHeight="1" x14ac:dyDescent="0.15">
      <c r="A18" s="4">
        <v>2019</v>
      </c>
      <c r="C18" s="9">
        <v>19922568</v>
      </c>
      <c r="E18" s="9">
        <v>19825244</v>
      </c>
      <c r="G18" s="10">
        <f t="shared" si="0"/>
        <v>0.99511488679571836</v>
      </c>
      <c r="I18" s="11">
        <f t="shared" si="1"/>
        <v>91224.06</v>
      </c>
      <c r="K18" s="9">
        <f>I18+E18</f>
        <v>19916468.059999999</v>
      </c>
      <c r="M18" s="10">
        <f t="shared" si="2"/>
        <v>0.99969381758415876</v>
      </c>
      <c r="O18" s="11"/>
      <c r="P18" s="12"/>
      <c r="Q18" s="12"/>
      <c r="S18" s="9">
        <v>85062</v>
      </c>
      <c r="T18" s="2">
        <v>2743.18</v>
      </c>
      <c r="U18" s="2">
        <v>3418.88</v>
      </c>
    </row>
    <row r="19" spans="1:21" ht="12" customHeight="1" x14ac:dyDescent="0.15">
      <c r="A19" s="4">
        <v>2018</v>
      </c>
      <c r="C19" s="9">
        <v>18010824</v>
      </c>
      <c r="D19" s="11"/>
      <c r="E19" s="9">
        <v>17899825</v>
      </c>
      <c r="F19" s="11"/>
      <c r="G19" s="10">
        <f t="shared" si="0"/>
        <v>0.99383709484918625</v>
      </c>
      <c r="H19" s="11"/>
      <c r="I19" s="11">
        <f t="shared" si="1"/>
        <v>74731.91</v>
      </c>
      <c r="J19" s="11"/>
      <c r="K19" s="9">
        <f>I19+E19</f>
        <v>17974556.91</v>
      </c>
      <c r="L19" s="11"/>
      <c r="M19" s="10">
        <f t="shared" si="2"/>
        <v>0.9979863725279865</v>
      </c>
      <c r="O19" s="11"/>
      <c r="P19" s="12"/>
      <c r="Q19" s="12"/>
      <c r="S19" s="9">
        <v>71342</v>
      </c>
      <c r="T19" s="2">
        <v>3206.09</v>
      </c>
      <c r="U19" s="2">
        <v>183.82</v>
      </c>
    </row>
    <row r="20" spans="1:21" ht="12" customHeight="1" x14ac:dyDescent="0.15">
      <c r="A20" s="4">
        <v>2017</v>
      </c>
      <c r="C20" s="9">
        <v>17356822</v>
      </c>
      <c r="D20" s="11"/>
      <c r="E20" s="9">
        <v>17241556</v>
      </c>
      <c r="F20" s="11"/>
      <c r="G20" s="10">
        <f t="shared" si="0"/>
        <v>0.99335903773167689</v>
      </c>
      <c r="H20" s="11"/>
      <c r="I20" s="11">
        <f t="shared" si="1"/>
        <v>74365.98</v>
      </c>
      <c r="J20" s="11"/>
      <c r="K20" s="9">
        <v>17314231</v>
      </c>
      <c r="L20" s="11"/>
      <c r="M20" s="10">
        <f t="shared" si="2"/>
        <v>0.99754615217002285</v>
      </c>
      <c r="O20" s="11"/>
      <c r="P20" s="12"/>
      <c r="Q20" s="12"/>
      <c r="S20" s="13">
        <v>72675</v>
      </c>
      <c r="T20" s="2">
        <v>1618.83</v>
      </c>
      <c r="U20" s="2">
        <v>72.150000000000006</v>
      </c>
    </row>
    <row r="21" spans="1:21" ht="12" customHeight="1" x14ac:dyDescent="0.15">
      <c r="A21" s="4">
        <v>2016</v>
      </c>
      <c r="C21" s="9">
        <v>16238180</v>
      </c>
      <c r="D21" s="11"/>
      <c r="E21" s="9">
        <v>16160248</v>
      </c>
      <c r="F21" s="11"/>
      <c r="G21" s="10">
        <f t="shared" si="0"/>
        <v>0.99520069367379838</v>
      </c>
      <c r="H21" s="11"/>
      <c r="I21" s="11">
        <f t="shared" si="1"/>
        <v>59083.81</v>
      </c>
      <c r="J21" s="11"/>
      <c r="K21" s="9">
        <v>16218083</v>
      </c>
      <c r="L21" s="11"/>
      <c r="M21" s="10">
        <f t="shared" si="2"/>
        <v>0.99876236129911111</v>
      </c>
      <c r="O21" s="11"/>
      <c r="P21" s="12"/>
      <c r="Q21" s="12"/>
      <c r="S21" s="13">
        <v>57835</v>
      </c>
      <c r="T21" s="2">
        <v>1236.78</v>
      </c>
      <c r="U21" s="2">
        <v>12.03</v>
      </c>
    </row>
    <row r="22" spans="1:21" ht="12" customHeight="1" x14ac:dyDescent="0.15">
      <c r="A22" s="4">
        <v>2015</v>
      </c>
      <c r="C22" s="9">
        <v>14793867</v>
      </c>
      <c r="D22" s="11"/>
      <c r="E22" s="11">
        <v>14738760</v>
      </c>
      <c r="F22" s="11"/>
      <c r="G22" s="10">
        <f t="shared" si="0"/>
        <v>0.99627501044858657</v>
      </c>
      <c r="H22" s="11"/>
      <c r="I22" s="11">
        <f t="shared" si="1"/>
        <v>45621.56</v>
      </c>
      <c r="J22" s="11"/>
      <c r="K22" s="9">
        <v>14783490</v>
      </c>
      <c r="L22" s="11"/>
      <c r="M22" s="10">
        <f t="shared" si="2"/>
        <v>0.99929856068058476</v>
      </c>
      <c r="O22" s="11"/>
      <c r="P22" s="12"/>
      <c r="Q22" s="12"/>
      <c r="S22" s="13">
        <v>44730</v>
      </c>
      <c r="T22" s="2">
        <v>884.5</v>
      </c>
      <c r="U22" s="2">
        <v>7.06</v>
      </c>
    </row>
    <row r="23" spans="1:21" ht="12" customHeight="1" x14ac:dyDescent="0.15">
      <c r="A23" s="4">
        <v>2014</v>
      </c>
      <c r="C23" s="9">
        <v>13383759</v>
      </c>
      <c r="D23" s="11"/>
      <c r="E23" s="9">
        <v>13297258</v>
      </c>
      <c r="F23" s="11"/>
      <c r="G23" s="10">
        <f t="shared" si="0"/>
        <v>0.99353686808018582</v>
      </c>
      <c r="H23" s="11"/>
      <c r="I23" s="11">
        <f t="shared" si="1"/>
        <v>68805.25</v>
      </c>
      <c r="J23" s="11"/>
      <c r="K23" s="9">
        <v>13365670</v>
      </c>
      <c r="L23" s="11"/>
      <c r="M23" s="10">
        <f t="shared" si="2"/>
        <v>0.99864843651174529</v>
      </c>
      <c r="O23" s="11"/>
      <c r="P23" s="12"/>
      <c r="Q23" s="12"/>
      <c r="S23" s="13">
        <v>68412</v>
      </c>
      <c r="T23" s="2">
        <v>240.13</v>
      </c>
      <c r="U23" s="2">
        <v>153.12</v>
      </c>
    </row>
    <row r="24" spans="1:21" ht="12" customHeight="1" x14ac:dyDescent="0.15">
      <c r="A24" s="4">
        <v>2013</v>
      </c>
      <c r="C24" s="9">
        <f>5030274+7506266</f>
        <v>12536540</v>
      </c>
      <c r="D24" s="11"/>
      <c r="E24" s="11">
        <f>4997690+7457646</f>
        <v>12455336</v>
      </c>
      <c r="F24" s="11"/>
      <c r="G24" s="10">
        <f t="shared" si="0"/>
        <v>0.99352261469273018</v>
      </c>
      <c r="H24" s="11"/>
      <c r="I24" s="11">
        <f t="shared" si="1"/>
        <v>71915.3</v>
      </c>
      <c r="J24" s="11"/>
      <c r="K24" s="9">
        <v>12526768</v>
      </c>
      <c r="L24" s="11"/>
      <c r="M24" s="10">
        <f t="shared" si="2"/>
        <v>0.99922051858008665</v>
      </c>
      <c r="O24" s="11"/>
      <c r="P24" s="12"/>
      <c r="Q24" s="12"/>
      <c r="S24" s="13">
        <v>71432</v>
      </c>
      <c r="T24" s="2">
        <v>477.3</v>
      </c>
      <c r="U24" s="2">
        <v>6</v>
      </c>
    </row>
    <row r="25" spans="1:21" ht="12" hidden="1" customHeight="1" x14ac:dyDescent="0.15">
      <c r="A25" s="4">
        <v>2012</v>
      </c>
      <c r="C25" s="9">
        <v>11239572</v>
      </c>
      <c r="D25" s="11"/>
      <c r="E25" s="11">
        <v>11159974</v>
      </c>
      <c r="F25" s="11"/>
      <c r="G25" s="10">
        <f t="shared" si="0"/>
        <v>0.99291805773387098</v>
      </c>
      <c r="H25" s="11"/>
      <c r="I25" s="13">
        <v>71740</v>
      </c>
      <c r="J25" s="11"/>
      <c r="K25" s="9">
        <v>11231714</v>
      </c>
      <c r="L25" s="11"/>
      <c r="M25" s="10">
        <f t="shared" si="2"/>
        <v>0.99930086305777477</v>
      </c>
      <c r="O25" s="11"/>
      <c r="P25" s="12"/>
      <c r="Q25" s="12"/>
    </row>
  </sheetData>
  <mergeCells count="8">
    <mergeCell ref="E10:G10"/>
    <mergeCell ref="K10:M10"/>
    <mergeCell ref="A1:M1"/>
    <mergeCell ref="A3:M3"/>
    <mergeCell ref="A5:M5"/>
    <mergeCell ref="A6:M6"/>
    <mergeCell ref="E9:G9"/>
    <mergeCell ref="K9:M9"/>
  </mergeCells>
  <pageMargins left="0.75" right="0.75" top="0.5" bottom="1" header="0.5" footer="0.5"/>
  <pageSetup firstPageNumber="102" orientation="portrait" useFirstPageNumber="1" r:id="rId1"/>
  <headerFooter alignWithMargins="0">
    <oddHeader>&amp;R&amp;"Verdana,Bold"&amp;9TABLE 10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Tax Levies &amp; Collections</vt:lpstr>
      <vt:lpstr>'Tax Levies &amp; Collections'!Print_Area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2026-02-15T21:02:07Z</dcterms:created>
  <dcterms:modified xsi:type="dcterms:W3CDTF">2026-02-15T21:02:47Z</dcterms:modified>
</cp:coreProperties>
</file>
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ACFR FY23/"/>
    </mc:Choice>
  </mc:AlternateContent>
  <xr:revisionPtr revIDLastSave="0" documentId="8_{0D53B8FD-BE06-2F43-98E3-B49DC9629EF0}" xr6:coauthVersionLast="47" xr6:coauthVersionMax="47" xr10:uidLastSave="{00000000-0000-0000-0000-000000000000}"/>
  <bookViews>
    <workbookView xWindow="7660" yWindow="4020" windowWidth="26840" windowHeight="15940" xr2:uid="{5FCB3CB7-567E-5D46-B3B9-4730B83AE22C}"/>
  </bookViews>
  <sheets>
    <sheet name="Top 10 Employers" sheetId="1" r:id="rId1"/>
  </sheets>
  <definedNames>
    <definedName name="_xlnm.Print_Area" localSheetId="0">'Top 10 Employers'!$A$1:$J$29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1" l="1"/>
  <c r="H26" i="1"/>
  <c r="D26" i="1"/>
  <c r="F21" i="1"/>
  <c r="F20" i="1"/>
  <c r="F19" i="1"/>
  <c r="F18" i="1"/>
  <c r="F17" i="1"/>
  <c r="F16" i="1"/>
  <c r="F15" i="1"/>
  <c r="F14" i="1"/>
  <c r="F13" i="1"/>
  <c r="F12" i="1"/>
  <c r="F26" i="1" s="1"/>
</calcChain>
</file>

<file path=xl/sharedStrings.xml><?xml version="1.0" encoding="utf-8"?>
<sst xmlns="http://schemas.openxmlformats.org/spreadsheetml/2006/main" count="30" uniqueCount="23">
  <si>
    <t>CITY OF SCHERTZ, TEXAS</t>
  </si>
  <si>
    <t>TOP TEN PRINCIPAL EMPLOYERS</t>
  </si>
  <si>
    <t>CURRENT YEAR AND NINE YEARS AGO</t>
  </si>
  <si>
    <t>Employer</t>
  </si>
  <si>
    <t>Employees</t>
  </si>
  <si>
    <t>Percentage
of Total City
Employment</t>
  </si>
  <si>
    <t>Schertz-Cibolo-Universal City ISD</t>
  </si>
  <si>
    <t>Amazon</t>
  </si>
  <si>
    <t>Sysco Central Texas, Inc</t>
  </si>
  <si>
    <t>Total employment in city:</t>
  </si>
  <si>
    <t>FedEx Ground - Doerr Lane, Schertz</t>
  </si>
  <si>
    <t xml:space="preserve"> </t>
  </si>
  <si>
    <t>Republic National Distributing Company</t>
  </si>
  <si>
    <t>Brandt Companies</t>
  </si>
  <si>
    <t>City of Schertz</t>
  </si>
  <si>
    <t>Visionworks</t>
  </si>
  <si>
    <t>Hollingsworth Logistics Group</t>
  </si>
  <si>
    <t>H.E.B Grocery Co.</t>
  </si>
  <si>
    <t>GE Oil &amp; Gas</t>
  </si>
  <si>
    <t>Wal-mart Stores</t>
  </si>
  <si>
    <t>HVHC</t>
  </si>
  <si>
    <t>TOTAL</t>
  </si>
  <si>
    <t>Source:  City Economic Development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</si>
</sst>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$_(* #,##0_);_$\(* #,##0\);_$_(* &quot;-&quot;???_);_$_(@_)"/>
    <numFmt numFmtId="165" formatCode="_$_(* #,##0.00%_);_$\(* #,##0.00%\);_$_(* &quot;-&quot;???_);_$_(@_)"/>
  </numFmts>
  <fonts count="7" x14ac:knownFonts="1">
    <font>
      <sz val="11"/>
      <name val="Times New Roman"/>
      <family val="1"/>
    </font>
    <font>
      <b/>
      <sz val="9"/>
      <name val="Verdana"/>
      <family val="2"/>
    </font>
    <font>
      <sz val="9"/>
      <name val="Verdana"/>
      <family val="2"/>
    </font>
    <font>
      <u/>
      <sz val="9"/>
      <name val="Verdana"/>
      <family val="2"/>
    </font>
    <font>
      <u val="singleAccounting"/>
      <sz val="9"/>
      <name val="Verdana"/>
      <family val="2"/>
    </font>
    <font>
      <u val="doubleAccounting"/>
      <sz val="9"/>
      <name val="Verdan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Continuous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3" fillId="0" borderId="0" xfId="0" applyFont="1"/>
    <xf numFmtId="0" fontId="2" fillId="0" borderId="1" xfId="0" applyFont="1" applyBorder="1" applyAlignment="1">
      <alignment horizontal="center" wrapText="1"/>
    </xf>
    <xf numFmtId="41" fontId="2" fillId="0" borderId="0" xfId="0" applyNumberFormat="1" applyFont="1"/>
    <xf numFmtId="10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center"/>
    </xf>
    <xf numFmtId="3" fontId="2" fillId="0" borderId="0" xfId="0" applyNumberFormat="1" applyFont="1"/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center"/>
    </xf>
    <xf numFmtId="10" fontId="2" fillId="0" borderId="0" xfId="0" applyNumberFormat="1" applyFont="1"/>
    <xf numFmtId="0" fontId="6" fillId="0" borderId="0" xfId="1"/>
    <xf numFmtId="3" fontId="6" fillId="0" borderId="0" xfId="1" applyNumberFormat="1"/>
  </cellXfs>
  <cellStyles count="2">
    <cellStyle name="Normal" xfId="0" builtinId="0"/>
    <cellStyle name="Normal 4" xfId="1" xr:uid="{E4C63898-1FA4-3445-9F20-DB2FFB388E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D9965-F18C-6743-958B-B6939228BD1F}">
  <sheetPr>
    <tabColor rgb="FF92D050"/>
  </sheetPr>
  <dimension ref="A1:N35"/>
  <sheetViews>
    <sheetView tabSelected="1" zoomScaleNormal="100" zoomScaleSheetLayoutView="85" workbookViewId="0">
      <selection sqref="A1:J1"/>
    </sheetView>
  </sheetViews>
  <sheetFormatPr baseColWidth="10" defaultColWidth="9.1640625" defaultRowHeight="14" customHeight="1" x14ac:dyDescent="0.15"/>
  <cols>
    <col min="1" max="1" width="16.5" style="2" customWidth="1"/>
    <col min="2" max="2" width="18.5" style="2" customWidth="1"/>
    <col min="3" max="3" width="1.6640625" style="2" customWidth="1"/>
    <col min="4" max="4" width="13.33203125" style="2" customWidth="1"/>
    <col min="5" max="5" width="0.5" style="2" customWidth="1"/>
    <col min="6" max="6" width="13.33203125" style="2" customWidth="1"/>
    <col min="7" max="7" width="0.5" style="2" customWidth="1"/>
    <col min="8" max="8" width="11.83203125" style="2" customWidth="1"/>
    <col min="9" max="9" width="0.5" style="2" customWidth="1"/>
    <col min="10" max="10" width="13.33203125" style="2" customWidth="1"/>
    <col min="11" max="11" width="10.6640625" style="2" customWidth="1"/>
    <col min="12" max="12" width="22.5" style="2" bestFit="1" customWidth="1"/>
    <col min="13" max="13" width="10.6640625" style="2" customWidth="1"/>
    <col min="14" max="16384" width="9.1640625" style="2"/>
  </cols>
  <sheetData>
    <row r="1" spans="1:14" ht="14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4" ht="14" customHeight="1" x14ac:dyDescent="0.1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</row>
    <row r="5" spans="1:14" ht="14" customHeight="1" x14ac:dyDescent="0.15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9" spans="1:14" ht="14" customHeight="1" x14ac:dyDescent="0.15">
      <c r="D9" s="4">
        <v>2024</v>
      </c>
      <c r="E9" s="4"/>
      <c r="F9" s="4"/>
      <c r="H9" s="5">
        <v>2015</v>
      </c>
      <c r="I9" s="5"/>
      <c r="J9" s="5"/>
    </row>
    <row r="10" spans="1:14" ht="41.25" customHeight="1" x14ac:dyDescent="0.15">
      <c r="A10" s="6" t="s">
        <v>3</v>
      </c>
      <c r="B10" s="7"/>
      <c r="C10" s="8"/>
      <c r="D10" s="9" t="s">
        <v>4</v>
      </c>
      <c r="F10" s="9" t="s">
        <v>5</v>
      </c>
      <c r="H10" s="9" t="s">
        <v>4</v>
      </c>
      <c r="J10" s="9" t="s">
        <v>5</v>
      </c>
    </row>
    <row r="11" spans="1:14" ht="14" customHeight="1" x14ac:dyDescent="0.15">
      <c r="D11" s="10"/>
      <c r="F11" s="11"/>
      <c r="H11" s="10"/>
      <c r="J11" s="11"/>
    </row>
    <row r="12" spans="1:14" ht="14" customHeight="1" x14ac:dyDescent="0.15">
      <c r="A12" s="2" t="s">
        <v>6</v>
      </c>
      <c r="D12" s="12">
        <v>2032</v>
      </c>
      <c r="F12" s="13">
        <f>D12/$N$14</f>
        <v>8.7034736797018883E-2</v>
      </c>
      <c r="H12" s="12">
        <v>1810</v>
      </c>
      <c r="J12" s="13">
        <v>0.1046</v>
      </c>
    </row>
    <row r="13" spans="1:14" ht="14" customHeight="1" x14ac:dyDescent="0.15">
      <c r="A13" s="2" t="s">
        <v>7</v>
      </c>
      <c r="D13" s="12">
        <v>800</v>
      </c>
      <c r="F13" s="13">
        <f t="shared" ref="F13:F21" si="0">D13/$N$14</f>
        <v>3.4265644408275155E-2</v>
      </c>
      <c r="H13" s="12">
        <v>1073</v>
      </c>
      <c r="J13" s="13">
        <v>6.2E-2</v>
      </c>
    </row>
    <row r="14" spans="1:14" ht="14" customHeight="1" x14ac:dyDescent="0.15">
      <c r="A14" s="2" t="s">
        <v>8</v>
      </c>
      <c r="D14" s="12">
        <v>800</v>
      </c>
      <c r="F14" s="13">
        <f t="shared" si="0"/>
        <v>3.4265644408275155E-2</v>
      </c>
      <c r="H14" s="12">
        <v>837</v>
      </c>
      <c r="J14" s="13">
        <v>4.8399999999999999E-2</v>
      </c>
      <c r="L14" s="2" t="s">
        <v>9</v>
      </c>
      <c r="N14" s="14">
        <v>23347</v>
      </c>
    </row>
    <row r="15" spans="1:14" ht="14" customHeight="1" x14ac:dyDescent="0.15">
      <c r="A15" s="2" t="s">
        <v>10</v>
      </c>
      <c r="D15" s="12">
        <v>650</v>
      </c>
      <c r="F15" s="13">
        <f t="shared" si="0"/>
        <v>2.7840836081723563E-2</v>
      </c>
      <c r="H15" s="12" t="s">
        <v>11</v>
      </c>
      <c r="J15" s="13" t="s">
        <v>11</v>
      </c>
    </row>
    <row r="16" spans="1:14" ht="14" customHeight="1" x14ac:dyDescent="0.15">
      <c r="A16" s="2" t="s">
        <v>12</v>
      </c>
      <c r="D16" s="12">
        <v>600</v>
      </c>
      <c r="F16" s="13">
        <f t="shared" si="0"/>
        <v>2.5699233306206364E-2</v>
      </c>
      <c r="H16" s="12">
        <v>382</v>
      </c>
      <c r="J16" s="13">
        <v>2.2100000000000002E-2</v>
      </c>
    </row>
    <row r="17" spans="1:10" ht="14" customHeight="1" x14ac:dyDescent="0.15">
      <c r="A17" s="2" t="s">
        <v>13</v>
      </c>
      <c r="D17" s="12">
        <v>500</v>
      </c>
      <c r="F17" s="13">
        <f t="shared" si="0"/>
        <v>2.1416027755171971E-2</v>
      </c>
      <c r="H17" s="12">
        <v>437</v>
      </c>
      <c r="J17" s="13">
        <v>2.53E-2</v>
      </c>
    </row>
    <row r="18" spans="1:10" ht="14" customHeight="1" x14ac:dyDescent="0.15">
      <c r="A18" s="2" t="s">
        <v>14</v>
      </c>
      <c r="D18" s="12">
        <v>480</v>
      </c>
      <c r="F18" s="13">
        <f t="shared" si="0"/>
        <v>2.0559386644965091E-2</v>
      </c>
      <c r="H18" s="12">
        <v>341</v>
      </c>
      <c r="J18" s="13">
        <v>1.9699999999999999E-2</v>
      </c>
    </row>
    <row r="19" spans="1:10" ht="14" customHeight="1" x14ac:dyDescent="0.15">
      <c r="A19" s="2" t="s">
        <v>15</v>
      </c>
      <c r="D19" s="12">
        <v>403</v>
      </c>
      <c r="F19" s="13">
        <f t="shared" si="0"/>
        <v>1.7261318370668608E-2</v>
      </c>
      <c r="H19" s="12" t="s">
        <v>11</v>
      </c>
      <c r="J19" s="13" t="s">
        <v>11</v>
      </c>
    </row>
    <row r="20" spans="1:10" ht="13.5" customHeight="1" x14ac:dyDescent="0.15">
      <c r="A20" s="2" t="s">
        <v>16</v>
      </c>
      <c r="D20" s="12">
        <v>400</v>
      </c>
      <c r="F20" s="13">
        <f t="shared" si="0"/>
        <v>1.7132822204137577E-2</v>
      </c>
      <c r="H20" s="12" t="s">
        <v>11</v>
      </c>
      <c r="J20" s="13" t="s">
        <v>11</v>
      </c>
    </row>
    <row r="21" spans="1:10" ht="15.75" customHeight="1" x14ac:dyDescent="0.15">
      <c r="A21" s="2" t="s">
        <v>17</v>
      </c>
      <c r="D21" s="12">
        <v>350</v>
      </c>
      <c r="F21" s="13">
        <f t="shared" si="0"/>
        <v>1.4991219428620379E-2</v>
      </c>
      <c r="H21" s="12">
        <v>350</v>
      </c>
      <c r="J21" s="13">
        <v>2.0199999999999999E-2</v>
      </c>
    </row>
    <row r="22" spans="1:10" ht="14" customHeight="1" x14ac:dyDescent="0.3">
      <c r="A22" s="2" t="s">
        <v>18</v>
      </c>
      <c r="D22" s="15"/>
      <c r="F22" s="16"/>
      <c r="H22" s="12">
        <v>600</v>
      </c>
      <c r="J22" s="13">
        <v>3.4700000000000002E-2</v>
      </c>
    </row>
    <row r="23" spans="1:10" ht="14" customHeight="1" x14ac:dyDescent="0.15">
      <c r="A23" s="2" t="s">
        <v>19</v>
      </c>
      <c r="D23" s="12"/>
      <c r="F23" s="13"/>
      <c r="H23" s="12">
        <v>323</v>
      </c>
      <c r="J23" s="13">
        <v>1.8700000000000001E-2</v>
      </c>
    </row>
    <row r="24" spans="1:10" ht="15.75" customHeight="1" x14ac:dyDescent="0.3">
      <c r="A24" s="2" t="s">
        <v>20</v>
      </c>
      <c r="D24" s="12"/>
      <c r="F24" s="13"/>
      <c r="H24" s="15">
        <v>400</v>
      </c>
      <c r="J24" s="16">
        <v>2.3099999999999999E-2</v>
      </c>
    </row>
    <row r="25" spans="1:10" ht="14" customHeight="1" x14ac:dyDescent="0.3">
      <c r="D25" s="15"/>
      <c r="F25" s="16"/>
      <c r="H25" s="15"/>
      <c r="J25" s="16"/>
    </row>
    <row r="26" spans="1:10" ht="13.5" customHeight="1" x14ac:dyDescent="0.3">
      <c r="A26" s="2" t="s">
        <v>21</v>
      </c>
      <c r="D26" s="17">
        <f>SUM(D12:D25)</f>
        <v>7015</v>
      </c>
      <c r="F26" s="18">
        <f>SUM(F11:F25)</f>
        <v>0.30046686940506273</v>
      </c>
      <c r="H26" s="17">
        <f>SUM(H12:H25)</f>
        <v>6553</v>
      </c>
      <c r="J26" s="18">
        <f>SUM(J11:J25)</f>
        <v>0.37880000000000003</v>
      </c>
    </row>
    <row r="27" spans="1:10" ht="14" customHeight="1" x14ac:dyDescent="0.15">
      <c r="D27" s="14"/>
      <c r="F27" s="19"/>
      <c r="H27" s="14"/>
      <c r="J27" s="19"/>
    </row>
    <row r="29" spans="1:10" ht="14" customHeight="1" x14ac:dyDescent="0.15">
      <c r="A29" s="2" t="s">
        <v>22</v>
      </c>
    </row>
    <row r="35" spans="1:4" ht="14" customHeight="1" x14ac:dyDescent="0.15">
      <c r="A35" s="20"/>
      <c r="B35" s="20"/>
      <c r="D35" s="21"/>
    </row>
  </sheetData>
  <mergeCells count="4">
    <mergeCell ref="A1:J1"/>
    <mergeCell ref="A3:J3"/>
    <mergeCell ref="A5:J5"/>
    <mergeCell ref="H9:J9"/>
  </mergeCells>
  <pageMargins left="0.75" right="0.75" top="0.5" bottom="1" header="0.5" footer="0.5"/>
  <pageSetup firstPageNumber="133" orientation="portrait" r:id="rId1"/>
  <headerFooter alignWithMargins="0">
    <oddHeader>&amp;R&amp;"Verdana,Bold"&amp;9TABLE 18</oddHeader>
    <oddFooter>&amp;C&amp;"Verdana,Bold"&amp;9&amp;P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Top 10 Employers</vt:lpstr>
      <vt:lpstr>'Top 10 Employers'!Print_Area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</dc:creator>
  <cp:lastModifiedBy>D S</cp:lastModifiedBy>
  <dcterms:created xsi:type="dcterms:W3CDTF">2026-02-15T20:37:51Z</dcterms:created>
  <dcterms:modified xsi:type="dcterms:W3CDTF">2026-02-15T20:38:18Z</dcterms:modified>
</cp:coreProperties>
</file>